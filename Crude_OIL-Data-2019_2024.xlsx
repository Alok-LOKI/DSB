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santoshdangat/Downloads/"/>
    </mc:Choice>
  </mc:AlternateContent>
  <xr:revisionPtr revIDLastSave="0" documentId="13_ncr:1_{786A45EF-0043-F84E-AF91-738404A490A3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Crude_Raw" sheetId="1" r:id="rId1"/>
    <sheet name="Crude_Clean" sheetId="2" r:id="rId2"/>
  </sheets>
  <definedNames>
    <definedName name="_xlnm._FilterDatabase" localSheetId="0" hidden="1">Crude_Raw!$A$1:$BA$576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76" i="2" l="1"/>
  <c r="BA576" i="2"/>
  <c r="BG575" i="2"/>
  <c r="BA575" i="2"/>
  <c r="BG574" i="2"/>
  <c r="BA574" i="2"/>
  <c r="BG573" i="2"/>
  <c r="BA573" i="2"/>
  <c r="BG572" i="2"/>
  <c r="BA572" i="2"/>
  <c r="BG571" i="2"/>
  <c r="BA571" i="2"/>
  <c r="BG570" i="2"/>
  <c r="BA570" i="2"/>
  <c r="BG569" i="2"/>
  <c r="BA569" i="2"/>
  <c r="BG568" i="2"/>
  <c r="BA568" i="2"/>
  <c r="BG567" i="2"/>
  <c r="BA567" i="2"/>
  <c r="BG566" i="2"/>
  <c r="BA566" i="2"/>
  <c r="BG565" i="2"/>
  <c r="BA565" i="2"/>
  <c r="BG564" i="2"/>
  <c r="BA564" i="2"/>
  <c r="BG563" i="2"/>
  <c r="BA563" i="2"/>
  <c r="BG562" i="2"/>
  <c r="BA562" i="2"/>
  <c r="BG561" i="2"/>
  <c r="BA561" i="2"/>
  <c r="BG560" i="2"/>
  <c r="BA560" i="2"/>
  <c r="BG559" i="2"/>
  <c r="BA559" i="2"/>
  <c r="BG558" i="2"/>
  <c r="BA558" i="2"/>
  <c r="BG557" i="2"/>
  <c r="BA557" i="2"/>
  <c r="BG556" i="2"/>
  <c r="BA556" i="2"/>
  <c r="BG555" i="2"/>
  <c r="BA555" i="2"/>
  <c r="BG554" i="2"/>
  <c r="BA554" i="2"/>
  <c r="BG553" i="2"/>
  <c r="BA553" i="2"/>
  <c r="BG552" i="2"/>
  <c r="BA552" i="2"/>
  <c r="BG551" i="2"/>
  <c r="BA551" i="2"/>
  <c r="BG550" i="2"/>
  <c r="BA550" i="2"/>
  <c r="BG549" i="2"/>
  <c r="BA549" i="2"/>
  <c r="BG548" i="2"/>
  <c r="BA548" i="2"/>
  <c r="BG547" i="2"/>
  <c r="BA547" i="2"/>
  <c r="BG546" i="2"/>
  <c r="BA546" i="2"/>
  <c r="BG545" i="2"/>
  <c r="BA545" i="2"/>
  <c r="BG544" i="2"/>
  <c r="BA544" i="2"/>
  <c r="BG543" i="2"/>
  <c r="BA543" i="2"/>
  <c r="BG542" i="2"/>
  <c r="BA542" i="2"/>
  <c r="BG541" i="2"/>
  <c r="BA541" i="2"/>
  <c r="BG540" i="2"/>
  <c r="BA540" i="2"/>
  <c r="BG539" i="2"/>
  <c r="BA539" i="2"/>
  <c r="BG538" i="2"/>
  <c r="BA538" i="2"/>
  <c r="BG537" i="2"/>
  <c r="BA537" i="2"/>
  <c r="BG536" i="2"/>
  <c r="BA536" i="2"/>
  <c r="BG535" i="2"/>
  <c r="BA535" i="2"/>
  <c r="BG534" i="2"/>
  <c r="BA534" i="2"/>
  <c r="BG533" i="2"/>
  <c r="BA533" i="2"/>
  <c r="BG532" i="2"/>
  <c r="BA532" i="2"/>
  <c r="BG531" i="2"/>
  <c r="BA531" i="2"/>
  <c r="BG530" i="2"/>
  <c r="BA530" i="2"/>
  <c r="BG529" i="2"/>
  <c r="BA529" i="2"/>
  <c r="BG528" i="2"/>
  <c r="BA528" i="2"/>
  <c r="BG527" i="2"/>
  <c r="BA527" i="2"/>
  <c r="BG526" i="2"/>
  <c r="BA526" i="2"/>
  <c r="BG525" i="2"/>
  <c r="BA525" i="2"/>
  <c r="BG524" i="2"/>
  <c r="BA524" i="2"/>
  <c r="BG523" i="2"/>
  <c r="BA523" i="2"/>
  <c r="BG522" i="2"/>
  <c r="BA522" i="2"/>
  <c r="BG521" i="2"/>
  <c r="BA521" i="2"/>
  <c r="BG520" i="2"/>
  <c r="BA520" i="2"/>
  <c r="BG519" i="2"/>
  <c r="BA519" i="2"/>
  <c r="BG518" i="2"/>
  <c r="BA518" i="2"/>
  <c r="BG517" i="2"/>
  <c r="BA517" i="2"/>
  <c r="BG516" i="2"/>
  <c r="BA516" i="2"/>
  <c r="BG515" i="2"/>
  <c r="BA515" i="2"/>
  <c r="BG514" i="2"/>
  <c r="BA514" i="2"/>
  <c r="BG513" i="2"/>
  <c r="BA513" i="2"/>
  <c r="BG512" i="2"/>
  <c r="BA512" i="2"/>
  <c r="BG511" i="2"/>
  <c r="BA511" i="2"/>
  <c r="BG510" i="2"/>
  <c r="BA510" i="2"/>
  <c r="BG509" i="2"/>
  <c r="BA509" i="2"/>
  <c r="BG508" i="2"/>
  <c r="BA508" i="2"/>
  <c r="BG507" i="2"/>
  <c r="BA507" i="2"/>
  <c r="BG506" i="2"/>
  <c r="BA506" i="2"/>
  <c r="BG505" i="2"/>
  <c r="BA505" i="2"/>
  <c r="BG504" i="2"/>
  <c r="BA504" i="2"/>
  <c r="BG503" i="2"/>
  <c r="BA503" i="2"/>
  <c r="BG502" i="2"/>
  <c r="BA502" i="2"/>
  <c r="BG501" i="2"/>
  <c r="BA501" i="2"/>
  <c r="BG500" i="2"/>
  <c r="BA500" i="2"/>
  <c r="BG499" i="2"/>
  <c r="BA499" i="2"/>
  <c r="BG498" i="2"/>
  <c r="BA498" i="2"/>
  <c r="BG497" i="2"/>
  <c r="BA497" i="2"/>
  <c r="BG496" i="2"/>
  <c r="BA496" i="2"/>
  <c r="BG495" i="2"/>
  <c r="BA495" i="2"/>
  <c r="BG494" i="2"/>
  <c r="BA494" i="2"/>
  <c r="BG493" i="2"/>
  <c r="BA493" i="2"/>
  <c r="BG492" i="2"/>
  <c r="BA492" i="2"/>
  <c r="BG491" i="2"/>
  <c r="BA491" i="2"/>
  <c r="BG490" i="2"/>
  <c r="BA490" i="2"/>
  <c r="BG489" i="2"/>
  <c r="BA489" i="2"/>
  <c r="BG488" i="2"/>
  <c r="BA488" i="2"/>
  <c r="BG487" i="2"/>
  <c r="BA487" i="2"/>
  <c r="BG486" i="2"/>
  <c r="BA486" i="2"/>
  <c r="BG485" i="2"/>
  <c r="BA485" i="2"/>
  <c r="BG484" i="2"/>
  <c r="BA484" i="2"/>
  <c r="BG483" i="2"/>
  <c r="BA483" i="2"/>
  <c r="BG482" i="2"/>
  <c r="BA482" i="2"/>
  <c r="BG481" i="2"/>
  <c r="BA481" i="2"/>
  <c r="BG480" i="2"/>
  <c r="BA480" i="2"/>
  <c r="BG479" i="2"/>
  <c r="BA479" i="2"/>
  <c r="BG478" i="2"/>
  <c r="BA478" i="2"/>
  <c r="BG477" i="2"/>
  <c r="BA477" i="2"/>
  <c r="BG476" i="2"/>
  <c r="BA476" i="2"/>
  <c r="BG475" i="2"/>
  <c r="BA475" i="2"/>
  <c r="BG474" i="2"/>
  <c r="BA474" i="2"/>
  <c r="BG473" i="2"/>
  <c r="BA473" i="2"/>
  <c r="BG472" i="2"/>
  <c r="BA472" i="2"/>
  <c r="BG471" i="2"/>
  <c r="BA471" i="2"/>
  <c r="BG470" i="2"/>
  <c r="BA470" i="2"/>
  <c r="BG469" i="2"/>
  <c r="BA469" i="2"/>
  <c r="BG468" i="2"/>
  <c r="BA468" i="2"/>
  <c r="BG467" i="2"/>
  <c r="BA467" i="2"/>
  <c r="BG466" i="2"/>
  <c r="BA466" i="2"/>
  <c r="BG465" i="2"/>
  <c r="BA465" i="2"/>
  <c r="BG464" i="2"/>
  <c r="BA464" i="2"/>
  <c r="BG463" i="2"/>
  <c r="BA463" i="2"/>
  <c r="BG462" i="2"/>
  <c r="BA462" i="2"/>
  <c r="BG461" i="2"/>
  <c r="BA461" i="2"/>
  <c r="BG460" i="2"/>
  <c r="BA460" i="2"/>
  <c r="BG459" i="2"/>
  <c r="BA459" i="2"/>
  <c r="BG458" i="2"/>
  <c r="BA458" i="2"/>
  <c r="BG457" i="2"/>
  <c r="BA457" i="2"/>
  <c r="BG456" i="2"/>
  <c r="BA456" i="2"/>
  <c r="BG455" i="2"/>
  <c r="BA455" i="2"/>
  <c r="BG454" i="2"/>
  <c r="BA454" i="2"/>
  <c r="BG453" i="2"/>
  <c r="BA453" i="2"/>
  <c r="BG452" i="2"/>
  <c r="BA452" i="2"/>
  <c r="BG451" i="2"/>
  <c r="BA451" i="2"/>
  <c r="BG450" i="2"/>
  <c r="BA450" i="2"/>
  <c r="BG449" i="2"/>
  <c r="BA449" i="2"/>
  <c r="BG448" i="2"/>
  <c r="BA448" i="2"/>
  <c r="BG447" i="2"/>
  <c r="BA447" i="2"/>
  <c r="BG446" i="2"/>
  <c r="BA446" i="2"/>
  <c r="BG445" i="2"/>
  <c r="BA445" i="2"/>
  <c r="BG444" i="2"/>
  <c r="BA444" i="2"/>
  <c r="BG443" i="2"/>
  <c r="BA443" i="2"/>
  <c r="BG442" i="2"/>
  <c r="BA442" i="2"/>
  <c r="BG441" i="2"/>
  <c r="BA441" i="2"/>
  <c r="BG440" i="2"/>
  <c r="BA440" i="2"/>
  <c r="BG439" i="2"/>
  <c r="BA439" i="2"/>
  <c r="BG438" i="2"/>
  <c r="BA438" i="2"/>
  <c r="BG437" i="2"/>
  <c r="BA437" i="2"/>
  <c r="BG436" i="2"/>
  <c r="BA436" i="2"/>
  <c r="BG435" i="2"/>
  <c r="BA435" i="2"/>
  <c r="BG434" i="2"/>
  <c r="BA434" i="2"/>
  <c r="BG433" i="2"/>
  <c r="BA433" i="2"/>
  <c r="BG432" i="2"/>
  <c r="BA432" i="2"/>
  <c r="BG431" i="2"/>
  <c r="BA431" i="2"/>
  <c r="BG430" i="2"/>
  <c r="BA430" i="2"/>
  <c r="BG429" i="2"/>
  <c r="BA429" i="2"/>
  <c r="BG428" i="2"/>
  <c r="BA428" i="2"/>
  <c r="BG427" i="2"/>
  <c r="BA427" i="2"/>
  <c r="BG426" i="2"/>
  <c r="BA426" i="2"/>
  <c r="BG425" i="2"/>
  <c r="BA425" i="2"/>
  <c r="BG424" i="2"/>
  <c r="BA424" i="2"/>
  <c r="BG423" i="2"/>
  <c r="BA423" i="2"/>
  <c r="BG422" i="2"/>
  <c r="BA422" i="2"/>
  <c r="BG421" i="2"/>
  <c r="BA421" i="2"/>
  <c r="BG420" i="2"/>
  <c r="BA420" i="2"/>
  <c r="BG419" i="2"/>
  <c r="BA419" i="2"/>
  <c r="BG418" i="2"/>
  <c r="BA418" i="2"/>
  <c r="BG417" i="2"/>
  <c r="BA417" i="2"/>
  <c r="BG416" i="2"/>
  <c r="BA416" i="2"/>
  <c r="BG415" i="2"/>
  <c r="BA415" i="2"/>
  <c r="BG414" i="2"/>
  <c r="BA414" i="2"/>
  <c r="BG413" i="2"/>
  <c r="BA413" i="2"/>
  <c r="BG412" i="2"/>
  <c r="BA412" i="2"/>
  <c r="BG411" i="2"/>
  <c r="BA411" i="2"/>
  <c r="BG410" i="2"/>
  <c r="BA410" i="2"/>
  <c r="BG409" i="2"/>
  <c r="BA409" i="2"/>
  <c r="BG408" i="2"/>
  <c r="BA408" i="2"/>
  <c r="BG407" i="2"/>
  <c r="BA407" i="2"/>
  <c r="BG406" i="2"/>
  <c r="BA406" i="2"/>
  <c r="BG405" i="2"/>
  <c r="BA405" i="2"/>
  <c r="BG404" i="2"/>
  <c r="BA404" i="2"/>
  <c r="BG403" i="2"/>
  <c r="BA403" i="2"/>
  <c r="BG402" i="2"/>
  <c r="BA402" i="2"/>
  <c r="BG401" i="2"/>
  <c r="BA401" i="2"/>
  <c r="BG400" i="2"/>
  <c r="BA400" i="2"/>
  <c r="BG399" i="2"/>
  <c r="BA399" i="2"/>
  <c r="BG398" i="2"/>
  <c r="BA398" i="2"/>
  <c r="BG397" i="2"/>
  <c r="BA397" i="2"/>
  <c r="BG396" i="2"/>
  <c r="BA396" i="2"/>
  <c r="BG395" i="2"/>
  <c r="BA395" i="2"/>
  <c r="BG394" i="2"/>
  <c r="BA394" i="2"/>
  <c r="BG393" i="2"/>
  <c r="BA393" i="2"/>
  <c r="BG392" i="2"/>
  <c r="BA392" i="2"/>
  <c r="BG391" i="2"/>
  <c r="BA391" i="2"/>
  <c r="BG390" i="2"/>
  <c r="BA390" i="2"/>
  <c r="BG389" i="2"/>
  <c r="BA389" i="2"/>
  <c r="BG388" i="2"/>
  <c r="BA388" i="2"/>
  <c r="BG387" i="2"/>
  <c r="BA387" i="2"/>
  <c r="BG386" i="2"/>
  <c r="BA386" i="2"/>
  <c r="BG385" i="2"/>
  <c r="BA385" i="2"/>
  <c r="BG384" i="2"/>
  <c r="BA384" i="2"/>
  <c r="BG383" i="2"/>
  <c r="BA383" i="2"/>
  <c r="BG382" i="2"/>
  <c r="BA382" i="2"/>
  <c r="BG381" i="2"/>
  <c r="BA381" i="2"/>
  <c r="BG380" i="2"/>
  <c r="BA380" i="2"/>
  <c r="BG379" i="2"/>
  <c r="BA379" i="2"/>
  <c r="BG378" i="2"/>
  <c r="BA378" i="2"/>
  <c r="BG377" i="2"/>
  <c r="BA377" i="2"/>
  <c r="BG376" i="2"/>
  <c r="BA376" i="2"/>
  <c r="BG375" i="2"/>
  <c r="BA375" i="2"/>
  <c r="BG374" i="2"/>
  <c r="BA374" i="2"/>
  <c r="BG373" i="2"/>
  <c r="BA373" i="2"/>
  <c r="BG372" i="2"/>
  <c r="BA372" i="2"/>
  <c r="BG371" i="2"/>
  <c r="BA371" i="2"/>
  <c r="BG370" i="2"/>
  <c r="BA370" i="2"/>
  <c r="BG369" i="2"/>
  <c r="BA369" i="2"/>
  <c r="BG368" i="2"/>
  <c r="BA368" i="2"/>
  <c r="BG367" i="2"/>
  <c r="BA367" i="2"/>
  <c r="BG366" i="2"/>
  <c r="BA366" i="2"/>
  <c r="BG365" i="2"/>
  <c r="BA365" i="2"/>
  <c r="BG364" i="2"/>
  <c r="BA364" i="2"/>
  <c r="BG363" i="2"/>
  <c r="BA363" i="2"/>
  <c r="BG362" i="2"/>
  <c r="BA362" i="2"/>
  <c r="BG361" i="2"/>
  <c r="BA361" i="2"/>
  <c r="BG360" i="2"/>
  <c r="BA360" i="2"/>
  <c r="BG359" i="2"/>
  <c r="BA359" i="2"/>
  <c r="BG358" i="2"/>
  <c r="BA358" i="2"/>
  <c r="BG357" i="2"/>
  <c r="BA357" i="2"/>
  <c r="BG356" i="2"/>
  <c r="BA356" i="2"/>
  <c r="BG355" i="2"/>
  <c r="BA355" i="2"/>
  <c r="BG354" i="2"/>
  <c r="BA354" i="2"/>
  <c r="BG353" i="2"/>
  <c r="BA353" i="2"/>
  <c r="BG352" i="2"/>
  <c r="BA352" i="2"/>
  <c r="BG351" i="2"/>
  <c r="BA351" i="2"/>
  <c r="BG350" i="2"/>
  <c r="BA350" i="2"/>
  <c r="BG349" i="2"/>
  <c r="BA349" i="2"/>
  <c r="BG348" i="2"/>
  <c r="BA348" i="2"/>
  <c r="BG347" i="2"/>
  <c r="BA347" i="2"/>
  <c r="BG346" i="2"/>
  <c r="BA346" i="2"/>
  <c r="BG345" i="2"/>
  <c r="BA345" i="2"/>
  <c r="BG344" i="2"/>
  <c r="BA344" i="2"/>
  <c r="BG343" i="2"/>
  <c r="BA343" i="2"/>
  <c r="BG342" i="2"/>
  <c r="BA342" i="2"/>
  <c r="BG341" i="2"/>
  <c r="BA341" i="2"/>
  <c r="BG340" i="2"/>
  <c r="BA340" i="2"/>
  <c r="BG339" i="2"/>
  <c r="BA339" i="2"/>
  <c r="BG338" i="2"/>
  <c r="BA338" i="2"/>
  <c r="BG337" i="2"/>
  <c r="BA337" i="2"/>
  <c r="BG336" i="2"/>
  <c r="BA336" i="2"/>
  <c r="BG335" i="2"/>
  <c r="BA335" i="2"/>
  <c r="BG334" i="2"/>
  <c r="BA334" i="2"/>
  <c r="BG333" i="2"/>
  <c r="BA333" i="2"/>
  <c r="BG332" i="2"/>
  <c r="BA332" i="2"/>
  <c r="BG331" i="2"/>
  <c r="BA331" i="2"/>
  <c r="BG330" i="2"/>
  <c r="BA330" i="2"/>
  <c r="BG329" i="2"/>
  <c r="BA329" i="2"/>
  <c r="BG328" i="2"/>
  <c r="BA328" i="2"/>
  <c r="BG327" i="2"/>
  <c r="BA327" i="2"/>
  <c r="BG326" i="2"/>
  <c r="BA326" i="2"/>
  <c r="BG325" i="2"/>
  <c r="BA325" i="2"/>
  <c r="BG324" i="2"/>
  <c r="BA324" i="2"/>
  <c r="BG323" i="2"/>
  <c r="BA323" i="2"/>
  <c r="BG322" i="2"/>
  <c r="BA322" i="2"/>
  <c r="BG321" i="2"/>
  <c r="BA321" i="2"/>
  <c r="BG320" i="2"/>
  <c r="BA320" i="2"/>
  <c r="BG319" i="2"/>
  <c r="BA319" i="2"/>
  <c r="BG318" i="2"/>
  <c r="BA318" i="2"/>
  <c r="BG317" i="2"/>
  <c r="BA317" i="2"/>
  <c r="BG316" i="2"/>
  <c r="BA316" i="2"/>
  <c r="BG315" i="2"/>
  <c r="BA315" i="2"/>
  <c r="BG314" i="2"/>
  <c r="BA314" i="2"/>
  <c r="BG313" i="2"/>
  <c r="BA313" i="2"/>
  <c r="BG312" i="2"/>
  <c r="BA312" i="2"/>
  <c r="BG311" i="2"/>
  <c r="BA311" i="2"/>
  <c r="BG310" i="2"/>
  <c r="BA310" i="2"/>
  <c r="BG309" i="2"/>
  <c r="BA309" i="2"/>
  <c r="BG308" i="2"/>
  <c r="BA308" i="2"/>
  <c r="BG307" i="2"/>
  <c r="BA307" i="2"/>
  <c r="BG306" i="2"/>
  <c r="BA306" i="2"/>
  <c r="BG305" i="2"/>
  <c r="BA305" i="2"/>
  <c r="BG304" i="2"/>
  <c r="BA304" i="2"/>
  <c r="BG303" i="2"/>
  <c r="BA303" i="2"/>
  <c r="BG302" i="2"/>
  <c r="BA302" i="2"/>
  <c r="BG301" i="2"/>
  <c r="BA301" i="2"/>
  <c r="BG300" i="2"/>
  <c r="BA300" i="2"/>
  <c r="BG299" i="2"/>
  <c r="BA299" i="2"/>
  <c r="BG298" i="2"/>
  <c r="BA298" i="2"/>
  <c r="BG297" i="2"/>
  <c r="BA297" i="2"/>
  <c r="BG296" i="2"/>
  <c r="BA296" i="2"/>
  <c r="BG295" i="2"/>
  <c r="BA295" i="2"/>
  <c r="BG294" i="2"/>
  <c r="BA294" i="2"/>
  <c r="BG293" i="2"/>
  <c r="BA293" i="2"/>
  <c r="BG292" i="2"/>
  <c r="BA292" i="2"/>
  <c r="BG291" i="2"/>
  <c r="BA291" i="2"/>
  <c r="BG290" i="2"/>
  <c r="BA290" i="2"/>
  <c r="BG289" i="2"/>
  <c r="BA289" i="2"/>
  <c r="BG288" i="2"/>
  <c r="BA288" i="2"/>
  <c r="BG287" i="2"/>
  <c r="BA287" i="2"/>
  <c r="BG286" i="2"/>
  <c r="BA286" i="2"/>
  <c r="BG285" i="2"/>
  <c r="BA285" i="2"/>
  <c r="BG284" i="2"/>
  <c r="BA284" i="2"/>
  <c r="BG283" i="2"/>
  <c r="BA283" i="2"/>
  <c r="BG282" i="2"/>
  <c r="BA282" i="2"/>
  <c r="BG281" i="2"/>
  <c r="BA281" i="2"/>
  <c r="BG280" i="2"/>
  <c r="BA280" i="2"/>
  <c r="BG279" i="2"/>
  <c r="BA279" i="2"/>
  <c r="BG278" i="2"/>
  <c r="BA278" i="2"/>
  <c r="BG277" i="2"/>
  <c r="BA277" i="2"/>
  <c r="BG276" i="2"/>
  <c r="BA276" i="2"/>
  <c r="BG275" i="2"/>
  <c r="BA275" i="2"/>
  <c r="BG274" i="2"/>
  <c r="BA274" i="2"/>
  <c r="BG273" i="2"/>
  <c r="BA273" i="2"/>
  <c r="BG272" i="2"/>
  <c r="BA272" i="2"/>
  <c r="BG271" i="2"/>
  <c r="BA271" i="2"/>
  <c r="BG270" i="2"/>
  <c r="BA270" i="2"/>
  <c r="BG269" i="2"/>
  <c r="BA269" i="2"/>
  <c r="BG268" i="2"/>
  <c r="BA268" i="2"/>
  <c r="BG267" i="2"/>
  <c r="BA267" i="2"/>
  <c r="BG266" i="2"/>
  <c r="BA266" i="2"/>
  <c r="BG265" i="2"/>
  <c r="BA265" i="2"/>
  <c r="BG264" i="2"/>
  <c r="BA264" i="2"/>
  <c r="BG263" i="2"/>
  <c r="BA263" i="2"/>
  <c r="BG262" i="2"/>
  <c r="BA262" i="2"/>
  <c r="BG261" i="2"/>
  <c r="BA261" i="2"/>
  <c r="BG260" i="2"/>
  <c r="BA260" i="2"/>
  <c r="BG259" i="2"/>
  <c r="BA259" i="2"/>
  <c r="BG258" i="2"/>
  <c r="BA258" i="2"/>
  <c r="BG257" i="2"/>
  <c r="BA257" i="2"/>
  <c r="BG256" i="2"/>
  <c r="BA256" i="2"/>
  <c r="BG255" i="2"/>
  <c r="BA255" i="2"/>
  <c r="BG254" i="2"/>
  <c r="BA254" i="2"/>
  <c r="BG253" i="2"/>
  <c r="BA253" i="2"/>
  <c r="BG252" i="2"/>
  <c r="BA252" i="2"/>
  <c r="BG251" i="2"/>
  <c r="BA251" i="2"/>
  <c r="BG250" i="2"/>
  <c r="BA250" i="2"/>
  <c r="BG249" i="2"/>
  <c r="BA249" i="2"/>
  <c r="BG248" i="2"/>
  <c r="BA248" i="2"/>
  <c r="BG247" i="2"/>
  <c r="BA247" i="2"/>
  <c r="BG246" i="2"/>
  <c r="BA246" i="2"/>
  <c r="BG245" i="2"/>
  <c r="BA245" i="2"/>
  <c r="BG244" i="2"/>
  <c r="BA244" i="2"/>
  <c r="BG243" i="2"/>
  <c r="BA243" i="2"/>
  <c r="BG242" i="2"/>
  <c r="BA242" i="2"/>
  <c r="BG241" i="2"/>
  <c r="BA241" i="2"/>
  <c r="BG240" i="2"/>
  <c r="BA240" i="2"/>
  <c r="BG239" i="2"/>
  <c r="BA239" i="2"/>
  <c r="BG238" i="2"/>
  <c r="BA238" i="2"/>
  <c r="BG237" i="2"/>
  <c r="BA237" i="2"/>
  <c r="BG236" i="2"/>
  <c r="BA236" i="2"/>
  <c r="BG235" i="2"/>
  <c r="BA235" i="2"/>
  <c r="BG234" i="2"/>
  <c r="BA234" i="2"/>
  <c r="BG233" i="2"/>
  <c r="BA233" i="2"/>
  <c r="BG232" i="2"/>
  <c r="BA232" i="2"/>
  <c r="BG231" i="2"/>
  <c r="BA231" i="2"/>
  <c r="BG230" i="2"/>
  <c r="BA230" i="2"/>
  <c r="BG229" i="2"/>
  <c r="BA229" i="2"/>
  <c r="BG228" i="2"/>
  <c r="BA228" i="2"/>
  <c r="BG227" i="2"/>
  <c r="BA227" i="2"/>
  <c r="BG226" i="2"/>
  <c r="BA226" i="2"/>
  <c r="BG225" i="2"/>
  <c r="BA225" i="2"/>
  <c r="BG224" i="2"/>
  <c r="BA224" i="2"/>
  <c r="BG223" i="2"/>
  <c r="BA223" i="2"/>
  <c r="BG222" i="2"/>
  <c r="BA222" i="2"/>
  <c r="BG221" i="2"/>
  <c r="BA221" i="2"/>
  <c r="BG220" i="2"/>
  <c r="BA220" i="2"/>
  <c r="BG219" i="2"/>
  <c r="BA219" i="2"/>
  <c r="BG218" i="2"/>
  <c r="BA218" i="2"/>
  <c r="BG217" i="2"/>
  <c r="BA217" i="2"/>
  <c r="BG216" i="2"/>
  <c r="BA216" i="2"/>
  <c r="BG215" i="2"/>
  <c r="BA215" i="2"/>
  <c r="BG214" i="2"/>
  <c r="BA214" i="2"/>
  <c r="BG213" i="2"/>
  <c r="BA213" i="2"/>
  <c r="BG212" i="2"/>
  <c r="BA212" i="2"/>
  <c r="BG211" i="2"/>
  <c r="BA211" i="2"/>
  <c r="BG210" i="2"/>
  <c r="BA210" i="2"/>
  <c r="BG209" i="2"/>
  <c r="BA209" i="2"/>
  <c r="BG208" i="2"/>
  <c r="BA208" i="2"/>
  <c r="BG207" i="2"/>
  <c r="BA207" i="2"/>
  <c r="BG206" i="2"/>
  <c r="BA206" i="2"/>
  <c r="BG205" i="2"/>
  <c r="BA205" i="2"/>
  <c r="BG204" i="2"/>
  <c r="BA204" i="2"/>
  <c r="BG203" i="2"/>
  <c r="BA203" i="2"/>
  <c r="BG202" i="2"/>
  <c r="BA202" i="2"/>
  <c r="BG201" i="2"/>
  <c r="BA201" i="2"/>
  <c r="BG200" i="2"/>
  <c r="BA200" i="2"/>
  <c r="BG199" i="2"/>
  <c r="BA199" i="2"/>
  <c r="BG198" i="2"/>
  <c r="BA198" i="2"/>
  <c r="BG197" i="2"/>
  <c r="BA197" i="2"/>
  <c r="BG196" i="2"/>
  <c r="BA196" i="2"/>
  <c r="BG195" i="2"/>
  <c r="BA195" i="2"/>
  <c r="BG194" i="2"/>
  <c r="BA194" i="2"/>
  <c r="BG193" i="2"/>
  <c r="BA193" i="2"/>
  <c r="BG192" i="2"/>
  <c r="BA192" i="2"/>
  <c r="BG191" i="2"/>
  <c r="BA191" i="2"/>
  <c r="BG190" i="2"/>
  <c r="BA190" i="2"/>
  <c r="BG189" i="2"/>
  <c r="BA189" i="2"/>
  <c r="BG188" i="2"/>
  <c r="BA188" i="2"/>
  <c r="BG187" i="2"/>
  <c r="BA187" i="2"/>
  <c r="BG186" i="2"/>
  <c r="BA186" i="2"/>
  <c r="BG185" i="2"/>
  <c r="BA185" i="2"/>
  <c r="BG184" i="2"/>
  <c r="BA184" i="2"/>
  <c r="BG183" i="2"/>
  <c r="BA183" i="2"/>
  <c r="BG182" i="2"/>
  <c r="BA182" i="2"/>
  <c r="BG181" i="2"/>
  <c r="BA181" i="2"/>
  <c r="BG180" i="2"/>
  <c r="BA180" i="2"/>
  <c r="BG179" i="2"/>
  <c r="BA179" i="2"/>
  <c r="BG178" i="2"/>
  <c r="BA178" i="2"/>
  <c r="BG177" i="2"/>
  <c r="BA177" i="2"/>
  <c r="BG176" i="2"/>
  <c r="BA176" i="2"/>
  <c r="BG175" i="2"/>
  <c r="BA175" i="2"/>
  <c r="BG174" i="2"/>
  <c r="BA174" i="2"/>
  <c r="BG173" i="2"/>
  <c r="BA173" i="2"/>
  <c r="BG172" i="2"/>
  <c r="BA172" i="2"/>
  <c r="BG171" i="2"/>
  <c r="BA171" i="2"/>
  <c r="BG170" i="2"/>
  <c r="BA170" i="2"/>
  <c r="BG169" i="2"/>
  <c r="BA169" i="2"/>
  <c r="BG168" i="2"/>
  <c r="BA168" i="2"/>
  <c r="BG167" i="2"/>
  <c r="BA167" i="2"/>
  <c r="BG166" i="2"/>
  <c r="BA166" i="2"/>
  <c r="BG165" i="2"/>
  <c r="BA165" i="2"/>
  <c r="BG164" i="2"/>
  <c r="BA164" i="2"/>
  <c r="BG163" i="2"/>
  <c r="BA163" i="2"/>
  <c r="BG162" i="2"/>
  <c r="BA162" i="2"/>
  <c r="BG161" i="2"/>
  <c r="BA161" i="2"/>
  <c r="BG160" i="2"/>
  <c r="BA160" i="2"/>
  <c r="BG159" i="2"/>
  <c r="BA159" i="2"/>
  <c r="BG158" i="2"/>
  <c r="BA158" i="2"/>
  <c r="BG157" i="2"/>
  <c r="BA157" i="2"/>
  <c r="BG156" i="2"/>
  <c r="BA156" i="2"/>
  <c r="BG155" i="2"/>
  <c r="BA155" i="2"/>
  <c r="BG154" i="2"/>
  <c r="BA154" i="2"/>
  <c r="BG153" i="2"/>
  <c r="BA153" i="2"/>
  <c r="BG152" i="2"/>
  <c r="BA152" i="2"/>
  <c r="BG151" i="2"/>
  <c r="BA151" i="2"/>
  <c r="BG150" i="2"/>
  <c r="BA150" i="2"/>
  <c r="BG149" i="2"/>
  <c r="BA149" i="2"/>
  <c r="BG148" i="2"/>
  <c r="BA148" i="2"/>
  <c r="BG147" i="2"/>
  <c r="BA147" i="2"/>
  <c r="BG146" i="2"/>
  <c r="BA146" i="2"/>
  <c r="BG145" i="2"/>
  <c r="BA145" i="2"/>
  <c r="BG144" i="2"/>
  <c r="BA144" i="2"/>
  <c r="BG143" i="2"/>
  <c r="BA143" i="2"/>
  <c r="BG142" i="2"/>
  <c r="BA142" i="2"/>
  <c r="BG141" i="2"/>
  <c r="BA141" i="2"/>
  <c r="BG140" i="2"/>
  <c r="BA140" i="2"/>
  <c r="BG139" i="2"/>
  <c r="BA139" i="2"/>
  <c r="BG138" i="2"/>
  <c r="BA138" i="2"/>
  <c r="BG137" i="2"/>
  <c r="BA137" i="2"/>
  <c r="BG136" i="2"/>
  <c r="BA136" i="2"/>
  <c r="BG135" i="2"/>
  <c r="BA135" i="2"/>
  <c r="BG134" i="2"/>
  <c r="BA134" i="2"/>
  <c r="BG133" i="2"/>
  <c r="BA133" i="2"/>
  <c r="BG132" i="2"/>
  <c r="BA132" i="2"/>
  <c r="BG131" i="2"/>
  <c r="BA131" i="2"/>
  <c r="BG130" i="2"/>
  <c r="BA130" i="2"/>
  <c r="BG129" i="2"/>
  <c r="BA129" i="2"/>
  <c r="BG128" i="2"/>
  <c r="BA128" i="2"/>
  <c r="BG127" i="2"/>
  <c r="BA127" i="2"/>
  <c r="BG126" i="2"/>
  <c r="BA126" i="2"/>
  <c r="BG125" i="2"/>
  <c r="BA125" i="2"/>
  <c r="BG124" i="2"/>
  <c r="BA124" i="2"/>
  <c r="BG123" i="2"/>
  <c r="BA123" i="2"/>
  <c r="BG122" i="2"/>
  <c r="BA122" i="2"/>
  <c r="BG121" i="2"/>
  <c r="BA121" i="2"/>
  <c r="BG120" i="2"/>
  <c r="BA120" i="2"/>
  <c r="BG119" i="2"/>
  <c r="BA119" i="2"/>
  <c r="BG118" i="2"/>
  <c r="BA118" i="2"/>
  <c r="BG117" i="2"/>
  <c r="BA117" i="2"/>
  <c r="BG116" i="2"/>
  <c r="BA116" i="2"/>
  <c r="BG115" i="2"/>
  <c r="BA115" i="2"/>
  <c r="BG114" i="2"/>
  <c r="BA114" i="2"/>
  <c r="BG113" i="2"/>
  <c r="BA113" i="2"/>
  <c r="BG112" i="2"/>
  <c r="BA112" i="2"/>
  <c r="BG111" i="2"/>
  <c r="BA111" i="2"/>
  <c r="BG110" i="2"/>
  <c r="BA110" i="2"/>
  <c r="BG109" i="2"/>
  <c r="BA109" i="2"/>
  <c r="BG108" i="2"/>
  <c r="BA108" i="2"/>
  <c r="BG107" i="2"/>
  <c r="BA107" i="2"/>
  <c r="BG106" i="2"/>
  <c r="BA106" i="2"/>
  <c r="BG105" i="2"/>
  <c r="BA105" i="2"/>
  <c r="BG104" i="2"/>
  <c r="BA104" i="2"/>
  <c r="BG103" i="2"/>
  <c r="BA103" i="2"/>
  <c r="BG102" i="2"/>
  <c r="BA102" i="2"/>
  <c r="BG101" i="2"/>
  <c r="BA101" i="2"/>
  <c r="BG100" i="2"/>
  <c r="BA100" i="2"/>
  <c r="BG99" i="2"/>
  <c r="BA99" i="2"/>
  <c r="BG98" i="2"/>
  <c r="BA98" i="2"/>
  <c r="BG97" i="2"/>
  <c r="BA97" i="2"/>
  <c r="BG96" i="2"/>
  <c r="BA96" i="2"/>
  <c r="BG95" i="2"/>
  <c r="BA95" i="2"/>
  <c r="BG94" i="2"/>
  <c r="BA94" i="2"/>
  <c r="BG93" i="2"/>
  <c r="BA93" i="2"/>
  <c r="BG92" i="2"/>
  <c r="BA92" i="2"/>
  <c r="BG91" i="2"/>
  <c r="BA91" i="2"/>
  <c r="BG90" i="2"/>
  <c r="BA90" i="2"/>
  <c r="BG89" i="2"/>
  <c r="BA89" i="2"/>
  <c r="BG88" i="2"/>
  <c r="BA88" i="2"/>
  <c r="BG87" i="2"/>
  <c r="BA87" i="2"/>
  <c r="BG86" i="2"/>
  <c r="BA86" i="2"/>
  <c r="BG85" i="2"/>
  <c r="BA85" i="2"/>
  <c r="BG84" i="2"/>
  <c r="BA84" i="2"/>
  <c r="BG83" i="2"/>
  <c r="BA83" i="2"/>
  <c r="BG82" i="2"/>
  <c r="BA82" i="2"/>
  <c r="BG81" i="2"/>
  <c r="BA81" i="2"/>
  <c r="BG80" i="2"/>
  <c r="BA80" i="2"/>
  <c r="BG79" i="2"/>
  <c r="BA79" i="2"/>
  <c r="BG78" i="2"/>
  <c r="BA78" i="2"/>
  <c r="BG77" i="2"/>
  <c r="BA77" i="2"/>
  <c r="BG76" i="2"/>
  <c r="BA76" i="2"/>
  <c r="BG75" i="2"/>
  <c r="BA75" i="2"/>
  <c r="BG74" i="2"/>
  <c r="BA74" i="2"/>
  <c r="BG73" i="2"/>
  <c r="BA73" i="2"/>
  <c r="BG72" i="2"/>
  <c r="BA72" i="2"/>
  <c r="BG71" i="2"/>
  <c r="BA71" i="2"/>
  <c r="BG70" i="2"/>
  <c r="BA70" i="2"/>
  <c r="BG69" i="2"/>
  <c r="BA69" i="2"/>
  <c r="BG68" i="2"/>
  <c r="BA68" i="2"/>
  <c r="BG67" i="2"/>
  <c r="BA67" i="2"/>
  <c r="BG66" i="2"/>
  <c r="BA66" i="2"/>
  <c r="BG65" i="2"/>
  <c r="BA65" i="2"/>
  <c r="BG64" i="2"/>
  <c r="BA64" i="2"/>
  <c r="BG63" i="2"/>
  <c r="BA63" i="2"/>
  <c r="BG62" i="2"/>
  <c r="BA62" i="2"/>
  <c r="BG61" i="2"/>
  <c r="BA61" i="2"/>
  <c r="BG60" i="2"/>
  <c r="BA60" i="2"/>
  <c r="BG59" i="2"/>
  <c r="BA59" i="2"/>
  <c r="BG58" i="2"/>
  <c r="BA58" i="2"/>
  <c r="BG57" i="2"/>
  <c r="BA57" i="2"/>
  <c r="BG56" i="2"/>
  <c r="BA56" i="2"/>
  <c r="BG55" i="2"/>
  <c r="BA55" i="2"/>
  <c r="BG54" i="2"/>
  <c r="BA54" i="2"/>
  <c r="BG53" i="2"/>
  <c r="BA53" i="2"/>
  <c r="BG52" i="2"/>
  <c r="BA52" i="2"/>
  <c r="BG51" i="2"/>
  <c r="BA51" i="2"/>
  <c r="BG50" i="2"/>
  <c r="BA50" i="2"/>
  <c r="BG49" i="2"/>
  <c r="BA49" i="2"/>
  <c r="BG48" i="2"/>
  <c r="BA48" i="2"/>
  <c r="BG47" i="2"/>
  <c r="BA47" i="2"/>
  <c r="BG46" i="2"/>
  <c r="BA46" i="2"/>
  <c r="BG45" i="2"/>
  <c r="BA45" i="2"/>
  <c r="BG44" i="2"/>
  <c r="BA44" i="2"/>
  <c r="BG43" i="2"/>
  <c r="BA43" i="2"/>
  <c r="BG42" i="2"/>
  <c r="BA42" i="2"/>
  <c r="BG41" i="2"/>
  <c r="BA41" i="2"/>
  <c r="BG40" i="2"/>
  <c r="BA40" i="2"/>
  <c r="BG39" i="2"/>
  <c r="BA39" i="2"/>
  <c r="BG38" i="2"/>
  <c r="BA38" i="2"/>
  <c r="BG37" i="2"/>
  <c r="BA37" i="2"/>
  <c r="BG36" i="2"/>
  <c r="BA36" i="2"/>
  <c r="BG35" i="2"/>
  <c r="BA35" i="2"/>
  <c r="BG34" i="2"/>
  <c r="BA34" i="2"/>
  <c r="BG33" i="2"/>
  <c r="BA33" i="2"/>
  <c r="BG32" i="2"/>
  <c r="BA32" i="2"/>
  <c r="BG31" i="2"/>
  <c r="BA31" i="2"/>
  <c r="BG30" i="2"/>
  <c r="BA30" i="2"/>
  <c r="BG29" i="2"/>
  <c r="BA29" i="2"/>
  <c r="BG28" i="2"/>
  <c r="BA28" i="2"/>
  <c r="BG27" i="2"/>
  <c r="BA27" i="2"/>
  <c r="BG26" i="2"/>
  <c r="BA26" i="2"/>
  <c r="BG25" i="2"/>
  <c r="BA25" i="2"/>
  <c r="BG24" i="2"/>
  <c r="BA24" i="2"/>
  <c r="BG23" i="2"/>
  <c r="BA23" i="2"/>
  <c r="BG22" i="2"/>
  <c r="BA22" i="2"/>
  <c r="BG21" i="2"/>
  <c r="BA21" i="2"/>
  <c r="BG20" i="2"/>
  <c r="BA20" i="2"/>
  <c r="BG19" i="2"/>
  <c r="BA19" i="2"/>
  <c r="BG18" i="2"/>
  <c r="BA18" i="2"/>
  <c r="BG17" i="2"/>
  <c r="BA17" i="2"/>
  <c r="BG16" i="2"/>
  <c r="BA16" i="2"/>
  <c r="BG15" i="2"/>
  <c r="BA15" i="2"/>
  <c r="BG14" i="2"/>
  <c r="BA14" i="2"/>
  <c r="BG13" i="2"/>
  <c r="BA13" i="2"/>
  <c r="BG12" i="2"/>
  <c r="BA12" i="2"/>
  <c r="BG11" i="2"/>
  <c r="BA11" i="2"/>
  <c r="BG10" i="2"/>
  <c r="BA10" i="2"/>
  <c r="BG9" i="2"/>
  <c r="BA9" i="2"/>
  <c r="BG8" i="2"/>
  <c r="BA8" i="2"/>
  <c r="BG7" i="2"/>
  <c r="BA7" i="2"/>
  <c r="BG6" i="2"/>
  <c r="BA6" i="2"/>
  <c r="BG5" i="2"/>
  <c r="BA5" i="2"/>
  <c r="BG4" i="2"/>
  <c r="BA4" i="2"/>
  <c r="BG3" i="2"/>
  <c r="BA3" i="2"/>
  <c r="BD2" i="2"/>
  <c r="BF2" i="2" s="1"/>
  <c r="BC2" i="2"/>
  <c r="BB2" i="2"/>
  <c r="AW2" i="2"/>
  <c r="AV2" i="2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2" i="1"/>
  <c r="BA2" i="1" s="1"/>
  <c r="BF2" i="1"/>
  <c r="BE2" i="1"/>
  <c r="BD2" i="1"/>
  <c r="BC2" i="1"/>
  <c r="BB2" i="1"/>
  <c r="AV2" i="1" s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AW2" i="1"/>
  <c r="AX2" i="2" l="1"/>
  <c r="AZ2" i="2" s="1"/>
  <c r="BE2" i="2"/>
  <c r="BG2" i="2" s="1"/>
  <c r="BA2" i="2" s="1"/>
  <c r="AX2" i="1"/>
  <c r="AY2" i="1" s="1"/>
  <c r="AZ2" i="1"/>
  <c r="AY2" i="2" l="1"/>
</calcChain>
</file>

<file path=xl/sharedStrings.xml><?xml version="1.0" encoding="utf-8"?>
<sst xmlns="http://schemas.openxmlformats.org/spreadsheetml/2006/main" count="24268" uniqueCount="342">
  <si>
    <t>typeCode</t>
  </si>
  <si>
    <t>freqCode</t>
  </si>
  <si>
    <t>refPeriodId</t>
  </si>
  <si>
    <t>refMonth</t>
  </si>
  <si>
    <t>period</t>
  </si>
  <si>
    <t>reporterCode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</si>
  <si>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</si>
  <si>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</si>
  <si>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</si>
  <si>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</si>
  <si>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</si>
  <si>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</si>
  <si>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</si>
  <si>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</si>
  <si>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</si>
  <si>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</si>
  <si>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</si>
  <si>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</si>
  <si>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</si>
  <si>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</si>
  <si>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</si>
  <si>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</si>
  <si>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</si>
  <si>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</si>
  <si>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</si>
  <si>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</si>
  <si>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</si>
  <si>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</si>
  <si>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</si>
  <si>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</si>
  <si>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</si>
  <si>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</si>
  <si>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isAltQtyEstimated</t>
  </si>
  <si>
    <t>netWgt</t>
  </si>
  <si>
    <t>isNetWgtEstimated</t>
  </si>
  <si>
    <t>grossWgt</t>
  </si>
  <si>
    <t>isGrossWgtEstimated</t>
  </si>
  <si>
    <t>cifvalue</t>
  </si>
  <si>
    <t>primaryValue</t>
  </si>
  <si>
    <t>legacyEstimationFlag</t>
  </si>
  <si>
    <t>isReported</t>
  </si>
  <si>
    <t>isAggregate</t>
  </si>
  <si>
    <t>C</t>
  </si>
  <si>
    <t>A</t>
  </si>
  <si>
    <t>2019</t>
  </si>
  <si>
    <t>AGO</t>
  </si>
  <si>
    <t>Angola</t>
  </si>
  <si>
    <t>X</t>
  </si>
  <si>
    <t>Export</t>
  </si>
  <si>
    <t>W00</t>
  </si>
  <si>
    <t>World</t>
  </si>
  <si>
    <t>H5</t>
  </si>
  <si>
    <t>HS</t>
  </si>
  <si>
    <t>2709</t>
  </si>
  <si>
    <t>Petroleum oils and oils obtained from bituminous minerals; crude</t>
  </si>
  <si>
    <t>C00</t>
  </si>
  <si>
    <t>TOTAL CPC</t>
  </si>
  <si>
    <t>0</t>
  </si>
  <si>
    <t>TOTAL MOT</t>
  </si>
  <si>
    <t>kg</t>
  </si>
  <si>
    <t>BBL</t>
  </si>
  <si>
    <t>AZE</t>
  </si>
  <si>
    <t>Azerbaijan</t>
  </si>
  <si>
    <t>ARG</t>
  </si>
  <si>
    <t>Argentina</t>
  </si>
  <si>
    <t>AUS</t>
  </si>
  <si>
    <t>Australia</t>
  </si>
  <si>
    <t>l</t>
  </si>
  <si>
    <t>BRB</t>
  </si>
  <si>
    <t>Barbados</t>
  </si>
  <si>
    <t>m³</t>
  </si>
  <si>
    <t>BEL</t>
  </si>
  <si>
    <t>Belgium</t>
  </si>
  <si>
    <t>N/A</t>
  </si>
  <si>
    <t>BOL</t>
  </si>
  <si>
    <t>Bolivia (Plurinational State of)</t>
  </si>
  <si>
    <t>BIH</t>
  </si>
  <si>
    <t>Bosnia Herzegovina</t>
  </si>
  <si>
    <t>BWA</t>
  </si>
  <si>
    <t>Botswana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</si>
  <si>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</si>
  <si>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</si>
  <si>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</si>
  <si>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</si>
  <si>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</si>
  <si>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</si>
  <si>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</si>
  <si>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</si>
  <si>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MMR</t>
  </si>
  <si>
    <t>Myanmar</t>
  </si>
  <si>
    <t>BLR</t>
  </si>
  <si>
    <t>Belarus</t>
  </si>
  <si>
    <t>CMR</t>
  </si>
  <si>
    <t>Cameroon</t>
  </si>
  <si>
    <t>CAN</t>
  </si>
  <si>
    <t>Canada</t>
  </si>
  <si>
    <t>CHN</t>
  </si>
  <si>
    <t>China</t>
  </si>
  <si>
    <t>COL</t>
  </si>
  <si>
    <t>Colombia</t>
  </si>
  <si>
    <t>COG</t>
  </si>
  <si>
    <t>Congo</t>
  </si>
  <si>
    <t>COD</t>
  </si>
  <si>
    <t>Dem. Rep. of the Congo</t>
  </si>
  <si>
    <t>H4</t>
  </si>
  <si>
    <t>HRV</t>
  </si>
  <si>
    <t>Croatia</t>
  </si>
  <si>
    <t>CZE</t>
  </si>
  <si>
    <t>Czechia</t>
  </si>
  <si>
    <t>DNK</t>
  </si>
  <si>
    <t>Denmark</t>
  </si>
  <si>
    <t>DOM</t>
  </si>
  <si>
    <t>Dominican Rep.</t>
  </si>
  <si>
    <t>ECU</t>
  </si>
  <si>
    <t>Ecuador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</si>
  <si>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</si>
  <si>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</si>
  <si>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</si>
  <si>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</si>
  <si>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</si>
  <si>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</si>
  <si>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</si>
  <si>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</si>
  <si>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</si>
  <si>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</si>
  <si>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GAB</t>
  </si>
  <si>
    <t>Gabon</t>
  </si>
  <si>
    <t>H3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</si>
  <si>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</si>
  <si>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</si>
  <si>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</si>
  <si>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</si>
  <si>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</si>
  <si>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</si>
  <si>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</si>
  <si>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</si>
  <si>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</si>
  <si>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</si>
  <si>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HUN</t>
  </si>
  <si>
    <t>Hungary</t>
  </si>
  <si>
    <t>IDN</t>
  </si>
  <si>
    <t>Indonesia</t>
  </si>
  <si>
    <t>IRN</t>
  </si>
  <si>
    <t>Iran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</si>
  <si>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</si>
  <si>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</si>
  <si>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</si>
  <si>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</si>
  <si>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</si>
  <si>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</si>
  <si>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</si>
  <si>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</si>
  <si>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KAZ</t>
  </si>
  <si>
    <t>Kazakhstan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</si>
  <si>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</si>
  <si>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</si>
  <si>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</si>
  <si>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</si>
  <si>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</si>
  <si>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</si>
  <si>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</si>
  <si>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</si>
  <si>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LAO</t>
  </si>
  <si>
    <t>Lao People's Dem. Rep.</t>
  </si>
  <si>
    <t>LBN</t>
  </si>
  <si>
    <t>Lebanon</t>
  </si>
  <si>
    <t>LVA</t>
  </si>
  <si>
    <t>Latvia</t>
  </si>
  <si>
    <t>LBY</t>
  </si>
  <si>
    <t>Libya</t>
  </si>
  <si>
    <t>1000 KG</t>
  </si>
  <si>
    <t>LTU</t>
  </si>
  <si>
    <t>Lithuania</t>
  </si>
  <si>
    <t>LUX</t>
  </si>
  <si>
    <t>Luxembourg</t>
  </si>
  <si>
    <t>MWI</t>
  </si>
  <si>
    <t>Malawi</t>
  </si>
  <si>
    <t>MYS</t>
  </si>
  <si>
    <t>Malaysia</t>
  </si>
  <si>
    <t>MLT</t>
  </si>
  <si>
    <t>Malta</t>
  </si>
  <si>
    <t>MEX</t>
  </si>
  <si>
    <t>Mexico</t>
  </si>
  <si>
    <t>MNG</t>
  </si>
  <si>
    <t>Mongolia</t>
  </si>
  <si>
    <t>MDA</t>
  </si>
  <si>
    <t>Rep. of Moldova</t>
  </si>
  <si>
    <t>OMN</t>
  </si>
  <si>
    <t>Oman</t>
  </si>
  <si>
    <t>NAM</t>
  </si>
  <si>
    <t>Namibia</t>
  </si>
  <si>
    <t>NLD</t>
  </si>
  <si>
    <t>Netherlands</t>
  </si>
  <si>
    <t>ABW</t>
  </si>
  <si>
    <t>Aruba</t>
  </si>
  <si>
    <t>NZL</t>
  </si>
  <si>
    <t>New Zealand</t>
  </si>
  <si>
    <t>NGA</t>
  </si>
  <si>
    <t>Nigeria</t>
  </si>
  <si>
    <t>NOR</t>
  </si>
  <si>
    <t>Norway</t>
  </si>
  <si>
    <t>PAK</t>
  </si>
  <si>
    <t>Pakistan</t>
  </si>
  <si>
    <t>PNG</t>
  </si>
  <si>
    <t>Papua New Guinea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</si>
  <si>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</si>
  <si>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</si>
  <si>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</si>
  <si>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</si>
  <si>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</si>
  <si>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</si>
  <si>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</si>
  <si>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</si>
  <si>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TLS</t>
  </si>
  <si>
    <t>Timor-Leste</t>
  </si>
  <si>
    <t>H2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</si>
  <si>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</si>
  <si>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</si>
  <si>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</si>
  <si>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</si>
  <si>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</si>
  <si>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</si>
  <si>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</si>
  <si>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</si>
  <si>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</si>
  <si>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</si>
  <si>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</si>
  <si>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</si>
  <si>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</si>
  <si>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</si>
  <si>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</si>
  <si>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</si>
  <si>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</si>
  <si>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</si>
  <si>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</si>
  <si>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</si>
  <si>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</si>
  <si>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</si>
  <si>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</si>
  <si>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</si>
  <si>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ESP</t>
  </si>
  <si>
    <t>Spain</t>
  </si>
  <si>
    <t>SWZ</t>
  </si>
  <si>
    <t>Eswatini</t>
  </si>
  <si>
    <t>SWE</t>
  </si>
  <si>
    <t>Sweden</t>
  </si>
  <si>
    <t>CHE</t>
  </si>
  <si>
    <t>Switzerland</t>
  </si>
  <si>
    <t>THA</t>
  </si>
  <si>
    <t>Thailand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</si>
  <si>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</si>
  <si>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</si>
  <si>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</si>
  <si>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</si>
  <si>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</si>
  <si>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</si>
  <si>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</si>
  <si>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</si>
  <si>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UGA</t>
  </si>
  <si>
    <t>Uganda</t>
  </si>
  <si>
    <t>UKR</t>
  </si>
  <si>
    <t>Ukraine</t>
  </si>
  <si>
    <t>EGY</t>
  </si>
  <si>
    <t>Egypt</t>
  </si>
  <si>
    <t>GBR</t>
  </si>
  <si>
    <t>United Kingdom</t>
  </si>
  <si>
    <t>TZA</t>
  </si>
  <si>
    <t>United Rep. of Tanzania</t>
  </si>
  <si>
    <t>USA</t>
  </si>
  <si>
    <t>WSM</t>
  </si>
  <si>
    <t>Samoa</t>
  </si>
  <si>
    <t>2020</t>
  </si>
  <si>
    <t>CHL</t>
  </si>
  <si>
    <t>Chile</t>
  </si>
  <si>
    <t>CUB</t>
  </si>
  <si>
    <t>Cuba</t>
  </si>
  <si>
    <t>GUY</t>
  </si>
  <si>
    <t>Guyana</t>
  </si>
  <si>
    <t>m²</t>
  </si>
  <si>
    <t>NIC</t>
  </si>
  <si>
    <t>Nicaragua</t>
  </si>
  <si>
    <t>SUR</t>
  </si>
  <si>
    <t>Suriname</t>
  </si>
  <si>
    <t>UZB</t>
  </si>
  <si>
    <t>Uzbekistan</t>
  </si>
  <si>
    <t>ZMB</t>
  </si>
  <si>
    <t>Zambia</t>
  </si>
  <si>
    <t>2021</t>
  </si>
  <si>
    <t>AND</t>
  </si>
  <si>
    <t>Andorra</t>
  </si>
  <si>
    <t>DMA</t>
  </si>
  <si>
    <t>Dominica</t>
  </si>
  <si>
    <t>u</t>
  </si>
  <si>
    <t>JPN</t>
  </si>
  <si>
    <t>Japan</t>
  </si>
  <si>
    <t>LSO</t>
  </si>
  <si>
    <t>Lesotho</t>
  </si>
  <si>
    <t>LBR</t>
  </si>
  <si>
    <t>Liberia</t>
  </si>
  <si>
    <t>2022</t>
  </si>
  <si>
    <t>H6</t>
  </si>
  <si>
    <t>ATG</t>
  </si>
  <si>
    <t>Antigua and Barbuda</t>
  </si>
  <si>
    <t>BHS</t>
  </si>
  <si>
    <t>Bahamas</t>
  </si>
  <si>
    <t>BDI</t>
  </si>
  <si>
    <t>Burundi</t>
  </si>
  <si>
    <t>GMB</t>
  </si>
  <si>
    <t>Gambia</t>
  </si>
  <si>
    <t>MDG</t>
  </si>
  <si>
    <t>Madagascar</t>
  </si>
  <si>
    <t>2023</t>
  </si>
  <si>
    <t>CRI</t>
  </si>
  <si>
    <t>Costa Rica</t>
  </si>
  <si>
    <t>JOR</t>
  </si>
  <si>
    <t>Jordan</t>
  </si>
  <si>
    <t>GT</t>
  </si>
  <si>
    <t>MRT</t>
  </si>
  <si>
    <t>Mauritania</t>
  </si>
  <si>
    <t>MOZ</t>
  </si>
  <si>
    <t>Mozambique</t>
  </si>
  <si>
    <t>NER</t>
  </si>
  <si>
    <t>Niger</t>
  </si>
  <si>
    <t>TGO</t>
  </si>
  <si>
    <t>Togo</t>
  </si>
  <si>
    <t>2024</t>
  </si>
  <si>
    <t>LKA</t>
  </si>
  <si>
    <t>Sri Lanka</t>
  </si>
  <si>
    <t>BFA</t>
  </si>
  <si>
    <t>Burkina Faso</t>
  </si>
  <si>
    <t>Year</t>
  </si>
  <si>
    <t>Country</t>
  </si>
  <si>
    <t>Country_ISO</t>
  </si>
  <si>
    <t>Quantity_BBL</t>
  </si>
  <si>
    <t>TradeValue_USD</t>
  </si>
  <si>
    <t>Q1</t>
  </si>
  <si>
    <t>Q3</t>
  </si>
  <si>
    <t>IQR</t>
  </si>
  <si>
    <t>Lower Limit</t>
  </si>
  <si>
    <t>Upper Limit</t>
  </si>
  <si>
    <t>Outlier_Quantity_BBl</t>
  </si>
  <si>
    <t>Outlier_TradevalueUSD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</si>
</sst>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6"/>
  <sheetViews>
    <sheetView tabSelected="1" workbookViewId="0">
      <selection activeCell="BC19" sqref="BC19"/>
    </sheetView>
  </sheetViews>
  <sheetFormatPr baseColWidth="10" defaultRowHeight="16" x14ac:dyDescent="0.2"/>
  <cols>
    <col min="55" max="56" width="11.1640625" bestFit="1" customWidth="1"/>
    <col min="57" max="57" width="11.83203125" bestFit="1" customWidth="1"/>
    <col min="58" max="58" width="11.1640625" bestFit="1" customWidth="1"/>
  </cols>
  <sheetData>
    <row r="1" spans="1:59" x14ac:dyDescent="0.2">
      <c r="A1" t="s">
        <v>0</v>
      </c>
      <c r="B1" t="s">
        <v>1</v>
      </c>
      <c r="C1" t="s">
        <v>2</v>
      </c>
      <c r="D1" t="s">
        <v>330</v>
      </c>
      <c r="E1" t="s">
        <v>3</v>
      </c>
      <c r="F1" t="s">
        <v>4</v>
      </c>
      <c r="G1" t="s">
        <v>5</v>
      </c>
      <c r="H1" t="s">
        <v>332</v>
      </c>
      <c r="I1" t="s">
        <v>331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333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334</v>
      </c>
      <c r="AR1" t="s">
        <v>38</v>
      </c>
      <c r="AS1" t="s">
        <v>39</v>
      </c>
      <c r="AT1" t="s">
        <v>40</v>
      </c>
      <c r="AU1" t="s">
        <v>41</v>
      </c>
      <c r="AV1" t="s">
        <v>335</v>
      </c>
      <c r="AW1" t="s">
        <v>336</v>
      </c>
      <c r="AX1" t="s">
        <v>337</v>
      </c>
      <c r="AY1" t="s">
        <v>338</v>
      </c>
      <c r="AZ1" t="s">
        <v>339</v>
      </c>
      <c r="BA1" t="s">
        <v>340</v>
      </c>
      <c r="BB1" t="s">
        <v>335</v>
      </c>
      <c r="BC1" t="s">
        <v>336</v>
      </c>
      <c r="BD1" t="s">
        <v>337</v>
      </c>
      <c r="BE1" t="s">
        <v>338</v>
      </c>
      <c r="BF1" t="s">
        <v>339</v>
      </c>
      <c r="BG1" t="s">
        <v>341</v>
      </c>
    </row>
    <row r="2" spans="1:59" x14ac:dyDescent="0.2">
      <c r="A2" t="s">
        <v>42</v>
      </c>
      <c r="B2" t="s">
        <v>43</v>
      </c>
      <c r="C2">
        <v>20190101</v>
      </c>
      <c r="D2">
        <v>2019</v>
      </c>
      <c r="E2">
        <v>52</v>
      </c>
      <c r="F2" t="s">
        <v>44</v>
      </c>
      <c r="G2">
        <v>24</v>
      </c>
      <c r="H2" t="s">
        <v>45</v>
      </c>
      <c r="I2" t="s">
        <v>46</v>
      </c>
      <c r="J2" t="s">
        <v>47</v>
      </c>
      <c r="K2" t="s">
        <v>48</v>
      </c>
      <c r="L2">
        <v>0</v>
      </c>
      <c r="M2" t="s">
        <v>49</v>
      </c>
      <c r="N2" t="s">
        <v>50</v>
      </c>
      <c r="O2">
        <v>0</v>
      </c>
      <c r="P2" t="s">
        <v>49</v>
      </c>
      <c r="Q2" t="s">
        <v>50</v>
      </c>
      <c r="R2" t="s">
        <v>51</v>
      </c>
      <c r="S2" t="s">
        <v>52</v>
      </c>
      <c r="T2" t="b">
        <v>1</v>
      </c>
      <c r="U2" t="s">
        <v>53</v>
      </c>
      <c r="V2" t="s">
        <v>54</v>
      </c>
      <c r="W2">
        <v>4</v>
      </c>
      <c r="X2" t="b">
        <v>0</v>
      </c>
      <c r="Y2" t="s">
        <v>55</v>
      </c>
      <c r="Z2" t="s">
        <v>56</v>
      </c>
      <c r="AA2" t="s">
        <v>57</v>
      </c>
      <c r="AB2">
        <v>0</v>
      </c>
      <c r="AC2" t="s">
        <v>58</v>
      </c>
      <c r="AD2">
        <v>8</v>
      </c>
      <c r="AE2" t="s">
        <v>59</v>
      </c>
      <c r="AF2">
        <v>76402028259</v>
      </c>
      <c r="AG2" t="b">
        <v>0</v>
      </c>
      <c r="AH2">
        <v>19</v>
      </c>
      <c r="AI2" t="s">
        <v>60</v>
      </c>
      <c r="AJ2">
        <v>480515901</v>
      </c>
      <c r="AK2" t="b">
        <v>0</v>
      </c>
      <c r="AL2">
        <v>76402028259</v>
      </c>
      <c r="AM2" t="b">
        <v>0</v>
      </c>
      <c r="AN2">
        <v>0</v>
      </c>
      <c r="AO2" t="b">
        <v>0</v>
      </c>
      <c r="AQ2">
        <v>31534121190.557999</v>
      </c>
      <c r="AR2">
        <v>31534121190.557999</v>
      </c>
      <c r="AS2">
        <v>0</v>
      </c>
      <c r="AT2" t="b">
        <v>0</v>
      </c>
      <c r="AU2" t="b">
        <v>1</v>
      </c>
      <c r="AV2">
        <f>BB2</f>
        <v>278733.95449999999</v>
      </c>
      <c r="AW2">
        <f>_xlfn.QUARTILE.INC(AJ2:AJ576,3)</f>
        <v>90225580.879999995</v>
      </c>
      <c r="AX2">
        <f>AW2-AV2</f>
        <v>89946846.925499991</v>
      </c>
      <c r="AY2">
        <f xml:space="preserve"> AV2 - 1.5*AX2</f>
        <v>-134641536.43375</v>
      </c>
      <c r="AZ2">
        <f>AW2+1.5*AX2</f>
        <v>225145851.26824999</v>
      </c>
      <c r="BA2" t="str">
        <f>BG2</f>
        <v>Normal</v>
      </c>
      <c r="BB2">
        <f>_xlfn.QUARTILE.INC(AQ2:AQ576,1)</f>
        <v>278733.95449999999</v>
      </c>
      <c r="BC2">
        <f>_xlfn.QUARTILE.INC(AQ2:AQ576,3)</f>
        <v>3023851018.4875002</v>
      </c>
      <c r="BD2">
        <f>BC2-BB2</f>
        <v>3023572284.533</v>
      </c>
      <c r="BE2">
        <f>BB2-1.5*BD2</f>
        <v>-4535079692.8449993</v>
      </c>
      <c r="BF2">
        <f>BC2+1.5*BD2</f>
        <v>7559209445.2869997</v>
      </c>
      <c r="BG2" t="str">
        <f>IF(OR(AQ2&lt;BE2,AQ576&gt;BF2),"Outlier","Normal")</f>
        <v>Normal</v>
      </c>
    </row>
    <row r="3" spans="1:59" x14ac:dyDescent="0.2">
      <c r="A3" t="s">
        <v>42</v>
      </c>
      <c r="B3" t="s">
        <v>43</v>
      </c>
      <c r="C3">
        <v>20190101</v>
      </c>
      <c r="D3">
        <v>2019</v>
      </c>
      <c r="E3">
        <v>52</v>
      </c>
      <c r="F3" t="s">
        <v>44</v>
      </c>
      <c r="G3">
        <v>31</v>
      </c>
      <c r="H3" t="s">
        <v>61</v>
      </c>
      <c r="I3" t="s">
        <v>62</v>
      </c>
      <c r="J3" t="s">
        <v>47</v>
      </c>
      <c r="K3" t="s">
        <v>48</v>
      </c>
      <c r="L3">
        <v>0</v>
      </c>
      <c r="M3" t="s">
        <v>49</v>
      </c>
      <c r="N3" t="s">
        <v>50</v>
      </c>
      <c r="O3">
        <v>0</v>
      </c>
      <c r="P3" t="s">
        <v>49</v>
      </c>
      <c r="Q3" t="s">
        <v>50</v>
      </c>
      <c r="R3" t="s">
        <v>51</v>
      </c>
      <c r="S3" t="s">
        <v>52</v>
      </c>
      <c r="T3" t="b">
        <v>1</v>
      </c>
      <c r="U3" t="s">
        <v>53</v>
      </c>
      <c r="V3" t="s">
        <v>54</v>
      </c>
      <c r="W3">
        <v>4</v>
      </c>
      <c r="X3" t="b">
        <v>0</v>
      </c>
      <c r="Y3" t="s">
        <v>55</v>
      </c>
      <c r="Z3" t="s">
        <v>56</v>
      </c>
      <c r="AA3" t="s">
        <v>57</v>
      </c>
      <c r="AB3">
        <v>0</v>
      </c>
      <c r="AC3" t="s">
        <v>58</v>
      </c>
      <c r="AD3">
        <v>8</v>
      </c>
      <c r="AE3" t="s">
        <v>59</v>
      </c>
      <c r="AF3">
        <v>30837085666</v>
      </c>
      <c r="AG3" t="b">
        <v>0</v>
      </c>
      <c r="AH3">
        <v>8</v>
      </c>
      <c r="AI3" t="s">
        <v>59</v>
      </c>
      <c r="AJ3">
        <v>30837085666</v>
      </c>
      <c r="AK3" t="b">
        <v>0</v>
      </c>
      <c r="AL3">
        <v>30837085666</v>
      </c>
      <c r="AM3" t="b">
        <v>0</v>
      </c>
      <c r="AN3">
        <v>0</v>
      </c>
      <c r="AO3" t="b">
        <v>0</v>
      </c>
      <c r="AQ3">
        <v>14814132708.690001</v>
      </c>
      <c r="AR3">
        <v>14814132708.690001</v>
      </c>
      <c r="AS3">
        <v>0</v>
      </c>
      <c r="AT3" t="b">
        <v>0</v>
      </c>
      <c r="AU3" t="b">
        <v>1</v>
      </c>
      <c r="BA3" t="str">
        <f t="shared" ref="BA3:BA66" si="0">IF(OR(AJ3&lt;AY3,AJ577&gt;AZ3),"Outlier","Normal")</f>
        <v>Normal</v>
      </c>
      <c r="BG3" t="str">
        <f t="shared" ref="BG3:BG66" si="1">IF(OR(AQ3&lt;BE3,AQ577&gt;BF3),"Outlier","Normal")</f>
        <v>Normal</v>
      </c>
    </row>
    <row r="4" spans="1:59" x14ac:dyDescent="0.2">
      <c r="A4" t="s">
        <v>42</v>
      </c>
      <c r="B4" t="s">
        <v>43</v>
      </c>
      <c r="C4">
        <v>20190101</v>
      </c>
      <c r="D4">
        <v>2019</v>
      </c>
      <c r="E4">
        <v>52</v>
      </c>
      <c r="F4" t="s">
        <v>44</v>
      </c>
      <c r="G4">
        <v>32</v>
      </c>
      <c r="H4" t="s">
        <v>63</v>
      </c>
      <c r="I4" t="s">
        <v>64</v>
      </c>
      <c r="J4" t="s">
        <v>47</v>
      </c>
      <c r="K4" t="s">
        <v>48</v>
      </c>
      <c r="L4">
        <v>0</v>
      </c>
      <c r="M4" t="s">
        <v>49</v>
      </c>
      <c r="N4" t="s">
        <v>50</v>
      </c>
      <c r="O4">
        <v>0</v>
      </c>
      <c r="P4" t="s">
        <v>49</v>
      </c>
      <c r="Q4" t="s">
        <v>50</v>
      </c>
      <c r="R4" t="s">
        <v>51</v>
      </c>
      <c r="S4" t="s">
        <v>52</v>
      </c>
      <c r="T4" t="b">
        <v>1</v>
      </c>
      <c r="U4" t="s">
        <v>53</v>
      </c>
      <c r="V4" t="s">
        <v>54</v>
      </c>
      <c r="W4">
        <v>4</v>
      </c>
      <c r="X4" t="b">
        <v>0</v>
      </c>
      <c r="Y4" t="s">
        <v>55</v>
      </c>
      <c r="Z4" t="s">
        <v>56</v>
      </c>
      <c r="AA4" t="s">
        <v>57</v>
      </c>
      <c r="AB4">
        <v>0</v>
      </c>
      <c r="AC4" t="s">
        <v>58</v>
      </c>
      <c r="AD4">
        <v>8</v>
      </c>
      <c r="AE4" t="s">
        <v>59</v>
      </c>
      <c r="AF4">
        <v>2615804000</v>
      </c>
      <c r="AG4" t="b">
        <v>0</v>
      </c>
      <c r="AH4">
        <v>8</v>
      </c>
      <c r="AI4" t="s">
        <v>59</v>
      </c>
      <c r="AJ4">
        <v>2615804000</v>
      </c>
      <c r="AK4" t="b">
        <v>0</v>
      </c>
      <c r="AL4">
        <v>2615804000</v>
      </c>
      <c r="AM4" t="b">
        <v>0</v>
      </c>
      <c r="AN4">
        <v>0</v>
      </c>
      <c r="AO4" t="b">
        <v>0</v>
      </c>
      <c r="AQ4">
        <v>1119911767.1300001</v>
      </c>
      <c r="AR4">
        <v>1119911767.1300001</v>
      </c>
      <c r="AS4">
        <v>0</v>
      </c>
      <c r="AT4" t="b">
        <v>0</v>
      </c>
      <c r="AU4" t="b">
        <v>1</v>
      </c>
      <c r="BA4" t="str">
        <f t="shared" si="0"/>
        <v>Normal</v>
      </c>
      <c r="BG4" t="str">
        <f t="shared" si="1"/>
        <v>Normal</v>
      </c>
    </row>
    <row r="5" spans="1:59" x14ac:dyDescent="0.2">
      <c r="A5" t="s">
        <v>42</v>
      </c>
      <c r="B5" t="s">
        <v>43</v>
      </c>
      <c r="C5">
        <v>20190101</v>
      </c>
      <c r="D5">
        <v>2019</v>
      </c>
      <c r="E5">
        <v>52</v>
      </c>
      <c r="F5" t="s">
        <v>44</v>
      </c>
      <c r="G5">
        <v>36</v>
      </c>
      <c r="H5" t="s">
        <v>65</v>
      </c>
      <c r="I5" t="s">
        <v>66</v>
      </c>
      <c r="J5" t="s">
        <v>47</v>
      </c>
      <c r="K5" t="s">
        <v>48</v>
      </c>
      <c r="L5">
        <v>0</v>
      </c>
      <c r="M5" t="s">
        <v>49</v>
      </c>
      <c r="N5" t="s">
        <v>50</v>
      </c>
      <c r="O5">
        <v>0</v>
      </c>
      <c r="P5" t="s">
        <v>49</v>
      </c>
      <c r="Q5" t="s">
        <v>50</v>
      </c>
      <c r="R5" t="s">
        <v>51</v>
      </c>
      <c r="S5" t="s">
        <v>52</v>
      </c>
      <c r="T5" t="b">
        <v>1</v>
      </c>
      <c r="U5" t="s">
        <v>53</v>
      </c>
      <c r="V5" t="s">
        <v>54</v>
      </c>
      <c r="W5">
        <v>4</v>
      </c>
      <c r="X5" t="b">
        <v>0</v>
      </c>
      <c r="Y5" t="s">
        <v>55</v>
      </c>
      <c r="Z5" t="s">
        <v>56</v>
      </c>
      <c r="AA5" t="s">
        <v>57</v>
      </c>
      <c r="AB5">
        <v>0</v>
      </c>
      <c r="AC5" t="s">
        <v>58</v>
      </c>
      <c r="AD5">
        <v>8</v>
      </c>
      <c r="AE5" t="s">
        <v>59</v>
      </c>
      <c r="AF5">
        <v>15486811701.799999</v>
      </c>
      <c r="AG5" t="b">
        <v>0</v>
      </c>
      <c r="AH5">
        <v>7</v>
      </c>
      <c r="AI5" t="s">
        <v>67</v>
      </c>
      <c r="AJ5">
        <v>15486811701.799999</v>
      </c>
      <c r="AK5" t="b">
        <v>0</v>
      </c>
      <c r="AM5" t="b">
        <v>0</v>
      </c>
      <c r="AN5">
        <v>13234821802.91</v>
      </c>
      <c r="AO5" t="b">
        <v>0</v>
      </c>
      <c r="AQ5">
        <v>6566389781.6339998</v>
      </c>
      <c r="AR5">
        <v>6566389781.6339998</v>
      </c>
      <c r="AS5">
        <v>0</v>
      </c>
      <c r="AT5" t="b">
        <v>0</v>
      </c>
      <c r="AU5" t="b">
        <v>1</v>
      </c>
      <c r="BA5" t="str">
        <f t="shared" si="0"/>
        <v>Normal</v>
      </c>
      <c r="BG5" t="str">
        <f t="shared" si="1"/>
        <v>Normal</v>
      </c>
    </row>
    <row r="6" spans="1:59" x14ac:dyDescent="0.2">
      <c r="A6" t="s">
        <v>42</v>
      </c>
      <c r="B6" t="s">
        <v>43</v>
      </c>
      <c r="C6">
        <v>20190101</v>
      </c>
      <c r="D6">
        <v>2019</v>
      </c>
      <c r="E6">
        <v>52</v>
      </c>
      <c r="F6" t="s">
        <v>44</v>
      </c>
      <c r="G6">
        <v>52</v>
      </c>
      <c r="H6" t="s">
        <v>68</v>
      </c>
      <c r="I6" t="s">
        <v>69</v>
      </c>
      <c r="J6" t="s">
        <v>47</v>
      </c>
      <c r="K6" t="s">
        <v>48</v>
      </c>
      <c r="L6">
        <v>0</v>
      </c>
      <c r="M6" t="s">
        <v>49</v>
      </c>
      <c r="N6" t="s">
        <v>50</v>
      </c>
      <c r="O6">
        <v>0</v>
      </c>
      <c r="P6" t="s">
        <v>49</v>
      </c>
      <c r="Q6" t="s">
        <v>50</v>
      </c>
      <c r="R6" t="s">
        <v>51</v>
      </c>
      <c r="S6" t="s">
        <v>52</v>
      </c>
      <c r="T6" t="b">
        <v>1</v>
      </c>
      <c r="U6" t="s">
        <v>53</v>
      </c>
      <c r="V6" t="s">
        <v>54</v>
      </c>
      <c r="W6">
        <v>4</v>
      </c>
      <c r="X6" t="b">
        <v>0</v>
      </c>
      <c r="Y6" t="s">
        <v>55</v>
      </c>
      <c r="Z6" t="s">
        <v>56</v>
      </c>
      <c r="AA6" t="s">
        <v>57</v>
      </c>
      <c r="AB6">
        <v>0</v>
      </c>
      <c r="AC6" t="s">
        <v>58</v>
      </c>
      <c r="AD6">
        <v>8</v>
      </c>
      <c r="AE6" t="s">
        <v>59</v>
      </c>
      <c r="AF6">
        <v>37600160</v>
      </c>
      <c r="AG6" t="b">
        <v>0</v>
      </c>
      <c r="AH6">
        <v>12</v>
      </c>
      <c r="AI6" t="s">
        <v>70</v>
      </c>
      <c r="AJ6">
        <v>37224</v>
      </c>
      <c r="AK6" t="b">
        <v>0</v>
      </c>
      <c r="AL6">
        <v>37600160</v>
      </c>
      <c r="AM6" t="b">
        <v>0</v>
      </c>
      <c r="AN6">
        <v>0</v>
      </c>
      <c r="AO6" t="b">
        <v>0</v>
      </c>
      <c r="AQ6">
        <v>15100491</v>
      </c>
      <c r="AR6">
        <v>15100491</v>
      </c>
      <c r="AS6">
        <v>0</v>
      </c>
      <c r="AT6" t="b">
        <v>0</v>
      </c>
      <c r="AU6" t="b">
        <v>1</v>
      </c>
      <c r="BA6" t="str">
        <f t="shared" si="0"/>
        <v>Normal</v>
      </c>
      <c r="BG6" t="str">
        <f t="shared" si="1"/>
        <v>Normal</v>
      </c>
    </row>
    <row r="7" spans="1:59" x14ac:dyDescent="0.2">
      <c r="A7" t="s">
        <v>42</v>
      </c>
      <c r="B7" t="s">
        <v>43</v>
      </c>
      <c r="C7">
        <v>20190101</v>
      </c>
      <c r="D7">
        <v>2019</v>
      </c>
      <c r="E7">
        <v>52</v>
      </c>
      <c r="F7" t="s">
        <v>44</v>
      </c>
      <c r="G7">
        <v>56</v>
      </c>
      <c r="H7" t="s">
        <v>71</v>
      </c>
      <c r="I7" t="s">
        <v>72</v>
      </c>
      <c r="J7" t="s">
        <v>47</v>
      </c>
      <c r="K7" t="s">
        <v>48</v>
      </c>
      <c r="L7">
        <v>0</v>
      </c>
      <c r="M7" t="s">
        <v>49</v>
      </c>
      <c r="N7" t="s">
        <v>50</v>
      </c>
      <c r="O7">
        <v>0</v>
      </c>
      <c r="P7" t="s">
        <v>49</v>
      </c>
      <c r="Q7" t="s">
        <v>50</v>
      </c>
      <c r="R7" t="s">
        <v>51</v>
      </c>
      <c r="S7" t="s">
        <v>52</v>
      </c>
      <c r="T7" t="b">
        <v>1</v>
      </c>
      <c r="U7" t="s">
        <v>53</v>
      </c>
      <c r="V7" t="s">
        <v>54</v>
      </c>
      <c r="W7">
        <v>4</v>
      </c>
      <c r="X7" t="b">
        <v>0</v>
      </c>
      <c r="Y7" t="s">
        <v>55</v>
      </c>
      <c r="Z7" t="s">
        <v>56</v>
      </c>
      <c r="AA7" t="s">
        <v>57</v>
      </c>
      <c r="AB7">
        <v>0</v>
      </c>
      <c r="AC7" t="s">
        <v>58</v>
      </c>
      <c r="AD7">
        <v>-1</v>
      </c>
      <c r="AE7" t="s">
        <v>73</v>
      </c>
      <c r="AF7">
        <v>0</v>
      </c>
      <c r="AG7" t="b">
        <v>0</v>
      </c>
      <c r="AH7">
        <v>-1</v>
      </c>
      <c r="AI7" t="s">
        <v>73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49359636.449000001</v>
      </c>
      <c r="AR7">
        <v>49359636.449000001</v>
      </c>
      <c r="AS7">
        <v>0</v>
      </c>
      <c r="AT7" t="b">
        <v>0</v>
      </c>
      <c r="AU7" t="b">
        <v>1</v>
      </c>
      <c r="BA7" t="str">
        <f t="shared" si="0"/>
        <v>Normal</v>
      </c>
      <c r="BG7" t="str">
        <f t="shared" si="1"/>
        <v>Normal</v>
      </c>
    </row>
    <row r="8" spans="1:59" x14ac:dyDescent="0.2">
      <c r="A8" t="s">
        <v>42</v>
      </c>
      <c r="B8" t="s">
        <v>43</v>
      </c>
      <c r="C8">
        <v>20190101</v>
      </c>
      <c r="D8">
        <v>2019</v>
      </c>
      <c r="E8">
        <v>52</v>
      </c>
      <c r="F8" t="s">
        <v>44</v>
      </c>
      <c r="G8">
        <v>68</v>
      </c>
      <c r="H8" t="s">
        <v>74</v>
      </c>
      <c r="I8" t="s">
        <v>75</v>
      </c>
      <c r="J8" t="s">
        <v>47</v>
      </c>
      <c r="K8" t="s">
        <v>48</v>
      </c>
      <c r="L8">
        <v>0</v>
      </c>
      <c r="M8" t="s">
        <v>49</v>
      </c>
      <c r="N8" t="s">
        <v>50</v>
      </c>
      <c r="O8">
        <v>0</v>
      </c>
      <c r="P8" t="s">
        <v>49</v>
      </c>
      <c r="Q8" t="s">
        <v>50</v>
      </c>
      <c r="R8" t="s">
        <v>51</v>
      </c>
      <c r="S8" t="s">
        <v>52</v>
      </c>
      <c r="T8" t="b">
        <v>1</v>
      </c>
      <c r="U8" t="s">
        <v>53</v>
      </c>
      <c r="V8" t="s">
        <v>54</v>
      </c>
      <c r="W8">
        <v>4</v>
      </c>
      <c r="X8" t="b">
        <v>0</v>
      </c>
      <c r="Y8" t="s">
        <v>55</v>
      </c>
      <c r="Z8" t="s">
        <v>56</v>
      </c>
      <c r="AA8" t="s">
        <v>57</v>
      </c>
      <c r="AB8">
        <v>0</v>
      </c>
      <c r="AC8" t="s">
        <v>58</v>
      </c>
      <c r="AD8">
        <v>8</v>
      </c>
      <c r="AE8" t="s">
        <v>59</v>
      </c>
      <c r="AF8">
        <v>45863459.57</v>
      </c>
      <c r="AG8" t="b">
        <v>1</v>
      </c>
      <c r="AH8">
        <v>-1</v>
      </c>
      <c r="AI8" t="s">
        <v>73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21483108.649999999</v>
      </c>
      <c r="AR8">
        <v>21483108.649999999</v>
      </c>
      <c r="AS8">
        <v>6</v>
      </c>
      <c r="AT8" t="b">
        <v>0</v>
      </c>
      <c r="AU8" t="b">
        <v>1</v>
      </c>
      <c r="BA8" t="str">
        <f t="shared" si="0"/>
        <v>Normal</v>
      </c>
      <c r="BG8" t="str">
        <f t="shared" si="1"/>
        <v>Normal</v>
      </c>
    </row>
    <row r="9" spans="1:59" x14ac:dyDescent="0.2">
      <c r="A9" t="s">
        <v>42</v>
      </c>
      <c r="B9" t="s">
        <v>43</v>
      </c>
      <c r="C9">
        <v>20190101</v>
      </c>
      <c r="D9">
        <v>2019</v>
      </c>
      <c r="E9">
        <v>52</v>
      </c>
      <c r="F9" t="s">
        <v>44</v>
      </c>
      <c r="G9">
        <v>70</v>
      </c>
      <c r="H9" t="s">
        <v>76</v>
      </c>
      <c r="I9" t="s">
        <v>77</v>
      </c>
      <c r="J9" t="s">
        <v>47</v>
      </c>
      <c r="K9" t="s">
        <v>48</v>
      </c>
      <c r="L9">
        <v>0</v>
      </c>
      <c r="M9" t="s">
        <v>49</v>
      </c>
      <c r="N9" t="s">
        <v>50</v>
      </c>
      <c r="O9">
        <v>0</v>
      </c>
      <c r="P9" t="s">
        <v>49</v>
      </c>
      <c r="Q9" t="s">
        <v>50</v>
      </c>
      <c r="R9" t="s">
        <v>51</v>
      </c>
      <c r="S9" t="s">
        <v>52</v>
      </c>
      <c r="T9" t="b">
        <v>1</v>
      </c>
      <c r="U9" t="s">
        <v>53</v>
      </c>
      <c r="V9" t="s">
        <v>54</v>
      </c>
      <c r="W9">
        <v>4</v>
      </c>
      <c r="X9" t="b">
        <v>0</v>
      </c>
      <c r="Y9" t="s">
        <v>55</v>
      </c>
      <c r="Z9" t="s">
        <v>56</v>
      </c>
      <c r="AA9" t="s">
        <v>57</v>
      </c>
      <c r="AB9">
        <v>0</v>
      </c>
      <c r="AC9" t="s">
        <v>58</v>
      </c>
      <c r="AD9">
        <v>8</v>
      </c>
      <c r="AE9" t="s">
        <v>59</v>
      </c>
      <c r="AF9">
        <v>792630</v>
      </c>
      <c r="AG9" t="b">
        <v>0</v>
      </c>
      <c r="AH9">
        <v>8</v>
      </c>
      <c r="AI9" t="s">
        <v>59</v>
      </c>
      <c r="AJ9">
        <v>792630</v>
      </c>
      <c r="AK9" t="b">
        <v>0</v>
      </c>
      <c r="AL9">
        <v>792630</v>
      </c>
      <c r="AM9" t="b">
        <v>0</v>
      </c>
      <c r="AN9">
        <v>0</v>
      </c>
      <c r="AO9" t="b">
        <v>0</v>
      </c>
      <c r="AQ9">
        <v>342809.16</v>
      </c>
      <c r="AR9">
        <v>342809.16</v>
      </c>
      <c r="AS9">
        <v>0</v>
      </c>
      <c r="AT9" t="b">
        <v>0</v>
      </c>
      <c r="AU9" t="b">
        <v>1</v>
      </c>
      <c r="BA9" t="str">
        <f t="shared" si="0"/>
        <v>Normal</v>
      </c>
      <c r="BG9" t="str">
        <f t="shared" si="1"/>
        <v>Normal</v>
      </c>
    </row>
    <row r="10" spans="1:59" x14ac:dyDescent="0.2">
      <c r="A10" t="s">
        <v>42</v>
      </c>
      <c r="B10" t="s">
        <v>43</v>
      </c>
      <c r="C10">
        <v>20190101</v>
      </c>
      <c r="D10">
        <v>2019</v>
      </c>
      <c r="E10">
        <v>52</v>
      </c>
      <c r="F10" t="s">
        <v>44</v>
      </c>
      <c r="G10">
        <v>72</v>
      </c>
      <c r="H10" t="s">
        <v>78</v>
      </c>
      <c r="I10" t="s">
        <v>79</v>
      </c>
      <c r="J10" t="s">
        <v>47</v>
      </c>
      <c r="K10" t="s">
        <v>48</v>
      </c>
      <c r="L10">
        <v>0</v>
      </c>
      <c r="M10" t="s">
        <v>49</v>
      </c>
      <c r="N10" t="s">
        <v>50</v>
      </c>
      <c r="O10">
        <v>0</v>
      </c>
      <c r="P10" t="s">
        <v>49</v>
      </c>
      <c r="Q10" t="s">
        <v>50</v>
      </c>
      <c r="R10" t="s">
        <v>51</v>
      </c>
      <c r="S10" t="s">
        <v>52</v>
      </c>
      <c r="T10" t="b">
        <v>1</v>
      </c>
      <c r="U10" t="s">
        <v>53</v>
      </c>
      <c r="V10" t="s">
        <v>54</v>
      </c>
      <c r="W10">
        <v>4</v>
      </c>
      <c r="X10" t="b">
        <v>0</v>
      </c>
      <c r="Y10" t="s">
        <v>55</v>
      </c>
      <c r="Z10" t="s">
        <v>56</v>
      </c>
      <c r="AA10" t="s">
        <v>57</v>
      </c>
      <c r="AB10">
        <v>0</v>
      </c>
      <c r="AC10" t="s">
        <v>58</v>
      </c>
      <c r="AD10">
        <v>8</v>
      </c>
      <c r="AE10" t="s">
        <v>59</v>
      </c>
      <c r="AF10">
        <v>18174.599999999999</v>
      </c>
      <c r="AG10" t="b">
        <v>0</v>
      </c>
      <c r="AH10">
        <v>8</v>
      </c>
      <c r="AI10" t="s">
        <v>59</v>
      </c>
      <c r="AJ10">
        <v>18174.599999999999</v>
      </c>
      <c r="AK10" t="b">
        <v>0</v>
      </c>
      <c r="AL10">
        <v>18174.599999999999</v>
      </c>
      <c r="AM10" t="b">
        <v>0</v>
      </c>
      <c r="AN10">
        <v>0</v>
      </c>
      <c r="AO10" t="b">
        <v>0</v>
      </c>
      <c r="AQ10">
        <v>936.76700000000005</v>
      </c>
      <c r="AR10">
        <v>936.76700000000005</v>
      </c>
      <c r="AS10">
        <v>0</v>
      </c>
      <c r="AT10" t="b">
        <v>0</v>
      </c>
      <c r="AU10" t="b">
        <v>1</v>
      </c>
      <c r="BA10" t="str">
        <f t="shared" si="0"/>
        <v>Normal</v>
      </c>
      <c r="BG10" t="str">
        <f t="shared" si="1"/>
        <v>Normal</v>
      </c>
    </row>
    <row r="11" spans="1:59" x14ac:dyDescent="0.2">
      <c r="A11" t="s">
        <v>42</v>
      </c>
      <c r="B11" t="s">
        <v>43</v>
      </c>
      <c r="C11">
        <v>20190101</v>
      </c>
      <c r="D11">
        <v>2019</v>
      </c>
      <c r="E11">
        <v>52</v>
      </c>
      <c r="F11" t="s">
        <v>44</v>
      </c>
      <c r="G11">
        <v>76</v>
      </c>
      <c r="H11" t="s">
        <v>80</v>
      </c>
      <c r="I11" t="s">
        <v>81</v>
      </c>
      <c r="J11" t="s">
        <v>47</v>
      </c>
      <c r="K11" t="s">
        <v>48</v>
      </c>
      <c r="L11">
        <v>0</v>
      </c>
      <c r="M11" t="s">
        <v>49</v>
      </c>
      <c r="N11" t="s">
        <v>50</v>
      </c>
      <c r="O11">
        <v>0</v>
      </c>
      <c r="P11" t="s">
        <v>49</v>
      </c>
      <c r="Q11" t="s">
        <v>50</v>
      </c>
      <c r="R11" t="s">
        <v>51</v>
      </c>
      <c r="S11" t="s">
        <v>52</v>
      </c>
      <c r="T11" t="b">
        <v>1</v>
      </c>
      <c r="U11" t="s">
        <v>53</v>
      </c>
      <c r="V11" t="s">
        <v>54</v>
      </c>
      <c r="W11">
        <v>4</v>
      </c>
      <c r="X11" t="b">
        <v>0</v>
      </c>
      <c r="Y11" t="s">
        <v>55</v>
      </c>
      <c r="Z11" t="s">
        <v>56</v>
      </c>
      <c r="AA11" t="s">
        <v>57</v>
      </c>
      <c r="AB11">
        <v>0</v>
      </c>
      <c r="AC11" t="s">
        <v>58</v>
      </c>
      <c r="AD11">
        <v>-1</v>
      </c>
      <c r="AE11" t="s">
        <v>73</v>
      </c>
      <c r="AF11">
        <v>0</v>
      </c>
      <c r="AG11" t="b">
        <v>0</v>
      </c>
      <c r="AH11">
        <v>-1</v>
      </c>
      <c r="AI11" t="s">
        <v>73</v>
      </c>
      <c r="AJ11">
        <v>0</v>
      </c>
      <c r="AK11" t="b">
        <v>0</v>
      </c>
      <c r="AM11" t="b">
        <v>0</v>
      </c>
      <c r="AN11">
        <v>0</v>
      </c>
      <c r="AO11" t="b">
        <v>0</v>
      </c>
      <c r="AQ11">
        <v>24199539301</v>
      </c>
      <c r="AR11">
        <v>24199539301</v>
      </c>
      <c r="AS11">
        <v>0</v>
      </c>
      <c r="AT11" t="b">
        <v>0</v>
      </c>
      <c r="AU11" t="b">
        <v>1</v>
      </c>
      <c r="BA11" t="str">
        <f t="shared" si="0"/>
        <v>Normal</v>
      </c>
      <c r="BG11" t="str">
        <f t="shared" si="1"/>
        <v>Normal</v>
      </c>
    </row>
    <row r="12" spans="1:59" x14ac:dyDescent="0.2">
      <c r="A12" t="s">
        <v>42</v>
      </c>
      <c r="B12" t="s">
        <v>43</v>
      </c>
      <c r="C12">
        <v>20190101</v>
      </c>
      <c r="D12">
        <v>2019</v>
      </c>
      <c r="E12">
        <v>52</v>
      </c>
      <c r="F12" t="s">
        <v>44</v>
      </c>
      <c r="G12">
        <v>84</v>
      </c>
      <c r="H12" t="s">
        <v>82</v>
      </c>
      <c r="I12" t="s">
        <v>83</v>
      </c>
      <c r="J12" t="s">
        <v>47</v>
      </c>
      <c r="K12" t="s">
        <v>48</v>
      </c>
      <c r="L12">
        <v>0</v>
      </c>
      <c r="M12" t="s">
        <v>49</v>
      </c>
      <c r="N12" t="s">
        <v>50</v>
      </c>
      <c r="O12">
        <v>0</v>
      </c>
      <c r="P12" t="s">
        <v>49</v>
      </c>
      <c r="Q12" t="s">
        <v>50</v>
      </c>
      <c r="R12" t="s">
        <v>51</v>
      </c>
      <c r="S12" t="s">
        <v>52</v>
      </c>
      <c r="T12" t="b">
        <v>1</v>
      </c>
      <c r="U12" t="s">
        <v>53</v>
      </c>
      <c r="V12" t="s">
        <v>54</v>
      </c>
      <c r="W12">
        <v>4</v>
      </c>
      <c r="X12" t="b">
        <v>0</v>
      </c>
      <c r="Y12" t="s">
        <v>55</v>
      </c>
      <c r="Z12" t="s">
        <v>56</v>
      </c>
      <c r="AA12" t="s">
        <v>57</v>
      </c>
      <c r="AB12">
        <v>0</v>
      </c>
      <c r="AC12" t="s">
        <v>58</v>
      </c>
      <c r="AD12">
        <v>8</v>
      </c>
      <c r="AE12" t="s">
        <v>59</v>
      </c>
      <c r="AF12">
        <v>28908880</v>
      </c>
      <c r="AG12" t="b">
        <v>0</v>
      </c>
      <c r="AH12">
        <v>8</v>
      </c>
      <c r="AI12" t="s">
        <v>59</v>
      </c>
      <c r="AJ12">
        <v>28908880</v>
      </c>
      <c r="AK12" t="b">
        <v>0</v>
      </c>
      <c r="AL12">
        <v>28908880</v>
      </c>
      <c r="AM12" t="b">
        <v>0</v>
      </c>
      <c r="AN12">
        <v>0</v>
      </c>
      <c r="AO12" t="b">
        <v>0</v>
      </c>
      <c r="AQ12">
        <v>10162548.902000001</v>
      </c>
      <c r="AR12">
        <v>10162548.902000001</v>
      </c>
      <c r="AS12">
        <v>0</v>
      </c>
      <c r="AT12" t="b">
        <v>0</v>
      </c>
      <c r="AU12" t="b">
        <v>1</v>
      </c>
      <c r="BA12" t="str">
        <f t="shared" si="0"/>
        <v>Normal</v>
      </c>
      <c r="BG12" t="str">
        <f t="shared" si="1"/>
        <v>Normal</v>
      </c>
    </row>
    <row r="13" spans="1:59" x14ac:dyDescent="0.2">
      <c r="A13" t="s">
        <v>42</v>
      </c>
      <c r="B13" t="s">
        <v>43</v>
      </c>
      <c r="C13">
        <v>20190101</v>
      </c>
      <c r="D13">
        <v>2019</v>
      </c>
      <c r="E13">
        <v>52</v>
      </c>
      <c r="F13" t="s">
        <v>44</v>
      </c>
      <c r="G13">
        <v>96</v>
      </c>
      <c r="H13" t="s">
        <v>84</v>
      </c>
      <c r="I13" t="s">
        <v>85</v>
      </c>
      <c r="J13" t="s">
        <v>47</v>
      </c>
      <c r="K13" t="s">
        <v>48</v>
      </c>
      <c r="L13">
        <v>0</v>
      </c>
      <c r="M13" t="s">
        <v>49</v>
      </c>
      <c r="N13" t="s">
        <v>50</v>
      </c>
      <c r="O13">
        <v>0</v>
      </c>
      <c r="P13" t="s">
        <v>49</v>
      </c>
      <c r="Q13" t="s">
        <v>50</v>
      </c>
      <c r="R13" t="s">
        <v>51</v>
      </c>
      <c r="S13" t="s">
        <v>52</v>
      </c>
      <c r="T13" t="b">
        <v>1</v>
      </c>
      <c r="U13" t="s">
        <v>53</v>
      </c>
      <c r="V13" t="s">
        <v>54</v>
      </c>
      <c r="W13">
        <v>4</v>
      </c>
      <c r="X13" t="b">
        <v>0</v>
      </c>
      <c r="Y13" t="s">
        <v>55</v>
      </c>
      <c r="Z13" t="s">
        <v>56</v>
      </c>
      <c r="AA13" t="s">
        <v>57</v>
      </c>
      <c r="AB13">
        <v>0</v>
      </c>
      <c r="AC13" t="s">
        <v>58</v>
      </c>
      <c r="AD13">
        <v>8</v>
      </c>
      <c r="AE13" t="s">
        <v>59</v>
      </c>
      <c r="AF13">
        <v>5733528981.3179998</v>
      </c>
      <c r="AG13" t="b">
        <v>1</v>
      </c>
      <c r="AH13">
        <v>-1</v>
      </c>
      <c r="AI13" t="s">
        <v>73</v>
      </c>
      <c r="AJ13">
        <v>0</v>
      </c>
      <c r="AK13" t="b">
        <v>0</v>
      </c>
      <c r="AL13">
        <v>5733528981.3179998</v>
      </c>
      <c r="AM13" t="b">
        <v>1</v>
      </c>
      <c r="AN13">
        <v>0</v>
      </c>
      <c r="AO13" t="b">
        <v>0</v>
      </c>
      <c r="AQ13">
        <v>2853973896.3299999</v>
      </c>
      <c r="AR13">
        <v>2853973896.3299999</v>
      </c>
      <c r="AS13">
        <v>6</v>
      </c>
      <c r="AT13" t="b">
        <v>0</v>
      </c>
      <c r="AU13" t="b">
        <v>1</v>
      </c>
      <c r="BA13" t="str">
        <f t="shared" si="0"/>
        <v>Normal</v>
      </c>
      <c r="BG13" t="str">
        <f t="shared" si="1"/>
        <v>Normal</v>
      </c>
    </row>
    <row r="14" spans="1:59" x14ac:dyDescent="0.2">
      <c r="A14" t="s">
        <v>42</v>
      </c>
      <c r="B14" t="s">
        <v>43</v>
      </c>
      <c r="C14">
        <v>20190101</v>
      </c>
      <c r="D14">
        <v>2019</v>
      </c>
      <c r="E14">
        <v>52</v>
      </c>
      <c r="F14" t="s">
        <v>44</v>
      </c>
      <c r="G14">
        <v>100</v>
      </c>
      <c r="H14" t="s">
        <v>86</v>
      </c>
      <c r="I14" t="s">
        <v>87</v>
      </c>
      <c r="J14" t="s">
        <v>47</v>
      </c>
      <c r="K14" t="s">
        <v>48</v>
      </c>
      <c r="L14">
        <v>0</v>
      </c>
      <c r="M14" t="s">
        <v>49</v>
      </c>
      <c r="N14" t="s">
        <v>50</v>
      </c>
      <c r="O14">
        <v>0</v>
      </c>
      <c r="P14" t="s">
        <v>49</v>
      </c>
      <c r="Q14" t="s">
        <v>50</v>
      </c>
      <c r="R14" t="s">
        <v>51</v>
      </c>
      <c r="S14" t="s">
        <v>52</v>
      </c>
      <c r="T14" t="b">
        <v>1</v>
      </c>
      <c r="U14" t="s">
        <v>53</v>
      </c>
      <c r="V14" t="s">
        <v>54</v>
      </c>
      <c r="W14">
        <v>4</v>
      </c>
      <c r="X14" t="b">
        <v>0</v>
      </c>
      <c r="Y14" t="s">
        <v>55</v>
      </c>
      <c r="Z14" t="s">
        <v>56</v>
      </c>
      <c r="AA14" t="s">
        <v>57</v>
      </c>
      <c r="AB14">
        <v>0</v>
      </c>
      <c r="AC14" t="s">
        <v>58</v>
      </c>
      <c r="AD14">
        <v>8</v>
      </c>
      <c r="AE14" t="s">
        <v>59</v>
      </c>
      <c r="AF14">
        <v>86579</v>
      </c>
      <c r="AG14" t="b">
        <v>0</v>
      </c>
      <c r="AH14">
        <v>8</v>
      </c>
      <c r="AI14" t="s">
        <v>59</v>
      </c>
      <c r="AJ14">
        <v>86579</v>
      </c>
      <c r="AK14" t="b">
        <v>0</v>
      </c>
      <c r="AL14">
        <v>86579</v>
      </c>
      <c r="AM14" t="b">
        <v>0</v>
      </c>
      <c r="AN14">
        <v>0</v>
      </c>
      <c r="AO14" t="b">
        <v>0</v>
      </c>
      <c r="AQ14">
        <v>50416.589</v>
      </c>
      <c r="AR14">
        <v>50416.589</v>
      </c>
      <c r="AS14">
        <v>0</v>
      </c>
      <c r="AT14" t="b">
        <v>0</v>
      </c>
      <c r="AU14" t="b">
        <v>1</v>
      </c>
      <c r="BA14" t="str">
        <f t="shared" si="0"/>
        <v>Normal</v>
      </c>
      <c r="BG14" t="str">
        <f t="shared" si="1"/>
        <v>Normal</v>
      </c>
    </row>
    <row r="15" spans="1:59" x14ac:dyDescent="0.2">
      <c r="A15" t="s">
        <v>42</v>
      </c>
      <c r="B15" t="s">
        <v>43</v>
      </c>
      <c r="C15">
        <v>20190101</v>
      </c>
      <c r="D15">
        <v>2019</v>
      </c>
      <c r="E15">
        <v>52</v>
      </c>
      <c r="F15" t="s">
        <v>44</v>
      </c>
      <c r="G15">
        <v>104</v>
      </c>
      <c r="H15" t="s">
        <v>88</v>
      </c>
      <c r="I15" t="s">
        <v>89</v>
      </c>
      <c r="J15" t="s">
        <v>47</v>
      </c>
      <c r="K15" t="s">
        <v>48</v>
      </c>
      <c r="L15">
        <v>0</v>
      </c>
      <c r="M15" t="s">
        <v>49</v>
      </c>
      <c r="N15" t="s">
        <v>50</v>
      </c>
      <c r="O15">
        <v>0</v>
      </c>
      <c r="P15" t="s">
        <v>49</v>
      </c>
      <c r="Q15" t="s">
        <v>50</v>
      </c>
      <c r="R15" t="s">
        <v>51</v>
      </c>
      <c r="S15" t="s">
        <v>52</v>
      </c>
      <c r="T15" t="b">
        <v>1</v>
      </c>
      <c r="U15" t="s">
        <v>53</v>
      </c>
      <c r="V15" t="s">
        <v>54</v>
      </c>
      <c r="W15">
        <v>4</v>
      </c>
      <c r="X15" t="b">
        <v>0</v>
      </c>
      <c r="Y15" t="s">
        <v>55</v>
      </c>
      <c r="Z15" t="s">
        <v>56</v>
      </c>
      <c r="AA15" t="s">
        <v>57</v>
      </c>
      <c r="AB15">
        <v>0</v>
      </c>
      <c r="AC15" t="s">
        <v>58</v>
      </c>
      <c r="AD15">
        <v>8</v>
      </c>
      <c r="AE15" t="s">
        <v>59</v>
      </c>
      <c r="AF15">
        <v>100111000</v>
      </c>
      <c r="AG15" t="b">
        <v>0</v>
      </c>
      <c r="AH15">
        <v>-1</v>
      </c>
      <c r="AI15" t="s">
        <v>73</v>
      </c>
      <c r="AJ15">
        <v>0</v>
      </c>
      <c r="AK15" t="b">
        <v>0</v>
      </c>
      <c r="AL15">
        <v>100111000</v>
      </c>
      <c r="AM15" t="b">
        <v>0</v>
      </c>
      <c r="AN15">
        <v>0</v>
      </c>
      <c r="AO15" t="b">
        <v>0</v>
      </c>
      <c r="AQ15">
        <v>77695130</v>
      </c>
      <c r="AR15">
        <v>77695130</v>
      </c>
      <c r="AS15">
        <v>0</v>
      </c>
      <c r="AT15" t="b">
        <v>0</v>
      </c>
      <c r="AU15" t="b">
        <v>1</v>
      </c>
      <c r="BA15" t="str">
        <f t="shared" si="0"/>
        <v>Normal</v>
      </c>
      <c r="BG15" t="str">
        <f t="shared" si="1"/>
        <v>Normal</v>
      </c>
    </row>
    <row r="16" spans="1:59" x14ac:dyDescent="0.2">
      <c r="A16" t="s">
        <v>42</v>
      </c>
      <c r="B16" t="s">
        <v>43</v>
      </c>
      <c r="C16">
        <v>20190101</v>
      </c>
      <c r="D16">
        <v>2019</v>
      </c>
      <c r="E16">
        <v>52</v>
      </c>
      <c r="F16" t="s">
        <v>44</v>
      </c>
      <c r="G16">
        <v>112</v>
      </c>
      <c r="H16" t="s">
        <v>90</v>
      </c>
      <c r="I16" t="s">
        <v>91</v>
      </c>
      <c r="J16" t="s">
        <v>47</v>
      </c>
      <c r="K16" t="s">
        <v>48</v>
      </c>
      <c r="L16">
        <v>0</v>
      </c>
      <c r="M16" t="s">
        <v>49</v>
      </c>
      <c r="N16" t="s">
        <v>50</v>
      </c>
      <c r="O16">
        <v>0</v>
      </c>
      <c r="P16" t="s">
        <v>49</v>
      </c>
      <c r="Q16" t="s">
        <v>50</v>
      </c>
      <c r="R16" t="s">
        <v>51</v>
      </c>
      <c r="S16" t="s">
        <v>52</v>
      </c>
      <c r="T16" t="b">
        <v>1</v>
      </c>
      <c r="U16" t="s">
        <v>53</v>
      </c>
      <c r="V16" t="s">
        <v>54</v>
      </c>
      <c r="W16">
        <v>4</v>
      </c>
      <c r="X16" t="b">
        <v>0</v>
      </c>
      <c r="Y16" t="s">
        <v>55</v>
      </c>
      <c r="Z16" t="s">
        <v>56</v>
      </c>
      <c r="AA16" t="s">
        <v>57</v>
      </c>
      <c r="AB16">
        <v>0</v>
      </c>
      <c r="AC16" t="s">
        <v>58</v>
      </c>
      <c r="AD16">
        <v>8</v>
      </c>
      <c r="AE16" t="s">
        <v>59</v>
      </c>
      <c r="AF16">
        <v>1649400000</v>
      </c>
      <c r="AG16" t="b">
        <v>0</v>
      </c>
      <c r="AH16">
        <v>8</v>
      </c>
      <c r="AI16" t="s">
        <v>59</v>
      </c>
      <c r="AJ16">
        <v>1649400000</v>
      </c>
      <c r="AK16" t="b">
        <v>0</v>
      </c>
      <c r="AL16">
        <v>1649400000</v>
      </c>
      <c r="AM16" t="b">
        <v>0</v>
      </c>
      <c r="AN16">
        <v>0</v>
      </c>
      <c r="AO16" t="b">
        <v>0</v>
      </c>
      <c r="AQ16">
        <v>726767000</v>
      </c>
      <c r="AR16">
        <v>726767000</v>
      </c>
      <c r="AS16">
        <v>0</v>
      </c>
      <c r="AT16" t="b">
        <v>0</v>
      </c>
      <c r="AU16" t="b">
        <v>1</v>
      </c>
      <c r="BA16" t="str">
        <f t="shared" si="0"/>
        <v>Normal</v>
      </c>
      <c r="BG16" t="str">
        <f t="shared" si="1"/>
        <v>Normal</v>
      </c>
    </row>
    <row r="17" spans="1:59" x14ac:dyDescent="0.2">
      <c r="A17" t="s">
        <v>42</v>
      </c>
      <c r="B17" t="s">
        <v>43</v>
      </c>
      <c r="C17">
        <v>20190101</v>
      </c>
      <c r="D17">
        <v>2019</v>
      </c>
      <c r="E17">
        <v>52</v>
      </c>
      <c r="F17" t="s">
        <v>44</v>
      </c>
      <c r="G17">
        <v>120</v>
      </c>
      <c r="H17" t="s">
        <v>92</v>
      </c>
      <c r="I17" t="s">
        <v>93</v>
      </c>
      <c r="J17" t="s">
        <v>47</v>
      </c>
      <c r="K17" t="s">
        <v>48</v>
      </c>
      <c r="L17">
        <v>0</v>
      </c>
      <c r="M17" t="s">
        <v>49</v>
      </c>
      <c r="N17" t="s">
        <v>50</v>
      </c>
      <c r="O17">
        <v>0</v>
      </c>
      <c r="P17" t="s">
        <v>49</v>
      </c>
      <c r="Q17" t="s">
        <v>50</v>
      </c>
      <c r="R17" t="s">
        <v>51</v>
      </c>
      <c r="S17" t="s">
        <v>52</v>
      </c>
      <c r="T17" t="b">
        <v>1</v>
      </c>
      <c r="U17" t="s">
        <v>53</v>
      </c>
      <c r="V17" t="s">
        <v>54</v>
      </c>
      <c r="W17">
        <v>4</v>
      </c>
      <c r="X17" t="b">
        <v>0</v>
      </c>
      <c r="Y17" t="s">
        <v>55</v>
      </c>
      <c r="Z17" t="s">
        <v>56</v>
      </c>
      <c r="AA17" t="s">
        <v>57</v>
      </c>
      <c r="AB17">
        <v>0</v>
      </c>
      <c r="AC17" t="s">
        <v>58</v>
      </c>
      <c r="AD17">
        <v>8</v>
      </c>
      <c r="AE17" t="s">
        <v>59</v>
      </c>
      <c r="AF17">
        <v>3811088454</v>
      </c>
      <c r="AG17" t="b">
        <v>0</v>
      </c>
      <c r="AH17">
        <v>8</v>
      </c>
      <c r="AI17" t="s">
        <v>59</v>
      </c>
      <c r="AJ17">
        <v>3811088454</v>
      </c>
      <c r="AK17" t="b">
        <v>0</v>
      </c>
      <c r="AL17">
        <v>3811088454</v>
      </c>
      <c r="AM17" t="b">
        <v>0</v>
      </c>
      <c r="AN17">
        <v>0</v>
      </c>
      <c r="AO17" t="b">
        <v>0</v>
      </c>
      <c r="AQ17">
        <v>1705619731.21</v>
      </c>
      <c r="AR17">
        <v>1705619731.21</v>
      </c>
      <c r="AS17">
        <v>0</v>
      </c>
      <c r="AT17" t="b">
        <v>0</v>
      </c>
      <c r="AU17" t="b">
        <v>1</v>
      </c>
      <c r="BA17" t="str">
        <f t="shared" si="0"/>
        <v>Normal</v>
      </c>
      <c r="BG17" t="str">
        <f t="shared" si="1"/>
        <v>Normal</v>
      </c>
    </row>
    <row r="18" spans="1:59" x14ac:dyDescent="0.2">
      <c r="A18" t="s">
        <v>42</v>
      </c>
      <c r="B18" t="s">
        <v>43</v>
      </c>
      <c r="C18">
        <v>20190101</v>
      </c>
      <c r="D18">
        <v>2019</v>
      </c>
      <c r="E18">
        <v>52</v>
      </c>
      <c r="F18" t="s">
        <v>44</v>
      </c>
      <c r="G18">
        <v>124</v>
      </c>
      <c r="H18" t="s">
        <v>94</v>
      </c>
      <c r="I18" t="s">
        <v>95</v>
      </c>
      <c r="J18" t="s">
        <v>47</v>
      </c>
      <c r="K18" t="s">
        <v>48</v>
      </c>
      <c r="L18">
        <v>0</v>
      </c>
      <c r="M18" t="s">
        <v>49</v>
      </c>
      <c r="N18" t="s">
        <v>50</v>
      </c>
      <c r="O18">
        <v>0</v>
      </c>
      <c r="P18" t="s">
        <v>49</v>
      </c>
      <c r="Q18" t="s">
        <v>50</v>
      </c>
      <c r="R18" t="s">
        <v>51</v>
      </c>
      <c r="S18" t="s">
        <v>52</v>
      </c>
      <c r="T18" t="b">
        <v>1</v>
      </c>
      <c r="U18" t="s">
        <v>53</v>
      </c>
      <c r="V18" t="s">
        <v>54</v>
      </c>
      <c r="W18">
        <v>4</v>
      </c>
      <c r="X18" t="b">
        <v>0</v>
      </c>
      <c r="Y18" t="s">
        <v>55</v>
      </c>
      <c r="Z18" t="s">
        <v>56</v>
      </c>
      <c r="AA18" t="s">
        <v>57</v>
      </c>
      <c r="AB18">
        <v>0</v>
      </c>
      <c r="AC18" t="s">
        <v>58</v>
      </c>
      <c r="AD18">
        <v>8</v>
      </c>
      <c r="AE18" t="s">
        <v>59</v>
      </c>
      <c r="AF18">
        <v>145392729987.63599</v>
      </c>
      <c r="AG18" t="b">
        <v>1</v>
      </c>
      <c r="AH18">
        <v>-1</v>
      </c>
      <c r="AI18" t="s">
        <v>73</v>
      </c>
      <c r="AJ18">
        <v>0</v>
      </c>
      <c r="AK18" t="b">
        <v>0</v>
      </c>
      <c r="AL18">
        <v>145392729987.63599</v>
      </c>
      <c r="AM18" t="b">
        <v>1</v>
      </c>
      <c r="AN18">
        <v>0</v>
      </c>
      <c r="AO18" t="b">
        <v>0</v>
      </c>
      <c r="AQ18">
        <v>68104060281.266998</v>
      </c>
      <c r="AR18">
        <v>68104060281.266998</v>
      </c>
      <c r="AS18">
        <v>6</v>
      </c>
      <c r="AT18" t="b">
        <v>0</v>
      </c>
      <c r="AU18" t="b">
        <v>1</v>
      </c>
      <c r="BA18" t="str">
        <f t="shared" si="0"/>
        <v>Normal</v>
      </c>
      <c r="BG18" t="str">
        <f t="shared" si="1"/>
        <v>Normal</v>
      </c>
    </row>
    <row r="19" spans="1:59" x14ac:dyDescent="0.2">
      <c r="A19" t="s">
        <v>42</v>
      </c>
      <c r="B19" t="s">
        <v>43</v>
      </c>
      <c r="C19">
        <v>20190101</v>
      </c>
      <c r="D19">
        <v>2019</v>
      </c>
      <c r="E19">
        <v>52</v>
      </c>
      <c r="F19" t="s">
        <v>44</v>
      </c>
      <c r="G19">
        <v>156</v>
      </c>
      <c r="H19" t="s">
        <v>96</v>
      </c>
      <c r="I19" t="s">
        <v>97</v>
      </c>
      <c r="J19" t="s">
        <v>47</v>
      </c>
      <c r="K19" t="s">
        <v>48</v>
      </c>
      <c r="L19">
        <v>0</v>
      </c>
      <c r="M19" t="s">
        <v>49</v>
      </c>
      <c r="N19" t="s">
        <v>50</v>
      </c>
      <c r="O19">
        <v>0</v>
      </c>
      <c r="P19" t="s">
        <v>49</v>
      </c>
      <c r="Q19" t="s">
        <v>50</v>
      </c>
      <c r="R19" t="s">
        <v>51</v>
      </c>
      <c r="S19" t="s">
        <v>52</v>
      </c>
      <c r="T19" t="b">
        <v>1</v>
      </c>
      <c r="U19" t="s">
        <v>53</v>
      </c>
      <c r="V19" t="s">
        <v>54</v>
      </c>
      <c r="W19">
        <v>4</v>
      </c>
      <c r="X19" t="b">
        <v>0</v>
      </c>
      <c r="Y19" t="s">
        <v>55</v>
      </c>
      <c r="Z19" t="s">
        <v>56</v>
      </c>
      <c r="AA19" t="s">
        <v>57</v>
      </c>
      <c r="AB19">
        <v>0</v>
      </c>
      <c r="AC19" t="s">
        <v>58</v>
      </c>
      <c r="AD19">
        <v>8</v>
      </c>
      <c r="AE19" t="s">
        <v>59</v>
      </c>
      <c r="AF19">
        <v>810025400</v>
      </c>
      <c r="AG19" t="b">
        <v>0</v>
      </c>
      <c r="AH19">
        <v>8</v>
      </c>
      <c r="AI19" t="s">
        <v>59</v>
      </c>
      <c r="AJ19">
        <v>810025400</v>
      </c>
      <c r="AK19" t="b">
        <v>0</v>
      </c>
      <c r="AL19">
        <v>810025400</v>
      </c>
      <c r="AM19" t="b">
        <v>0</v>
      </c>
      <c r="AN19">
        <v>0</v>
      </c>
      <c r="AO19" t="b">
        <v>0</v>
      </c>
      <c r="AP19">
        <v>0</v>
      </c>
      <c r="AQ19">
        <v>361760014</v>
      </c>
      <c r="AR19">
        <v>361760014</v>
      </c>
      <c r="AS19">
        <v>0</v>
      </c>
      <c r="AT19" t="b">
        <v>0</v>
      </c>
      <c r="AU19" t="b">
        <v>1</v>
      </c>
      <c r="BA19" t="str">
        <f t="shared" si="0"/>
        <v>Normal</v>
      </c>
      <c r="BG19" t="str">
        <f t="shared" si="1"/>
        <v>Normal</v>
      </c>
    </row>
    <row r="20" spans="1:59" x14ac:dyDescent="0.2">
      <c r="A20" t="s">
        <v>42</v>
      </c>
      <c r="B20" t="s">
        <v>43</v>
      </c>
      <c r="C20">
        <v>20190101</v>
      </c>
      <c r="D20">
        <v>2019</v>
      </c>
      <c r="E20">
        <v>52</v>
      </c>
      <c r="F20" t="s">
        <v>44</v>
      </c>
      <c r="G20">
        <v>170</v>
      </c>
      <c r="H20" t="s">
        <v>98</v>
      </c>
      <c r="I20" t="s">
        <v>99</v>
      </c>
      <c r="J20" t="s">
        <v>47</v>
      </c>
      <c r="K20" t="s">
        <v>48</v>
      </c>
      <c r="L20">
        <v>0</v>
      </c>
      <c r="M20" t="s">
        <v>49</v>
      </c>
      <c r="N20" t="s">
        <v>50</v>
      </c>
      <c r="O20">
        <v>0</v>
      </c>
      <c r="P20" t="s">
        <v>49</v>
      </c>
      <c r="Q20" t="s">
        <v>50</v>
      </c>
      <c r="R20" t="s">
        <v>51</v>
      </c>
      <c r="S20" t="s">
        <v>52</v>
      </c>
      <c r="T20" t="b">
        <v>1</v>
      </c>
      <c r="U20" t="s">
        <v>53</v>
      </c>
      <c r="V20" t="s">
        <v>54</v>
      </c>
      <c r="W20">
        <v>4</v>
      </c>
      <c r="X20" t="b">
        <v>0</v>
      </c>
      <c r="Y20" t="s">
        <v>55</v>
      </c>
      <c r="Z20" t="s">
        <v>56</v>
      </c>
      <c r="AA20" t="s">
        <v>57</v>
      </c>
      <c r="AB20">
        <v>0</v>
      </c>
      <c r="AC20" t="s">
        <v>58</v>
      </c>
      <c r="AD20">
        <v>8</v>
      </c>
      <c r="AE20" t="s">
        <v>59</v>
      </c>
      <c r="AF20">
        <v>32647277120</v>
      </c>
      <c r="AG20" t="b">
        <v>0</v>
      </c>
      <c r="AH20">
        <v>12</v>
      </c>
      <c r="AI20" t="s">
        <v>70</v>
      </c>
      <c r="AJ20">
        <v>35312066.850000001</v>
      </c>
      <c r="AK20" t="b">
        <v>0</v>
      </c>
      <c r="AL20">
        <v>32647277120</v>
      </c>
      <c r="AM20" t="b">
        <v>0</v>
      </c>
      <c r="AN20">
        <v>0</v>
      </c>
      <c r="AO20" t="b">
        <v>0</v>
      </c>
      <c r="AQ20">
        <v>12979915800.030001</v>
      </c>
      <c r="AR20">
        <v>12979915800.030001</v>
      </c>
      <c r="AS20">
        <v>0</v>
      </c>
      <c r="AT20" t="b">
        <v>0</v>
      </c>
      <c r="AU20" t="b">
        <v>1</v>
      </c>
      <c r="BA20" t="str">
        <f t="shared" si="0"/>
        <v>Normal</v>
      </c>
      <c r="BG20" t="str">
        <f t="shared" si="1"/>
        <v>Normal</v>
      </c>
    </row>
    <row r="21" spans="1:59" x14ac:dyDescent="0.2">
      <c r="A21" t="s">
        <v>42</v>
      </c>
      <c r="B21" t="s">
        <v>43</v>
      </c>
      <c r="C21">
        <v>20190101</v>
      </c>
      <c r="D21">
        <v>2019</v>
      </c>
      <c r="E21">
        <v>52</v>
      </c>
      <c r="F21" t="s">
        <v>44</v>
      </c>
      <c r="G21">
        <v>178</v>
      </c>
      <c r="H21" t="s">
        <v>100</v>
      </c>
      <c r="I21" t="s">
        <v>101</v>
      </c>
      <c r="J21" t="s">
        <v>47</v>
      </c>
      <c r="K21" t="s">
        <v>48</v>
      </c>
      <c r="L21">
        <v>0</v>
      </c>
      <c r="M21" t="s">
        <v>49</v>
      </c>
      <c r="N21" t="s">
        <v>50</v>
      </c>
      <c r="O21">
        <v>0</v>
      </c>
      <c r="P21" t="s">
        <v>49</v>
      </c>
      <c r="Q21" t="s">
        <v>50</v>
      </c>
      <c r="R21" t="s">
        <v>51</v>
      </c>
      <c r="S21" t="s">
        <v>52</v>
      </c>
      <c r="T21" t="b">
        <v>1</v>
      </c>
      <c r="U21" t="s">
        <v>53</v>
      </c>
      <c r="V21" t="s">
        <v>54</v>
      </c>
      <c r="W21">
        <v>4</v>
      </c>
      <c r="X21" t="b">
        <v>0</v>
      </c>
      <c r="Y21" t="s">
        <v>55</v>
      </c>
      <c r="Z21" t="s">
        <v>56</v>
      </c>
      <c r="AA21" t="s">
        <v>57</v>
      </c>
      <c r="AB21">
        <v>0</v>
      </c>
      <c r="AC21" t="s">
        <v>58</v>
      </c>
      <c r="AD21">
        <v>8</v>
      </c>
      <c r="AE21" t="s">
        <v>59</v>
      </c>
      <c r="AF21">
        <v>9299035793.6000004</v>
      </c>
      <c r="AG21" t="b">
        <v>0</v>
      </c>
      <c r="AH21">
        <v>8</v>
      </c>
      <c r="AI21" t="s">
        <v>59</v>
      </c>
      <c r="AJ21">
        <v>9299035793.6000004</v>
      </c>
      <c r="AK21" t="b">
        <v>0</v>
      </c>
      <c r="AL21">
        <v>9299035793.6000004</v>
      </c>
      <c r="AM21" t="b">
        <v>0</v>
      </c>
      <c r="AN21">
        <v>0</v>
      </c>
      <c r="AO21" t="b">
        <v>0</v>
      </c>
      <c r="AQ21">
        <v>4409487721.2639999</v>
      </c>
      <c r="AR21">
        <v>4409487721.2639999</v>
      </c>
      <c r="AS21">
        <v>0</v>
      </c>
      <c r="AT21" t="b">
        <v>0</v>
      </c>
      <c r="AU21" t="b">
        <v>1</v>
      </c>
      <c r="BA21" t="str">
        <f t="shared" si="0"/>
        <v>Normal</v>
      </c>
      <c r="BG21" t="str">
        <f t="shared" si="1"/>
        <v>Normal</v>
      </c>
    </row>
    <row r="22" spans="1:59" x14ac:dyDescent="0.2">
      <c r="A22" t="s">
        <v>42</v>
      </c>
      <c r="B22" t="s">
        <v>43</v>
      </c>
      <c r="C22">
        <v>20190101</v>
      </c>
      <c r="D22">
        <v>2019</v>
      </c>
      <c r="E22">
        <v>52</v>
      </c>
      <c r="F22" t="s">
        <v>44</v>
      </c>
      <c r="G22">
        <v>180</v>
      </c>
      <c r="H22" t="s">
        <v>102</v>
      </c>
      <c r="I22" t="s">
        <v>103</v>
      </c>
      <c r="J22" t="s">
        <v>47</v>
      </c>
      <c r="K22" t="s">
        <v>48</v>
      </c>
      <c r="L22">
        <v>0</v>
      </c>
      <c r="M22" t="s">
        <v>49</v>
      </c>
      <c r="N22" t="s">
        <v>50</v>
      </c>
      <c r="O22">
        <v>0</v>
      </c>
      <c r="P22" t="s">
        <v>49</v>
      </c>
      <c r="Q22" t="s">
        <v>50</v>
      </c>
      <c r="R22" t="s">
        <v>104</v>
      </c>
      <c r="S22" t="s">
        <v>52</v>
      </c>
      <c r="T22" t="b">
        <v>1</v>
      </c>
      <c r="U22" t="s">
        <v>53</v>
      </c>
      <c r="V22" t="s">
        <v>54</v>
      </c>
      <c r="W22">
        <v>4</v>
      </c>
      <c r="X22" t="b">
        <v>0</v>
      </c>
      <c r="Y22" t="s">
        <v>55</v>
      </c>
      <c r="Z22" t="s">
        <v>56</v>
      </c>
      <c r="AA22" t="s">
        <v>57</v>
      </c>
      <c r="AB22">
        <v>0</v>
      </c>
      <c r="AC22" t="s">
        <v>58</v>
      </c>
      <c r="AD22">
        <v>8</v>
      </c>
      <c r="AE22" t="s">
        <v>59</v>
      </c>
      <c r="AF22">
        <v>14427</v>
      </c>
      <c r="AG22" t="b">
        <v>0</v>
      </c>
      <c r="AH22">
        <v>7</v>
      </c>
      <c r="AI22" t="s">
        <v>67</v>
      </c>
      <c r="AJ22">
        <v>10</v>
      </c>
      <c r="AK22" t="b">
        <v>0</v>
      </c>
      <c r="AL22">
        <v>14427</v>
      </c>
      <c r="AM22" t="b">
        <v>0</v>
      </c>
      <c r="AN22">
        <v>0</v>
      </c>
      <c r="AO22" t="b">
        <v>0</v>
      </c>
      <c r="AP22">
        <v>0</v>
      </c>
      <c r="AQ22">
        <v>4303.07</v>
      </c>
      <c r="AR22">
        <v>4303.07</v>
      </c>
      <c r="AS22">
        <v>0</v>
      </c>
      <c r="AT22" t="b">
        <v>0</v>
      </c>
      <c r="AU22" t="b">
        <v>1</v>
      </c>
      <c r="BA22" t="str">
        <f t="shared" si="0"/>
        <v>Normal</v>
      </c>
      <c r="BG22" t="str">
        <f t="shared" si="1"/>
        <v>Normal</v>
      </c>
    </row>
    <row r="23" spans="1:59" x14ac:dyDescent="0.2">
      <c r="A23" t="s">
        <v>42</v>
      </c>
      <c r="B23" t="s">
        <v>43</v>
      </c>
      <c r="C23">
        <v>20190101</v>
      </c>
      <c r="D23">
        <v>2019</v>
      </c>
      <c r="E23">
        <v>52</v>
      </c>
      <c r="F23" t="s">
        <v>44</v>
      </c>
      <c r="G23">
        <v>191</v>
      </c>
      <c r="H23" t="s">
        <v>105</v>
      </c>
      <c r="I23" t="s">
        <v>106</v>
      </c>
      <c r="J23" t="s">
        <v>47</v>
      </c>
      <c r="K23" t="s">
        <v>48</v>
      </c>
      <c r="L23">
        <v>0</v>
      </c>
      <c r="M23" t="s">
        <v>49</v>
      </c>
      <c r="N23" t="s">
        <v>50</v>
      </c>
      <c r="O23">
        <v>0</v>
      </c>
      <c r="P23" t="s">
        <v>49</v>
      </c>
      <c r="Q23" t="s">
        <v>50</v>
      </c>
      <c r="R23" t="s">
        <v>51</v>
      </c>
      <c r="S23" t="s">
        <v>52</v>
      </c>
      <c r="T23" t="b">
        <v>1</v>
      </c>
      <c r="U23" t="s">
        <v>53</v>
      </c>
      <c r="V23" t="s">
        <v>54</v>
      </c>
      <c r="W23">
        <v>4</v>
      </c>
      <c r="X23" t="b">
        <v>0</v>
      </c>
      <c r="Y23" t="s">
        <v>55</v>
      </c>
      <c r="Z23" t="s">
        <v>56</v>
      </c>
      <c r="AA23" t="s">
        <v>57</v>
      </c>
      <c r="AB23">
        <v>0</v>
      </c>
      <c r="AC23" t="s">
        <v>58</v>
      </c>
      <c r="AD23">
        <v>8</v>
      </c>
      <c r="AE23" t="s">
        <v>59</v>
      </c>
      <c r="AF23">
        <v>149196024</v>
      </c>
      <c r="AG23" t="b">
        <v>0</v>
      </c>
      <c r="AH23">
        <v>8</v>
      </c>
      <c r="AI23" t="s">
        <v>59</v>
      </c>
      <c r="AJ23">
        <v>149196024</v>
      </c>
      <c r="AK23" t="b">
        <v>0</v>
      </c>
      <c r="AL23">
        <v>149196024</v>
      </c>
      <c r="AM23" t="b">
        <v>0</v>
      </c>
      <c r="AN23">
        <v>0</v>
      </c>
      <c r="AO23" t="b">
        <v>0</v>
      </c>
      <c r="AQ23">
        <v>72395878</v>
      </c>
      <c r="AR23">
        <v>72395878</v>
      </c>
      <c r="AS23">
        <v>0</v>
      </c>
      <c r="AT23" t="b">
        <v>0</v>
      </c>
      <c r="AU23" t="b">
        <v>1</v>
      </c>
      <c r="BA23" t="str">
        <f t="shared" si="0"/>
        <v>Normal</v>
      </c>
      <c r="BG23" t="str">
        <f t="shared" si="1"/>
        <v>Normal</v>
      </c>
    </row>
    <row r="24" spans="1:59" x14ac:dyDescent="0.2">
      <c r="A24" t="s">
        <v>42</v>
      </c>
      <c r="B24" t="s">
        <v>43</v>
      </c>
      <c r="C24">
        <v>20190101</v>
      </c>
      <c r="D24">
        <v>2019</v>
      </c>
      <c r="E24">
        <v>52</v>
      </c>
      <c r="F24" t="s">
        <v>44</v>
      </c>
      <c r="G24">
        <v>203</v>
      </c>
      <c r="H24" t="s">
        <v>107</v>
      </c>
      <c r="I24" t="s">
        <v>108</v>
      </c>
      <c r="J24" t="s">
        <v>47</v>
      </c>
      <c r="K24" t="s">
        <v>48</v>
      </c>
      <c r="L24">
        <v>0</v>
      </c>
      <c r="M24" t="s">
        <v>49</v>
      </c>
      <c r="N24" t="s">
        <v>50</v>
      </c>
      <c r="O24">
        <v>0</v>
      </c>
      <c r="P24" t="s">
        <v>49</v>
      </c>
      <c r="Q24" t="s">
        <v>50</v>
      </c>
      <c r="R24" t="s">
        <v>51</v>
      </c>
      <c r="S24" t="s">
        <v>52</v>
      </c>
      <c r="T24" t="b">
        <v>1</v>
      </c>
      <c r="U24" t="s">
        <v>53</v>
      </c>
      <c r="V24" t="s">
        <v>54</v>
      </c>
      <c r="W24">
        <v>4</v>
      </c>
      <c r="X24" t="b">
        <v>0</v>
      </c>
      <c r="Y24" t="s">
        <v>55</v>
      </c>
      <c r="Z24" t="s">
        <v>56</v>
      </c>
      <c r="AA24" t="s">
        <v>57</v>
      </c>
      <c r="AB24">
        <v>0</v>
      </c>
      <c r="AC24" t="s">
        <v>58</v>
      </c>
      <c r="AD24">
        <v>-1</v>
      </c>
      <c r="AE24" t="s">
        <v>73</v>
      </c>
      <c r="AF24">
        <v>0</v>
      </c>
      <c r="AG24" t="b">
        <v>1</v>
      </c>
      <c r="AH24">
        <v>-1</v>
      </c>
      <c r="AI24" t="s">
        <v>73</v>
      </c>
      <c r="AJ24">
        <v>0</v>
      </c>
      <c r="AK24" t="b">
        <v>0</v>
      </c>
      <c r="AM24" t="b">
        <v>1</v>
      </c>
      <c r="AN24">
        <v>0</v>
      </c>
      <c r="AO24" t="b">
        <v>0</v>
      </c>
      <c r="AQ24">
        <v>168603</v>
      </c>
      <c r="AR24">
        <v>168603</v>
      </c>
      <c r="AS24">
        <v>6</v>
      </c>
      <c r="AT24" t="b">
        <v>0</v>
      </c>
      <c r="AU24" t="b">
        <v>1</v>
      </c>
      <c r="BA24" t="str">
        <f t="shared" si="0"/>
        <v>Normal</v>
      </c>
      <c r="BG24" t="str">
        <f t="shared" si="1"/>
        <v>Normal</v>
      </c>
    </row>
    <row r="25" spans="1:59" x14ac:dyDescent="0.2">
      <c r="A25" t="s">
        <v>42</v>
      </c>
      <c r="B25" t="s">
        <v>43</v>
      </c>
      <c r="C25">
        <v>20190101</v>
      </c>
      <c r="D25">
        <v>2019</v>
      </c>
      <c r="E25">
        <v>52</v>
      </c>
      <c r="F25" t="s">
        <v>44</v>
      </c>
      <c r="G25">
        <v>208</v>
      </c>
      <c r="H25" t="s">
        <v>109</v>
      </c>
      <c r="I25" t="s">
        <v>110</v>
      </c>
      <c r="J25" t="s">
        <v>47</v>
      </c>
      <c r="K25" t="s">
        <v>48</v>
      </c>
      <c r="L25">
        <v>0</v>
      </c>
      <c r="M25" t="s">
        <v>49</v>
      </c>
      <c r="N25" t="s">
        <v>50</v>
      </c>
      <c r="O25">
        <v>0</v>
      </c>
      <c r="P25" t="s">
        <v>49</v>
      </c>
      <c r="Q25" t="s">
        <v>50</v>
      </c>
      <c r="R25" t="s">
        <v>51</v>
      </c>
      <c r="S25" t="s">
        <v>52</v>
      </c>
      <c r="T25" t="b">
        <v>1</v>
      </c>
      <c r="U25" t="s">
        <v>53</v>
      </c>
      <c r="V25" t="s">
        <v>54</v>
      </c>
      <c r="W25">
        <v>4</v>
      </c>
      <c r="X25" t="b">
        <v>0</v>
      </c>
      <c r="Y25" t="s">
        <v>55</v>
      </c>
      <c r="Z25" t="s">
        <v>56</v>
      </c>
      <c r="AA25" t="s">
        <v>57</v>
      </c>
      <c r="AB25">
        <v>0</v>
      </c>
      <c r="AC25" t="s">
        <v>58</v>
      </c>
      <c r="AD25">
        <v>8</v>
      </c>
      <c r="AE25" t="s">
        <v>59</v>
      </c>
      <c r="AF25">
        <v>2245963743.7059999</v>
      </c>
      <c r="AG25" t="b">
        <v>1</v>
      </c>
      <c r="AH25">
        <v>-1</v>
      </c>
      <c r="AI25" t="s">
        <v>73</v>
      </c>
      <c r="AJ25">
        <v>0</v>
      </c>
      <c r="AK25" t="b">
        <v>0</v>
      </c>
      <c r="AL25">
        <v>2245963743.7059999</v>
      </c>
      <c r="AM25" t="b">
        <v>1</v>
      </c>
      <c r="AN25">
        <v>0</v>
      </c>
      <c r="AO25" t="b">
        <v>0</v>
      </c>
      <c r="AP25">
        <v>0</v>
      </c>
      <c r="AQ25">
        <v>1168556773.4849999</v>
      </c>
      <c r="AR25">
        <v>1168556773.4849999</v>
      </c>
      <c r="AS25">
        <v>6</v>
      </c>
      <c r="AT25" t="b">
        <v>0</v>
      </c>
      <c r="AU25" t="b">
        <v>1</v>
      </c>
      <c r="BA25" t="str">
        <f t="shared" si="0"/>
        <v>Normal</v>
      </c>
      <c r="BG25" t="str">
        <f t="shared" si="1"/>
        <v>Normal</v>
      </c>
    </row>
    <row r="26" spans="1:59" x14ac:dyDescent="0.2">
      <c r="A26" t="s">
        <v>42</v>
      </c>
      <c r="B26" t="s">
        <v>43</v>
      </c>
      <c r="C26">
        <v>20190101</v>
      </c>
      <c r="D26">
        <v>2019</v>
      </c>
      <c r="E26">
        <v>52</v>
      </c>
      <c r="F26" t="s">
        <v>44</v>
      </c>
      <c r="G26">
        <v>214</v>
      </c>
      <c r="H26" t="s">
        <v>111</v>
      </c>
      <c r="I26" t="s">
        <v>112</v>
      </c>
      <c r="J26" t="s">
        <v>47</v>
      </c>
      <c r="K26" t="s">
        <v>48</v>
      </c>
      <c r="L26">
        <v>0</v>
      </c>
      <c r="M26" t="s">
        <v>49</v>
      </c>
      <c r="N26" t="s">
        <v>50</v>
      </c>
      <c r="O26">
        <v>0</v>
      </c>
      <c r="P26" t="s">
        <v>49</v>
      </c>
      <c r="Q26" t="s">
        <v>50</v>
      </c>
      <c r="R26" t="s">
        <v>51</v>
      </c>
      <c r="S26" t="s">
        <v>52</v>
      </c>
      <c r="T26" t="b">
        <v>1</v>
      </c>
      <c r="U26" t="s">
        <v>53</v>
      </c>
      <c r="V26" t="s">
        <v>54</v>
      </c>
      <c r="W26">
        <v>4</v>
      </c>
      <c r="X26" t="b">
        <v>0</v>
      </c>
      <c r="Y26" t="s">
        <v>55</v>
      </c>
      <c r="Z26" t="s">
        <v>56</v>
      </c>
      <c r="AA26" t="s">
        <v>57</v>
      </c>
      <c r="AB26">
        <v>0</v>
      </c>
      <c r="AC26" t="s">
        <v>58</v>
      </c>
      <c r="AD26">
        <v>8</v>
      </c>
      <c r="AE26" t="s">
        <v>59</v>
      </c>
      <c r="AF26">
        <v>101460</v>
      </c>
      <c r="AG26" t="b">
        <v>0</v>
      </c>
      <c r="AH26">
        <v>8</v>
      </c>
      <c r="AI26" t="s">
        <v>59</v>
      </c>
      <c r="AJ26">
        <v>101460</v>
      </c>
      <c r="AK26" t="b">
        <v>0</v>
      </c>
      <c r="AL26">
        <v>117212</v>
      </c>
      <c r="AM26" t="b">
        <v>0</v>
      </c>
      <c r="AN26">
        <v>0</v>
      </c>
      <c r="AO26" t="b">
        <v>0</v>
      </c>
      <c r="AQ26">
        <v>123589.43399999999</v>
      </c>
      <c r="AR26">
        <v>123589.43399999999</v>
      </c>
      <c r="AS26">
        <v>0</v>
      </c>
      <c r="AT26" t="b">
        <v>0</v>
      </c>
      <c r="AU26" t="b">
        <v>1</v>
      </c>
      <c r="BA26" t="str">
        <f t="shared" si="0"/>
        <v>Normal</v>
      </c>
      <c r="BG26" t="str">
        <f t="shared" si="1"/>
        <v>Normal</v>
      </c>
    </row>
    <row r="27" spans="1:59" x14ac:dyDescent="0.2">
      <c r="A27" t="s">
        <v>42</v>
      </c>
      <c r="B27" t="s">
        <v>43</v>
      </c>
      <c r="C27">
        <v>20190101</v>
      </c>
      <c r="D27">
        <v>2019</v>
      </c>
      <c r="E27">
        <v>52</v>
      </c>
      <c r="F27" t="s">
        <v>44</v>
      </c>
      <c r="G27">
        <v>218</v>
      </c>
      <c r="H27" t="s">
        <v>113</v>
      </c>
      <c r="I27" t="s">
        <v>114</v>
      </c>
      <c r="J27" t="s">
        <v>47</v>
      </c>
      <c r="K27" t="s">
        <v>48</v>
      </c>
      <c r="L27">
        <v>0</v>
      </c>
      <c r="M27" t="s">
        <v>49</v>
      </c>
      <c r="N27" t="s">
        <v>50</v>
      </c>
      <c r="O27">
        <v>0</v>
      </c>
      <c r="P27" t="s">
        <v>49</v>
      </c>
      <c r="Q27" t="s">
        <v>50</v>
      </c>
      <c r="R27" t="s">
        <v>51</v>
      </c>
      <c r="S27" t="s">
        <v>52</v>
      </c>
      <c r="T27" t="b">
        <v>1</v>
      </c>
      <c r="U27" t="s">
        <v>53</v>
      </c>
      <c r="V27" t="s">
        <v>54</v>
      </c>
      <c r="W27">
        <v>4</v>
      </c>
      <c r="X27" t="b">
        <v>0</v>
      </c>
      <c r="Y27" t="s">
        <v>55</v>
      </c>
      <c r="Z27" t="s">
        <v>56</v>
      </c>
      <c r="AA27" t="s">
        <v>57</v>
      </c>
      <c r="AB27">
        <v>0</v>
      </c>
      <c r="AC27" t="s">
        <v>58</v>
      </c>
      <c r="AD27">
        <v>-1</v>
      </c>
      <c r="AE27" t="s">
        <v>73</v>
      </c>
      <c r="AF27">
        <v>0</v>
      </c>
      <c r="AG27" t="b">
        <v>1</v>
      </c>
      <c r="AH27">
        <v>-1</v>
      </c>
      <c r="AI27" t="s">
        <v>73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7731162685.5</v>
      </c>
      <c r="AR27">
        <v>7731162685.5</v>
      </c>
      <c r="AS27">
        <v>6</v>
      </c>
      <c r="AT27" t="b">
        <v>0</v>
      </c>
      <c r="AU27" t="b">
        <v>1</v>
      </c>
      <c r="BA27" t="str">
        <f t="shared" si="0"/>
        <v>Normal</v>
      </c>
      <c r="BG27" t="str">
        <f t="shared" si="1"/>
        <v>Normal</v>
      </c>
    </row>
    <row r="28" spans="1:59" x14ac:dyDescent="0.2">
      <c r="A28" t="s">
        <v>42</v>
      </c>
      <c r="B28" t="s">
        <v>43</v>
      </c>
      <c r="C28">
        <v>20190101</v>
      </c>
      <c r="D28">
        <v>2019</v>
      </c>
      <c r="E28">
        <v>52</v>
      </c>
      <c r="F28" t="s">
        <v>44</v>
      </c>
      <c r="G28">
        <v>222</v>
      </c>
      <c r="H28" t="s">
        <v>115</v>
      </c>
      <c r="I28" t="s">
        <v>116</v>
      </c>
      <c r="J28" t="s">
        <v>47</v>
      </c>
      <c r="K28" t="s">
        <v>48</v>
      </c>
      <c r="L28">
        <v>0</v>
      </c>
      <c r="M28" t="s">
        <v>49</v>
      </c>
      <c r="N28" t="s">
        <v>50</v>
      </c>
      <c r="O28">
        <v>0</v>
      </c>
      <c r="P28" t="s">
        <v>49</v>
      </c>
      <c r="Q28" t="s">
        <v>50</v>
      </c>
      <c r="R28" t="s">
        <v>51</v>
      </c>
      <c r="S28" t="s">
        <v>52</v>
      </c>
      <c r="T28" t="b">
        <v>1</v>
      </c>
      <c r="U28" t="s">
        <v>53</v>
      </c>
      <c r="V28" t="s">
        <v>54</v>
      </c>
      <c r="W28">
        <v>4</v>
      </c>
      <c r="X28" t="b">
        <v>0</v>
      </c>
      <c r="Y28" t="s">
        <v>55</v>
      </c>
      <c r="Z28" t="s">
        <v>56</v>
      </c>
      <c r="AA28" t="s">
        <v>57</v>
      </c>
      <c r="AB28">
        <v>0</v>
      </c>
      <c r="AC28" t="s">
        <v>58</v>
      </c>
      <c r="AD28">
        <v>8</v>
      </c>
      <c r="AE28" t="s">
        <v>59</v>
      </c>
      <c r="AF28">
        <v>5250</v>
      </c>
      <c r="AG28" t="b">
        <v>0</v>
      </c>
      <c r="AH28">
        <v>8</v>
      </c>
      <c r="AI28" t="s">
        <v>59</v>
      </c>
      <c r="AJ28">
        <v>5250</v>
      </c>
      <c r="AK28" t="b">
        <v>0</v>
      </c>
      <c r="AL28">
        <v>5250</v>
      </c>
      <c r="AM28" t="b">
        <v>0</v>
      </c>
      <c r="AN28">
        <v>0</v>
      </c>
      <c r="AO28" t="b">
        <v>0</v>
      </c>
      <c r="AP28">
        <v>0</v>
      </c>
      <c r="AQ28">
        <v>6588.45</v>
      </c>
      <c r="AR28">
        <v>6588.45</v>
      </c>
      <c r="AS28">
        <v>0</v>
      </c>
      <c r="AT28" t="b">
        <v>0</v>
      </c>
      <c r="AU28" t="b">
        <v>1</v>
      </c>
      <c r="BA28" t="str">
        <f t="shared" si="0"/>
        <v>Normal</v>
      </c>
      <c r="BG28" t="str">
        <f t="shared" si="1"/>
        <v>Normal</v>
      </c>
    </row>
    <row r="29" spans="1:59" x14ac:dyDescent="0.2">
      <c r="A29" t="s">
        <v>42</v>
      </c>
      <c r="B29" t="s">
        <v>43</v>
      </c>
      <c r="C29">
        <v>20190101</v>
      </c>
      <c r="D29">
        <v>2019</v>
      </c>
      <c r="E29">
        <v>52</v>
      </c>
      <c r="F29" t="s">
        <v>44</v>
      </c>
      <c r="G29">
        <v>233</v>
      </c>
      <c r="H29" t="s">
        <v>117</v>
      </c>
      <c r="I29" t="s">
        <v>118</v>
      </c>
      <c r="J29" t="s">
        <v>47</v>
      </c>
      <c r="K29" t="s">
        <v>48</v>
      </c>
      <c r="L29">
        <v>0</v>
      </c>
      <c r="M29" t="s">
        <v>49</v>
      </c>
      <c r="N29" t="s">
        <v>50</v>
      </c>
      <c r="O29">
        <v>0</v>
      </c>
      <c r="P29" t="s">
        <v>49</v>
      </c>
      <c r="Q29" t="s">
        <v>50</v>
      </c>
      <c r="R29" t="s">
        <v>51</v>
      </c>
      <c r="S29" t="s">
        <v>52</v>
      </c>
      <c r="T29" t="b">
        <v>1</v>
      </c>
      <c r="U29" t="s">
        <v>53</v>
      </c>
      <c r="V29" t="s">
        <v>54</v>
      </c>
      <c r="W29">
        <v>4</v>
      </c>
      <c r="X29" t="b">
        <v>0</v>
      </c>
      <c r="Y29" t="s">
        <v>55</v>
      </c>
      <c r="Z29" t="s">
        <v>56</v>
      </c>
      <c r="AA29" t="s">
        <v>57</v>
      </c>
      <c r="AB29">
        <v>0</v>
      </c>
      <c r="AC29" t="s">
        <v>58</v>
      </c>
      <c r="AD29">
        <v>8</v>
      </c>
      <c r="AE29" t="s">
        <v>59</v>
      </c>
      <c r="AF29">
        <v>545418</v>
      </c>
      <c r="AG29" t="b">
        <v>0</v>
      </c>
      <c r="AH29">
        <v>8</v>
      </c>
      <c r="AI29" t="s">
        <v>59</v>
      </c>
      <c r="AJ29">
        <v>545418</v>
      </c>
      <c r="AK29" t="b">
        <v>0</v>
      </c>
      <c r="AL29">
        <v>545418</v>
      </c>
      <c r="AM29" t="b">
        <v>0</v>
      </c>
      <c r="AN29">
        <v>0</v>
      </c>
      <c r="AO29" t="b">
        <v>0</v>
      </c>
      <c r="AP29">
        <v>0</v>
      </c>
      <c r="AQ29">
        <v>128443.412</v>
      </c>
      <c r="AR29">
        <v>128443.412</v>
      </c>
      <c r="AS29">
        <v>0</v>
      </c>
      <c r="AT29" t="b">
        <v>0</v>
      </c>
      <c r="AU29" t="b">
        <v>1</v>
      </c>
      <c r="BA29" t="str">
        <f t="shared" si="0"/>
        <v>Normal</v>
      </c>
      <c r="BG29" t="str">
        <f t="shared" si="1"/>
        <v>Normal</v>
      </c>
    </row>
    <row r="30" spans="1:59" x14ac:dyDescent="0.2">
      <c r="A30" t="s">
        <v>42</v>
      </c>
      <c r="B30" t="s">
        <v>43</v>
      </c>
      <c r="C30">
        <v>20190101</v>
      </c>
      <c r="D30">
        <v>2019</v>
      </c>
      <c r="E30">
        <v>52</v>
      </c>
      <c r="F30" t="s">
        <v>44</v>
      </c>
      <c r="G30">
        <v>242</v>
      </c>
      <c r="H30" t="s">
        <v>119</v>
      </c>
      <c r="I30" t="s">
        <v>120</v>
      </c>
      <c r="J30" t="s">
        <v>47</v>
      </c>
      <c r="K30" t="s">
        <v>48</v>
      </c>
      <c r="L30">
        <v>0</v>
      </c>
      <c r="M30" t="s">
        <v>49</v>
      </c>
      <c r="N30" t="s">
        <v>50</v>
      </c>
      <c r="O30">
        <v>0</v>
      </c>
      <c r="P30" t="s">
        <v>49</v>
      </c>
      <c r="Q30" t="s">
        <v>50</v>
      </c>
      <c r="R30" t="s">
        <v>51</v>
      </c>
      <c r="S30" t="s">
        <v>52</v>
      </c>
      <c r="T30" t="b">
        <v>1</v>
      </c>
      <c r="U30" t="s">
        <v>53</v>
      </c>
      <c r="V30" t="s">
        <v>54</v>
      </c>
      <c r="W30">
        <v>4</v>
      </c>
      <c r="X30" t="b">
        <v>0</v>
      </c>
      <c r="Y30" t="s">
        <v>55</v>
      </c>
      <c r="Z30" t="s">
        <v>56</v>
      </c>
      <c r="AA30" t="s">
        <v>57</v>
      </c>
      <c r="AB30">
        <v>0</v>
      </c>
      <c r="AC30" t="s">
        <v>58</v>
      </c>
      <c r="AD30">
        <v>8</v>
      </c>
      <c r="AE30" t="s">
        <v>59</v>
      </c>
      <c r="AF30">
        <v>290920</v>
      </c>
      <c r="AG30" t="b">
        <v>0</v>
      </c>
      <c r="AH30">
        <v>8</v>
      </c>
      <c r="AI30" t="s">
        <v>59</v>
      </c>
      <c r="AJ30">
        <v>290920</v>
      </c>
      <c r="AK30" t="b">
        <v>0</v>
      </c>
      <c r="AL30">
        <v>290920</v>
      </c>
      <c r="AM30" t="b">
        <v>0</v>
      </c>
      <c r="AN30">
        <v>0</v>
      </c>
      <c r="AO30" t="b">
        <v>0</v>
      </c>
      <c r="AP30">
        <v>0</v>
      </c>
      <c r="AQ30">
        <v>308754.17099999997</v>
      </c>
      <c r="AR30">
        <v>308754.17099999997</v>
      </c>
      <c r="AS30">
        <v>0</v>
      </c>
      <c r="AT30" t="b">
        <v>0</v>
      </c>
      <c r="AU30" t="b">
        <v>1</v>
      </c>
      <c r="BA30" t="str">
        <f t="shared" si="0"/>
        <v>Normal</v>
      </c>
      <c r="BG30" t="str">
        <f t="shared" si="1"/>
        <v>Normal</v>
      </c>
    </row>
    <row r="31" spans="1:59" x14ac:dyDescent="0.2">
      <c r="A31" t="s">
        <v>42</v>
      </c>
      <c r="B31" t="s">
        <v>43</v>
      </c>
      <c r="C31">
        <v>20190101</v>
      </c>
      <c r="D31">
        <v>2019</v>
      </c>
      <c r="E31">
        <v>52</v>
      </c>
      <c r="F31" t="s">
        <v>44</v>
      </c>
      <c r="G31">
        <v>246</v>
      </c>
      <c r="H31" t="s">
        <v>121</v>
      </c>
      <c r="I31" t="s">
        <v>122</v>
      </c>
      <c r="J31" t="s">
        <v>47</v>
      </c>
      <c r="K31" t="s">
        <v>48</v>
      </c>
      <c r="L31">
        <v>0</v>
      </c>
      <c r="M31" t="s">
        <v>49</v>
      </c>
      <c r="N31" t="s">
        <v>50</v>
      </c>
      <c r="O31">
        <v>0</v>
      </c>
      <c r="P31" t="s">
        <v>49</v>
      </c>
      <c r="Q31" t="s">
        <v>50</v>
      </c>
      <c r="R31" t="s">
        <v>51</v>
      </c>
      <c r="S31" t="s">
        <v>52</v>
      </c>
      <c r="T31" t="b">
        <v>1</v>
      </c>
      <c r="U31" t="s">
        <v>53</v>
      </c>
      <c r="V31" t="s">
        <v>54</v>
      </c>
      <c r="W31">
        <v>4</v>
      </c>
      <c r="X31" t="b">
        <v>0</v>
      </c>
      <c r="Y31" t="s">
        <v>55</v>
      </c>
      <c r="Z31" t="s">
        <v>56</v>
      </c>
      <c r="AA31" t="s">
        <v>57</v>
      </c>
      <c r="AB31">
        <v>0</v>
      </c>
      <c r="AC31" t="s">
        <v>58</v>
      </c>
      <c r="AD31">
        <v>8</v>
      </c>
      <c r="AE31" t="s">
        <v>59</v>
      </c>
      <c r="AF31">
        <v>521049.73700000002</v>
      </c>
      <c r="AG31" t="b">
        <v>1</v>
      </c>
      <c r="AH31">
        <v>-1</v>
      </c>
      <c r="AI31" t="s">
        <v>73</v>
      </c>
      <c r="AJ31">
        <v>0</v>
      </c>
      <c r="AK31" t="b">
        <v>0</v>
      </c>
      <c r="AL31">
        <v>521049.73700000002</v>
      </c>
      <c r="AM31" t="b">
        <v>1</v>
      </c>
      <c r="AN31">
        <v>0</v>
      </c>
      <c r="AO31" t="b">
        <v>0</v>
      </c>
      <c r="AQ31">
        <v>244067.24299999999</v>
      </c>
      <c r="AR31">
        <v>244067.24299999999</v>
      </c>
      <c r="AS31">
        <v>6</v>
      </c>
      <c r="AT31" t="b">
        <v>0</v>
      </c>
      <c r="AU31" t="b">
        <v>1</v>
      </c>
      <c r="BA31" t="str">
        <f t="shared" si="0"/>
        <v>Normal</v>
      </c>
      <c r="BG31" t="str">
        <f t="shared" si="1"/>
        <v>Normal</v>
      </c>
    </row>
    <row r="32" spans="1:59" x14ac:dyDescent="0.2">
      <c r="A32" t="s">
        <v>42</v>
      </c>
      <c r="B32" t="s">
        <v>43</v>
      </c>
      <c r="C32">
        <v>20190101</v>
      </c>
      <c r="D32">
        <v>2019</v>
      </c>
      <c r="E32">
        <v>52</v>
      </c>
      <c r="F32" t="s">
        <v>44</v>
      </c>
      <c r="G32">
        <v>251</v>
      </c>
      <c r="H32" t="s">
        <v>123</v>
      </c>
      <c r="I32" t="s">
        <v>124</v>
      </c>
      <c r="J32" t="s">
        <v>47</v>
      </c>
      <c r="K32" t="s">
        <v>48</v>
      </c>
      <c r="L32">
        <v>0</v>
      </c>
      <c r="M32" t="s">
        <v>49</v>
      </c>
      <c r="N32" t="s">
        <v>50</v>
      </c>
      <c r="O32">
        <v>0</v>
      </c>
      <c r="P32" t="s">
        <v>49</v>
      </c>
      <c r="Q32" t="s">
        <v>50</v>
      </c>
      <c r="R32" t="s">
        <v>51</v>
      </c>
      <c r="S32" t="s">
        <v>52</v>
      </c>
      <c r="T32" t="b">
        <v>1</v>
      </c>
      <c r="U32" t="s">
        <v>53</v>
      </c>
      <c r="V32" t="s">
        <v>54</v>
      </c>
      <c r="W32">
        <v>4</v>
      </c>
      <c r="X32" t="b">
        <v>0</v>
      </c>
      <c r="Y32" t="s">
        <v>55</v>
      </c>
      <c r="Z32" t="s">
        <v>56</v>
      </c>
      <c r="AA32" t="s">
        <v>57</v>
      </c>
      <c r="AB32">
        <v>0</v>
      </c>
      <c r="AC32" t="s">
        <v>58</v>
      </c>
      <c r="AD32">
        <v>-1</v>
      </c>
      <c r="AE32" t="s">
        <v>73</v>
      </c>
      <c r="AF32">
        <v>0</v>
      </c>
      <c r="AG32" t="b">
        <v>1</v>
      </c>
      <c r="AH32">
        <v>-1</v>
      </c>
      <c r="AI32" t="s">
        <v>73</v>
      </c>
      <c r="AJ32">
        <v>0</v>
      </c>
      <c r="AK32" t="b">
        <v>0</v>
      </c>
      <c r="AM32" t="b">
        <v>1</v>
      </c>
      <c r="AN32">
        <v>0</v>
      </c>
      <c r="AO32" t="b">
        <v>0</v>
      </c>
      <c r="AQ32">
        <v>38917331.390000001</v>
      </c>
      <c r="AR32">
        <v>38917331.390000001</v>
      </c>
      <c r="AS32">
        <v>6</v>
      </c>
      <c r="AT32" t="b">
        <v>0</v>
      </c>
      <c r="AU32" t="b">
        <v>1</v>
      </c>
      <c r="BA32" t="str">
        <f t="shared" si="0"/>
        <v>Normal</v>
      </c>
      <c r="BG32" t="str">
        <f t="shared" si="1"/>
        <v>Normal</v>
      </c>
    </row>
    <row r="33" spans="1:59" x14ac:dyDescent="0.2">
      <c r="A33" t="s">
        <v>42</v>
      </c>
      <c r="B33" t="s">
        <v>43</v>
      </c>
      <c r="C33">
        <v>20190101</v>
      </c>
      <c r="D33">
        <v>2019</v>
      </c>
      <c r="E33">
        <v>52</v>
      </c>
      <c r="F33" t="s">
        <v>44</v>
      </c>
      <c r="G33">
        <v>266</v>
      </c>
      <c r="H33" t="s">
        <v>125</v>
      </c>
      <c r="I33" t="s">
        <v>126</v>
      </c>
      <c r="J33" t="s">
        <v>47</v>
      </c>
      <c r="K33" t="s">
        <v>48</v>
      </c>
      <c r="L33">
        <v>0</v>
      </c>
      <c r="M33" t="s">
        <v>49</v>
      </c>
      <c r="N33" t="s">
        <v>50</v>
      </c>
      <c r="O33">
        <v>0</v>
      </c>
      <c r="P33" t="s">
        <v>49</v>
      </c>
      <c r="Q33" t="s">
        <v>50</v>
      </c>
      <c r="R33" t="s">
        <v>127</v>
      </c>
      <c r="S33" t="s">
        <v>52</v>
      </c>
      <c r="T33" t="b">
        <v>1</v>
      </c>
      <c r="U33" t="s">
        <v>53</v>
      </c>
      <c r="V33" t="s">
        <v>54</v>
      </c>
      <c r="W33">
        <v>4</v>
      </c>
      <c r="X33" t="b">
        <v>0</v>
      </c>
      <c r="Y33" t="s">
        <v>55</v>
      </c>
      <c r="Z33" t="s">
        <v>56</v>
      </c>
      <c r="AA33" t="s">
        <v>57</v>
      </c>
      <c r="AB33">
        <v>0</v>
      </c>
      <c r="AC33" t="s">
        <v>58</v>
      </c>
      <c r="AD33">
        <v>8</v>
      </c>
      <c r="AE33" t="s">
        <v>59</v>
      </c>
      <c r="AF33">
        <v>8668568198</v>
      </c>
      <c r="AG33" t="b">
        <v>0</v>
      </c>
      <c r="AH33">
        <v>19</v>
      </c>
      <c r="AI33" t="s">
        <v>60</v>
      </c>
      <c r="AJ33">
        <v>4008885847.6399999</v>
      </c>
      <c r="AK33" t="b">
        <v>0</v>
      </c>
      <c r="AL33">
        <v>8668568198</v>
      </c>
      <c r="AM33" t="b">
        <v>0</v>
      </c>
      <c r="AN33">
        <v>0</v>
      </c>
      <c r="AO33" t="b">
        <v>0</v>
      </c>
      <c r="AQ33">
        <v>4024299755.2909999</v>
      </c>
      <c r="AR33">
        <v>4024299755.2909999</v>
      </c>
      <c r="AS33">
        <v>0</v>
      </c>
      <c r="AT33" t="b">
        <v>0</v>
      </c>
      <c r="AU33" t="b">
        <v>1</v>
      </c>
      <c r="BA33" t="str">
        <f t="shared" si="0"/>
        <v>Normal</v>
      </c>
      <c r="BG33" t="str">
        <f t="shared" si="1"/>
        <v>Normal</v>
      </c>
    </row>
    <row r="34" spans="1:59" x14ac:dyDescent="0.2">
      <c r="A34" t="s">
        <v>42</v>
      </c>
      <c r="B34" t="s">
        <v>43</v>
      </c>
      <c r="C34">
        <v>20190101</v>
      </c>
      <c r="D34">
        <v>2019</v>
      </c>
      <c r="E34">
        <v>52</v>
      </c>
      <c r="F34" t="s">
        <v>44</v>
      </c>
      <c r="G34">
        <v>268</v>
      </c>
      <c r="H34" t="s">
        <v>128</v>
      </c>
      <c r="I34" t="s">
        <v>129</v>
      </c>
      <c r="J34" t="s">
        <v>47</v>
      </c>
      <c r="K34" t="s">
        <v>48</v>
      </c>
      <c r="L34">
        <v>0</v>
      </c>
      <c r="M34" t="s">
        <v>49</v>
      </c>
      <c r="N34" t="s">
        <v>50</v>
      </c>
      <c r="O34">
        <v>0</v>
      </c>
      <c r="P34" t="s">
        <v>49</v>
      </c>
      <c r="Q34" t="s">
        <v>50</v>
      </c>
      <c r="R34" t="s">
        <v>51</v>
      </c>
      <c r="S34" t="s">
        <v>52</v>
      </c>
      <c r="T34" t="b">
        <v>1</v>
      </c>
      <c r="U34" t="s">
        <v>53</v>
      </c>
      <c r="V34" t="s">
        <v>54</v>
      </c>
      <c r="W34">
        <v>4</v>
      </c>
      <c r="X34" t="b">
        <v>0</v>
      </c>
      <c r="Y34" t="s">
        <v>55</v>
      </c>
      <c r="Z34" t="s">
        <v>56</v>
      </c>
      <c r="AA34" t="s">
        <v>57</v>
      </c>
      <c r="AB34">
        <v>0</v>
      </c>
      <c r="AC34" t="s">
        <v>58</v>
      </c>
      <c r="AD34">
        <v>8</v>
      </c>
      <c r="AE34" t="s">
        <v>59</v>
      </c>
      <c r="AF34">
        <v>25.3</v>
      </c>
      <c r="AG34" t="b">
        <v>0</v>
      </c>
      <c r="AH34">
        <v>8</v>
      </c>
      <c r="AI34" t="s">
        <v>59</v>
      </c>
      <c r="AJ34">
        <v>25.3</v>
      </c>
      <c r="AK34" t="b">
        <v>0</v>
      </c>
      <c r="AL34">
        <v>25.3</v>
      </c>
      <c r="AM34" t="b">
        <v>0</v>
      </c>
      <c r="AN34">
        <v>0</v>
      </c>
      <c r="AO34" t="b">
        <v>0</v>
      </c>
      <c r="AQ34">
        <v>99</v>
      </c>
      <c r="AR34">
        <v>99</v>
      </c>
      <c r="AS34">
        <v>0</v>
      </c>
      <c r="AT34" t="b">
        <v>0</v>
      </c>
      <c r="AU34" t="b">
        <v>1</v>
      </c>
      <c r="BA34" t="str">
        <f t="shared" si="0"/>
        <v>Normal</v>
      </c>
      <c r="BG34" t="str">
        <f t="shared" si="1"/>
        <v>Normal</v>
      </c>
    </row>
    <row r="35" spans="1:59" x14ac:dyDescent="0.2">
      <c r="A35" t="s">
        <v>42</v>
      </c>
      <c r="B35" t="s">
        <v>43</v>
      </c>
      <c r="C35">
        <v>20190101</v>
      </c>
      <c r="D35">
        <v>2019</v>
      </c>
      <c r="E35">
        <v>52</v>
      </c>
      <c r="F35" t="s">
        <v>44</v>
      </c>
      <c r="G35">
        <v>276</v>
      </c>
      <c r="H35" t="s">
        <v>130</v>
      </c>
      <c r="I35" t="s">
        <v>131</v>
      </c>
      <c r="J35" t="s">
        <v>47</v>
      </c>
      <c r="K35" t="s">
        <v>48</v>
      </c>
      <c r="L35">
        <v>0</v>
      </c>
      <c r="M35" t="s">
        <v>49</v>
      </c>
      <c r="N35" t="s">
        <v>50</v>
      </c>
      <c r="O35">
        <v>0</v>
      </c>
      <c r="P35" t="s">
        <v>49</v>
      </c>
      <c r="Q35" t="s">
        <v>50</v>
      </c>
      <c r="R35" t="s">
        <v>51</v>
      </c>
      <c r="S35" t="s">
        <v>52</v>
      </c>
      <c r="T35" t="b">
        <v>1</v>
      </c>
      <c r="U35" t="s">
        <v>53</v>
      </c>
      <c r="V35" t="s">
        <v>54</v>
      </c>
      <c r="W35">
        <v>4</v>
      </c>
      <c r="X35" t="b">
        <v>0</v>
      </c>
      <c r="Y35" t="s">
        <v>55</v>
      </c>
      <c r="Z35" t="s">
        <v>56</v>
      </c>
      <c r="AA35" t="s">
        <v>57</v>
      </c>
      <c r="AB35">
        <v>0</v>
      </c>
      <c r="AC35" t="s">
        <v>58</v>
      </c>
      <c r="AD35">
        <v>8</v>
      </c>
      <c r="AE35" t="s">
        <v>59</v>
      </c>
      <c r="AF35">
        <v>107071787</v>
      </c>
      <c r="AG35" t="b">
        <v>0</v>
      </c>
      <c r="AH35">
        <v>8</v>
      </c>
      <c r="AI35" t="s">
        <v>59</v>
      </c>
      <c r="AJ35">
        <v>107071787</v>
      </c>
      <c r="AK35" t="b">
        <v>0</v>
      </c>
      <c r="AL35">
        <v>107071787</v>
      </c>
      <c r="AM35" t="b">
        <v>0</v>
      </c>
      <c r="AN35">
        <v>0</v>
      </c>
      <c r="AO35" t="b">
        <v>0</v>
      </c>
      <c r="AQ35">
        <v>42769262.482000001</v>
      </c>
      <c r="AR35">
        <v>42769262.482000001</v>
      </c>
      <c r="AS35">
        <v>0</v>
      </c>
      <c r="AT35" t="b">
        <v>0</v>
      </c>
      <c r="AU35" t="b">
        <v>1</v>
      </c>
      <c r="BA35" t="str">
        <f t="shared" si="0"/>
        <v>Normal</v>
      </c>
      <c r="BG35" t="str">
        <f t="shared" si="1"/>
        <v>Normal</v>
      </c>
    </row>
    <row r="36" spans="1:59" x14ac:dyDescent="0.2">
      <c r="A36" t="s">
        <v>42</v>
      </c>
      <c r="B36" t="s">
        <v>43</v>
      </c>
      <c r="C36">
        <v>20190101</v>
      </c>
      <c r="D36">
        <v>2019</v>
      </c>
      <c r="E36">
        <v>52</v>
      </c>
      <c r="F36" t="s">
        <v>44</v>
      </c>
      <c r="G36">
        <v>288</v>
      </c>
      <c r="H36" t="s">
        <v>132</v>
      </c>
      <c r="I36" t="s">
        <v>133</v>
      </c>
      <c r="J36" t="s">
        <v>47</v>
      </c>
      <c r="K36" t="s">
        <v>48</v>
      </c>
      <c r="L36">
        <v>0</v>
      </c>
      <c r="M36" t="s">
        <v>49</v>
      </c>
      <c r="N36" t="s">
        <v>50</v>
      </c>
      <c r="O36">
        <v>0</v>
      </c>
      <c r="P36" t="s">
        <v>49</v>
      </c>
      <c r="Q36" t="s">
        <v>50</v>
      </c>
      <c r="R36" t="s">
        <v>51</v>
      </c>
      <c r="S36" t="s">
        <v>52</v>
      </c>
      <c r="T36" t="b">
        <v>1</v>
      </c>
      <c r="U36" t="s">
        <v>53</v>
      </c>
      <c r="V36" t="s">
        <v>54</v>
      </c>
      <c r="W36">
        <v>4</v>
      </c>
      <c r="X36" t="b">
        <v>0</v>
      </c>
      <c r="Y36" t="s">
        <v>55</v>
      </c>
      <c r="Z36" t="s">
        <v>56</v>
      </c>
      <c r="AA36" t="s">
        <v>57</v>
      </c>
      <c r="AB36">
        <v>0</v>
      </c>
      <c r="AC36" t="s">
        <v>58</v>
      </c>
      <c r="AD36">
        <v>8</v>
      </c>
      <c r="AE36" t="s">
        <v>59</v>
      </c>
      <c r="AF36">
        <v>7230788789</v>
      </c>
      <c r="AG36" t="b">
        <v>0</v>
      </c>
      <c r="AH36">
        <v>8</v>
      </c>
      <c r="AI36" t="s">
        <v>59</v>
      </c>
      <c r="AJ36">
        <v>7230788789</v>
      </c>
      <c r="AK36" t="b">
        <v>0</v>
      </c>
      <c r="AL36">
        <v>7230788789</v>
      </c>
      <c r="AM36" t="b">
        <v>0</v>
      </c>
      <c r="AN36">
        <v>0</v>
      </c>
      <c r="AO36" t="b">
        <v>0</v>
      </c>
      <c r="AQ36">
        <v>5251688769.8280001</v>
      </c>
      <c r="AR36">
        <v>5251688769.8280001</v>
      </c>
      <c r="AS36">
        <v>0</v>
      </c>
      <c r="AT36" t="b">
        <v>0</v>
      </c>
      <c r="AU36" t="b">
        <v>1</v>
      </c>
      <c r="BA36" t="str">
        <f t="shared" si="0"/>
        <v>Normal</v>
      </c>
      <c r="BG36" t="str">
        <f t="shared" si="1"/>
        <v>Normal</v>
      </c>
    </row>
    <row r="37" spans="1:59" x14ac:dyDescent="0.2">
      <c r="A37" t="s">
        <v>42</v>
      </c>
      <c r="B37" t="s">
        <v>43</v>
      </c>
      <c r="C37">
        <v>20190101</v>
      </c>
      <c r="D37">
        <v>2019</v>
      </c>
      <c r="E37">
        <v>52</v>
      </c>
      <c r="F37" t="s">
        <v>44</v>
      </c>
      <c r="G37">
        <v>300</v>
      </c>
      <c r="H37" t="s">
        <v>134</v>
      </c>
      <c r="I37" t="s">
        <v>135</v>
      </c>
      <c r="J37" t="s">
        <v>47</v>
      </c>
      <c r="K37" t="s">
        <v>48</v>
      </c>
      <c r="L37">
        <v>0</v>
      </c>
      <c r="M37" t="s">
        <v>49</v>
      </c>
      <c r="N37" t="s">
        <v>50</v>
      </c>
      <c r="O37">
        <v>0</v>
      </c>
      <c r="P37" t="s">
        <v>49</v>
      </c>
      <c r="Q37" t="s">
        <v>50</v>
      </c>
      <c r="R37" t="s">
        <v>51</v>
      </c>
      <c r="S37" t="s">
        <v>52</v>
      </c>
      <c r="T37" t="b">
        <v>1</v>
      </c>
      <c r="U37" t="s">
        <v>53</v>
      </c>
      <c r="V37" t="s">
        <v>54</v>
      </c>
      <c r="W37">
        <v>4</v>
      </c>
      <c r="X37" t="b">
        <v>0</v>
      </c>
      <c r="Y37" t="s">
        <v>55</v>
      </c>
      <c r="Z37" t="s">
        <v>56</v>
      </c>
      <c r="AA37" t="s">
        <v>57</v>
      </c>
      <c r="AB37">
        <v>0</v>
      </c>
      <c r="AC37" t="s">
        <v>58</v>
      </c>
      <c r="AD37">
        <v>8</v>
      </c>
      <c r="AE37" t="s">
        <v>59</v>
      </c>
      <c r="AF37">
        <v>166786522.74599999</v>
      </c>
      <c r="AG37" t="b">
        <v>1</v>
      </c>
      <c r="AH37">
        <v>-1</v>
      </c>
      <c r="AI37" t="s">
        <v>73</v>
      </c>
      <c r="AJ37">
        <v>0</v>
      </c>
      <c r="AK37" t="b">
        <v>0</v>
      </c>
      <c r="AM37" t="b">
        <v>1</v>
      </c>
      <c r="AN37">
        <v>0</v>
      </c>
      <c r="AO37" t="b">
        <v>0</v>
      </c>
      <c r="AQ37">
        <v>75232105.291999996</v>
      </c>
      <c r="AR37">
        <v>75232105.291999996</v>
      </c>
      <c r="AS37">
        <v>6</v>
      </c>
      <c r="AT37" t="b">
        <v>0</v>
      </c>
      <c r="AU37" t="b">
        <v>1</v>
      </c>
      <c r="BA37" t="str">
        <f t="shared" si="0"/>
        <v>Normal</v>
      </c>
      <c r="BG37" t="str">
        <f t="shared" si="1"/>
        <v>Normal</v>
      </c>
    </row>
    <row r="38" spans="1:59" x14ac:dyDescent="0.2">
      <c r="A38" t="s">
        <v>42</v>
      </c>
      <c r="B38" t="s">
        <v>43</v>
      </c>
      <c r="C38">
        <v>20190101</v>
      </c>
      <c r="D38">
        <v>2019</v>
      </c>
      <c r="E38">
        <v>52</v>
      </c>
      <c r="F38" t="s">
        <v>44</v>
      </c>
      <c r="G38">
        <v>320</v>
      </c>
      <c r="H38" t="s">
        <v>136</v>
      </c>
      <c r="I38" t="s">
        <v>137</v>
      </c>
      <c r="J38" t="s">
        <v>47</v>
      </c>
      <c r="K38" t="s">
        <v>48</v>
      </c>
      <c r="L38">
        <v>0</v>
      </c>
      <c r="M38" t="s">
        <v>49</v>
      </c>
      <c r="N38" t="s">
        <v>50</v>
      </c>
      <c r="O38">
        <v>0</v>
      </c>
      <c r="P38" t="s">
        <v>49</v>
      </c>
      <c r="Q38" t="s">
        <v>50</v>
      </c>
      <c r="R38" t="s">
        <v>51</v>
      </c>
      <c r="S38" t="s">
        <v>52</v>
      </c>
      <c r="T38" t="b">
        <v>1</v>
      </c>
      <c r="U38" t="s">
        <v>53</v>
      </c>
      <c r="V38" t="s">
        <v>54</v>
      </c>
      <c r="W38">
        <v>4</v>
      </c>
      <c r="X38" t="b">
        <v>0</v>
      </c>
      <c r="Y38" t="s">
        <v>55</v>
      </c>
      <c r="Z38" t="s">
        <v>56</v>
      </c>
      <c r="AA38" t="s">
        <v>57</v>
      </c>
      <c r="AB38">
        <v>0</v>
      </c>
      <c r="AC38" t="s">
        <v>58</v>
      </c>
      <c r="AD38">
        <v>8</v>
      </c>
      <c r="AE38" t="s">
        <v>59</v>
      </c>
      <c r="AF38">
        <v>306429078.50199997</v>
      </c>
      <c r="AG38" t="b">
        <v>1</v>
      </c>
      <c r="AH38">
        <v>-1</v>
      </c>
      <c r="AI38" t="s">
        <v>73</v>
      </c>
      <c r="AJ38">
        <v>0</v>
      </c>
      <c r="AK38" t="b">
        <v>0</v>
      </c>
      <c r="AM38" t="b">
        <v>1</v>
      </c>
      <c r="AN38">
        <v>0</v>
      </c>
      <c r="AO38" t="b">
        <v>0</v>
      </c>
      <c r="AQ38">
        <v>114346859</v>
      </c>
      <c r="AR38">
        <v>114346859</v>
      </c>
      <c r="AS38">
        <v>6</v>
      </c>
      <c r="AT38" t="b">
        <v>0</v>
      </c>
      <c r="AU38" t="b">
        <v>1</v>
      </c>
      <c r="BA38" t="str">
        <f t="shared" si="0"/>
        <v>Normal</v>
      </c>
      <c r="BG38" t="str">
        <f t="shared" si="1"/>
        <v>Normal</v>
      </c>
    </row>
    <row r="39" spans="1:59" x14ac:dyDescent="0.2">
      <c r="A39" t="s">
        <v>42</v>
      </c>
      <c r="B39" t="s">
        <v>43</v>
      </c>
      <c r="C39">
        <v>20190101</v>
      </c>
      <c r="D39">
        <v>2019</v>
      </c>
      <c r="E39">
        <v>52</v>
      </c>
      <c r="F39" t="s">
        <v>44</v>
      </c>
      <c r="G39">
        <v>348</v>
      </c>
      <c r="H39" t="s">
        <v>138</v>
      </c>
      <c r="I39" t="s">
        <v>139</v>
      </c>
      <c r="J39" t="s">
        <v>47</v>
      </c>
      <c r="K39" t="s">
        <v>48</v>
      </c>
      <c r="L39">
        <v>0</v>
      </c>
      <c r="M39" t="s">
        <v>49</v>
      </c>
      <c r="N39" t="s">
        <v>50</v>
      </c>
      <c r="O39">
        <v>0</v>
      </c>
      <c r="P39" t="s">
        <v>49</v>
      </c>
      <c r="Q39" t="s">
        <v>50</v>
      </c>
      <c r="R39" t="s">
        <v>51</v>
      </c>
      <c r="S39" t="s">
        <v>52</v>
      </c>
      <c r="T39" t="b">
        <v>1</v>
      </c>
      <c r="U39" t="s">
        <v>53</v>
      </c>
      <c r="V39" t="s">
        <v>54</v>
      </c>
      <c r="W39">
        <v>4</v>
      </c>
      <c r="X39" t="b">
        <v>0</v>
      </c>
      <c r="Y39" t="s">
        <v>55</v>
      </c>
      <c r="Z39" t="s">
        <v>56</v>
      </c>
      <c r="AA39" t="s">
        <v>57</v>
      </c>
      <c r="AB39">
        <v>0</v>
      </c>
      <c r="AC39" t="s">
        <v>58</v>
      </c>
      <c r="AD39">
        <v>8</v>
      </c>
      <c r="AE39" t="s">
        <v>59</v>
      </c>
      <c r="AF39">
        <v>104536937</v>
      </c>
      <c r="AG39" t="b">
        <v>0</v>
      </c>
      <c r="AH39">
        <v>8</v>
      </c>
      <c r="AI39" t="s">
        <v>59</v>
      </c>
      <c r="AJ39">
        <v>104536937</v>
      </c>
      <c r="AK39" t="b">
        <v>0</v>
      </c>
      <c r="AL39">
        <v>104536937</v>
      </c>
      <c r="AM39" t="b">
        <v>0</v>
      </c>
      <c r="AN39">
        <v>0</v>
      </c>
      <c r="AO39" t="b">
        <v>0</v>
      </c>
      <c r="AQ39">
        <v>48854265</v>
      </c>
      <c r="AR39">
        <v>48854265</v>
      </c>
      <c r="AS39">
        <v>0</v>
      </c>
      <c r="AT39" t="b">
        <v>0</v>
      </c>
      <c r="AU39" t="b">
        <v>1</v>
      </c>
      <c r="BA39" t="str">
        <f t="shared" si="0"/>
        <v>Normal</v>
      </c>
      <c r="BG39" t="str">
        <f t="shared" si="1"/>
        <v>Normal</v>
      </c>
    </row>
    <row r="40" spans="1:59" x14ac:dyDescent="0.2">
      <c r="A40" t="s">
        <v>42</v>
      </c>
      <c r="B40" t="s">
        <v>43</v>
      </c>
      <c r="C40">
        <v>20190101</v>
      </c>
      <c r="D40">
        <v>2019</v>
      </c>
      <c r="E40">
        <v>52</v>
      </c>
      <c r="F40" t="s">
        <v>44</v>
      </c>
      <c r="G40">
        <v>360</v>
      </c>
      <c r="H40" t="s">
        <v>140</v>
      </c>
      <c r="I40" t="s">
        <v>141</v>
      </c>
      <c r="J40" t="s">
        <v>47</v>
      </c>
      <c r="K40" t="s">
        <v>48</v>
      </c>
      <c r="L40">
        <v>0</v>
      </c>
      <c r="M40" t="s">
        <v>49</v>
      </c>
      <c r="N40" t="s">
        <v>50</v>
      </c>
      <c r="O40">
        <v>0</v>
      </c>
      <c r="P40" t="s">
        <v>49</v>
      </c>
      <c r="Q40" t="s">
        <v>50</v>
      </c>
      <c r="R40" t="s">
        <v>51</v>
      </c>
      <c r="S40" t="s">
        <v>52</v>
      </c>
      <c r="T40" t="b">
        <v>1</v>
      </c>
      <c r="U40" t="s">
        <v>53</v>
      </c>
      <c r="V40" t="s">
        <v>54</v>
      </c>
      <c r="W40">
        <v>4</v>
      </c>
      <c r="X40" t="b">
        <v>0</v>
      </c>
      <c r="Y40" t="s">
        <v>55</v>
      </c>
      <c r="Z40" t="s">
        <v>56</v>
      </c>
      <c r="AA40" t="s">
        <v>57</v>
      </c>
      <c r="AB40">
        <v>0</v>
      </c>
      <c r="AC40" t="s">
        <v>58</v>
      </c>
      <c r="AD40">
        <v>8</v>
      </c>
      <c r="AE40" t="s">
        <v>59</v>
      </c>
      <c r="AF40">
        <v>3576744902</v>
      </c>
      <c r="AG40" t="b">
        <v>0</v>
      </c>
      <c r="AH40">
        <v>8</v>
      </c>
      <c r="AI40" t="s">
        <v>59</v>
      </c>
      <c r="AJ40">
        <v>3576744902</v>
      </c>
      <c r="AK40" t="b">
        <v>0</v>
      </c>
      <c r="AL40">
        <v>3576744902</v>
      </c>
      <c r="AM40" t="b">
        <v>0</v>
      </c>
      <c r="AN40">
        <v>0</v>
      </c>
      <c r="AO40" t="b">
        <v>0</v>
      </c>
      <c r="AP40">
        <v>0</v>
      </c>
      <c r="AQ40">
        <v>1726630215.6900001</v>
      </c>
      <c r="AR40">
        <v>1726630215.6900001</v>
      </c>
      <c r="AS40">
        <v>0</v>
      </c>
      <c r="AT40" t="b">
        <v>0</v>
      </c>
      <c r="AU40" t="b">
        <v>1</v>
      </c>
      <c r="BA40" t="str">
        <f t="shared" si="0"/>
        <v>Normal</v>
      </c>
      <c r="BG40" t="str">
        <f t="shared" si="1"/>
        <v>Normal</v>
      </c>
    </row>
    <row r="41" spans="1:59" x14ac:dyDescent="0.2">
      <c r="A41" t="s">
        <v>42</v>
      </c>
      <c r="B41" t="s">
        <v>43</v>
      </c>
      <c r="C41">
        <v>20190101</v>
      </c>
      <c r="D41">
        <v>2019</v>
      </c>
      <c r="E41">
        <v>52</v>
      </c>
      <c r="F41" t="s">
        <v>44</v>
      </c>
      <c r="G41">
        <v>364</v>
      </c>
      <c r="H41" t="s">
        <v>142</v>
      </c>
      <c r="I41" t="s">
        <v>143</v>
      </c>
      <c r="J41" t="s">
        <v>47</v>
      </c>
      <c r="K41" t="s">
        <v>48</v>
      </c>
      <c r="L41">
        <v>0</v>
      </c>
      <c r="M41" t="s">
        <v>49</v>
      </c>
      <c r="N41" t="s">
        <v>50</v>
      </c>
      <c r="O41">
        <v>0</v>
      </c>
      <c r="P41" t="s">
        <v>49</v>
      </c>
      <c r="Q41" t="s">
        <v>50</v>
      </c>
      <c r="R41" t="s">
        <v>51</v>
      </c>
      <c r="S41" t="s">
        <v>52</v>
      </c>
      <c r="T41" t="b">
        <v>1</v>
      </c>
      <c r="U41" t="s">
        <v>53</v>
      </c>
      <c r="V41" t="s">
        <v>54</v>
      </c>
      <c r="W41">
        <v>4</v>
      </c>
      <c r="X41" t="b">
        <v>0</v>
      </c>
      <c r="Y41" t="s">
        <v>55</v>
      </c>
      <c r="Z41" t="s">
        <v>56</v>
      </c>
      <c r="AA41" t="s">
        <v>57</v>
      </c>
      <c r="AB41">
        <v>0</v>
      </c>
      <c r="AC41" t="s">
        <v>58</v>
      </c>
      <c r="AD41">
        <v>-1</v>
      </c>
      <c r="AE41" t="s">
        <v>73</v>
      </c>
      <c r="AF41">
        <v>0</v>
      </c>
      <c r="AG41" t="b">
        <v>0</v>
      </c>
      <c r="AH41">
        <v>-1</v>
      </c>
      <c r="AI41" t="s">
        <v>73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Q41">
        <v>16153935333.200001</v>
      </c>
      <c r="AR41">
        <v>16153935333.200001</v>
      </c>
      <c r="AS41">
        <v>0</v>
      </c>
      <c r="AT41" t="b">
        <v>0</v>
      </c>
      <c r="AU41" t="b">
        <v>1</v>
      </c>
      <c r="BA41" t="str">
        <f t="shared" si="0"/>
        <v>Normal</v>
      </c>
      <c r="BG41" t="str">
        <f t="shared" si="1"/>
        <v>Normal</v>
      </c>
    </row>
    <row r="42" spans="1:59" x14ac:dyDescent="0.2">
      <c r="A42" t="s">
        <v>42</v>
      </c>
      <c r="B42" t="s">
        <v>43</v>
      </c>
      <c r="C42">
        <v>20190101</v>
      </c>
      <c r="D42">
        <v>2019</v>
      </c>
      <c r="E42">
        <v>52</v>
      </c>
      <c r="F42" t="s">
        <v>44</v>
      </c>
      <c r="G42">
        <v>372</v>
      </c>
      <c r="H42" t="s">
        <v>144</v>
      </c>
      <c r="I42" t="s">
        <v>145</v>
      </c>
      <c r="J42" t="s">
        <v>47</v>
      </c>
      <c r="K42" t="s">
        <v>48</v>
      </c>
      <c r="L42">
        <v>0</v>
      </c>
      <c r="M42" t="s">
        <v>49</v>
      </c>
      <c r="N42" t="s">
        <v>50</v>
      </c>
      <c r="O42">
        <v>0</v>
      </c>
      <c r="P42" t="s">
        <v>49</v>
      </c>
      <c r="Q42" t="s">
        <v>50</v>
      </c>
      <c r="R42" t="s">
        <v>51</v>
      </c>
      <c r="S42" t="s">
        <v>52</v>
      </c>
      <c r="T42" t="b">
        <v>1</v>
      </c>
      <c r="U42" t="s">
        <v>53</v>
      </c>
      <c r="V42" t="s">
        <v>54</v>
      </c>
      <c r="W42">
        <v>4</v>
      </c>
      <c r="X42" t="b">
        <v>0</v>
      </c>
      <c r="Y42" t="s">
        <v>55</v>
      </c>
      <c r="Z42" t="s">
        <v>56</v>
      </c>
      <c r="AA42" t="s">
        <v>57</v>
      </c>
      <c r="AB42">
        <v>0</v>
      </c>
      <c r="AC42" t="s">
        <v>58</v>
      </c>
      <c r="AD42">
        <v>8</v>
      </c>
      <c r="AE42" t="s">
        <v>59</v>
      </c>
      <c r="AF42">
        <v>2450</v>
      </c>
      <c r="AG42" t="b">
        <v>0</v>
      </c>
      <c r="AH42">
        <v>8</v>
      </c>
      <c r="AI42" t="s">
        <v>59</v>
      </c>
      <c r="AJ42">
        <v>2450</v>
      </c>
      <c r="AK42" t="b">
        <v>0</v>
      </c>
      <c r="AL42">
        <v>2450</v>
      </c>
      <c r="AM42" t="b">
        <v>0</v>
      </c>
      <c r="AN42">
        <v>0</v>
      </c>
      <c r="AO42" t="b">
        <v>0</v>
      </c>
      <c r="AP42">
        <v>0</v>
      </c>
      <c r="AQ42">
        <v>8705.0380000000005</v>
      </c>
      <c r="AR42">
        <v>8705.0380000000005</v>
      </c>
      <c r="AS42">
        <v>0</v>
      </c>
      <c r="AT42" t="b">
        <v>0</v>
      </c>
      <c r="AU42" t="b">
        <v>1</v>
      </c>
      <c r="BA42" t="str">
        <f t="shared" si="0"/>
        <v>Normal</v>
      </c>
      <c r="BG42" t="str">
        <f t="shared" si="1"/>
        <v>Normal</v>
      </c>
    </row>
    <row r="43" spans="1:59" x14ac:dyDescent="0.2">
      <c r="A43" t="s">
        <v>42</v>
      </c>
      <c r="B43" t="s">
        <v>43</v>
      </c>
      <c r="C43">
        <v>20190101</v>
      </c>
      <c r="D43">
        <v>2019</v>
      </c>
      <c r="E43">
        <v>52</v>
      </c>
      <c r="F43" t="s">
        <v>44</v>
      </c>
      <c r="G43">
        <v>376</v>
      </c>
      <c r="H43" t="s">
        <v>146</v>
      </c>
      <c r="I43" t="s">
        <v>147</v>
      </c>
      <c r="J43" t="s">
        <v>47</v>
      </c>
      <c r="K43" t="s">
        <v>48</v>
      </c>
      <c r="L43">
        <v>0</v>
      </c>
      <c r="M43" t="s">
        <v>49</v>
      </c>
      <c r="N43" t="s">
        <v>50</v>
      </c>
      <c r="O43">
        <v>0</v>
      </c>
      <c r="P43" t="s">
        <v>49</v>
      </c>
      <c r="Q43" t="s">
        <v>50</v>
      </c>
      <c r="R43" t="s">
        <v>51</v>
      </c>
      <c r="S43" t="s">
        <v>52</v>
      </c>
      <c r="T43" t="b">
        <v>1</v>
      </c>
      <c r="U43" t="s">
        <v>53</v>
      </c>
      <c r="V43" t="s">
        <v>54</v>
      </c>
      <c r="W43">
        <v>4</v>
      </c>
      <c r="X43" t="b">
        <v>0</v>
      </c>
      <c r="Y43" t="s">
        <v>55</v>
      </c>
      <c r="Z43" t="s">
        <v>56</v>
      </c>
      <c r="AA43" t="s">
        <v>57</v>
      </c>
      <c r="AB43">
        <v>0</v>
      </c>
      <c r="AC43" t="s">
        <v>58</v>
      </c>
      <c r="AD43">
        <v>8</v>
      </c>
      <c r="AE43" t="s">
        <v>59</v>
      </c>
      <c r="AF43">
        <v>15336523.676000001</v>
      </c>
      <c r="AG43" t="b">
        <v>1</v>
      </c>
      <c r="AH43">
        <v>-1</v>
      </c>
      <c r="AI43" t="s">
        <v>73</v>
      </c>
      <c r="AJ43">
        <v>0</v>
      </c>
      <c r="AK43" t="b">
        <v>0</v>
      </c>
      <c r="AL43">
        <v>15336523.676000001</v>
      </c>
      <c r="AM43" t="b">
        <v>1</v>
      </c>
      <c r="AN43">
        <v>0</v>
      </c>
      <c r="AO43" t="b">
        <v>0</v>
      </c>
      <c r="AQ43">
        <v>7163000</v>
      </c>
      <c r="AR43">
        <v>7163000</v>
      </c>
      <c r="AS43">
        <v>6</v>
      </c>
      <c r="AT43" t="b">
        <v>0</v>
      </c>
      <c r="AU43" t="b">
        <v>1</v>
      </c>
      <c r="BA43" t="str">
        <f t="shared" si="0"/>
        <v>Normal</v>
      </c>
      <c r="BG43" t="str">
        <f t="shared" si="1"/>
        <v>Normal</v>
      </c>
    </row>
    <row r="44" spans="1:59" x14ac:dyDescent="0.2">
      <c r="A44" t="s">
        <v>42</v>
      </c>
      <c r="B44" t="s">
        <v>43</v>
      </c>
      <c r="C44">
        <v>20190101</v>
      </c>
      <c r="D44">
        <v>2019</v>
      </c>
      <c r="E44">
        <v>52</v>
      </c>
      <c r="F44" t="s">
        <v>44</v>
      </c>
      <c r="G44">
        <v>380</v>
      </c>
      <c r="H44" t="s">
        <v>148</v>
      </c>
      <c r="I44" t="s">
        <v>149</v>
      </c>
      <c r="J44" t="s">
        <v>47</v>
      </c>
      <c r="K44" t="s">
        <v>48</v>
      </c>
      <c r="L44">
        <v>0</v>
      </c>
      <c r="M44" t="s">
        <v>49</v>
      </c>
      <c r="N44" t="s">
        <v>50</v>
      </c>
      <c r="O44">
        <v>0</v>
      </c>
      <c r="P44" t="s">
        <v>49</v>
      </c>
      <c r="Q44" t="s">
        <v>50</v>
      </c>
      <c r="R44" t="s">
        <v>51</v>
      </c>
      <c r="S44" t="s">
        <v>52</v>
      </c>
      <c r="T44" t="b">
        <v>1</v>
      </c>
      <c r="U44" t="s">
        <v>53</v>
      </c>
      <c r="V44" t="s">
        <v>54</v>
      </c>
      <c r="W44">
        <v>4</v>
      </c>
      <c r="X44" t="b">
        <v>0</v>
      </c>
      <c r="Y44" t="s">
        <v>55</v>
      </c>
      <c r="Z44" t="s">
        <v>56</v>
      </c>
      <c r="AA44" t="s">
        <v>57</v>
      </c>
      <c r="AB44">
        <v>0</v>
      </c>
      <c r="AC44" t="s">
        <v>58</v>
      </c>
      <c r="AD44">
        <v>8</v>
      </c>
      <c r="AE44" t="s">
        <v>59</v>
      </c>
      <c r="AF44">
        <v>131413205</v>
      </c>
      <c r="AG44" t="b">
        <v>0</v>
      </c>
      <c r="AH44">
        <v>8</v>
      </c>
      <c r="AI44" t="s">
        <v>59</v>
      </c>
      <c r="AJ44">
        <v>131413205</v>
      </c>
      <c r="AK44" t="b">
        <v>0</v>
      </c>
      <c r="AL44">
        <v>131413205</v>
      </c>
      <c r="AM44" t="b">
        <v>0</v>
      </c>
      <c r="AN44">
        <v>0</v>
      </c>
      <c r="AO44" t="b">
        <v>0</v>
      </c>
      <c r="AQ44">
        <v>44184594.504000001</v>
      </c>
      <c r="AR44">
        <v>44184594.504000001</v>
      </c>
      <c r="AS44">
        <v>0</v>
      </c>
      <c r="AT44" t="b">
        <v>0</v>
      </c>
      <c r="AU44" t="b">
        <v>1</v>
      </c>
      <c r="BA44" t="str">
        <f t="shared" si="0"/>
        <v>Normal</v>
      </c>
      <c r="BG44" t="str">
        <f t="shared" si="1"/>
        <v>Normal</v>
      </c>
    </row>
    <row r="45" spans="1:59" x14ac:dyDescent="0.2">
      <c r="A45" t="s">
        <v>42</v>
      </c>
      <c r="B45" t="s">
        <v>43</v>
      </c>
      <c r="C45">
        <v>20190101</v>
      </c>
      <c r="D45">
        <v>2019</v>
      </c>
      <c r="E45">
        <v>52</v>
      </c>
      <c r="F45" t="s">
        <v>44</v>
      </c>
      <c r="G45">
        <v>384</v>
      </c>
      <c r="H45" t="s">
        <v>150</v>
      </c>
      <c r="I45" t="s">
        <v>151</v>
      </c>
      <c r="J45" t="s">
        <v>47</v>
      </c>
      <c r="K45" t="s">
        <v>48</v>
      </c>
      <c r="L45">
        <v>0</v>
      </c>
      <c r="M45" t="s">
        <v>49</v>
      </c>
      <c r="N45" t="s">
        <v>50</v>
      </c>
      <c r="O45">
        <v>0</v>
      </c>
      <c r="P45" t="s">
        <v>49</v>
      </c>
      <c r="Q45" t="s">
        <v>50</v>
      </c>
      <c r="R45" t="s">
        <v>51</v>
      </c>
      <c r="S45" t="s">
        <v>52</v>
      </c>
      <c r="T45" t="b">
        <v>1</v>
      </c>
      <c r="U45" t="s">
        <v>53</v>
      </c>
      <c r="V45" t="s">
        <v>54</v>
      </c>
      <c r="W45">
        <v>4</v>
      </c>
      <c r="X45" t="b">
        <v>0</v>
      </c>
      <c r="Y45" t="s">
        <v>55</v>
      </c>
      <c r="Z45" t="s">
        <v>56</v>
      </c>
      <c r="AA45" t="s">
        <v>57</v>
      </c>
      <c r="AB45">
        <v>0</v>
      </c>
      <c r="AC45" t="s">
        <v>58</v>
      </c>
      <c r="AD45">
        <v>8</v>
      </c>
      <c r="AE45" t="s">
        <v>59</v>
      </c>
      <c r="AF45">
        <v>2040779254</v>
      </c>
      <c r="AG45" t="b">
        <v>0</v>
      </c>
      <c r="AH45">
        <v>8</v>
      </c>
      <c r="AI45" t="s">
        <v>59</v>
      </c>
      <c r="AJ45">
        <v>2040779254</v>
      </c>
      <c r="AK45" t="b">
        <v>0</v>
      </c>
      <c r="AL45">
        <v>2040779254</v>
      </c>
      <c r="AM45" t="b">
        <v>0</v>
      </c>
      <c r="AN45">
        <v>0</v>
      </c>
      <c r="AO45" t="b">
        <v>0</v>
      </c>
      <c r="AQ45">
        <v>901869091.83299994</v>
      </c>
      <c r="AR45">
        <v>901869091.83299994</v>
      </c>
      <c r="AS45">
        <v>0</v>
      </c>
      <c r="AT45" t="b">
        <v>0</v>
      </c>
      <c r="AU45" t="b">
        <v>1</v>
      </c>
      <c r="BA45" t="str">
        <f t="shared" si="0"/>
        <v>Normal</v>
      </c>
      <c r="BG45" t="str">
        <f t="shared" si="1"/>
        <v>Normal</v>
      </c>
    </row>
    <row r="46" spans="1:59" x14ac:dyDescent="0.2">
      <c r="A46" t="s">
        <v>42</v>
      </c>
      <c r="B46" t="s">
        <v>43</v>
      </c>
      <c r="C46">
        <v>20190101</v>
      </c>
      <c r="D46">
        <v>2019</v>
      </c>
      <c r="E46">
        <v>52</v>
      </c>
      <c r="F46" t="s">
        <v>44</v>
      </c>
      <c r="G46">
        <v>398</v>
      </c>
      <c r="H46" t="s">
        <v>152</v>
      </c>
      <c r="I46" t="s">
        <v>153</v>
      </c>
      <c r="J46" t="s">
        <v>47</v>
      </c>
      <c r="K46" t="s">
        <v>48</v>
      </c>
      <c r="L46">
        <v>0</v>
      </c>
      <c r="M46" t="s">
        <v>49</v>
      </c>
      <c r="N46" t="s">
        <v>50</v>
      </c>
      <c r="O46">
        <v>0</v>
      </c>
      <c r="P46" t="s">
        <v>49</v>
      </c>
      <c r="Q46" t="s">
        <v>50</v>
      </c>
      <c r="R46" t="s">
        <v>51</v>
      </c>
      <c r="S46" t="s">
        <v>52</v>
      </c>
      <c r="T46" t="b">
        <v>1</v>
      </c>
      <c r="U46" t="s">
        <v>53</v>
      </c>
      <c r="V46" t="s">
        <v>54</v>
      </c>
      <c r="W46">
        <v>4</v>
      </c>
      <c r="X46" t="b">
        <v>0</v>
      </c>
      <c r="Y46" t="s">
        <v>55</v>
      </c>
      <c r="Z46" t="s">
        <v>56</v>
      </c>
      <c r="AA46" t="s">
        <v>57</v>
      </c>
      <c r="AB46">
        <v>0</v>
      </c>
      <c r="AC46" t="s">
        <v>58</v>
      </c>
      <c r="AD46">
        <v>8</v>
      </c>
      <c r="AE46" t="s">
        <v>59</v>
      </c>
      <c r="AF46">
        <v>70008740151.960007</v>
      </c>
      <c r="AG46" t="b">
        <v>0</v>
      </c>
      <c r="AH46">
        <v>8</v>
      </c>
      <c r="AI46" t="s">
        <v>59</v>
      </c>
      <c r="AJ46">
        <v>70008740151.960007</v>
      </c>
      <c r="AK46" t="b">
        <v>0</v>
      </c>
      <c r="AL46">
        <v>70008740151.960007</v>
      </c>
      <c r="AM46" t="b">
        <v>0</v>
      </c>
      <c r="AN46">
        <v>0</v>
      </c>
      <c r="AO46" t="b">
        <v>0</v>
      </c>
      <c r="AQ46">
        <v>33585170294.790001</v>
      </c>
      <c r="AR46">
        <v>33585170294.790001</v>
      </c>
      <c r="AS46">
        <v>0</v>
      </c>
      <c r="AT46" t="b">
        <v>0</v>
      </c>
      <c r="AU46" t="b">
        <v>1</v>
      </c>
      <c r="BA46" t="str">
        <f t="shared" si="0"/>
        <v>Normal</v>
      </c>
      <c r="BG46" t="str">
        <f t="shared" si="1"/>
        <v>Normal</v>
      </c>
    </row>
    <row r="47" spans="1:59" x14ac:dyDescent="0.2">
      <c r="A47" t="s">
        <v>42</v>
      </c>
      <c r="B47" t="s">
        <v>43</v>
      </c>
      <c r="C47">
        <v>20190101</v>
      </c>
      <c r="D47">
        <v>2019</v>
      </c>
      <c r="E47">
        <v>52</v>
      </c>
      <c r="F47" t="s">
        <v>44</v>
      </c>
      <c r="G47">
        <v>404</v>
      </c>
      <c r="H47" t="s">
        <v>154</v>
      </c>
      <c r="I47" t="s">
        <v>155</v>
      </c>
      <c r="J47" t="s">
        <v>47</v>
      </c>
      <c r="K47" t="s">
        <v>48</v>
      </c>
      <c r="L47">
        <v>0</v>
      </c>
      <c r="M47" t="s">
        <v>49</v>
      </c>
      <c r="N47" t="s">
        <v>50</v>
      </c>
      <c r="O47">
        <v>0</v>
      </c>
      <c r="P47" t="s">
        <v>49</v>
      </c>
      <c r="Q47" t="s">
        <v>50</v>
      </c>
      <c r="R47" t="s">
        <v>51</v>
      </c>
      <c r="S47" t="s">
        <v>52</v>
      </c>
      <c r="T47" t="b">
        <v>1</v>
      </c>
      <c r="U47" t="s">
        <v>53</v>
      </c>
      <c r="V47" t="s">
        <v>54</v>
      </c>
      <c r="W47">
        <v>4</v>
      </c>
      <c r="X47" t="b">
        <v>0</v>
      </c>
      <c r="Y47" t="s">
        <v>55</v>
      </c>
      <c r="Z47" t="s">
        <v>56</v>
      </c>
      <c r="AA47" t="s">
        <v>57</v>
      </c>
      <c r="AB47">
        <v>0</v>
      </c>
      <c r="AC47" t="s">
        <v>58</v>
      </c>
      <c r="AD47">
        <v>-1</v>
      </c>
      <c r="AE47" t="s">
        <v>73</v>
      </c>
      <c r="AF47">
        <v>0</v>
      </c>
      <c r="AG47" t="b">
        <v>1</v>
      </c>
      <c r="AH47">
        <v>-1</v>
      </c>
      <c r="AI47" t="s">
        <v>73</v>
      </c>
      <c r="AJ47">
        <v>0</v>
      </c>
      <c r="AK47" t="b">
        <v>0</v>
      </c>
      <c r="AM47" t="b">
        <v>1</v>
      </c>
      <c r="AN47">
        <v>0</v>
      </c>
      <c r="AO47" t="b">
        <v>0</v>
      </c>
      <c r="AQ47">
        <v>5608.19</v>
      </c>
      <c r="AR47">
        <v>5608.19</v>
      </c>
      <c r="AS47">
        <v>6</v>
      </c>
      <c r="AT47" t="b">
        <v>0</v>
      </c>
      <c r="AU47" t="b">
        <v>1</v>
      </c>
      <c r="BA47" t="str">
        <f t="shared" si="0"/>
        <v>Normal</v>
      </c>
      <c r="BG47" t="str">
        <f t="shared" si="1"/>
        <v>Normal</v>
      </c>
    </row>
    <row r="48" spans="1:59" x14ac:dyDescent="0.2">
      <c r="A48" t="s">
        <v>42</v>
      </c>
      <c r="B48" t="s">
        <v>43</v>
      </c>
      <c r="C48">
        <v>20190101</v>
      </c>
      <c r="D48">
        <v>2019</v>
      </c>
      <c r="E48">
        <v>52</v>
      </c>
      <c r="F48" t="s">
        <v>44</v>
      </c>
      <c r="G48">
        <v>410</v>
      </c>
      <c r="H48" t="s">
        <v>156</v>
      </c>
      <c r="I48" t="s">
        <v>157</v>
      </c>
      <c r="J48" t="s">
        <v>47</v>
      </c>
      <c r="K48" t="s">
        <v>48</v>
      </c>
      <c r="L48">
        <v>0</v>
      </c>
      <c r="M48" t="s">
        <v>49</v>
      </c>
      <c r="N48" t="s">
        <v>50</v>
      </c>
      <c r="O48">
        <v>0</v>
      </c>
      <c r="P48" t="s">
        <v>49</v>
      </c>
      <c r="Q48" t="s">
        <v>50</v>
      </c>
      <c r="R48" t="s">
        <v>51</v>
      </c>
      <c r="S48" t="s">
        <v>52</v>
      </c>
      <c r="T48" t="b">
        <v>1</v>
      </c>
      <c r="U48" t="s">
        <v>53</v>
      </c>
      <c r="V48" t="s">
        <v>54</v>
      </c>
      <c r="W48">
        <v>4</v>
      </c>
      <c r="X48" t="b">
        <v>0</v>
      </c>
      <c r="Y48" t="s">
        <v>55</v>
      </c>
      <c r="Z48" t="s">
        <v>56</v>
      </c>
      <c r="AA48" t="s">
        <v>57</v>
      </c>
      <c r="AB48">
        <v>0</v>
      </c>
      <c r="AC48" t="s">
        <v>58</v>
      </c>
      <c r="AD48">
        <v>8</v>
      </c>
      <c r="AE48" t="s">
        <v>59</v>
      </c>
      <c r="AF48">
        <v>1301.114</v>
      </c>
      <c r="AG48" t="b">
        <v>1</v>
      </c>
      <c r="AH48">
        <v>-1</v>
      </c>
      <c r="AI48" t="s">
        <v>73</v>
      </c>
      <c r="AJ48">
        <v>0</v>
      </c>
      <c r="AK48" t="b">
        <v>0</v>
      </c>
      <c r="AL48">
        <v>1301.114</v>
      </c>
      <c r="AM48" t="b">
        <v>1</v>
      </c>
      <c r="AN48">
        <v>0</v>
      </c>
      <c r="AO48" t="b">
        <v>0</v>
      </c>
      <c r="AQ48">
        <v>5724</v>
      </c>
      <c r="AR48">
        <v>5724</v>
      </c>
      <c r="AS48">
        <v>6</v>
      </c>
      <c r="AT48" t="b">
        <v>0</v>
      </c>
      <c r="AU48" t="b">
        <v>1</v>
      </c>
      <c r="BA48" t="str">
        <f t="shared" si="0"/>
        <v>Normal</v>
      </c>
      <c r="BG48" t="str">
        <f t="shared" si="1"/>
        <v>Normal</v>
      </c>
    </row>
    <row r="49" spans="1:59" x14ac:dyDescent="0.2">
      <c r="A49" t="s">
        <v>42</v>
      </c>
      <c r="B49" t="s">
        <v>43</v>
      </c>
      <c r="C49">
        <v>20190101</v>
      </c>
      <c r="D49">
        <v>2019</v>
      </c>
      <c r="E49">
        <v>52</v>
      </c>
      <c r="F49" t="s">
        <v>44</v>
      </c>
      <c r="G49">
        <v>414</v>
      </c>
      <c r="H49" t="s">
        <v>158</v>
      </c>
      <c r="I49" t="s">
        <v>159</v>
      </c>
      <c r="J49" t="s">
        <v>47</v>
      </c>
      <c r="K49" t="s">
        <v>48</v>
      </c>
      <c r="L49">
        <v>0</v>
      </c>
      <c r="M49" t="s">
        <v>49</v>
      </c>
      <c r="N49" t="s">
        <v>50</v>
      </c>
      <c r="O49">
        <v>0</v>
      </c>
      <c r="P49" t="s">
        <v>49</v>
      </c>
      <c r="Q49" t="s">
        <v>50</v>
      </c>
      <c r="R49" t="s">
        <v>51</v>
      </c>
      <c r="S49" t="s">
        <v>52</v>
      </c>
      <c r="T49" t="b">
        <v>1</v>
      </c>
      <c r="U49" t="s">
        <v>53</v>
      </c>
      <c r="V49" t="s">
        <v>54</v>
      </c>
      <c r="W49">
        <v>4</v>
      </c>
      <c r="X49" t="b">
        <v>0</v>
      </c>
      <c r="Y49" t="s">
        <v>55</v>
      </c>
      <c r="Z49" t="s">
        <v>56</v>
      </c>
      <c r="AA49" t="s">
        <v>57</v>
      </c>
      <c r="AB49">
        <v>0</v>
      </c>
      <c r="AC49" t="s">
        <v>58</v>
      </c>
      <c r="AD49">
        <v>8</v>
      </c>
      <c r="AE49" t="s">
        <v>59</v>
      </c>
      <c r="AF49">
        <v>115420167000</v>
      </c>
      <c r="AG49" t="b">
        <v>0</v>
      </c>
      <c r="AH49">
        <v>19</v>
      </c>
      <c r="AI49" t="s">
        <v>60</v>
      </c>
      <c r="AJ49">
        <v>725913000</v>
      </c>
      <c r="AK49" t="b">
        <v>0</v>
      </c>
      <c r="AM49" t="b">
        <v>0</v>
      </c>
      <c r="AN49">
        <v>0</v>
      </c>
      <c r="AO49" t="b">
        <v>0</v>
      </c>
      <c r="AQ49">
        <v>46539357988</v>
      </c>
      <c r="AR49">
        <v>46539357988</v>
      </c>
      <c r="AS49">
        <v>0</v>
      </c>
      <c r="AT49" t="b">
        <v>0</v>
      </c>
      <c r="AU49" t="b">
        <v>1</v>
      </c>
      <c r="BA49" t="str">
        <f t="shared" si="0"/>
        <v>Normal</v>
      </c>
      <c r="BG49" t="str">
        <f t="shared" si="1"/>
        <v>Normal</v>
      </c>
    </row>
    <row r="50" spans="1:59" x14ac:dyDescent="0.2">
      <c r="A50" t="s">
        <v>42</v>
      </c>
      <c r="B50" t="s">
        <v>43</v>
      </c>
      <c r="C50">
        <v>20190101</v>
      </c>
      <c r="D50">
        <v>2019</v>
      </c>
      <c r="E50">
        <v>52</v>
      </c>
      <c r="F50" t="s">
        <v>44</v>
      </c>
      <c r="G50">
        <v>417</v>
      </c>
      <c r="H50" t="s">
        <v>160</v>
      </c>
      <c r="I50" t="s">
        <v>161</v>
      </c>
      <c r="J50" t="s">
        <v>47</v>
      </c>
      <c r="K50" t="s">
        <v>48</v>
      </c>
      <c r="L50">
        <v>0</v>
      </c>
      <c r="M50" t="s">
        <v>49</v>
      </c>
      <c r="N50" t="s">
        <v>50</v>
      </c>
      <c r="O50">
        <v>0</v>
      </c>
      <c r="P50" t="s">
        <v>49</v>
      </c>
      <c r="Q50" t="s">
        <v>50</v>
      </c>
      <c r="R50" t="s">
        <v>51</v>
      </c>
      <c r="S50" t="s">
        <v>52</v>
      </c>
      <c r="T50" t="b">
        <v>1</v>
      </c>
      <c r="U50" t="s">
        <v>53</v>
      </c>
      <c r="V50" t="s">
        <v>54</v>
      </c>
      <c r="W50">
        <v>4</v>
      </c>
      <c r="X50" t="b">
        <v>0</v>
      </c>
      <c r="Y50" t="s">
        <v>55</v>
      </c>
      <c r="Z50" t="s">
        <v>56</v>
      </c>
      <c r="AA50" t="s">
        <v>57</v>
      </c>
      <c r="AB50">
        <v>0</v>
      </c>
      <c r="AC50" t="s">
        <v>58</v>
      </c>
      <c r="AD50">
        <v>8</v>
      </c>
      <c r="AE50" t="s">
        <v>59</v>
      </c>
      <c r="AF50">
        <v>51209190</v>
      </c>
      <c r="AG50" t="b">
        <v>0</v>
      </c>
      <c r="AH50">
        <v>8</v>
      </c>
      <c r="AI50" t="s">
        <v>59</v>
      </c>
      <c r="AJ50">
        <v>51209190</v>
      </c>
      <c r="AK50" t="b">
        <v>0</v>
      </c>
      <c r="AL50">
        <v>51209190</v>
      </c>
      <c r="AM50" t="b">
        <v>0</v>
      </c>
      <c r="AN50">
        <v>0</v>
      </c>
      <c r="AO50" t="b">
        <v>0</v>
      </c>
      <c r="AQ50">
        <v>16182548</v>
      </c>
      <c r="AR50">
        <v>16182548</v>
      </c>
      <c r="AS50">
        <v>0</v>
      </c>
      <c r="AT50" t="b">
        <v>0</v>
      </c>
      <c r="AU50" t="b">
        <v>1</v>
      </c>
      <c r="BA50" t="str">
        <f t="shared" si="0"/>
        <v>Normal</v>
      </c>
      <c r="BG50" t="str">
        <f t="shared" si="1"/>
        <v>Normal</v>
      </c>
    </row>
    <row r="51" spans="1:59" x14ac:dyDescent="0.2">
      <c r="A51" t="s">
        <v>42</v>
      </c>
      <c r="B51" t="s">
        <v>43</v>
      </c>
      <c r="C51">
        <v>20190101</v>
      </c>
      <c r="D51">
        <v>2019</v>
      </c>
      <c r="E51">
        <v>52</v>
      </c>
      <c r="F51" t="s">
        <v>44</v>
      </c>
      <c r="G51">
        <v>418</v>
      </c>
      <c r="H51" t="s">
        <v>162</v>
      </c>
      <c r="I51" t="s">
        <v>163</v>
      </c>
      <c r="J51" t="s">
        <v>47</v>
      </c>
      <c r="K51" t="s">
        <v>48</v>
      </c>
      <c r="L51">
        <v>0</v>
      </c>
      <c r="M51" t="s">
        <v>49</v>
      </c>
      <c r="N51" t="s">
        <v>50</v>
      </c>
      <c r="O51">
        <v>0</v>
      </c>
      <c r="P51" t="s">
        <v>49</v>
      </c>
      <c r="Q51" t="s">
        <v>50</v>
      </c>
      <c r="R51" t="s">
        <v>51</v>
      </c>
      <c r="S51" t="s">
        <v>52</v>
      </c>
      <c r="T51" t="b">
        <v>1</v>
      </c>
      <c r="U51" t="s">
        <v>53</v>
      </c>
      <c r="V51" t="s">
        <v>54</v>
      </c>
      <c r="W51">
        <v>4</v>
      </c>
      <c r="X51" t="b">
        <v>0</v>
      </c>
      <c r="Y51" t="s">
        <v>55</v>
      </c>
      <c r="Z51" t="s">
        <v>56</v>
      </c>
      <c r="AA51" t="s">
        <v>57</v>
      </c>
      <c r="AB51">
        <v>0</v>
      </c>
      <c r="AC51" t="s">
        <v>58</v>
      </c>
      <c r="AD51">
        <v>8</v>
      </c>
      <c r="AE51" t="s">
        <v>59</v>
      </c>
      <c r="AF51">
        <v>13800</v>
      </c>
      <c r="AG51" t="b">
        <v>0</v>
      </c>
      <c r="AH51">
        <v>8</v>
      </c>
      <c r="AI51" t="s">
        <v>59</v>
      </c>
      <c r="AJ51">
        <v>13800</v>
      </c>
      <c r="AK51" t="b">
        <v>0</v>
      </c>
      <c r="AL51">
        <v>13800</v>
      </c>
      <c r="AM51" t="b">
        <v>0</v>
      </c>
      <c r="AN51">
        <v>0</v>
      </c>
      <c r="AO51" t="b">
        <v>0</v>
      </c>
      <c r="AQ51">
        <v>1600</v>
      </c>
      <c r="AR51">
        <v>1600</v>
      </c>
      <c r="AS51">
        <v>0</v>
      </c>
      <c r="AT51" t="b">
        <v>0</v>
      </c>
      <c r="AU51" t="b">
        <v>1</v>
      </c>
      <c r="BA51" t="str">
        <f t="shared" si="0"/>
        <v>Normal</v>
      </c>
      <c r="BG51" t="str">
        <f t="shared" si="1"/>
        <v>Normal</v>
      </c>
    </row>
    <row r="52" spans="1:59" x14ac:dyDescent="0.2">
      <c r="A52" t="s">
        <v>42</v>
      </c>
      <c r="B52" t="s">
        <v>43</v>
      </c>
      <c r="C52">
        <v>20190101</v>
      </c>
      <c r="D52">
        <v>2019</v>
      </c>
      <c r="E52">
        <v>52</v>
      </c>
      <c r="F52" t="s">
        <v>44</v>
      </c>
      <c r="G52">
        <v>422</v>
      </c>
      <c r="H52" t="s">
        <v>164</v>
      </c>
      <c r="I52" t="s">
        <v>165</v>
      </c>
      <c r="J52" t="s">
        <v>47</v>
      </c>
      <c r="K52" t="s">
        <v>48</v>
      </c>
      <c r="L52">
        <v>0</v>
      </c>
      <c r="M52" t="s">
        <v>49</v>
      </c>
      <c r="N52" t="s">
        <v>50</v>
      </c>
      <c r="O52">
        <v>0</v>
      </c>
      <c r="P52" t="s">
        <v>49</v>
      </c>
      <c r="Q52" t="s">
        <v>50</v>
      </c>
      <c r="R52" t="s">
        <v>51</v>
      </c>
      <c r="S52" t="s">
        <v>52</v>
      </c>
      <c r="T52" t="b">
        <v>1</v>
      </c>
      <c r="U52" t="s">
        <v>53</v>
      </c>
      <c r="V52" t="s">
        <v>54</v>
      </c>
      <c r="W52">
        <v>4</v>
      </c>
      <c r="X52" t="b">
        <v>0</v>
      </c>
      <c r="Y52" t="s">
        <v>55</v>
      </c>
      <c r="Z52" t="s">
        <v>56</v>
      </c>
      <c r="AA52" t="s">
        <v>57</v>
      </c>
      <c r="AB52">
        <v>0</v>
      </c>
      <c r="AC52" t="s">
        <v>58</v>
      </c>
      <c r="AD52">
        <v>8</v>
      </c>
      <c r="AE52" t="s">
        <v>59</v>
      </c>
      <c r="AF52">
        <v>1840</v>
      </c>
      <c r="AG52" t="b">
        <v>0</v>
      </c>
      <c r="AH52">
        <v>8</v>
      </c>
      <c r="AI52" t="s">
        <v>59</v>
      </c>
      <c r="AJ52">
        <v>1840</v>
      </c>
      <c r="AK52" t="b">
        <v>0</v>
      </c>
      <c r="AL52">
        <v>1840</v>
      </c>
      <c r="AM52" t="b">
        <v>0</v>
      </c>
      <c r="AN52">
        <v>0</v>
      </c>
      <c r="AO52" t="b">
        <v>0</v>
      </c>
      <c r="AP52">
        <v>0</v>
      </c>
      <c r="AQ52">
        <v>6586.87</v>
      </c>
      <c r="AR52">
        <v>6586.87</v>
      </c>
      <c r="AS52">
        <v>0</v>
      </c>
      <c r="AT52" t="b">
        <v>0</v>
      </c>
      <c r="AU52" t="b">
        <v>1</v>
      </c>
      <c r="BA52" t="str">
        <f t="shared" si="0"/>
        <v>Normal</v>
      </c>
      <c r="BG52" t="str">
        <f t="shared" si="1"/>
        <v>Normal</v>
      </c>
    </row>
    <row r="53" spans="1:59" x14ac:dyDescent="0.2">
      <c r="A53" t="s">
        <v>42</v>
      </c>
      <c r="B53" t="s">
        <v>43</v>
      </c>
      <c r="C53">
        <v>20190101</v>
      </c>
      <c r="D53">
        <v>2019</v>
      </c>
      <c r="E53">
        <v>52</v>
      </c>
      <c r="F53" t="s">
        <v>44</v>
      </c>
      <c r="G53">
        <v>428</v>
      </c>
      <c r="H53" t="s">
        <v>166</v>
      </c>
      <c r="I53" t="s">
        <v>167</v>
      </c>
      <c r="J53" t="s">
        <v>47</v>
      </c>
      <c r="K53" t="s">
        <v>48</v>
      </c>
      <c r="L53">
        <v>0</v>
      </c>
      <c r="M53" t="s">
        <v>49</v>
      </c>
      <c r="N53" t="s">
        <v>50</v>
      </c>
      <c r="O53">
        <v>0</v>
      </c>
      <c r="P53" t="s">
        <v>49</v>
      </c>
      <c r="Q53" t="s">
        <v>50</v>
      </c>
      <c r="R53" t="s">
        <v>51</v>
      </c>
      <c r="S53" t="s">
        <v>52</v>
      </c>
      <c r="T53" t="b">
        <v>1</v>
      </c>
      <c r="U53" t="s">
        <v>53</v>
      </c>
      <c r="V53" t="s">
        <v>54</v>
      </c>
      <c r="W53">
        <v>4</v>
      </c>
      <c r="X53" t="b">
        <v>0</v>
      </c>
      <c r="Y53" t="s">
        <v>55</v>
      </c>
      <c r="Z53" t="s">
        <v>56</v>
      </c>
      <c r="AA53" t="s">
        <v>57</v>
      </c>
      <c r="AB53">
        <v>0</v>
      </c>
      <c r="AC53" t="s">
        <v>58</v>
      </c>
      <c r="AD53">
        <v>8</v>
      </c>
      <c r="AE53" t="s">
        <v>59</v>
      </c>
      <c r="AF53">
        <v>10212693</v>
      </c>
      <c r="AG53" t="b">
        <v>0</v>
      </c>
      <c r="AH53">
        <v>8</v>
      </c>
      <c r="AI53" t="s">
        <v>59</v>
      </c>
      <c r="AJ53">
        <v>10212693</v>
      </c>
      <c r="AK53" t="b">
        <v>0</v>
      </c>
      <c r="AL53">
        <v>10212693</v>
      </c>
      <c r="AM53" t="b">
        <v>0</v>
      </c>
      <c r="AN53">
        <v>0</v>
      </c>
      <c r="AO53" t="b">
        <v>0</v>
      </c>
      <c r="AQ53">
        <v>4327572.7640000004</v>
      </c>
      <c r="AR53">
        <v>4327572.7640000004</v>
      </c>
      <c r="AS53">
        <v>0</v>
      </c>
      <c r="AT53" t="b">
        <v>0</v>
      </c>
      <c r="AU53" t="b">
        <v>1</v>
      </c>
      <c r="BA53" t="str">
        <f t="shared" si="0"/>
        <v>Normal</v>
      </c>
      <c r="BG53" t="str">
        <f t="shared" si="1"/>
        <v>Normal</v>
      </c>
    </row>
    <row r="54" spans="1:59" x14ac:dyDescent="0.2">
      <c r="A54" t="s">
        <v>42</v>
      </c>
      <c r="B54" t="s">
        <v>43</v>
      </c>
      <c r="C54">
        <v>20190101</v>
      </c>
      <c r="D54">
        <v>2019</v>
      </c>
      <c r="E54">
        <v>52</v>
      </c>
      <c r="F54" t="s">
        <v>44</v>
      </c>
      <c r="G54">
        <v>434</v>
      </c>
      <c r="H54" t="s">
        <v>168</v>
      </c>
      <c r="I54" t="s">
        <v>169</v>
      </c>
      <c r="J54" t="s">
        <v>47</v>
      </c>
      <c r="K54" t="s">
        <v>48</v>
      </c>
      <c r="L54">
        <v>0</v>
      </c>
      <c r="M54" t="s">
        <v>49</v>
      </c>
      <c r="N54" t="s">
        <v>50</v>
      </c>
      <c r="O54">
        <v>0</v>
      </c>
      <c r="P54" t="s">
        <v>49</v>
      </c>
      <c r="Q54" t="s">
        <v>50</v>
      </c>
      <c r="R54" t="s">
        <v>51</v>
      </c>
      <c r="S54" t="s">
        <v>52</v>
      </c>
      <c r="T54" t="b">
        <v>1</v>
      </c>
      <c r="U54" t="s">
        <v>53</v>
      </c>
      <c r="V54" t="s">
        <v>54</v>
      </c>
      <c r="W54">
        <v>4</v>
      </c>
      <c r="X54" t="b">
        <v>0</v>
      </c>
      <c r="Y54" t="s">
        <v>55</v>
      </c>
      <c r="Z54" t="s">
        <v>56</v>
      </c>
      <c r="AA54" t="s">
        <v>57</v>
      </c>
      <c r="AB54">
        <v>0</v>
      </c>
      <c r="AC54" t="s">
        <v>58</v>
      </c>
      <c r="AD54">
        <v>8</v>
      </c>
      <c r="AE54" t="s">
        <v>59</v>
      </c>
      <c r="AF54">
        <v>50463504300</v>
      </c>
      <c r="AG54" t="b">
        <v>0</v>
      </c>
      <c r="AH54">
        <v>21</v>
      </c>
      <c r="AI54" t="s">
        <v>170</v>
      </c>
      <c r="AJ54">
        <v>50463504.299999997</v>
      </c>
      <c r="AK54" t="b">
        <v>0</v>
      </c>
      <c r="AL54">
        <v>50463504300</v>
      </c>
      <c r="AM54" t="b">
        <v>0</v>
      </c>
      <c r="AN54">
        <v>0</v>
      </c>
      <c r="AO54" t="b">
        <v>0</v>
      </c>
      <c r="AP54">
        <v>0</v>
      </c>
      <c r="AQ54">
        <v>24182530749.703999</v>
      </c>
      <c r="AR54">
        <v>24182530749.703999</v>
      </c>
      <c r="AS54">
        <v>0</v>
      </c>
      <c r="AT54" t="b">
        <v>0</v>
      </c>
      <c r="AU54" t="b">
        <v>1</v>
      </c>
      <c r="BA54" t="str">
        <f t="shared" si="0"/>
        <v>Normal</v>
      </c>
      <c r="BG54" t="str">
        <f t="shared" si="1"/>
        <v>Normal</v>
      </c>
    </row>
    <row r="55" spans="1:59" x14ac:dyDescent="0.2">
      <c r="A55" t="s">
        <v>42</v>
      </c>
      <c r="B55" t="s">
        <v>43</v>
      </c>
      <c r="C55">
        <v>20190101</v>
      </c>
      <c r="D55">
        <v>2019</v>
      </c>
      <c r="E55">
        <v>52</v>
      </c>
      <c r="F55" t="s">
        <v>44</v>
      </c>
      <c r="G55">
        <v>440</v>
      </c>
      <c r="H55" t="s">
        <v>171</v>
      </c>
      <c r="I55" t="s">
        <v>172</v>
      </c>
      <c r="J55" t="s">
        <v>47</v>
      </c>
      <c r="K55" t="s">
        <v>48</v>
      </c>
      <c r="L55">
        <v>0</v>
      </c>
      <c r="M55" t="s">
        <v>49</v>
      </c>
      <c r="N55" t="s">
        <v>50</v>
      </c>
      <c r="O55">
        <v>0</v>
      </c>
      <c r="P55" t="s">
        <v>49</v>
      </c>
      <c r="Q55" t="s">
        <v>50</v>
      </c>
      <c r="R55" t="s">
        <v>51</v>
      </c>
      <c r="S55" t="s">
        <v>52</v>
      </c>
      <c r="T55" t="b">
        <v>1</v>
      </c>
      <c r="U55" t="s">
        <v>53</v>
      </c>
      <c r="V55" t="s">
        <v>54</v>
      </c>
      <c r="W55">
        <v>4</v>
      </c>
      <c r="X55" t="b">
        <v>0</v>
      </c>
      <c r="Y55" t="s">
        <v>55</v>
      </c>
      <c r="Z55" t="s">
        <v>56</v>
      </c>
      <c r="AA55" t="s">
        <v>57</v>
      </c>
      <c r="AB55">
        <v>0</v>
      </c>
      <c r="AC55" t="s">
        <v>58</v>
      </c>
      <c r="AD55">
        <v>8</v>
      </c>
      <c r="AE55" t="s">
        <v>59</v>
      </c>
      <c r="AF55">
        <v>37759070</v>
      </c>
      <c r="AG55" t="b">
        <v>0</v>
      </c>
      <c r="AH55">
        <v>8</v>
      </c>
      <c r="AI55" t="s">
        <v>59</v>
      </c>
      <c r="AJ55">
        <v>37759070</v>
      </c>
      <c r="AK55" t="b">
        <v>0</v>
      </c>
      <c r="AL55">
        <v>37759070</v>
      </c>
      <c r="AM55" t="b">
        <v>0</v>
      </c>
      <c r="AN55">
        <v>0</v>
      </c>
      <c r="AO55" t="b">
        <v>0</v>
      </c>
      <c r="AQ55">
        <v>17537068</v>
      </c>
      <c r="AR55">
        <v>17537068</v>
      </c>
      <c r="AS55">
        <v>0</v>
      </c>
      <c r="AT55" t="b">
        <v>0</v>
      </c>
      <c r="AU55" t="b">
        <v>1</v>
      </c>
      <c r="BA55" t="str">
        <f t="shared" si="0"/>
        <v>Normal</v>
      </c>
      <c r="BG55" t="str">
        <f t="shared" si="1"/>
        <v>Normal</v>
      </c>
    </row>
    <row r="56" spans="1:59" x14ac:dyDescent="0.2">
      <c r="A56" t="s">
        <v>42</v>
      </c>
      <c r="B56" t="s">
        <v>43</v>
      </c>
      <c r="C56">
        <v>20190101</v>
      </c>
      <c r="D56">
        <v>2019</v>
      </c>
      <c r="E56">
        <v>52</v>
      </c>
      <c r="F56" t="s">
        <v>44</v>
      </c>
      <c r="G56">
        <v>442</v>
      </c>
      <c r="H56" t="s">
        <v>173</v>
      </c>
      <c r="I56" t="s">
        <v>174</v>
      </c>
      <c r="J56" t="s">
        <v>47</v>
      </c>
      <c r="K56" t="s">
        <v>48</v>
      </c>
      <c r="L56">
        <v>0</v>
      </c>
      <c r="M56" t="s">
        <v>49</v>
      </c>
      <c r="N56" t="s">
        <v>50</v>
      </c>
      <c r="O56">
        <v>0</v>
      </c>
      <c r="P56" t="s">
        <v>49</v>
      </c>
      <c r="Q56" t="s">
        <v>50</v>
      </c>
      <c r="R56" t="s">
        <v>51</v>
      </c>
      <c r="S56" t="s">
        <v>52</v>
      </c>
      <c r="T56" t="b">
        <v>1</v>
      </c>
      <c r="U56" t="s">
        <v>53</v>
      </c>
      <c r="V56" t="s">
        <v>54</v>
      </c>
      <c r="W56">
        <v>4</v>
      </c>
      <c r="X56" t="b">
        <v>0</v>
      </c>
      <c r="Y56" t="s">
        <v>55</v>
      </c>
      <c r="Z56" t="s">
        <v>56</v>
      </c>
      <c r="AA56" t="s">
        <v>57</v>
      </c>
      <c r="AB56">
        <v>0</v>
      </c>
      <c r="AC56" t="s">
        <v>58</v>
      </c>
      <c r="AD56">
        <v>8</v>
      </c>
      <c r="AE56" t="s">
        <v>59</v>
      </c>
      <c r="AF56">
        <v>1</v>
      </c>
      <c r="AG56" t="b">
        <v>0</v>
      </c>
      <c r="AH56">
        <v>8</v>
      </c>
      <c r="AI56" t="s">
        <v>59</v>
      </c>
      <c r="AJ56">
        <v>1</v>
      </c>
      <c r="AK56" t="b">
        <v>0</v>
      </c>
      <c r="AL56">
        <v>1</v>
      </c>
      <c r="AM56" t="b">
        <v>0</v>
      </c>
      <c r="AN56">
        <v>0</v>
      </c>
      <c r="AO56" t="b">
        <v>0</v>
      </c>
      <c r="AP56">
        <v>0</v>
      </c>
      <c r="AQ56">
        <v>36.951999999999998</v>
      </c>
      <c r="AR56">
        <v>36.951999999999998</v>
      </c>
      <c r="AS56">
        <v>0</v>
      </c>
      <c r="AT56" t="b">
        <v>0</v>
      </c>
      <c r="AU56" t="b">
        <v>1</v>
      </c>
      <c r="BA56" t="str">
        <f t="shared" si="0"/>
        <v>Normal</v>
      </c>
      <c r="BG56" t="str">
        <f t="shared" si="1"/>
        <v>Normal</v>
      </c>
    </row>
    <row r="57" spans="1:59" x14ac:dyDescent="0.2">
      <c r="A57" t="s">
        <v>42</v>
      </c>
      <c r="B57" t="s">
        <v>43</v>
      </c>
      <c r="C57">
        <v>20190101</v>
      </c>
      <c r="D57">
        <v>2019</v>
      </c>
      <c r="E57">
        <v>52</v>
      </c>
      <c r="F57" t="s">
        <v>44</v>
      </c>
      <c r="G57">
        <v>454</v>
      </c>
      <c r="H57" t="s">
        <v>175</v>
      </c>
      <c r="I57" t="s">
        <v>176</v>
      </c>
      <c r="J57" t="s">
        <v>47</v>
      </c>
      <c r="K57" t="s">
        <v>48</v>
      </c>
      <c r="L57">
        <v>0</v>
      </c>
      <c r="M57" t="s">
        <v>49</v>
      </c>
      <c r="N57" t="s">
        <v>50</v>
      </c>
      <c r="O57">
        <v>0</v>
      </c>
      <c r="P57" t="s">
        <v>49</v>
      </c>
      <c r="Q57" t="s">
        <v>50</v>
      </c>
      <c r="R57" t="s">
        <v>51</v>
      </c>
      <c r="S57" t="s">
        <v>52</v>
      </c>
      <c r="T57" t="b">
        <v>1</v>
      </c>
      <c r="U57" t="s">
        <v>53</v>
      </c>
      <c r="V57" t="s">
        <v>54</v>
      </c>
      <c r="W57">
        <v>4</v>
      </c>
      <c r="X57" t="b">
        <v>0</v>
      </c>
      <c r="Y57" t="s">
        <v>55</v>
      </c>
      <c r="Z57" t="s">
        <v>56</v>
      </c>
      <c r="AA57" t="s">
        <v>57</v>
      </c>
      <c r="AB57">
        <v>0</v>
      </c>
      <c r="AC57" t="s">
        <v>58</v>
      </c>
      <c r="AD57">
        <v>8</v>
      </c>
      <c r="AE57" t="s">
        <v>59</v>
      </c>
      <c r="AF57">
        <v>4800</v>
      </c>
      <c r="AG57" t="b">
        <v>0</v>
      </c>
      <c r="AH57">
        <v>8</v>
      </c>
      <c r="AI57" t="s">
        <v>59</v>
      </c>
      <c r="AJ57">
        <v>4800</v>
      </c>
      <c r="AK57" t="b">
        <v>0</v>
      </c>
      <c r="AL57">
        <v>4800</v>
      </c>
      <c r="AM57" t="b">
        <v>0</v>
      </c>
      <c r="AN57">
        <v>0</v>
      </c>
      <c r="AO57" t="b">
        <v>0</v>
      </c>
      <c r="AQ57">
        <v>1609.56</v>
      </c>
      <c r="AR57">
        <v>1609.56</v>
      </c>
      <c r="AS57">
        <v>0</v>
      </c>
      <c r="AT57" t="b">
        <v>0</v>
      </c>
      <c r="AU57" t="b">
        <v>1</v>
      </c>
      <c r="BA57" t="str">
        <f t="shared" si="0"/>
        <v>Normal</v>
      </c>
      <c r="BG57" t="str">
        <f t="shared" si="1"/>
        <v>Normal</v>
      </c>
    </row>
    <row r="58" spans="1:59" x14ac:dyDescent="0.2">
      <c r="A58" t="s">
        <v>42</v>
      </c>
      <c r="B58" t="s">
        <v>43</v>
      </c>
      <c r="C58">
        <v>20190101</v>
      </c>
      <c r="D58">
        <v>2019</v>
      </c>
      <c r="E58">
        <v>52</v>
      </c>
      <c r="F58" t="s">
        <v>44</v>
      </c>
      <c r="G58">
        <v>458</v>
      </c>
      <c r="H58" t="s">
        <v>177</v>
      </c>
      <c r="I58" t="s">
        <v>178</v>
      </c>
      <c r="J58" t="s">
        <v>47</v>
      </c>
      <c r="K58" t="s">
        <v>48</v>
      </c>
      <c r="L58">
        <v>0</v>
      </c>
      <c r="M58" t="s">
        <v>49</v>
      </c>
      <c r="N58" t="s">
        <v>50</v>
      </c>
      <c r="O58">
        <v>0</v>
      </c>
      <c r="P58" t="s">
        <v>49</v>
      </c>
      <c r="Q58" t="s">
        <v>50</v>
      </c>
      <c r="R58" t="s">
        <v>51</v>
      </c>
      <c r="S58" t="s">
        <v>52</v>
      </c>
      <c r="T58" t="b">
        <v>1</v>
      </c>
      <c r="U58" t="s">
        <v>53</v>
      </c>
      <c r="V58" t="s">
        <v>54</v>
      </c>
      <c r="W58">
        <v>4</v>
      </c>
      <c r="X58" t="b">
        <v>0</v>
      </c>
      <c r="Y58" t="s">
        <v>55</v>
      </c>
      <c r="Z58" t="s">
        <v>56</v>
      </c>
      <c r="AA58" t="s">
        <v>57</v>
      </c>
      <c r="AB58">
        <v>0</v>
      </c>
      <c r="AC58" t="s">
        <v>58</v>
      </c>
      <c r="AD58">
        <v>8</v>
      </c>
      <c r="AE58" t="s">
        <v>59</v>
      </c>
      <c r="AF58">
        <v>13745829830</v>
      </c>
      <c r="AG58" t="b">
        <v>0</v>
      </c>
      <c r="AH58">
        <v>8</v>
      </c>
      <c r="AI58" t="s">
        <v>59</v>
      </c>
      <c r="AJ58">
        <v>13745829830</v>
      </c>
      <c r="AK58" t="b">
        <v>0</v>
      </c>
      <c r="AL58">
        <v>13745829830</v>
      </c>
      <c r="AM58" t="b">
        <v>0</v>
      </c>
      <c r="AN58">
        <v>0</v>
      </c>
      <c r="AO58" t="b">
        <v>0</v>
      </c>
      <c r="AP58">
        <v>0</v>
      </c>
      <c r="AQ58">
        <v>7029151841.6040001</v>
      </c>
      <c r="AR58">
        <v>7029151841.6040001</v>
      </c>
      <c r="AS58">
        <v>0</v>
      </c>
      <c r="AT58" t="b">
        <v>0</v>
      </c>
      <c r="AU58" t="b">
        <v>1</v>
      </c>
      <c r="BA58" t="str">
        <f t="shared" si="0"/>
        <v>Normal</v>
      </c>
      <c r="BG58" t="str">
        <f t="shared" si="1"/>
        <v>Normal</v>
      </c>
    </row>
    <row r="59" spans="1:59" x14ac:dyDescent="0.2">
      <c r="A59" t="s">
        <v>42</v>
      </c>
      <c r="B59" t="s">
        <v>43</v>
      </c>
      <c r="C59">
        <v>20190101</v>
      </c>
      <c r="D59">
        <v>2019</v>
      </c>
      <c r="E59">
        <v>52</v>
      </c>
      <c r="F59" t="s">
        <v>44</v>
      </c>
      <c r="G59">
        <v>470</v>
      </c>
      <c r="H59" t="s">
        <v>179</v>
      </c>
      <c r="I59" t="s">
        <v>180</v>
      </c>
      <c r="J59" t="s">
        <v>47</v>
      </c>
      <c r="K59" t="s">
        <v>48</v>
      </c>
      <c r="L59">
        <v>0</v>
      </c>
      <c r="M59" t="s">
        <v>49</v>
      </c>
      <c r="N59" t="s">
        <v>50</v>
      </c>
      <c r="O59">
        <v>0</v>
      </c>
      <c r="P59" t="s">
        <v>49</v>
      </c>
      <c r="Q59" t="s">
        <v>50</v>
      </c>
      <c r="R59" t="s">
        <v>51</v>
      </c>
      <c r="S59" t="s">
        <v>52</v>
      </c>
      <c r="T59" t="b">
        <v>1</v>
      </c>
      <c r="U59" t="s">
        <v>53</v>
      </c>
      <c r="V59" t="s">
        <v>54</v>
      </c>
      <c r="W59">
        <v>4</v>
      </c>
      <c r="X59" t="b">
        <v>0</v>
      </c>
      <c r="Y59" t="s">
        <v>55</v>
      </c>
      <c r="Z59" t="s">
        <v>56</v>
      </c>
      <c r="AA59" t="s">
        <v>57</v>
      </c>
      <c r="AB59">
        <v>0</v>
      </c>
      <c r="AC59" t="s">
        <v>58</v>
      </c>
      <c r="AD59">
        <v>8</v>
      </c>
      <c r="AE59" t="s">
        <v>59</v>
      </c>
      <c r="AF59">
        <v>21.558</v>
      </c>
      <c r="AG59" t="b">
        <v>1</v>
      </c>
      <c r="AH59">
        <v>-1</v>
      </c>
      <c r="AI59" t="s">
        <v>73</v>
      </c>
      <c r="AJ59">
        <v>0</v>
      </c>
      <c r="AK59" t="b">
        <v>0</v>
      </c>
      <c r="AL59">
        <v>21.558</v>
      </c>
      <c r="AM59" t="b">
        <v>1</v>
      </c>
      <c r="AN59">
        <v>0</v>
      </c>
      <c r="AO59" t="b">
        <v>0</v>
      </c>
      <c r="AQ59">
        <v>10.069000000000001</v>
      </c>
      <c r="AR59">
        <v>10.069000000000001</v>
      </c>
      <c r="AS59">
        <v>6</v>
      </c>
      <c r="AT59" t="b">
        <v>0</v>
      </c>
      <c r="AU59" t="b">
        <v>1</v>
      </c>
      <c r="BA59" t="str">
        <f t="shared" si="0"/>
        <v>Normal</v>
      </c>
      <c r="BG59" t="str">
        <f t="shared" si="1"/>
        <v>Normal</v>
      </c>
    </row>
    <row r="60" spans="1:59" x14ac:dyDescent="0.2">
      <c r="A60" t="s">
        <v>42</v>
      </c>
      <c r="B60" t="s">
        <v>43</v>
      </c>
      <c r="C60">
        <v>20190101</v>
      </c>
      <c r="D60">
        <v>2019</v>
      </c>
      <c r="E60">
        <v>52</v>
      </c>
      <c r="F60" t="s">
        <v>44</v>
      </c>
      <c r="G60">
        <v>484</v>
      </c>
      <c r="H60" t="s">
        <v>181</v>
      </c>
      <c r="I60" t="s">
        <v>182</v>
      </c>
      <c r="J60" t="s">
        <v>47</v>
      </c>
      <c r="K60" t="s">
        <v>48</v>
      </c>
      <c r="L60">
        <v>0</v>
      </c>
      <c r="M60" t="s">
        <v>49</v>
      </c>
      <c r="N60" t="s">
        <v>50</v>
      </c>
      <c r="O60">
        <v>0</v>
      </c>
      <c r="P60" t="s">
        <v>49</v>
      </c>
      <c r="Q60" t="s">
        <v>50</v>
      </c>
      <c r="R60" t="s">
        <v>104</v>
      </c>
      <c r="S60" t="s">
        <v>52</v>
      </c>
      <c r="T60" t="b">
        <v>1</v>
      </c>
      <c r="U60" t="s">
        <v>53</v>
      </c>
      <c r="V60" t="s">
        <v>54</v>
      </c>
      <c r="W60">
        <v>4</v>
      </c>
      <c r="X60" t="b">
        <v>0</v>
      </c>
      <c r="Y60" t="s">
        <v>55</v>
      </c>
      <c r="Z60" t="s">
        <v>56</v>
      </c>
      <c r="AA60" t="s">
        <v>57</v>
      </c>
      <c r="AB60">
        <v>0</v>
      </c>
      <c r="AC60" t="s">
        <v>58</v>
      </c>
      <c r="AD60">
        <v>8</v>
      </c>
      <c r="AE60" t="s">
        <v>59</v>
      </c>
      <c r="AF60">
        <v>47738020069.100998</v>
      </c>
      <c r="AG60" t="b">
        <v>1</v>
      </c>
      <c r="AH60">
        <v>-1</v>
      </c>
      <c r="AI60" t="s">
        <v>73</v>
      </c>
      <c r="AJ60">
        <v>0</v>
      </c>
      <c r="AK60" t="b">
        <v>0</v>
      </c>
      <c r="AL60">
        <v>47738020069.100998</v>
      </c>
      <c r="AM60" t="b">
        <v>1</v>
      </c>
      <c r="AN60">
        <v>0</v>
      </c>
      <c r="AO60" t="b">
        <v>0</v>
      </c>
      <c r="AQ60">
        <v>22361179935</v>
      </c>
      <c r="AR60">
        <v>22361179935</v>
      </c>
      <c r="AS60">
        <v>6</v>
      </c>
      <c r="AT60" t="b">
        <v>0</v>
      </c>
      <c r="AU60" t="b">
        <v>1</v>
      </c>
      <c r="BA60" t="str">
        <f t="shared" si="0"/>
        <v>Normal</v>
      </c>
      <c r="BG60" t="str">
        <f t="shared" si="1"/>
        <v>Normal</v>
      </c>
    </row>
    <row r="61" spans="1:59" x14ac:dyDescent="0.2">
      <c r="A61" t="s">
        <v>42</v>
      </c>
      <c r="B61" t="s">
        <v>43</v>
      </c>
      <c r="C61">
        <v>20190101</v>
      </c>
      <c r="D61">
        <v>2019</v>
      </c>
      <c r="E61">
        <v>52</v>
      </c>
      <c r="F61" t="s">
        <v>44</v>
      </c>
      <c r="G61">
        <v>496</v>
      </c>
      <c r="H61" t="s">
        <v>183</v>
      </c>
      <c r="I61" t="s">
        <v>184</v>
      </c>
      <c r="J61" t="s">
        <v>47</v>
      </c>
      <c r="K61" t="s">
        <v>48</v>
      </c>
      <c r="L61">
        <v>0</v>
      </c>
      <c r="M61" t="s">
        <v>49</v>
      </c>
      <c r="N61" t="s">
        <v>50</v>
      </c>
      <c r="O61">
        <v>0</v>
      </c>
      <c r="P61" t="s">
        <v>49</v>
      </c>
      <c r="Q61" t="s">
        <v>50</v>
      </c>
      <c r="R61" t="s">
        <v>51</v>
      </c>
      <c r="S61" t="s">
        <v>52</v>
      </c>
      <c r="T61" t="b">
        <v>1</v>
      </c>
      <c r="U61" t="s">
        <v>53</v>
      </c>
      <c r="V61" t="s">
        <v>54</v>
      </c>
      <c r="W61">
        <v>4</v>
      </c>
      <c r="X61" t="b">
        <v>0</v>
      </c>
      <c r="Y61" t="s">
        <v>55</v>
      </c>
      <c r="Z61" t="s">
        <v>56</v>
      </c>
      <c r="AA61" t="s">
        <v>57</v>
      </c>
      <c r="AB61">
        <v>0</v>
      </c>
      <c r="AC61" t="s">
        <v>58</v>
      </c>
      <c r="AD61">
        <v>8</v>
      </c>
      <c r="AE61" t="s">
        <v>59</v>
      </c>
      <c r="AF61">
        <v>887502090</v>
      </c>
      <c r="AG61" t="b">
        <v>0</v>
      </c>
      <c r="AH61">
        <v>19</v>
      </c>
      <c r="AI61" t="s">
        <v>60</v>
      </c>
      <c r="AJ61">
        <v>6545208</v>
      </c>
      <c r="AK61" t="b">
        <v>0</v>
      </c>
      <c r="AL61">
        <v>887502090</v>
      </c>
      <c r="AM61" t="b">
        <v>0</v>
      </c>
      <c r="AN61">
        <v>0</v>
      </c>
      <c r="AO61" t="b">
        <v>0</v>
      </c>
      <c r="AQ61">
        <v>366665785.66000003</v>
      </c>
      <c r="AR61">
        <v>366665785.66000003</v>
      </c>
      <c r="AS61">
        <v>0</v>
      </c>
      <c r="AT61" t="b">
        <v>0</v>
      </c>
      <c r="AU61" t="b">
        <v>1</v>
      </c>
      <c r="BA61" t="str">
        <f t="shared" si="0"/>
        <v>Normal</v>
      </c>
      <c r="BG61" t="str">
        <f t="shared" si="1"/>
        <v>Normal</v>
      </c>
    </row>
    <row r="62" spans="1:59" x14ac:dyDescent="0.2">
      <c r="A62" t="s">
        <v>42</v>
      </c>
      <c r="B62" t="s">
        <v>43</v>
      </c>
      <c r="C62">
        <v>20190101</v>
      </c>
      <c r="D62">
        <v>2019</v>
      </c>
      <c r="E62">
        <v>52</v>
      </c>
      <c r="F62" t="s">
        <v>44</v>
      </c>
      <c r="G62">
        <v>498</v>
      </c>
      <c r="H62" t="s">
        <v>185</v>
      </c>
      <c r="I62" t="s">
        <v>186</v>
      </c>
      <c r="J62" t="s">
        <v>47</v>
      </c>
      <c r="K62" t="s">
        <v>48</v>
      </c>
      <c r="L62">
        <v>0</v>
      </c>
      <c r="M62" t="s">
        <v>49</v>
      </c>
      <c r="N62" t="s">
        <v>50</v>
      </c>
      <c r="O62">
        <v>0</v>
      </c>
      <c r="P62" t="s">
        <v>49</v>
      </c>
      <c r="Q62" t="s">
        <v>50</v>
      </c>
      <c r="R62" t="s">
        <v>104</v>
      </c>
      <c r="S62" t="s">
        <v>52</v>
      </c>
      <c r="T62" t="b">
        <v>1</v>
      </c>
      <c r="U62" t="s">
        <v>53</v>
      </c>
      <c r="V62" t="s">
        <v>54</v>
      </c>
      <c r="W62">
        <v>4</v>
      </c>
      <c r="X62" t="b">
        <v>0</v>
      </c>
      <c r="Y62" t="s">
        <v>55</v>
      </c>
      <c r="Z62" t="s">
        <v>56</v>
      </c>
      <c r="AA62" t="s">
        <v>57</v>
      </c>
      <c r="AB62">
        <v>0</v>
      </c>
      <c r="AC62" t="s">
        <v>58</v>
      </c>
      <c r="AD62">
        <v>8</v>
      </c>
      <c r="AE62" t="s">
        <v>59</v>
      </c>
      <c r="AF62">
        <v>579795</v>
      </c>
      <c r="AG62" t="b">
        <v>0</v>
      </c>
      <c r="AH62">
        <v>8</v>
      </c>
      <c r="AI62" t="s">
        <v>59</v>
      </c>
      <c r="AJ62">
        <v>579795</v>
      </c>
      <c r="AK62" t="b">
        <v>0</v>
      </c>
      <c r="AL62">
        <v>579795</v>
      </c>
      <c r="AM62" t="b">
        <v>0</v>
      </c>
      <c r="AN62">
        <v>0</v>
      </c>
      <c r="AO62" t="b">
        <v>0</v>
      </c>
      <c r="AQ62">
        <v>179288</v>
      </c>
      <c r="AR62">
        <v>179288</v>
      </c>
      <c r="AS62">
        <v>0</v>
      </c>
      <c r="AT62" t="b">
        <v>0</v>
      </c>
      <c r="AU62" t="b">
        <v>1</v>
      </c>
      <c r="BA62" t="str">
        <f t="shared" si="0"/>
        <v>Normal</v>
      </c>
      <c r="BG62" t="str">
        <f t="shared" si="1"/>
        <v>Normal</v>
      </c>
    </row>
    <row r="63" spans="1:59" x14ac:dyDescent="0.2">
      <c r="A63" t="s">
        <v>42</v>
      </c>
      <c r="B63" t="s">
        <v>43</v>
      </c>
      <c r="C63">
        <v>20190101</v>
      </c>
      <c r="D63">
        <v>2019</v>
      </c>
      <c r="E63">
        <v>52</v>
      </c>
      <c r="F63" t="s">
        <v>44</v>
      </c>
      <c r="G63">
        <v>512</v>
      </c>
      <c r="H63" t="s">
        <v>187</v>
      </c>
      <c r="I63" t="s">
        <v>188</v>
      </c>
      <c r="J63" t="s">
        <v>47</v>
      </c>
      <c r="K63" t="s">
        <v>48</v>
      </c>
      <c r="L63">
        <v>0</v>
      </c>
      <c r="M63" t="s">
        <v>49</v>
      </c>
      <c r="N63" t="s">
        <v>50</v>
      </c>
      <c r="O63">
        <v>0</v>
      </c>
      <c r="P63" t="s">
        <v>49</v>
      </c>
      <c r="Q63" t="s">
        <v>50</v>
      </c>
      <c r="R63" t="s">
        <v>51</v>
      </c>
      <c r="S63" t="s">
        <v>52</v>
      </c>
      <c r="T63" t="b">
        <v>1</v>
      </c>
      <c r="U63" t="s">
        <v>53</v>
      </c>
      <c r="V63" t="s">
        <v>54</v>
      </c>
      <c r="W63">
        <v>4</v>
      </c>
      <c r="X63" t="b">
        <v>0</v>
      </c>
      <c r="Y63" t="s">
        <v>55</v>
      </c>
      <c r="Z63" t="s">
        <v>56</v>
      </c>
      <c r="AA63" t="s">
        <v>57</v>
      </c>
      <c r="AB63">
        <v>0</v>
      </c>
      <c r="AC63" t="s">
        <v>58</v>
      </c>
      <c r="AD63">
        <v>8</v>
      </c>
      <c r="AE63" t="s">
        <v>59</v>
      </c>
      <c r="AF63">
        <v>41952617151.638</v>
      </c>
      <c r="AG63" t="b">
        <v>1</v>
      </c>
      <c r="AH63">
        <v>-1</v>
      </c>
      <c r="AI63" t="s">
        <v>73</v>
      </c>
      <c r="AJ63">
        <v>0</v>
      </c>
      <c r="AK63" t="b">
        <v>0</v>
      </c>
      <c r="AL63">
        <v>41952617151.638</v>
      </c>
      <c r="AM63" t="b">
        <v>1</v>
      </c>
      <c r="AN63">
        <v>0</v>
      </c>
      <c r="AO63" t="b">
        <v>0</v>
      </c>
      <c r="AQ63">
        <v>19651213425.148998</v>
      </c>
      <c r="AR63">
        <v>19651213425.148998</v>
      </c>
      <c r="AS63">
        <v>6</v>
      </c>
      <c r="AT63" t="b">
        <v>0</v>
      </c>
      <c r="AU63" t="b">
        <v>1</v>
      </c>
      <c r="BA63" t="str">
        <f t="shared" si="0"/>
        <v>Normal</v>
      </c>
      <c r="BG63" t="str">
        <f t="shared" si="1"/>
        <v>Normal</v>
      </c>
    </row>
    <row r="64" spans="1:59" x14ac:dyDescent="0.2">
      <c r="A64" t="s">
        <v>42</v>
      </c>
      <c r="B64" t="s">
        <v>43</v>
      </c>
      <c r="C64">
        <v>20190101</v>
      </c>
      <c r="D64">
        <v>2019</v>
      </c>
      <c r="E64">
        <v>52</v>
      </c>
      <c r="F64" t="s">
        <v>44</v>
      </c>
      <c r="G64">
        <v>516</v>
      </c>
      <c r="H64" t="s">
        <v>189</v>
      </c>
      <c r="I64" t="s">
        <v>190</v>
      </c>
      <c r="J64" t="s">
        <v>47</v>
      </c>
      <c r="K64" t="s">
        <v>48</v>
      </c>
      <c r="L64">
        <v>0</v>
      </c>
      <c r="M64" t="s">
        <v>49</v>
      </c>
      <c r="N64" t="s">
        <v>50</v>
      </c>
      <c r="O64">
        <v>0</v>
      </c>
      <c r="P64" t="s">
        <v>49</v>
      </c>
      <c r="Q64" t="s">
        <v>50</v>
      </c>
      <c r="R64" t="s">
        <v>51</v>
      </c>
      <c r="S64" t="s">
        <v>52</v>
      </c>
      <c r="T64" t="b">
        <v>1</v>
      </c>
      <c r="U64" t="s">
        <v>53</v>
      </c>
      <c r="V64" t="s">
        <v>54</v>
      </c>
      <c r="W64">
        <v>4</v>
      </c>
      <c r="X64" t="b">
        <v>0</v>
      </c>
      <c r="Y64" t="s">
        <v>55</v>
      </c>
      <c r="Z64" t="s">
        <v>56</v>
      </c>
      <c r="AA64" t="s">
        <v>57</v>
      </c>
      <c r="AB64">
        <v>0</v>
      </c>
      <c r="AC64" t="s">
        <v>58</v>
      </c>
      <c r="AD64">
        <v>8</v>
      </c>
      <c r="AE64" t="s">
        <v>59</v>
      </c>
      <c r="AF64">
        <v>18827.471000000001</v>
      </c>
      <c r="AG64" t="b">
        <v>1</v>
      </c>
      <c r="AH64">
        <v>-1</v>
      </c>
      <c r="AI64" t="s">
        <v>73</v>
      </c>
      <c r="AJ64">
        <v>0</v>
      </c>
      <c r="AK64" t="b">
        <v>0</v>
      </c>
      <c r="AL64">
        <v>18827.471000000001</v>
      </c>
      <c r="AM64" t="b">
        <v>1</v>
      </c>
      <c r="AN64">
        <v>0</v>
      </c>
      <c r="AO64" t="b">
        <v>0</v>
      </c>
      <c r="AQ64">
        <v>53675.485000000001</v>
      </c>
      <c r="AR64">
        <v>53675.485000000001</v>
      </c>
      <c r="AS64">
        <v>6</v>
      </c>
      <c r="AT64" t="b">
        <v>0</v>
      </c>
      <c r="AU64" t="b">
        <v>1</v>
      </c>
      <c r="BA64" t="str">
        <f t="shared" si="0"/>
        <v>Normal</v>
      </c>
      <c r="BG64" t="str">
        <f t="shared" si="1"/>
        <v>Normal</v>
      </c>
    </row>
    <row r="65" spans="1:59" x14ac:dyDescent="0.2">
      <c r="A65" t="s">
        <v>42</v>
      </c>
      <c r="B65" t="s">
        <v>43</v>
      </c>
      <c r="C65">
        <v>20190101</v>
      </c>
      <c r="D65">
        <v>2019</v>
      </c>
      <c r="E65">
        <v>52</v>
      </c>
      <c r="F65" t="s">
        <v>44</v>
      </c>
      <c r="G65">
        <v>528</v>
      </c>
      <c r="H65" t="s">
        <v>191</v>
      </c>
      <c r="I65" t="s">
        <v>192</v>
      </c>
      <c r="J65" t="s">
        <v>47</v>
      </c>
      <c r="K65" t="s">
        <v>48</v>
      </c>
      <c r="L65">
        <v>0</v>
      </c>
      <c r="M65" t="s">
        <v>49</v>
      </c>
      <c r="N65" t="s">
        <v>50</v>
      </c>
      <c r="O65">
        <v>0</v>
      </c>
      <c r="P65" t="s">
        <v>49</v>
      </c>
      <c r="Q65" t="s">
        <v>50</v>
      </c>
      <c r="R65" t="s">
        <v>51</v>
      </c>
      <c r="S65" t="s">
        <v>52</v>
      </c>
      <c r="T65" t="b">
        <v>1</v>
      </c>
      <c r="U65" t="s">
        <v>53</v>
      </c>
      <c r="V65" t="s">
        <v>54</v>
      </c>
      <c r="W65">
        <v>4</v>
      </c>
      <c r="X65" t="b">
        <v>0</v>
      </c>
      <c r="Y65" t="s">
        <v>55</v>
      </c>
      <c r="Z65" t="s">
        <v>56</v>
      </c>
      <c r="AA65" t="s">
        <v>57</v>
      </c>
      <c r="AB65">
        <v>0</v>
      </c>
      <c r="AC65" t="s">
        <v>58</v>
      </c>
      <c r="AD65">
        <v>8</v>
      </c>
      <c r="AE65" t="s">
        <v>59</v>
      </c>
      <c r="AF65">
        <v>205409425</v>
      </c>
      <c r="AG65" t="b">
        <v>0</v>
      </c>
      <c r="AH65">
        <v>8</v>
      </c>
      <c r="AI65" t="s">
        <v>59</v>
      </c>
      <c r="AJ65">
        <v>205409425</v>
      </c>
      <c r="AK65" t="b">
        <v>0</v>
      </c>
      <c r="AL65">
        <v>205409425</v>
      </c>
      <c r="AM65" t="b">
        <v>0</v>
      </c>
      <c r="AN65">
        <v>0</v>
      </c>
      <c r="AO65" t="b">
        <v>0</v>
      </c>
      <c r="AQ65">
        <v>75436807.085999995</v>
      </c>
      <c r="AR65">
        <v>75436807.085999995</v>
      </c>
      <c r="AS65">
        <v>0</v>
      </c>
      <c r="AT65" t="b">
        <v>0</v>
      </c>
      <c r="AU65" t="b">
        <v>1</v>
      </c>
      <c r="BA65" t="str">
        <f t="shared" si="0"/>
        <v>Normal</v>
      </c>
      <c r="BG65" t="str">
        <f t="shared" si="1"/>
        <v>Normal</v>
      </c>
    </row>
    <row r="66" spans="1:59" x14ac:dyDescent="0.2">
      <c r="A66" t="s">
        <v>42</v>
      </c>
      <c r="B66" t="s">
        <v>43</v>
      </c>
      <c r="C66">
        <v>20190101</v>
      </c>
      <c r="D66">
        <v>2019</v>
      </c>
      <c r="E66">
        <v>52</v>
      </c>
      <c r="F66" t="s">
        <v>44</v>
      </c>
      <c r="G66">
        <v>533</v>
      </c>
      <c r="H66" t="s">
        <v>193</v>
      </c>
      <c r="I66" t="s">
        <v>194</v>
      </c>
      <c r="J66" t="s">
        <v>47</v>
      </c>
      <c r="K66" t="s">
        <v>48</v>
      </c>
      <c r="L66">
        <v>0</v>
      </c>
      <c r="M66" t="s">
        <v>49</v>
      </c>
      <c r="N66" t="s">
        <v>50</v>
      </c>
      <c r="O66">
        <v>0</v>
      </c>
      <c r="P66" t="s">
        <v>49</v>
      </c>
      <c r="Q66" t="s">
        <v>50</v>
      </c>
      <c r="R66" t="s">
        <v>104</v>
      </c>
      <c r="S66" t="s">
        <v>52</v>
      </c>
      <c r="T66" t="b">
        <v>1</v>
      </c>
      <c r="U66" t="s">
        <v>53</v>
      </c>
      <c r="V66" t="s">
        <v>54</v>
      </c>
      <c r="W66">
        <v>4</v>
      </c>
      <c r="X66" t="b">
        <v>0</v>
      </c>
      <c r="Y66" t="s">
        <v>55</v>
      </c>
      <c r="Z66" t="s">
        <v>56</v>
      </c>
      <c r="AA66" t="s">
        <v>57</v>
      </c>
      <c r="AB66">
        <v>0</v>
      </c>
      <c r="AC66" t="s">
        <v>58</v>
      </c>
      <c r="AD66">
        <v>8</v>
      </c>
      <c r="AE66" t="s">
        <v>59</v>
      </c>
      <c r="AF66">
        <v>4</v>
      </c>
      <c r="AG66" t="b">
        <v>0</v>
      </c>
      <c r="AH66">
        <v>8</v>
      </c>
      <c r="AI66" t="s">
        <v>59</v>
      </c>
      <c r="AJ66">
        <v>4</v>
      </c>
      <c r="AK66" t="b">
        <v>0</v>
      </c>
      <c r="AL66">
        <v>4</v>
      </c>
      <c r="AM66" t="b">
        <v>0</v>
      </c>
      <c r="AN66">
        <v>0</v>
      </c>
      <c r="AO66" t="b">
        <v>0</v>
      </c>
      <c r="AP66">
        <v>0</v>
      </c>
      <c r="AQ66">
        <v>1.117</v>
      </c>
      <c r="AR66">
        <v>1.117</v>
      </c>
      <c r="AS66">
        <v>0</v>
      </c>
      <c r="AT66" t="b">
        <v>0</v>
      </c>
      <c r="AU66" t="b">
        <v>1</v>
      </c>
      <c r="BA66" t="str">
        <f t="shared" si="0"/>
        <v>Normal</v>
      </c>
      <c r="BG66" t="str">
        <f t="shared" si="1"/>
        <v>Normal</v>
      </c>
    </row>
    <row r="67" spans="1:59" x14ac:dyDescent="0.2">
      <c r="A67" t="s">
        <v>42</v>
      </c>
      <c r="B67" t="s">
        <v>43</v>
      </c>
      <c r="C67">
        <v>20190101</v>
      </c>
      <c r="D67">
        <v>2019</v>
      </c>
      <c r="E67">
        <v>52</v>
      </c>
      <c r="F67" t="s">
        <v>44</v>
      </c>
      <c r="G67">
        <v>554</v>
      </c>
      <c r="H67" t="s">
        <v>195</v>
      </c>
      <c r="I67" t="s">
        <v>196</v>
      </c>
      <c r="J67" t="s">
        <v>47</v>
      </c>
      <c r="K67" t="s">
        <v>48</v>
      </c>
      <c r="L67">
        <v>0</v>
      </c>
      <c r="M67" t="s">
        <v>49</v>
      </c>
      <c r="N67" t="s">
        <v>50</v>
      </c>
      <c r="O67">
        <v>0</v>
      </c>
      <c r="P67" t="s">
        <v>49</v>
      </c>
      <c r="Q67" t="s">
        <v>50</v>
      </c>
      <c r="R67" t="s">
        <v>51</v>
      </c>
      <c r="S67" t="s">
        <v>52</v>
      </c>
      <c r="T67" t="b">
        <v>1</v>
      </c>
      <c r="U67" t="s">
        <v>53</v>
      </c>
      <c r="V67" t="s">
        <v>54</v>
      </c>
      <c r="W67">
        <v>4</v>
      </c>
      <c r="X67" t="b">
        <v>0</v>
      </c>
      <c r="Y67" t="s">
        <v>55</v>
      </c>
      <c r="Z67" t="s">
        <v>56</v>
      </c>
      <c r="AA67" t="s">
        <v>57</v>
      </c>
      <c r="AB67">
        <v>0</v>
      </c>
      <c r="AC67" t="s">
        <v>58</v>
      </c>
      <c r="AD67">
        <v>8</v>
      </c>
      <c r="AE67" t="s">
        <v>59</v>
      </c>
      <c r="AF67">
        <v>870053533.81500006</v>
      </c>
      <c r="AG67" t="b">
        <v>1</v>
      </c>
      <c r="AH67">
        <v>-1</v>
      </c>
      <c r="AI67" t="s">
        <v>73</v>
      </c>
      <c r="AJ67">
        <v>0</v>
      </c>
      <c r="AK67" t="b">
        <v>0</v>
      </c>
      <c r="AL67">
        <v>870053533.81500006</v>
      </c>
      <c r="AM67" t="b">
        <v>1</v>
      </c>
      <c r="AN67">
        <v>870698895</v>
      </c>
      <c r="AO67" t="b">
        <v>0</v>
      </c>
      <c r="AP67">
        <v>0</v>
      </c>
      <c r="AQ67">
        <v>452018993.66100001</v>
      </c>
      <c r="AR67">
        <v>452018993.66100001</v>
      </c>
      <c r="AS67">
        <v>6</v>
      </c>
      <c r="AT67" t="b">
        <v>0</v>
      </c>
      <c r="AU67" t="b">
        <v>1</v>
      </c>
      <c r="BA67" t="str">
        <f t="shared" ref="BA67:BA130" si="2">IF(OR(AJ67&lt;AY67,AJ641&gt;AZ67),"Outlier","Normal")</f>
        <v>Normal</v>
      </c>
      <c r="BG67" t="str">
        <f t="shared" ref="BG67:BG130" si="3">IF(OR(AQ67&lt;BE67,AQ641&gt;BF67),"Outlier","Normal")</f>
        <v>Normal</v>
      </c>
    </row>
    <row r="68" spans="1:59" x14ac:dyDescent="0.2">
      <c r="A68" t="s">
        <v>42</v>
      </c>
      <c r="B68" t="s">
        <v>43</v>
      </c>
      <c r="C68">
        <v>20190101</v>
      </c>
      <c r="D68">
        <v>2019</v>
      </c>
      <c r="E68">
        <v>52</v>
      </c>
      <c r="F68" t="s">
        <v>44</v>
      </c>
      <c r="G68">
        <v>566</v>
      </c>
      <c r="H68" t="s">
        <v>197</v>
      </c>
      <c r="I68" t="s">
        <v>198</v>
      </c>
      <c r="J68" t="s">
        <v>47</v>
      </c>
      <c r="K68" t="s">
        <v>48</v>
      </c>
      <c r="L68">
        <v>0</v>
      </c>
      <c r="M68" t="s">
        <v>49</v>
      </c>
      <c r="N68" t="s">
        <v>50</v>
      </c>
      <c r="O68">
        <v>0</v>
      </c>
      <c r="P68" t="s">
        <v>49</v>
      </c>
      <c r="Q68" t="s">
        <v>50</v>
      </c>
      <c r="R68" t="s">
        <v>104</v>
      </c>
      <c r="S68" t="s">
        <v>52</v>
      </c>
      <c r="T68" t="b">
        <v>1</v>
      </c>
      <c r="U68" t="s">
        <v>53</v>
      </c>
      <c r="V68" t="s">
        <v>54</v>
      </c>
      <c r="W68">
        <v>4</v>
      </c>
      <c r="X68" t="b">
        <v>0</v>
      </c>
      <c r="Y68" t="s">
        <v>55</v>
      </c>
      <c r="Z68" t="s">
        <v>56</v>
      </c>
      <c r="AA68" t="s">
        <v>57</v>
      </c>
      <c r="AB68">
        <v>0</v>
      </c>
      <c r="AC68" t="s">
        <v>58</v>
      </c>
      <c r="AD68">
        <v>-1</v>
      </c>
      <c r="AE68" t="s">
        <v>73</v>
      </c>
      <c r="AF68">
        <v>0</v>
      </c>
      <c r="AG68" t="b">
        <v>1</v>
      </c>
      <c r="AH68">
        <v>-1</v>
      </c>
      <c r="AI68" t="s">
        <v>73</v>
      </c>
      <c r="AJ68">
        <v>0</v>
      </c>
      <c r="AK68" t="b">
        <v>0</v>
      </c>
      <c r="AM68" t="b">
        <v>1</v>
      </c>
      <c r="AN68">
        <v>0</v>
      </c>
      <c r="AO68" t="b">
        <v>0</v>
      </c>
      <c r="AQ68">
        <v>41039870940.980003</v>
      </c>
      <c r="AR68">
        <v>41039870940.980003</v>
      </c>
      <c r="AS68">
        <v>6</v>
      </c>
      <c r="AT68" t="b">
        <v>0</v>
      </c>
      <c r="AU68" t="b">
        <v>1</v>
      </c>
      <c r="BA68" t="str">
        <f t="shared" si="2"/>
        <v>Normal</v>
      </c>
      <c r="BG68" t="str">
        <f t="shared" si="3"/>
        <v>Normal</v>
      </c>
    </row>
    <row r="69" spans="1:59" x14ac:dyDescent="0.2">
      <c r="A69" t="s">
        <v>42</v>
      </c>
      <c r="B69" t="s">
        <v>43</v>
      </c>
      <c r="C69">
        <v>20190101</v>
      </c>
      <c r="D69">
        <v>2019</v>
      </c>
      <c r="E69">
        <v>52</v>
      </c>
      <c r="F69" t="s">
        <v>44</v>
      </c>
      <c r="G69">
        <v>579</v>
      </c>
      <c r="H69" t="s">
        <v>199</v>
      </c>
      <c r="I69" t="s">
        <v>200</v>
      </c>
      <c r="J69" t="s">
        <v>47</v>
      </c>
      <c r="K69" t="s">
        <v>48</v>
      </c>
      <c r="L69">
        <v>0</v>
      </c>
      <c r="M69" t="s">
        <v>49</v>
      </c>
      <c r="N69" t="s">
        <v>50</v>
      </c>
      <c r="O69">
        <v>0</v>
      </c>
      <c r="P69" t="s">
        <v>49</v>
      </c>
      <c r="Q69" t="s">
        <v>50</v>
      </c>
      <c r="R69" t="s">
        <v>51</v>
      </c>
      <c r="S69" t="s">
        <v>52</v>
      </c>
      <c r="T69" t="b">
        <v>1</v>
      </c>
      <c r="U69" t="s">
        <v>53</v>
      </c>
      <c r="V69" t="s">
        <v>54</v>
      </c>
      <c r="W69">
        <v>4</v>
      </c>
      <c r="X69" t="b">
        <v>0</v>
      </c>
      <c r="Y69" t="s">
        <v>55</v>
      </c>
      <c r="Z69" t="s">
        <v>56</v>
      </c>
      <c r="AA69" t="s">
        <v>57</v>
      </c>
      <c r="AB69">
        <v>0</v>
      </c>
      <c r="AC69" t="s">
        <v>58</v>
      </c>
      <c r="AD69">
        <v>8</v>
      </c>
      <c r="AE69" t="s">
        <v>59</v>
      </c>
      <c r="AF69">
        <v>61278209950</v>
      </c>
      <c r="AG69" t="b">
        <v>0</v>
      </c>
      <c r="AH69">
        <v>-1</v>
      </c>
      <c r="AI69" t="s">
        <v>73</v>
      </c>
      <c r="AJ69">
        <v>0</v>
      </c>
      <c r="AK69" t="b">
        <v>0</v>
      </c>
      <c r="AL69">
        <v>61278209950</v>
      </c>
      <c r="AM69" t="b">
        <v>0</v>
      </c>
      <c r="AN69">
        <v>0</v>
      </c>
      <c r="AO69" t="b">
        <v>0</v>
      </c>
      <c r="AQ69">
        <v>29305062240.449001</v>
      </c>
      <c r="AR69">
        <v>29305062240.449001</v>
      </c>
      <c r="AS69">
        <v>0</v>
      </c>
      <c r="AT69" t="b">
        <v>0</v>
      </c>
      <c r="AU69" t="b">
        <v>1</v>
      </c>
      <c r="BA69" t="str">
        <f t="shared" si="2"/>
        <v>Normal</v>
      </c>
      <c r="BG69" t="str">
        <f t="shared" si="3"/>
        <v>Normal</v>
      </c>
    </row>
    <row r="70" spans="1:59" x14ac:dyDescent="0.2">
      <c r="A70" t="s">
        <v>42</v>
      </c>
      <c r="B70" t="s">
        <v>43</v>
      </c>
      <c r="C70">
        <v>20190101</v>
      </c>
      <c r="D70">
        <v>2019</v>
      </c>
      <c r="E70">
        <v>52</v>
      </c>
      <c r="F70" t="s">
        <v>44</v>
      </c>
      <c r="G70">
        <v>586</v>
      </c>
      <c r="H70" t="s">
        <v>201</v>
      </c>
      <c r="I70" t="s">
        <v>202</v>
      </c>
      <c r="J70" t="s">
        <v>47</v>
      </c>
      <c r="K70" t="s">
        <v>48</v>
      </c>
      <c r="L70">
        <v>0</v>
      </c>
      <c r="M70" t="s">
        <v>49</v>
      </c>
      <c r="N70" t="s">
        <v>50</v>
      </c>
      <c r="O70">
        <v>0</v>
      </c>
      <c r="P70" t="s">
        <v>49</v>
      </c>
      <c r="Q70" t="s">
        <v>50</v>
      </c>
      <c r="R70" t="s">
        <v>51</v>
      </c>
      <c r="S70" t="s">
        <v>52</v>
      </c>
      <c r="T70" t="b">
        <v>1</v>
      </c>
      <c r="U70" t="s">
        <v>53</v>
      </c>
      <c r="V70" t="s">
        <v>54</v>
      </c>
      <c r="W70">
        <v>4</v>
      </c>
      <c r="X70" t="b">
        <v>0</v>
      </c>
      <c r="Y70" t="s">
        <v>55</v>
      </c>
      <c r="Z70" t="s">
        <v>56</v>
      </c>
      <c r="AA70" t="s">
        <v>57</v>
      </c>
      <c r="AB70">
        <v>0</v>
      </c>
      <c r="AC70" t="s">
        <v>58</v>
      </c>
      <c r="AD70">
        <v>8</v>
      </c>
      <c r="AE70" t="s">
        <v>59</v>
      </c>
      <c r="AF70">
        <v>535963000</v>
      </c>
      <c r="AG70" t="b">
        <v>0</v>
      </c>
      <c r="AH70">
        <v>21</v>
      </c>
      <c r="AI70" t="s">
        <v>170</v>
      </c>
      <c r="AJ70">
        <v>535963</v>
      </c>
      <c r="AK70" t="b">
        <v>0</v>
      </c>
      <c r="AL70">
        <v>535963000</v>
      </c>
      <c r="AM70" t="b">
        <v>0</v>
      </c>
      <c r="AN70">
        <v>0</v>
      </c>
      <c r="AO70" t="b">
        <v>0</v>
      </c>
      <c r="AQ70">
        <v>248077295.53099999</v>
      </c>
      <c r="AR70">
        <v>248077295.53099999</v>
      </c>
      <c r="AS70">
        <v>0</v>
      </c>
      <c r="AT70" t="b">
        <v>0</v>
      </c>
      <c r="AU70" t="b">
        <v>1</v>
      </c>
      <c r="BA70" t="str">
        <f t="shared" si="2"/>
        <v>Normal</v>
      </c>
      <c r="BG70" t="str">
        <f t="shared" si="3"/>
        <v>Normal</v>
      </c>
    </row>
    <row r="71" spans="1:59" x14ac:dyDescent="0.2">
      <c r="A71" t="s">
        <v>42</v>
      </c>
      <c r="B71" t="s">
        <v>43</v>
      </c>
      <c r="C71">
        <v>20190101</v>
      </c>
      <c r="D71">
        <v>2019</v>
      </c>
      <c r="E71">
        <v>52</v>
      </c>
      <c r="F71" t="s">
        <v>44</v>
      </c>
      <c r="G71">
        <v>598</v>
      </c>
      <c r="H71" t="s">
        <v>203</v>
      </c>
      <c r="I71" t="s">
        <v>204</v>
      </c>
      <c r="J71" t="s">
        <v>47</v>
      </c>
      <c r="K71" t="s">
        <v>48</v>
      </c>
      <c r="L71">
        <v>0</v>
      </c>
      <c r="M71" t="s">
        <v>49</v>
      </c>
      <c r="N71" t="s">
        <v>50</v>
      </c>
      <c r="O71">
        <v>0</v>
      </c>
      <c r="P71" t="s">
        <v>49</v>
      </c>
      <c r="Q71" t="s">
        <v>50</v>
      </c>
      <c r="R71" t="s">
        <v>51</v>
      </c>
      <c r="S71" t="s">
        <v>52</v>
      </c>
      <c r="T71" t="b">
        <v>1</v>
      </c>
      <c r="U71" t="s">
        <v>53</v>
      </c>
      <c r="V71" t="s">
        <v>54</v>
      </c>
      <c r="W71">
        <v>4</v>
      </c>
      <c r="X71" t="b">
        <v>0</v>
      </c>
      <c r="Y71" t="s">
        <v>55</v>
      </c>
      <c r="Z71" t="s">
        <v>56</v>
      </c>
      <c r="AA71" t="s">
        <v>57</v>
      </c>
      <c r="AB71">
        <v>0</v>
      </c>
      <c r="AC71" t="s">
        <v>58</v>
      </c>
      <c r="AD71">
        <v>8</v>
      </c>
      <c r="AE71" t="s">
        <v>59</v>
      </c>
      <c r="AF71">
        <v>59727562</v>
      </c>
      <c r="AG71" t="b">
        <v>0</v>
      </c>
      <c r="AH71">
        <v>7</v>
      </c>
      <c r="AI71" t="s">
        <v>67</v>
      </c>
      <c r="AJ71">
        <v>59727562</v>
      </c>
      <c r="AK71" t="b">
        <v>0</v>
      </c>
      <c r="AL71">
        <v>59727562</v>
      </c>
      <c r="AM71" t="b">
        <v>0</v>
      </c>
      <c r="AN71">
        <v>0</v>
      </c>
      <c r="AO71" t="b">
        <v>0</v>
      </c>
      <c r="AQ71">
        <v>601112193.14199996</v>
      </c>
      <c r="AR71">
        <v>601112193.14199996</v>
      </c>
      <c r="AS71">
        <v>0</v>
      </c>
      <c r="AT71" t="b">
        <v>0</v>
      </c>
      <c r="AU71" t="b">
        <v>1</v>
      </c>
      <c r="BA71" t="str">
        <f t="shared" si="2"/>
        <v>Normal</v>
      </c>
      <c r="BG71" t="str">
        <f t="shared" si="3"/>
        <v>Normal</v>
      </c>
    </row>
    <row r="72" spans="1:59" x14ac:dyDescent="0.2">
      <c r="A72" t="s">
        <v>42</v>
      </c>
      <c r="B72" t="s">
        <v>43</v>
      </c>
      <c r="C72">
        <v>20190101</v>
      </c>
      <c r="D72">
        <v>2019</v>
      </c>
      <c r="E72">
        <v>52</v>
      </c>
      <c r="F72" t="s">
        <v>44</v>
      </c>
      <c r="G72">
        <v>604</v>
      </c>
      <c r="H72" t="s">
        <v>205</v>
      </c>
      <c r="I72" t="s">
        <v>206</v>
      </c>
      <c r="J72" t="s">
        <v>47</v>
      </c>
      <c r="K72" t="s">
        <v>48</v>
      </c>
      <c r="L72">
        <v>0</v>
      </c>
      <c r="M72" t="s">
        <v>49</v>
      </c>
      <c r="N72" t="s">
        <v>50</v>
      </c>
      <c r="O72">
        <v>0</v>
      </c>
      <c r="P72" t="s">
        <v>49</v>
      </c>
      <c r="Q72" t="s">
        <v>50</v>
      </c>
      <c r="R72" t="s">
        <v>51</v>
      </c>
      <c r="S72" t="s">
        <v>52</v>
      </c>
      <c r="T72" t="b">
        <v>1</v>
      </c>
      <c r="U72" t="s">
        <v>53</v>
      </c>
      <c r="V72" t="s">
        <v>54</v>
      </c>
      <c r="W72">
        <v>4</v>
      </c>
      <c r="X72" t="b">
        <v>0</v>
      </c>
      <c r="Y72" t="s">
        <v>55</v>
      </c>
      <c r="Z72" t="s">
        <v>56</v>
      </c>
      <c r="AA72" t="s">
        <v>57</v>
      </c>
      <c r="AB72">
        <v>0</v>
      </c>
      <c r="AC72" t="s">
        <v>58</v>
      </c>
      <c r="AD72">
        <v>8</v>
      </c>
      <c r="AE72" t="s">
        <v>59</v>
      </c>
      <c r="AF72">
        <v>309141766.81</v>
      </c>
      <c r="AG72" t="b">
        <v>0</v>
      </c>
      <c r="AH72">
        <v>12</v>
      </c>
      <c r="AI72" t="s">
        <v>70</v>
      </c>
      <c r="AJ72">
        <v>329555.12199999997</v>
      </c>
      <c r="AK72" t="b">
        <v>0</v>
      </c>
      <c r="AL72">
        <v>309141766.81</v>
      </c>
      <c r="AM72" t="b">
        <v>0</v>
      </c>
      <c r="AN72">
        <v>0</v>
      </c>
      <c r="AO72" t="b">
        <v>0</v>
      </c>
      <c r="AQ72">
        <v>121954090.89</v>
      </c>
      <c r="AR72">
        <v>121954090.89</v>
      </c>
      <c r="AS72">
        <v>0</v>
      </c>
      <c r="AT72" t="b">
        <v>0</v>
      </c>
      <c r="AU72" t="b">
        <v>1</v>
      </c>
      <c r="BA72" t="str">
        <f t="shared" si="2"/>
        <v>Normal</v>
      </c>
      <c r="BG72" t="str">
        <f t="shared" si="3"/>
        <v>Normal</v>
      </c>
    </row>
    <row r="73" spans="1:59" x14ac:dyDescent="0.2">
      <c r="A73" t="s">
        <v>42</v>
      </c>
      <c r="B73" t="s">
        <v>43</v>
      </c>
      <c r="C73">
        <v>20190101</v>
      </c>
      <c r="D73">
        <v>2019</v>
      </c>
      <c r="E73">
        <v>52</v>
      </c>
      <c r="F73" t="s">
        <v>44</v>
      </c>
      <c r="G73">
        <v>608</v>
      </c>
      <c r="H73" t="s">
        <v>207</v>
      </c>
      <c r="I73" t="s">
        <v>208</v>
      </c>
      <c r="J73" t="s">
        <v>47</v>
      </c>
      <c r="K73" t="s">
        <v>48</v>
      </c>
      <c r="L73">
        <v>0</v>
      </c>
      <c r="M73" t="s">
        <v>49</v>
      </c>
      <c r="N73" t="s">
        <v>50</v>
      </c>
      <c r="O73">
        <v>0</v>
      </c>
      <c r="P73" t="s">
        <v>49</v>
      </c>
      <c r="Q73" t="s">
        <v>50</v>
      </c>
      <c r="R73" t="s">
        <v>51</v>
      </c>
      <c r="S73" t="s">
        <v>52</v>
      </c>
      <c r="T73" t="b">
        <v>1</v>
      </c>
      <c r="U73" t="s">
        <v>53</v>
      </c>
      <c r="V73" t="s">
        <v>54</v>
      </c>
      <c r="W73">
        <v>4</v>
      </c>
      <c r="X73" t="b">
        <v>0</v>
      </c>
      <c r="Y73" t="s">
        <v>55</v>
      </c>
      <c r="Z73" t="s">
        <v>56</v>
      </c>
      <c r="AA73" t="s">
        <v>57</v>
      </c>
      <c r="AB73">
        <v>0</v>
      </c>
      <c r="AC73" t="s">
        <v>58</v>
      </c>
      <c r="AD73">
        <v>8</v>
      </c>
      <c r="AE73" t="s">
        <v>59</v>
      </c>
      <c r="AF73">
        <v>12232218528</v>
      </c>
      <c r="AG73" t="b">
        <v>0</v>
      </c>
      <c r="AH73">
        <v>19</v>
      </c>
      <c r="AI73" t="s">
        <v>60</v>
      </c>
      <c r="AJ73">
        <v>76932192</v>
      </c>
      <c r="AK73" t="b">
        <v>0</v>
      </c>
      <c r="AL73">
        <v>12232218528</v>
      </c>
      <c r="AM73" t="b">
        <v>0</v>
      </c>
      <c r="AN73">
        <v>585779301</v>
      </c>
      <c r="AO73" t="b">
        <v>0</v>
      </c>
      <c r="AP73">
        <v>0</v>
      </c>
      <c r="AQ73">
        <v>170097781</v>
      </c>
      <c r="AR73">
        <v>170097781</v>
      </c>
      <c r="AS73">
        <v>0</v>
      </c>
      <c r="AT73" t="b">
        <v>0</v>
      </c>
      <c r="AU73" t="b">
        <v>1</v>
      </c>
      <c r="BA73" t="str">
        <f t="shared" si="2"/>
        <v>Normal</v>
      </c>
      <c r="BG73" t="str">
        <f t="shared" si="3"/>
        <v>Normal</v>
      </c>
    </row>
    <row r="74" spans="1:59" x14ac:dyDescent="0.2">
      <c r="A74" t="s">
        <v>42</v>
      </c>
      <c r="B74" t="s">
        <v>43</v>
      </c>
      <c r="C74">
        <v>20190101</v>
      </c>
      <c r="D74">
        <v>2019</v>
      </c>
      <c r="E74">
        <v>52</v>
      </c>
      <c r="F74" t="s">
        <v>44</v>
      </c>
      <c r="G74">
        <v>616</v>
      </c>
      <c r="H74" t="s">
        <v>209</v>
      </c>
      <c r="I74" t="s">
        <v>210</v>
      </c>
      <c r="J74" t="s">
        <v>47</v>
      </c>
      <c r="K74" t="s">
        <v>48</v>
      </c>
      <c r="L74">
        <v>0</v>
      </c>
      <c r="M74" t="s">
        <v>49</v>
      </c>
      <c r="N74" t="s">
        <v>50</v>
      </c>
      <c r="O74">
        <v>0</v>
      </c>
      <c r="P74" t="s">
        <v>49</v>
      </c>
      <c r="Q74" t="s">
        <v>50</v>
      </c>
      <c r="R74" t="s">
        <v>51</v>
      </c>
      <c r="S74" t="s">
        <v>52</v>
      </c>
      <c r="T74" t="b">
        <v>1</v>
      </c>
      <c r="U74" t="s">
        <v>53</v>
      </c>
      <c r="V74" t="s">
        <v>54</v>
      </c>
      <c r="W74">
        <v>4</v>
      </c>
      <c r="X74" t="b">
        <v>0</v>
      </c>
      <c r="Y74" t="s">
        <v>55</v>
      </c>
      <c r="Z74" t="s">
        <v>56</v>
      </c>
      <c r="AA74" t="s">
        <v>57</v>
      </c>
      <c r="AB74">
        <v>0</v>
      </c>
      <c r="AC74" t="s">
        <v>58</v>
      </c>
      <c r="AD74">
        <v>8</v>
      </c>
      <c r="AE74" t="s">
        <v>59</v>
      </c>
      <c r="AF74">
        <v>242908442</v>
      </c>
      <c r="AG74" t="b">
        <v>0</v>
      </c>
      <c r="AH74">
        <v>8</v>
      </c>
      <c r="AI74" t="s">
        <v>59</v>
      </c>
      <c r="AJ74">
        <v>242908442</v>
      </c>
      <c r="AK74" t="b">
        <v>0</v>
      </c>
      <c r="AL74">
        <v>242908442</v>
      </c>
      <c r="AM74" t="b">
        <v>0</v>
      </c>
      <c r="AN74">
        <v>0</v>
      </c>
      <c r="AO74" t="b">
        <v>0</v>
      </c>
      <c r="AQ74">
        <v>113555843</v>
      </c>
      <c r="AR74">
        <v>113555843</v>
      </c>
      <c r="AS74">
        <v>0</v>
      </c>
      <c r="AT74" t="b">
        <v>0</v>
      </c>
      <c r="AU74" t="b">
        <v>1</v>
      </c>
      <c r="BA74" t="str">
        <f t="shared" si="2"/>
        <v>Normal</v>
      </c>
      <c r="BG74" t="str">
        <f t="shared" si="3"/>
        <v>Normal</v>
      </c>
    </row>
    <row r="75" spans="1:59" x14ac:dyDescent="0.2">
      <c r="A75" t="s">
        <v>42</v>
      </c>
      <c r="B75" t="s">
        <v>43</v>
      </c>
      <c r="C75">
        <v>20190101</v>
      </c>
      <c r="D75">
        <v>2019</v>
      </c>
      <c r="E75">
        <v>52</v>
      </c>
      <c r="F75" t="s">
        <v>44</v>
      </c>
      <c r="G75">
        <v>620</v>
      </c>
      <c r="H75" t="s">
        <v>211</v>
      </c>
      <c r="I75" t="s">
        <v>212</v>
      </c>
      <c r="J75" t="s">
        <v>47</v>
      </c>
      <c r="K75" t="s">
        <v>48</v>
      </c>
      <c r="L75">
        <v>0</v>
      </c>
      <c r="M75" t="s">
        <v>49</v>
      </c>
      <c r="N75" t="s">
        <v>50</v>
      </c>
      <c r="O75">
        <v>0</v>
      </c>
      <c r="P75" t="s">
        <v>49</v>
      </c>
      <c r="Q75" t="s">
        <v>50</v>
      </c>
      <c r="R75" t="s">
        <v>51</v>
      </c>
      <c r="S75" t="s">
        <v>52</v>
      </c>
      <c r="T75" t="b">
        <v>1</v>
      </c>
      <c r="U75" t="s">
        <v>53</v>
      </c>
      <c r="V75" t="s">
        <v>54</v>
      </c>
      <c r="W75">
        <v>4</v>
      </c>
      <c r="X75" t="b">
        <v>0</v>
      </c>
      <c r="Y75" t="s">
        <v>55</v>
      </c>
      <c r="Z75" t="s">
        <v>56</v>
      </c>
      <c r="AA75" t="s">
        <v>57</v>
      </c>
      <c r="AB75">
        <v>0</v>
      </c>
      <c r="AC75" t="s">
        <v>58</v>
      </c>
      <c r="AD75">
        <v>8</v>
      </c>
      <c r="AE75" t="s">
        <v>59</v>
      </c>
      <c r="AF75">
        <v>1215</v>
      </c>
      <c r="AG75" t="b">
        <v>0</v>
      </c>
      <c r="AH75">
        <v>8</v>
      </c>
      <c r="AI75" t="s">
        <v>59</v>
      </c>
      <c r="AJ75">
        <v>1215</v>
      </c>
      <c r="AK75" t="b">
        <v>0</v>
      </c>
      <c r="AL75">
        <v>1215</v>
      </c>
      <c r="AM75" t="b">
        <v>0</v>
      </c>
      <c r="AN75">
        <v>0</v>
      </c>
      <c r="AO75" t="b">
        <v>0</v>
      </c>
      <c r="AQ75">
        <v>3843.4639999999999</v>
      </c>
      <c r="AR75">
        <v>3843.4639999999999</v>
      </c>
      <c r="AS75">
        <v>0</v>
      </c>
      <c r="AT75" t="b">
        <v>0</v>
      </c>
      <c r="AU75" t="b">
        <v>1</v>
      </c>
      <c r="BA75" t="str">
        <f t="shared" si="2"/>
        <v>Normal</v>
      </c>
      <c r="BG75" t="str">
        <f t="shared" si="3"/>
        <v>Normal</v>
      </c>
    </row>
    <row r="76" spans="1:59" x14ac:dyDescent="0.2">
      <c r="A76" t="s">
        <v>42</v>
      </c>
      <c r="B76" t="s">
        <v>43</v>
      </c>
      <c r="C76">
        <v>20190101</v>
      </c>
      <c r="D76">
        <v>2019</v>
      </c>
      <c r="E76">
        <v>52</v>
      </c>
      <c r="F76" t="s">
        <v>44</v>
      </c>
      <c r="G76">
        <v>626</v>
      </c>
      <c r="H76" t="s">
        <v>213</v>
      </c>
      <c r="I76" t="s">
        <v>214</v>
      </c>
      <c r="J76" t="s">
        <v>47</v>
      </c>
      <c r="K76" t="s">
        <v>48</v>
      </c>
      <c r="L76">
        <v>0</v>
      </c>
      <c r="M76" t="s">
        <v>49</v>
      </c>
      <c r="N76" t="s">
        <v>50</v>
      </c>
      <c r="O76">
        <v>0</v>
      </c>
      <c r="P76" t="s">
        <v>49</v>
      </c>
      <c r="Q76" t="s">
        <v>50</v>
      </c>
      <c r="R76" t="s">
        <v>215</v>
      </c>
      <c r="S76" t="s">
        <v>52</v>
      </c>
      <c r="T76" t="b">
        <v>1</v>
      </c>
      <c r="U76" t="s">
        <v>53</v>
      </c>
      <c r="V76" t="s">
        <v>54</v>
      </c>
      <c r="W76">
        <v>4</v>
      </c>
      <c r="X76" t="b">
        <v>0</v>
      </c>
      <c r="Y76" t="s">
        <v>55</v>
      </c>
      <c r="Z76" t="s">
        <v>56</v>
      </c>
      <c r="AA76" t="s">
        <v>57</v>
      </c>
      <c r="AB76">
        <v>0</v>
      </c>
      <c r="AC76" t="s">
        <v>58</v>
      </c>
      <c r="AD76">
        <v>-1</v>
      </c>
      <c r="AE76" t="s">
        <v>73</v>
      </c>
      <c r="AF76">
        <v>0</v>
      </c>
      <c r="AG76" t="b">
        <v>0</v>
      </c>
      <c r="AH76">
        <v>-1</v>
      </c>
      <c r="AI76" t="s">
        <v>73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Q76">
        <v>81290921.930000007</v>
      </c>
      <c r="AR76">
        <v>81290921.930000007</v>
      </c>
      <c r="AS76">
        <v>0</v>
      </c>
      <c r="AT76" t="b">
        <v>0</v>
      </c>
      <c r="AU76" t="b">
        <v>1</v>
      </c>
      <c r="BA76" t="str">
        <f t="shared" si="2"/>
        <v>Normal</v>
      </c>
      <c r="BG76" t="str">
        <f t="shared" si="3"/>
        <v>Normal</v>
      </c>
    </row>
    <row r="77" spans="1:59" x14ac:dyDescent="0.2">
      <c r="A77" t="s">
        <v>42</v>
      </c>
      <c r="B77" t="s">
        <v>43</v>
      </c>
      <c r="C77">
        <v>20190101</v>
      </c>
      <c r="D77">
        <v>2019</v>
      </c>
      <c r="E77">
        <v>52</v>
      </c>
      <c r="F77" t="s">
        <v>44</v>
      </c>
      <c r="G77">
        <v>634</v>
      </c>
      <c r="H77" t="s">
        <v>216</v>
      </c>
      <c r="I77" t="s">
        <v>217</v>
      </c>
      <c r="J77" t="s">
        <v>47</v>
      </c>
      <c r="K77" t="s">
        <v>48</v>
      </c>
      <c r="L77">
        <v>0</v>
      </c>
      <c r="M77" t="s">
        <v>49</v>
      </c>
      <c r="N77" t="s">
        <v>50</v>
      </c>
      <c r="O77">
        <v>0</v>
      </c>
      <c r="P77" t="s">
        <v>49</v>
      </c>
      <c r="Q77" t="s">
        <v>50</v>
      </c>
      <c r="R77" t="s">
        <v>104</v>
      </c>
      <c r="S77" t="s">
        <v>52</v>
      </c>
      <c r="T77" t="b">
        <v>1</v>
      </c>
      <c r="U77" t="s">
        <v>53</v>
      </c>
      <c r="V77" t="s">
        <v>54</v>
      </c>
      <c r="W77">
        <v>4</v>
      </c>
      <c r="X77" t="b">
        <v>0</v>
      </c>
      <c r="Y77" t="s">
        <v>55</v>
      </c>
      <c r="Z77" t="s">
        <v>56</v>
      </c>
      <c r="AA77" t="s">
        <v>57</v>
      </c>
      <c r="AB77">
        <v>0</v>
      </c>
      <c r="AC77" t="s">
        <v>58</v>
      </c>
      <c r="AD77">
        <v>8</v>
      </c>
      <c r="AE77" t="s">
        <v>59</v>
      </c>
      <c r="AF77">
        <v>24062512574.310001</v>
      </c>
      <c r="AG77" t="b">
        <v>0</v>
      </c>
      <c r="AH77">
        <v>8</v>
      </c>
      <c r="AI77" t="s">
        <v>59</v>
      </c>
      <c r="AJ77">
        <v>24062512574.310001</v>
      </c>
      <c r="AK77" t="b">
        <v>0</v>
      </c>
      <c r="AL77">
        <v>24062512574.310001</v>
      </c>
      <c r="AM77" t="b">
        <v>0</v>
      </c>
      <c r="AN77">
        <v>0</v>
      </c>
      <c r="AO77" t="b">
        <v>0</v>
      </c>
      <c r="AQ77">
        <v>12411487052.997</v>
      </c>
      <c r="AR77">
        <v>12411487052.997</v>
      </c>
      <c r="AS77">
        <v>0</v>
      </c>
      <c r="AT77" t="b">
        <v>0</v>
      </c>
      <c r="AU77" t="b">
        <v>1</v>
      </c>
      <c r="BA77" t="str">
        <f t="shared" si="2"/>
        <v>Normal</v>
      </c>
      <c r="BG77" t="str">
        <f t="shared" si="3"/>
        <v>Normal</v>
      </c>
    </row>
    <row r="78" spans="1:59" x14ac:dyDescent="0.2">
      <c r="A78" t="s">
        <v>42</v>
      </c>
      <c r="B78" t="s">
        <v>43</v>
      </c>
      <c r="C78">
        <v>20190101</v>
      </c>
      <c r="D78">
        <v>2019</v>
      </c>
      <c r="E78">
        <v>52</v>
      </c>
      <c r="F78" t="s">
        <v>44</v>
      </c>
      <c r="G78">
        <v>642</v>
      </c>
      <c r="H78" t="s">
        <v>218</v>
      </c>
      <c r="I78" t="s">
        <v>219</v>
      </c>
      <c r="J78" t="s">
        <v>47</v>
      </c>
      <c r="K78" t="s">
        <v>48</v>
      </c>
      <c r="L78">
        <v>0</v>
      </c>
      <c r="M78" t="s">
        <v>49</v>
      </c>
      <c r="N78" t="s">
        <v>50</v>
      </c>
      <c r="O78">
        <v>0</v>
      </c>
      <c r="P78" t="s">
        <v>49</v>
      </c>
      <c r="Q78" t="s">
        <v>50</v>
      </c>
      <c r="R78" t="s">
        <v>51</v>
      </c>
      <c r="S78" t="s">
        <v>52</v>
      </c>
      <c r="T78" t="b">
        <v>1</v>
      </c>
      <c r="U78" t="s">
        <v>53</v>
      </c>
      <c r="V78" t="s">
        <v>54</v>
      </c>
      <c r="W78">
        <v>4</v>
      </c>
      <c r="X78" t="b">
        <v>0</v>
      </c>
      <c r="Y78" t="s">
        <v>55</v>
      </c>
      <c r="Z78" t="s">
        <v>56</v>
      </c>
      <c r="AA78" t="s">
        <v>57</v>
      </c>
      <c r="AB78">
        <v>0</v>
      </c>
      <c r="AC78" t="s">
        <v>58</v>
      </c>
      <c r="AD78">
        <v>8</v>
      </c>
      <c r="AE78" t="s">
        <v>59</v>
      </c>
      <c r="AF78">
        <v>35318469.450000003</v>
      </c>
      <c r="AG78" t="b">
        <v>0</v>
      </c>
      <c r="AH78">
        <v>8</v>
      </c>
      <c r="AI78" t="s">
        <v>59</v>
      </c>
      <c r="AJ78">
        <v>35318469.450000003</v>
      </c>
      <c r="AK78" t="b">
        <v>0</v>
      </c>
      <c r="AL78">
        <v>35318469.450000003</v>
      </c>
      <c r="AM78" t="b">
        <v>0</v>
      </c>
      <c r="AN78">
        <v>0</v>
      </c>
      <c r="AO78" t="b">
        <v>0</v>
      </c>
      <c r="AP78">
        <v>0</v>
      </c>
      <c r="AQ78">
        <v>13236144.35</v>
      </c>
      <c r="AR78">
        <v>13236144.35</v>
      </c>
      <c r="AS78">
        <v>0</v>
      </c>
      <c r="AT78" t="b">
        <v>0</v>
      </c>
      <c r="AU78" t="b">
        <v>1</v>
      </c>
      <c r="BA78" t="str">
        <f t="shared" si="2"/>
        <v>Normal</v>
      </c>
      <c r="BG78" t="str">
        <f t="shared" si="3"/>
        <v>Normal</v>
      </c>
    </row>
    <row r="79" spans="1:59" x14ac:dyDescent="0.2">
      <c r="A79" t="s">
        <v>42</v>
      </c>
      <c r="B79" t="s">
        <v>43</v>
      </c>
      <c r="C79">
        <v>20190101</v>
      </c>
      <c r="D79">
        <v>2019</v>
      </c>
      <c r="E79">
        <v>52</v>
      </c>
      <c r="F79" t="s">
        <v>44</v>
      </c>
      <c r="G79">
        <v>643</v>
      </c>
      <c r="H79" t="s">
        <v>220</v>
      </c>
      <c r="I79" t="s">
        <v>221</v>
      </c>
      <c r="J79" t="s">
        <v>47</v>
      </c>
      <c r="K79" t="s">
        <v>48</v>
      </c>
      <c r="L79">
        <v>0</v>
      </c>
      <c r="M79" t="s">
        <v>49</v>
      </c>
      <c r="N79" t="s">
        <v>50</v>
      </c>
      <c r="O79">
        <v>0</v>
      </c>
      <c r="P79" t="s">
        <v>49</v>
      </c>
      <c r="Q79" t="s">
        <v>50</v>
      </c>
      <c r="R79" t="s">
        <v>51</v>
      </c>
      <c r="S79" t="s">
        <v>52</v>
      </c>
      <c r="T79" t="b">
        <v>1</v>
      </c>
      <c r="U79" t="s">
        <v>53</v>
      </c>
      <c r="V79" t="s">
        <v>54</v>
      </c>
      <c r="W79">
        <v>4</v>
      </c>
      <c r="X79" t="b">
        <v>0</v>
      </c>
      <c r="Y79" t="s">
        <v>55</v>
      </c>
      <c r="Z79" t="s">
        <v>56</v>
      </c>
      <c r="AA79" t="s">
        <v>57</v>
      </c>
      <c r="AB79">
        <v>0</v>
      </c>
      <c r="AC79" t="s">
        <v>58</v>
      </c>
      <c r="AD79">
        <v>8</v>
      </c>
      <c r="AE79" t="s">
        <v>59</v>
      </c>
      <c r="AF79">
        <v>269175244771</v>
      </c>
      <c r="AG79" t="b">
        <v>0</v>
      </c>
      <c r="AH79">
        <v>8</v>
      </c>
      <c r="AI79" t="s">
        <v>59</v>
      </c>
      <c r="AJ79">
        <v>269175244771</v>
      </c>
      <c r="AK79" t="b">
        <v>0</v>
      </c>
      <c r="AL79">
        <v>269175244771</v>
      </c>
      <c r="AM79" t="b">
        <v>0</v>
      </c>
      <c r="AN79">
        <v>0</v>
      </c>
      <c r="AO79" t="b">
        <v>0</v>
      </c>
      <c r="AQ79">
        <v>122228578653.3</v>
      </c>
      <c r="AR79">
        <v>122228578653.3</v>
      </c>
      <c r="AS79">
        <v>0</v>
      </c>
      <c r="AT79" t="b">
        <v>0</v>
      </c>
      <c r="AU79" t="b">
        <v>1</v>
      </c>
      <c r="BA79" t="str">
        <f t="shared" si="2"/>
        <v>Normal</v>
      </c>
      <c r="BG79" t="str">
        <f t="shared" si="3"/>
        <v>Normal</v>
      </c>
    </row>
    <row r="80" spans="1:59" x14ac:dyDescent="0.2">
      <c r="A80" t="s">
        <v>42</v>
      </c>
      <c r="B80" t="s">
        <v>43</v>
      </c>
      <c r="C80">
        <v>20190101</v>
      </c>
      <c r="D80">
        <v>2019</v>
      </c>
      <c r="E80">
        <v>52</v>
      </c>
      <c r="F80" t="s">
        <v>44</v>
      </c>
      <c r="G80">
        <v>646</v>
      </c>
      <c r="H80" t="s">
        <v>222</v>
      </c>
      <c r="I80" t="s">
        <v>223</v>
      </c>
      <c r="J80" t="s">
        <v>47</v>
      </c>
      <c r="K80" t="s">
        <v>48</v>
      </c>
      <c r="L80">
        <v>0</v>
      </c>
      <c r="M80" t="s">
        <v>49</v>
      </c>
      <c r="N80" t="s">
        <v>50</v>
      </c>
      <c r="O80">
        <v>0</v>
      </c>
      <c r="P80" t="s">
        <v>49</v>
      </c>
      <c r="Q80" t="s">
        <v>50</v>
      </c>
      <c r="R80" t="s">
        <v>104</v>
      </c>
      <c r="S80" t="s">
        <v>52</v>
      </c>
      <c r="T80" t="b">
        <v>1</v>
      </c>
      <c r="U80" t="s">
        <v>53</v>
      </c>
      <c r="V80" t="s">
        <v>54</v>
      </c>
      <c r="W80">
        <v>4</v>
      </c>
      <c r="X80" t="b">
        <v>0</v>
      </c>
      <c r="Y80" t="s">
        <v>55</v>
      </c>
      <c r="Z80" t="s">
        <v>56</v>
      </c>
      <c r="AA80" t="s">
        <v>57</v>
      </c>
      <c r="AB80">
        <v>0</v>
      </c>
      <c r="AC80" t="s">
        <v>58</v>
      </c>
      <c r="AD80">
        <v>8</v>
      </c>
      <c r="AE80" t="s">
        <v>59</v>
      </c>
      <c r="AF80">
        <v>3500</v>
      </c>
      <c r="AG80" t="b">
        <v>0</v>
      </c>
      <c r="AH80">
        <v>8</v>
      </c>
      <c r="AI80" t="s">
        <v>59</v>
      </c>
      <c r="AJ80">
        <v>3500</v>
      </c>
      <c r="AK80" t="b">
        <v>0</v>
      </c>
      <c r="AL80">
        <v>3500</v>
      </c>
      <c r="AM80" t="b">
        <v>0</v>
      </c>
      <c r="AN80">
        <v>0</v>
      </c>
      <c r="AO80" t="b">
        <v>0</v>
      </c>
      <c r="AP80">
        <v>0</v>
      </c>
      <c r="AQ80">
        <v>126.69</v>
      </c>
      <c r="AR80">
        <v>126.69</v>
      </c>
      <c r="AS80">
        <v>0</v>
      </c>
      <c r="AT80" t="b">
        <v>0</v>
      </c>
      <c r="AU80" t="b">
        <v>1</v>
      </c>
      <c r="BA80" t="str">
        <f t="shared" si="2"/>
        <v>Normal</v>
      </c>
      <c r="BG80" t="str">
        <f t="shared" si="3"/>
        <v>Normal</v>
      </c>
    </row>
    <row r="81" spans="1:59" x14ac:dyDescent="0.2">
      <c r="A81" t="s">
        <v>42</v>
      </c>
      <c r="B81" t="s">
        <v>43</v>
      </c>
      <c r="C81">
        <v>20190101</v>
      </c>
      <c r="D81">
        <v>2019</v>
      </c>
      <c r="E81">
        <v>52</v>
      </c>
      <c r="F81" t="s">
        <v>44</v>
      </c>
      <c r="G81">
        <v>682</v>
      </c>
      <c r="H81" t="s">
        <v>224</v>
      </c>
      <c r="I81" t="s">
        <v>225</v>
      </c>
      <c r="J81" t="s">
        <v>47</v>
      </c>
      <c r="K81" t="s">
        <v>48</v>
      </c>
      <c r="L81">
        <v>0</v>
      </c>
      <c r="M81" t="s">
        <v>49</v>
      </c>
      <c r="N81" t="s">
        <v>50</v>
      </c>
      <c r="O81">
        <v>0</v>
      </c>
      <c r="P81" t="s">
        <v>49</v>
      </c>
      <c r="Q81" t="s">
        <v>50</v>
      </c>
      <c r="R81" t="s">
        <v>104</v>
      </c>
      <c r="S81" t="s">
        <v>52</v>
      </c>
      <c r="T81" t="b">
        <v>1</v>
      </c>
      <c r="U81" t="s">
        <v>53</v>
      </c>
      <c r="V81" t="s">
        <v>54</v>
      </c>
      <c r="W81">
        <v>4</v>
      </c>
      <c r="X81" t="b">
        <v>0</v>
      </c>
      <c r="Y81" t="s">
        <v>55</v>
      </c>
      <c r="Z81" t="s">
        <v>56</v>
      </c>
      <c r="AA81" t="s">
        <v>57</v>
      </c>
      <c r="AB81">
        <v>0</v>
      </c>
      <c r="AC81" t="s">
        <v>58</v>
      </c>
      <c r="AD81">
        <v>8</v>
      </c>
      <c r="AE81" t="s">
        <v>59</v>
      </c>
      <c r="AF81">
        <v>356301549773.06702</v>
      </c>
      <c r="AG81" t="b">
        <v>1</v>
      </c>
      <c r="AH81">
        <v>-1</v>
      </c>
      <c r="AI81" t="s">
        <v>73</v>
      </c>
      <c r="AJ81">
        <v>0</v>
      </c>
      <c r="AK81" t="b">
        <v>0</v>
      </c>
      <c r="AL81">
        <v>356301549773.06702</v>
      </c>
      <c r="AM81" t="b">
        <v>1</v>
      </c>
      <c r="AN81">
        <v>0</v>
      </c>
      <c r="AO81" t="b">
        <v>0</v>
      </c>
      <c r="AQ81">
        <v>166896805817.71301</v>
      </c>
      <c r="AR81">
        <v>166896805817.71301</v>
      </c>
      <c r="AS81">
        <v>6</v>
      </c>
      <c r="AT81" t="b">
        <v>0</v>
      </c>
      <c r="AU81" t="b">
        <v>1</v>
      </c>
      <c r="BA81" t="str">
        <f t="shared" si="2"/>
        <v>Normal</v>
      </c>
      <c r="BG81" t="str">
        <f t="shared" si="3"/>
        <v>Normal</v>
      </c>
    </row>
    <row r="82" spans="1:59" x14ac:dyDescent="0.2">
      <c r="A82" t="s">
        <v>42</v>
      </c>
      <c r="B82" t="s">
        <v>43</v>
      </c>
      <c r="C82">
        <v>20190101</v>
      </c>
      <c r="D82">
        <v>2019</v>
      </c>
      <c r="E82">
        <v>52</v>
      </c>
      <c r="F82" t="s">
        <v>44</v>
      </c>
      <c r="G82">
        <v>686</v>
      </c>
      <c r="H82" t="s">
        <v>226</v>
      </c>
      <c r="I82" t="s">
        <v>227</v>
      </c>
      <c r="J82" t="s">
        <v>47</v>
      </c>
      <c r="K82" t="s">
        <v>48</v>
      </c>
      <c r="L82">
        <v>0</v>
      </c>
      <c r="M82" t="s">
        <v>49</v>
      </c>
      <c r="N82" t="s">
        <v>50</v>
      </c>
      <c r="O82">
        <v>0</v>
      </c>
      <c r="P82" t="s">
        <v>49</v>
      </c>
      <c r="Q82" t="s">
        <v>50</v>
      </c>
      <c r="R82" t="s">
        <v>51</v>
      </c>
      <c r="S82" t="s">
        <v>52</v>
      </c>
      <c r="T82" t="b">
        <v>1</v>
      </c>
      <c r="U82" t="s">
        <v>53</v>
      </c>
      <c r="V82" t="s">
        <v>54</v>
      </c>
      <c r="W82">
        <v>4</v>
      </c>
      <c r="X82" t="b">
        <v>0</v>
      </c>
      <c r="Y82" t="s">
        <v>55</v>
      </c>
      <c r="Z82" t="s">
        <v>56</v>
      </c>
      <c r="AA82" t="s">
        <v>57</v>
      </c>
      <c r="AB82">
        <v>0</v>
      </c>
      <c r="AC82" t="s">
        <v>58</v>
      </c>
      <c r="AD82">
        <v>8</v>
      </c>
      <c r="AE82" t="s">
        <v>59</v>
      </c>
      <c r="AF82">
        <v>67582170</v>
      </c>
      <c r="AG82" t="b">
        <v>0</v>
      </c>
      <c r="AH82">
        <v>8</v>
      </c>
      <c r="AI82" t="s">
        <v>59</v>
      </c>
      <c r="AJ82">
        <v>67582170</v>
      </c>
      <c r="AK82" t="b">
        <v>0</v>
      </c>
      <c r="AL82">
        <v>67582170</v>
      </c>
      <c r="AM82" t="b">
        <v>0</v>
      </c>
      <c r="AN82">
        <v>0</v>
      </c>
      <c r="AO82" t="b">
        <v>0</v>
      </c>
      <c r="AQ82">
        <v>16027017.015000001</v>
      </c>
      <c r="AR82">
        <v>16027017.015000001</v>
      </c>
      <c r="AS82">
        <v>0</v>
      </c>
      <c r="AT82" t="b">
        <v>0</v>
      </c>
      <c r="AU82" t="b">
        <v>1</v>
      </c>
      <c r="BA82" t="str">
        <f t="shared" si="2"/>
        <v>Normal</v>
      </c>
      <c r="BG82" t="str">
        <f t="shared" si="3"/>
        <v>Normal</v>
      </c>
    </row>
    <row r="83" spans="1:59" x14ac:dyDescent="0.2">
      <c r="A83" t="s">
        <v>42</v>
      </c>
      <c r="B83" t="s">
        <v>43</v>
      </c>
      <c r="C83">
        <v>20190101</v>
      </c>
      <c r="D83">
        <v>2019</v>
      </c>
      <c r="E83">
        <v>52</v>
      </c>
      <c r="F83" t="s">
        <v>44</v>
      </c>
      <c r="G83">
        <v>688</v>
      </c>
      <c r="H83" t="s">
        <v>228</v>
      </c>
      <c r="I83" t="s">
        <v>229</v>
      </c>
      <c r="J83" t="s">
        <v>47</v>
      </c>
      <c r="K83" t="s">
        <v>48</v>
      </c>
      <c r="L83">
        <v>0</v>
      </c>
      <c r="M83" t="s">
        <v>49</v>
      </c>
      <c r="N83" t="s">
        <v>50</v>
      </c>
      <c r="O83">
        <v>0</v>
      </c>
      <c r="P83" t="s">
        <v>49</v>
      </c>
      <c r="Q83" t="s">
        <v>50</v>
      </c>
      <c r="R83" t="s">
        <v>51</v>
      </c>
      <c r="S83" t="s">
        <v>52</v>
      </c>
      <c r="T83" t="b">
        <v>1</v>
      </c>
      <c r="U83" t="s">
        <v>53</v>
      </c>
      <c r="V83" t="s">
        <v>54</v>
      </c>
      <c r="W83">
        <v>4</v>
      </c>
      <c r="X83" t="b">
        <v>0</v>
      </c>
      <c r="Y83" t="s">
        <v>55</v>
      </c>
      <c r="Z83" t="s">
        <v>56</v>
      </c>
      <c r="AA83" t="s">
        <v>57</v>
      </c>
      <c r="AB83">
        <v>0</v>
      </c>
      <c r="AC83" t="s">
        <v>58</v>
      </c>
      <c r="AD83">
        <v>8</v>
      </c>
      <c r="AE83" t="s">
        <v>59</v>
      </c>
      <c r="AF83">
        <v>535900</v>
      </c>
      <c r="AG83" t="b">
        <v>0</v>
      </c>
      <c r="AH83">
        <v>8</v>
      </c>
      <c r="AI83" t="s">
        <v>59</v>
      </c>
      <c r="AJ83">
        <v>535900</v>
      </c>
      <c r="AK83" t="b">
        <v>0</v>
      </c>
      <c r="AL83">
        <v>535900</v>
      </c>
      <c r="AM83" t="b">
        <v>0</v>
      </c>
      <c r="AN83">
        <v>0</v>
      </c>
      <c r="AO83" t="b">
        <v>0</v>
      </c>
      <c r="AQ83">
        <v>271304</v>
      </c>
      <c r="AR83">
        <v>271304</v>
      </c>
      <c r="AS83">
        <v>0</v>
      </c>
      <c r="AT83" t="b">
        <v>0</v>
      </c>
      <c r="AU83" t="b">
        <v>1</v>
      </c>
      <c r="BA83" t="str">
        <f t="shared" si="2"/>
        <v>Normal</v>
      </c>
      <c r="BG83" t="str">
        <f t="shared" si="3"/>
        <v>Normal</v>
      </c>
    </row>
    <row r="84" spans="1:59" x14ac:dyDescent="0.2">
      <c r="A84" t="s">
        <v>42</v>
      </c>
      <c r="B84" t="s">
        <v>43</v>
      </c>
      <c r="C84">
        <v>20190101</v>
      </c>
      <c r="D84">
        <v>2019</v>
      </c>
      <c r="E84">
        <v>52</v>
      </c>
      <c r="F84" t="s">
        <v>44</v>
      </c>
      <c r="G84">
        <v>702</v>
      </c>
      <c r="H84" t="s">
        <v>230</v>
      </c>
      <c r="I84" t="s">
        <v>231</v>
      </c>
      <c r="J84" t="s">
        <v>47</v>
      </c>
      <c r="K84" t="s">
        <v>48</v>
      </c>
      <c r="L84">
        <v>0</v>
      </c>
      <c r="M84" t="s">
        <v>49</v>
      </c>
      <c r="N84" t="s">
        <v>50</v>
      </c>
      <c r="O84">
        <v>0</v>
      </c>
      <c r="P84" t="s">
        <v>49</v>
      </c>
      <c r="Q84" t="s">
        <v>50</v>
      </c>
      <c r="R84" t="s">
        <v>51</v>
      </c>
      <c r="S84" t="s">
        <v>52</v>
      </c>
      <c r="T84" t="b">
        <v>1</v>
      </c>
      <c r="U84" t="s">
        <v>53</v>
      </c>
      <c r="V84" t="s">
        <v>54</v>
      </c>
      <c r="W84">
        <v>4</v>
      </c>
      <c r="X84" t="b">
        <v>0</v>
      </c>
      <c r="Y84" t="s">
        <v>55</v>
      </c>
      <c r="Z84" t="s">
        <v>56</v>
      </c>
      <c r="AA84" t="s">
        <v>57</v>
      </c>
      <c r="AB84">
        <v>0</v>
      </c>
      <c r="AC84" t="s">
        <v>58</v>
      </c>
      <c r="AD84">
        <v>-1</v>
      </c>
      <c r="AE84" t="s">
        <v>73</v>
      </c>
      <c r="AF84">
        <v>0</v>
      </c>
      <c r="AG84" t="b">
        <v>1</v>
      </c>
      <c r="AH84">
        <v>-1</v>
      </c>
      <c r="AI84" t="s">
        <v>73</v>
      </c>
      <c r="AJ84">
        <v>0</v>
      </c>
      <c r="AK84" t="b">
        <v>0</v>
      </c>
      <c r="AM84" t="b">
        <v>1</v>
      </c>
      <c r="AN84">
        <v>0</v>
      </c>
      <c r="AO84" t="b">
        <v>0</v>
      </c>
      <c r="AQ84">
        <v>14607.915999999999</v>
      </c>
      <c r="AR84">
        <v>14607.915999999999</v>
      </c>
      <c r="AS84">
        <v>6</v>
      </c>
      <c r="AT84" t="b">
        <v>0</v>
      </c>
      <c r="AU84" t="b">
        <v>1</v>
      </c>
      <c r="BA84" t="str">
        <f t="shared" si="2"/>
        <v>Normal</v>
      </c>
      <c r="BG84" t="str">
        <f t="shared" si="3"/>
        <v>Normal</v>
      </c>
    </row>
    <row r="85" spans="1:59" x14ac:dyDescent="0.2">
      <c r="A85" t="s">
        <v>42</v>
      </c>
      <c r="B85" t="s">
        <v>43</v>
      </c>
      <c r="C85">
        <v>20190101</v>
      </c>
      <c r="D85">
        <v>2019</v>
      </c>
      <c r="E85">
        <v>52</v>
      </c>
      <c r="F85" t="s">
        <v>44</v>
      </c>
      <c r="G85">
        <v>703</v>
      </c>
      <c r="H85" t="s">
        <v>232</v>
      </c>
      <c r="I85" t="s">
        <v>233</v>
      </c>
      <c r="J85" t="s">
        <v>47</v>
      </c>
      <c r="K85" t="s">
        <v>48</v>
      </c>
      <c r="L85">
        <v>0</v>
      </c>
      <c r="M85" t="s">
        <v>49</v>
      </c>
      <c r="N85" t="s">
        <v>50</v>
      </c>
      <c r="O85">
        <v>0</v>
      </c>
      <c r="P85" t="s">
        <v>49</v>
      </c>
      <c r="Q85" t="s">
        <v>50</v>
      </c>
      <c r="R85" t="s">
        <v>51</v>
      </c>
      <c r="S85" t="s">
        <v>52</v>
      </c>
      <c r="T85" t="b">
        <v>1</v>
      </c>
      <c r="U85" t="s">
        <v>53</v>
      </c>
      <c r="V85" t="s">
        <v>54</v>
      </c>
      <c r="W85">
        <v>4</v>
      </c>
      <c r="X85" t="b">
        <v>0</v>
      </c>
      <c r="Y85" t="s">
        <v>55</v>
      </c>
      <c r="Z85" t="s">
        <v>56</v>
      </c>
      <c r="AA85" t="s">
        <v>57</v>
      </c>
      <c r="AB85">
        <v>0</v>
      </c>
      <c r="AC85" t="s">
        <v>58</v>
      </c>
      <c r="AD85">
        <v>8</v>
      </c>
      <c r="AE85" t="s">
        <v>59</v>
      </c>
      <c r="AF85">
        <v>84793156</v>
      </c>
      <c r="AG85" t="b">
        <v>0</v>
      </c>
      <c r="AH85">
        <v>8</v>
      </c>
      <c r="AI85" t="s">
        <v>59</v>
      </c>
      <c r="AJ85">
        <v>84793156</v>
      </c>
      <c r="AK85" t="b">
        <v>0</v>
      </c>
      <c r="AL85">
        <v>84793156</v>
      </c>
      <c r="AM85" t="b">
        <v>0</v>
      </c>
      <c r="AN85">
        <v>0</v>
      </c>
      <c r="AO85" t="b">
        <v>0</v>
      </c>
      <c r="AQ85">
        <v>36702732.325999998</v>
      </c>
      <c r="AR85">
        <v>36702732.325999998</v>
      </c>
      <c r="AS85">
        <v>0</v>
      </c>
      <c r="AT85" t="b">
        <v>0</v>
      </c>
      <c r="AU85" t="b">
        <v>1</v>
      </c>
      <c r="BA85" t="str">
        <f t="shared" si="2"/>
        <v>Normal</v>
      </c>
      <c r="BG85" t="str">
        <f t="shared" si="3"/>
        <v>Normal</v>
      </c>
    </row>
    <row r="86" spans="1:59" x14ac:dyDescent="0.2">
      <c r="A86" t="s">
        <v>42</v>
      </c>
      <c r="B86" t="s">
        <v>43</v>
      </c>
      <c r="C86">
        <v>20190101</v>
      </c>
      <c r="D86">
        <v>2019</v>
      </c>
      <c r="E86">
        <v>52</v>
      </c>
      <c r="F86" t="s">
        <v>44</v>
      </c>
      <c r="G86">
        <v>704</v>
      </c>
      <c r="H86" t="s">
        <v>234</v>
      </c>
      <c r="I86" t="s">
        <v>235</v>
      </c>
      <c r="J86" t="s">
        <v>47</v>
      </c>
      <c r="K86" t="s">
        <v>48</v>
      </c>
      <c r="L86">
        <v>0</v>
      </c>
      <c r="M86" t="s">
        <v>49</v>
      </c>
      <c r="N86" t="s">
        <v>50</v>
      </c>
      <c r="O86">
        <v>0</v>
      </c>
      <c r="P86" t="s">
        <v>49</v>
      </c>
      <c r="Q86" t="s">
        <v>50</v>
      </c>
      <c r="R86" t="s">
        <v>51</v>
      </c>
      <c r="S86" t="s">
        <v>52</v>
      </c>
      <c r="T86" t="b">
        <v>1</v>
      </c>
      <c r="U86" t="s">
        <v>53</v>
      </c>
      <c r="V86" t="s">
        <v>54</v>
      </c>
      <c r="W86">
        <v>4</v>
      </c>
      <c r="X86" t="b">
        <v>0</v>
      </c>
      <c r="Y86" t="s">
        <v>55</v>
      </c>
      <c r="Z86" t="s">
        <v>56</v>
      </c>
      <c r="AA86" t="s">
        <v>57</v>
      </c>
      <c r="AB86">
        <v>0</v>
      </c>
      <c r="AC86" t="s">
        <v>58</v>
      </c>
      <c r="AD86">
        <v>8</v>
      </c>
      <c r="AE86" t="s">
        <v>59</v>
      </c>
      <c r="AF86">
        <v>3694116400</v>
      </c>
      <c r="AG86" t="b">
        <v>0</v>
      </c>
      <c r="AH86">
        <v>21</v>
      </c>
      <c r="AI86" t="s">
        <v>170</v>
      </c>
      <c r="AJ86">
        <v>3694116.4</v>
      </c>
      <c r="AK86" t="b">
        <v>0</v>
      </c>
      <c r="AL86">
        <v>3694116400</v>
      </c>
      <c r="AM86" t="b">
        <v>0</v>
      </c>
      <c r="AN86">
        <v>0</v>
      </c>
      <c r="AO86" t="b">
        <v>0</v>
      </c>
      <c r="AQ86">
        <v>1892580345.05</v>
      </c>
      <c r="AR86">
        <v>1892580345.05</v>
      </c>
      <c r="AS86">
        <v>0</v>
      </c>
      <c r="AT86" t="b">
        <v>0</v>
      </c>
      <c r="AU86" t="b">
        <v>1</v>
      </c>
      <c r="BA86" t="str">
        <f t="shared" si="2"/>
        <v>Normal</v>
      </c>
      <c r="BG86" t="str">
        <f t="shared" si="3"/>
        <v>Normal</v>
      </c>
    </row>
    <row r="87" spans="1:59" x14ac:dyDescent="0.2">
      <c r="A87" t="s">
        <v>42</v>
      </c>
      <c r="B87" t="s">
        <v>43</v>
      </c>
      <c r="C87">
        <v>20190101</v>
      </c>
      <c r="D87">
        <v>2019</v>
      </c>
      <c r="E87">
        <v>52</v>
      </c>
      <c r="F87" t="s">
        <v>44</v>
      </c>
      <c r="G87">
        <v>705</v>
      </c>
      <c r="H87" t="s">
        <v>236</v>
      </c>
      <c r="I87" t="s">
        <v>237</v>
      </c>
      <c r="J87" t="s">
        <v>47</v>
      </c>
      <c r="K87" t="s">
        <v>48</v>
      </c>
      <c r="L87">
        <v>0</v>
      </c>
      <c r="M87" t="s">
        <v>49</v>
      </c>
      <c r="N87" t="s">
        <v>50</v>
      </c>
      <c r="O87">
        <v>0</v>
      </c>
      <c r="P87" t="s">
        <v>49</v>
      </c>
      <c r="Q87" t="s">
        <v>50</v>
      </c>
      <c r="R87" t="s">
        <v>51</v>
      </c>
      <c r="S87" t="s">
        <v>52</v>
      </c>
      <c r="T87" t="b">
        <v>1</v>
      </c>
      <c r="U87" t="s">
        <v>53</v>
      </c>
      <c r="V87" t="s">
        <v>54</v>
      </c>
      <c r="W87">
        <v>4</v>
      </c>
      <c r="X87" t="b">
        <v>0</v>
      </c>
      <c r="Y87" t="s">
        <v>55</v>
      </c>
      <c r="Z87" t="s">
        <v>56</v>
      </c>
      <c r="AA87" t="s">
        <v>57</v>
      </c>
      <c r="AB87">
        <v>0</v>
      </c>
      <c r="AC87" t="s">
        <v>58</v>
      </c>
      <c r="AD87">
        <v>8</v>
      </c>
      <c r="AE87" t="s">
        <v>59</v>
      </c>
      <c r="AF87">
        <v>1668.1</v>
      </c>
      <c r="AG87" t="b">
        <v>0</v>
      </c>
      <c r="AH87">
        <v>8</v>
      </c>
      <c r="AI87" t="s">
        <v>59</v>
      </c>
      <c r="AJ87">
        <v>1668.1</v>
      </c>
      <c r="AK87" t="b">
        <v>0</v>
      </c>
      <c r="AL87">
        <v>1668.1</v>
      </c>
      <c r="AM87" t="b">
        <v>0</v>
      </c>
      <c r="AN87">
        <v>0</v>
      </c>
      <c r="AO87" t="b">
        <v>0</v>
      </c>
      <c r="AQ87">
        <v>47052.44</v>
      </c>
      <c r="AR87">
        <v>47052.44</v>
      </c>
      <c r="AS87">
        <v>0</v>
      </c>
      <c r="AT87" t="b">
        <v>0</v>
      </c>
      <c r="AU87" t="b">
        <v>1</v>
      </c>
      <c r="BA87" t="str">
        <f t="shared" si="2"/>
        <v>Normal</v>
      </c>
      <c r="BG87" t="str">
        <f t="shared" si="3"/>
        <v>Normal</v>
      </c>
    </row>
    <row r="88" spans="1:59" x14ac:dyDescent="0.2">
      <c r="A88" t="s">
        <v>42</v>
      </c>
      <c r="B88" t="s">
        <v>43</v>
      </c>
      <c r="C88">
        <v>20190101</v>
      </c>
      <c r="D88">
        <v>2019</v>
      </c>
      <c r="E88">
        <v>52</v>
      </c>
      <c r="F88" t="s">
        <v>44</v>
      </c>
      <c r="G88">
        <v>710</v>
      </c>
      <c r="H88" t="s">
        <v>238</v>
      </c>
      <c r="I88" t="s">
        <v>239</v>
      </c>
      <c r="J88" t="s">
        <v>47</v>
      </c>
      <c r="K88" t="s">
        <v>48</v>
      </c>
      <c r="L88">
        <v>0</v>
      </c>
      <c r="M88" t="s">
        <v>49</v>
      </c>
      <c r="N88" t="s">
        <v>50</v>
      </c>
      <c r="O88">
        <v>0</v>
      </c>
      <c r="P88" t="s">
        <v>49</v>
      </c>
      <c r="Q88" t="s">
        <v>50</v>
      </c>
      <c r="R88" t="s">
        <v>51</v>
      </c>
      <c r="S88" t="s">
        <v>52</v>
      </c>
      <c r="T88" t="b">
        <v>1</v>
      </c>
      <c r="U88" t="s">
        <v>53</v>
      </c>
      <c r="V88" t="s">
        <v>54</v>
      </c>
      <c r="W88">
        <v>4</v>
      </c>
      <c r="X88" t="b">
        <v>0</v>
      </c>
      <c r="Y88" t="s">
        <v>55</v>
      </c>
      <c r="Z88" t="s">
        <v>56</v>
      </c>
      <c r="AA88" t="s">
        <v>57</v>
      </c>
      <c r="AB88">
        <v>0</v>
      </c>
      <c r="AC88" t="s">
        <v>58</v>
      </c>
      <c r="AD88">
        <v>-1</v>
      </c>
      <c r="AE88" t="s">
        <v>73</v>
      </c>
      <c r="AF88">
        <v>0</v>
      </c>
      <c r="AG88" t="b">
        <v>1</v>
      </c>
      <c r="AH88">
        <v>-1</v>
      </c>
      <c r="AI88" t="s">
        <v>73</v>
      </c>
      <c r="AJ88">
        <v>0</v>
      </c>
      <c r="AK88" t="b">
        <v>0</v>
      </c>
      <c r="AL88">
        <v>382573.1</v>
      </c>
      <c r="AM88" t="b">
        <v>1</v>
      </c>
      <c r="AN88">
        <v>0</v>
      </c>
      <c r="AO88" t="b">
        <v>0</v>
      </c>
      <c r="AP88">
        <v>0</v>
      </c>
      <c r="AQ88">
        <v>792772.02500000002</v>
      </c>
      <c r="AR88">
        <v>792772.02500000002</v>
      </c>
      <c r="AS88">
        <v>6</v>
      </c>
      <c r="AT88" t="b">
        <v>0</v>
      </c>
      <c r="AU88" t="b">
        <v>1</v>
      </c>
      <c r="BA88" t="str">
        <f t="shared" si="2"/>
        <v>Normal</v>
      </c>
      <c r="BG88" t="str">
        <f t="shared" si="3"/>
        <v>Normal</v>
      </c>
    </row>
    <row r="89" spans="1:59" x14ac:dyDescent="0.2">
      <c r="A89" t="s">
        <v>42</v>
      </c>
      <c r="B89" t="s">
        <v>43</v>
      </c>
      <c r="C89">
        <v>20190101</v>
      </c>
      <c r="D89">
        <v>2019</v>
      </c>
      <c r="E89">
        <v>52</v>
      </c>
      <c r="F89" t="s">
        <v>44</v>
      </c>
      <c r="G89">
        <v>724</v>
      </c>
      <c r="H89" t="s">
        <v>240</v>
      </c>
      <c r="I89" t="s">
        <v>241</v>
      </c>
      <c r="J89" t="s">
        <v>47</v>
      </c>
      <c r="K89" t="s">
        <v>48</v>
      </c>
      <c r="L89">
        <v>0</v>
      </c>
      <c r="M89" t="s">
        <v>49</v>
      </c>
      <c r="N89" t="s">
        <v>50</v>
      </c>
      <c r="O89">
        <v>0</v>
      </c>
      <c r="P89" t="s">
        <v>49</v>
      </c>
      <c r="Q89" t="s">
        <v>50</v>
      </c>
      <c r="R89" t="s">
        <v>51</v>
      </c>
      <c r="S89" t="s">
        <v>52</v>
      </c>
      <c r="T89" t="b">
        <v>1</v>
      </c>
      <c r="U89" t="s">
        <v>53</v>
      </c>
      <c r="V89" t="s">
        <v>54</v>
      </c>
      <c r="W89">
        <v>4</v>
      </c>
      <c r="X89" t="b">
        <v>0</v>
      </c>
      <c r="Y89" t="s">
        <v>55</v>
      </c>
      <c r="Z89" t="s">
        <v>56</v>
      </c>
      <c r="AA89" t="s">
        <v>57</v>
      </c>
      <c r="AB89">
        <v>0</v>
      </c>
      <c r="AC89" t="s">
        <v>58</v>
      </c>
      <c r="AD89">
        <v>-1</v>
      </c>
      <c r="AE89" t="s">
        <v>73</v>
      </c>
      <c r="AF89">
        <v>0</v>
      </c>
      <c r="AG89" t="b">
        <v>0</v>
      </c>
      <c r="AH89">
        <v>-1</v>
      </c>
      <c r="AI89" t="s">
        <v>73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Q89">
        <v>664463239.05700004</v>
      </c>
      <c r="AR89">
        <v>664463239.05700004</v>
      </c>
      <c r="AS89">
        <v>0</v>
      </c>
      <c r="AT89" t="b">
        <v>0</v>
      </c>
      <c r="AU89" t="b">
        <v>1</v>
      </c>
      <c r="BA89" t="str">
        <f t="shared" si="2"/>
        <v>Normal</v>
      </c>
      <c r="BG89" t="str">
        <f t="shared" si="3"/>
        <v>Normal</v>
      </c>
    </row>
    <row r="90" spans="1:59" x14ac:dyDescent="0.2">
      <c r="A90" t="s">
        <v>42</v>
      </c>
      <c r="B90" t="s">
        <v>43</v>
      </c>
      <c r="C90">
        <v>20190101</v>
      </c>
      <c r="D90">
        <v>2019</v>
      </c>
      <c r="E90">
        <v>52</v>
      </c>
      <c r="F90" t="s">
        <v>44</v>
      </c>
      <c r="G90">
        <v>748</v>
      </c>
      <c r="H90" t="s">
        <v>242</v>
      </c>
      <c r="I90" t="s">
        <v>243</v>
      </c>
      <c r="J90" t="s">
        <v>47</v>
      </c>
      <c r="K90" t="s">
        <v>48</v>
      </c>
      <c r="L90">
        <v>0</v>
      </c>
      <c r="M90" t="s">
        <v>49</v>
      </c>
      <c r="N90" t="s">
        <v>50</v>
      </c>
      <c r="O90">
        <v>0</v>
      </c>
      <c r="P90" t="s">
        <v>49</v>
      </c>
      <c r="Q90" t="s">
        <v>50</v>
      </c>
      <c r="R90" t="s">
        <v>51</v>
      </c>
      <c r="S90" t="s">
        <v>52</v>
      </c>
      <c r="T90" t="b">
        <v>1</v>
      </c>
      <c r="U90" t="s">
        <v>53</v>
      </c>
      <c r="V90" t="s">
        <v>54</v>
      </c>
      <c r="W90">
        <v>4</v>
      </c>
      <c r="X90" t="b">
        <v>0</v>
      </c>
      <c r="Y90" t="s">
        <v>55</v>
      </c>
      <c r="Z90" t="s">
        <v>56</v>
      </c>
      <c r="AA90" t="s">
        <v>57</v>
      </c>
      <c r="AB90">
        <v>0</v>
      </c>
      <c r="AC90" t="s">
        <v>58</v>
      </c>
      <c r="AD90">
        <v>8</v>
      </c>
      <c r="AE90" t="s">
        <v>59</v>
      </c>
      <c r="AF90">
        <v>1500</v>
      </c>
      <c r="AG90" t="b">
        <v>0</v>
      </c>
      <c r="AH90">
        <v>8</v>
      </c>
      <c r="AI90" t="s">
        <v>59</v>
      </c>
      <c r="AJ90">
        <v>1500</v>
      </c>
      <c r="AK90" t="b">
        <v>0</v>
      </c>
      <c r="AL90">
        <v>1500</v>
      </c>
      <c r="AM90" t="b">
        <v>0</v>
      </c>
      <c r="AN90">
        <v>0</v>
      </c>
      <c r="AO90" t="b">
        <v>0</v>
      </c>
      <c r="AQ90">
        <v>5408</v>
      </c>
      <c r="AR90">
        <v>5408</v>
      </c>
      <c r="AS90">
        <v>0</v>
      </c>
      <c r="AT90" t="b">
        <v>0</v>
      </c>
      <c r="AU90" t="b">
        <v>1</v>
      </c>
      <c r="BA90" t="str">
        <f t="shared" si="2"/>
        <v>Normal</v>
      </c>
      <c r="BG90" t="str">
        <f t="shared" si="3"/>
        <v>Normal</v>
      </c>
    </row>
    <row r="91" spans="1:59" x14ac:dyDescent="0.2">
      <c r="A91" t="s">
        <v>42</v>
      </c>
      <c r="B91" t="s">
        <v>43</v>
      </c>
      <c r="C91">
        <v>20190101</v>
      </c>
      <c r="D91">
        <v>2019</v>
      </c>
      <c r="E91">
        <v>52</v>
      </c>
      <c r="F91" t="s">
        <v>44</v>
      </c>
      <c r="G91">
        <v>752</v>
      </c>
      <c r="H91" t="s">
        <v>244</v>
      </c>
      <c r="I91" t="s">
        <v>245</v>
      </c>
      <c r="J91" t="s">
        <v>47</v>
      </c>
      <c r="K91" t="s">
        <v>48</v>
      </c>
      <c r="L91">
        <v>0</v>
      </c>
      <c r="M91" t="s">
        <v>49</v>
      </c>
      <c r="N91" t="s">
        <v>50</v>
      </c>
      <c r="O91">
        <v>0</v>
      </c>
      <c r="P91" t="s">
        <v>49</v>
      </c>
      <c r="Q91" t="s">
        <v>50</v>
      </c>
      <c r="R91" t="s">
        <v>51</v>
      </c>
      <c r="S91" t="s">
        <v>52</v>
      </c>
      <c r="T91" t="b">
        <v>1</v>
      </c>
      <c r="U91" t="s">
        <v>53</v>
      </c>
      <c r="V91" t="s">
        <v>54</v>
      </c>
      <c r="W91">
        <v>4</v>
      </c>
      <c r="X91" t="b">
        <v>0</v>
      </c>
      <c r="Y91" t="s">
        <v>55</v>
      </c>
      <c r="Z91" t="s">
        <v>56</v>
      </c>
      <c r="AA91" t="s">
        <v>57</v>
      </c>
      <c r="AB91">
        <v>0</v>
      </c>
      <c r="AC91" t="s">
        <v>58</v>
      </c>
      <c r="AD91">
        <v>8</v>
      </c>
      <c r="AE91" t="s">
        <v>59</v>
      </c>
      <c r="AF91">
        <v>105212612.641</v>
      </c>
      <c r="AG91" t="b">
        <v>1</v>
      </c>
      <c r="AH91">
        <v>-1</v>
      </c>
      <c r="AI91" t="s">
        <v>73</v>
      </c>
      <c r="AJ91">
        <v>0</v>
      </c>
      <c r="AK91" t="b">
        <v>0</v>
      </c>
      <c r="AL91">
        <v>105212612.641</v>
      </c>
      <c r="AM91" t="b">
        <v>1</v>
      </c>
      <c r="AN91">
        <v>0</v>
      </c>
      <c r="AO91" t="b">
        <v>0</v>
      </c>
      <c r="AQ91">
        <v>56828841.336999997</v>
      </c>
      <c r="AR91">
        <v>56828841.336999997</v>
      </c>
      <c r="AS91">
        <v>6</v>
      </c>
      <c r="AT91" t="b">
        <v>0</v>
      </c>
      <c r="AU91" t="b">
        <v>1</v>
      </c>
      <c r="BA91" t="str">
        <f t="shared" si="2"/>
        <v>Normal</v>
      </c>
      <c r="BG91" t="str">
        <f t="shared" si="3"/>
        <v>Normal</v>
      </c>
    </row>
    <row r="92" spans="1:59" x14ac:dyDescent="0.2">
      <c r="A92" t="s">
        <v>42</v>
      </c>
      <c r="B92" t="s">
        <v>43</v>
      </c>
      <c r="C92">
        <v>20190101</v>
      </c>
      <c r="D92">
        <v>2019</v>
      </c>
      <c r="E92">
        <v>52</v>
      </c>
      <c r="F92" t="s">
        <v>44</v>
      </c>
      <c r="G92">
        <v>757</v>
      </c>
      <c r="H92" t="s">
        <v>246</v>
      </c>
      <c r="I92" t="s">
        <v>247</v>
      </c>
      <c r="J92" t="s">
        <v>47</v>
      </c>
      <c r="K92" t="s">
        <v>48</v>
      </c>
      <c r="L92">
        <v>0</v>
      </c>
      <c r="M92" t="s">
        <v>49</v>
      </c>
      <c r="N92" t="s">
        <v>50</v>
      </c>
      <c r="O92">
        <v>0</v>
      </c>
      <c r="P92" t="s">
        <v>49</v>
      </c>
      <c r="Q92" t="s">
        <v>50</v>
      </c>
      <c r="R92" t="s">
        <v>51</v>
      </c>
      <c r="S92" t="s">
        <v>52</v>
      </c>
      <c r="T92" t="b">
        <v>1</v>
      </c>
      <c r="U92" t="s">
        <v>53</v>
      </c>
      <c r="V92" t="s">
        <v>54</v>
      </c>
      <c r="W92">
        <v>4</v>
      </c>
      <c r="X92" t="b">
        <v>0</v>
      </c>
      <c r="Y92" t="s">
        <v>55</v>
      </c>
      <c r="Z92" t="s">
        <v>56</v>
      </c>
      <c r="AA92" t="s">
        <v>57</v>
      </c>
      <c r="AB92">
        <v>0</v>
      </c>
      <c r="AC92" t="s">
        <v>58</v>
      </c>
      <c r="AD92">
        <v>8</v>
      </c>
      <c r="AE92" t="s">
        <v>59</v>
      </c>
      <c r="AF92">
        <v>453</v>
      </c>
      <c r="AG92" t="b">
        <v>0</v>
      </c>
      <c r="AH92">
        <v>7</v>
      </c>
      <c r="AI92" t="s">
        <v>67</v>
      </c>
      <c r="AJ92">
        <v>468</v>
      </c>
      <c r="AK92" t="b">
        <v>0</v>
      </c>
      <c r="AL92">
        <v>453</v>
      </c>
      <c r="AM92" t="b">
        <v>0</v>
      </c>
      <c r="AN92">
        <v>0</v>
      </c>
      <c r="AO92" t="b">
        <v>0</v>
      </c>
      <c r="AP92">
        <v>0</v>
      </c>
      <c r="AQ92">
        <v>3607.2979999999998</v>
      </c>
      <c r="AR92">
        <v>3607.2979999999998</v>
      </c>
      <c r="AS92">
        <v>0</v>
      </c>
      <c r="AT92" t="b">
        <v>0</v>
      </c>
      <c r="AU92" t="b">
        <v>1</v>
      </c>
      <c r="BA92" t="str">
        <f t="shared" si="2"/>
        <v>Normal</v>
      </c>
      <c r="BG92" t="str">
        <f t="shared" si="3"/>
        <v>Normal</v>
      </c>
    </row>
    <row r="93" spans="1:59" x14ac:dyDescent="0.2">
      <c r="A93" t="s">
        <v>42</v>
      </c>
      <c r="B93" t="s">
        <v>43</v>
      </c>
      <c r="C93">
        <v>20190101</v>
      </c>
      <c r="D93">
        <v>2019</v>
      </c>
      <c r="E93">
        <v>52</v>
      </c>
      <c r="F93" t="s">
        <v>44</v>
      </c>
      <c r="G93">
        <v>764</v>
      </c>
      <c r="H93" t="s">
        <v>248</v>
      </c>
      <c r="I93" t="s">
        <v>249</v>
      </c>
      <c r="J93" t="s">
        <v>47</v>
      </c>
      <c r="K93" t="s">
        <v>48</v>
      </c>
      <c r="L93">
        <v>0</v>
      </c>
      <c r="M93" t="s">
        <v>49</v>
      </c>
      <c r="N93" t="s">
        <v>50</v>
      </c>
      <c r="O93">
        <v>0</v>
      </c>
      <c r="P93" t="s">
        <v>49</v>
      </c>
      <c r="Q93" t="s">
        <v>50</v>
      </c>
      <c r="R93" t="s">
        <v>51</v>
      </c>
      <c r="S93" t="s">
        <v>52</v>
      </c>
      <c r="T93" t="b">
        <v>1</v>
      </c>
      <c r="U93" t="s">
        <v>53</v>
      </c>
      <c r="V93" t="s">
        <v>54</v>
      </c>
      <c r="W93">
        <v>4</v>
      </c>
      <c r="X93" t="b">
        <v>0</v>
      </c>
      <c r="Y93" t="s">
        <v>55</v>
      </c>
      <c r="Z93" t="s">
        <v>56</v>
      </c>
      <c r="AA93" t="s">
        <v>57</v>
      </c>
      <c r="AB93">
        <v>0</v>
      </c>
      <c r="AC93" t="s">
        <v>58</v>
      </c>
      <c r="AD93">
        <v>8</v>
      </c>
      <c r="AE93" t="s">
        <v>59</v>
      </c>
      <c r="AF93">
        <v>1397479883</v>
      </c>
      <c r="AG93" t="b">
        <v>0</v>
      </c>
      <c r="AH93">
        <v>7</v>
      </c>
      <c r="AI93" t="s">
        <v>67</v>
      </c>
      <c r="AJ93">
        <v>1625124264</v>
      </c>
      <c r="AK93" t="b">
        <v>0</v>
      </c>
      <c r="AL93">
        <v>1397479883</v>
      </c>
      <c r="AM93" t="b">
        <v>0</v>
      </c>
      <c r="AN93">
        <v>0</v>
      </c>
      <c r="AO93" t="b">
        <v>0</v>
      </c>
      <c r="AQ93">
        <v>659258735.05299997</v>
      </c>
      <c r="AR93">
        <v>659258735.05299997</v>
      </c>
      <c r="AS93">
        <v>0</v>
      </c>
      <c r="AT93" t="b">
        <v>0</v>
      </c>
      <c r="AU93" t="b">
        <v>1</v>
      </c>
      <c r="BA93" t="str">
        <f t="shared" si="2"/>
        <v>Normal</v>
      </c>
      <c r="BG93" t="str">
        <f t="shared" si="3"/>
        <v>Normal</v>
      </c>
    </row>
    <row r="94" spans="1:59" x14ac:dyDescent="0.2">
      <c r="A94" t="s">
        <v>42</v>
      </c>
      <c r="B94" t="s">
        <v>43</v>
      </c>
      <c r="C94">
        <v>20190101</v>
      </c>
      <c r="D94">
        <v>2019</v>
      </c>
      <c r="E94">
        <v>52</v>
      </c>
      <c r="F94" t="s">
        <v>44</v>
      </c>
      <c r="G94">
        <v>776</v>
      </c>
      <c r="H94" t="s">
        <v>250</v>
      </c>
      <c r="I94" t="s">
        <v>251</v>
      </c>
      <c r="J94" t="s">
        <v>47</v>
      </c>
      <c r="K94" t="s">
        <v>48</v>
      </c>
      <c r="L94">
        <v>0</v>
      </c>
      <c r="M94" t="s">
        <v>49</v>
      </c>
      <c r="N94" t="s">
        <v>50</v>
      </c>
      <c r="O94">
        <v>0</v>
      </c>
      <c r="P94" t="s">
        <v>49</v>
      </c>
      <c r="Q94" t="s">
        <v>50</v>
      </c>
      <c r="R94" t="s">
        <v>51</v>
      </c>
      <c r="S94" t="s">
        <v>52</v>
      </c>
      <c r="T94" t="b">
        <v>1</v>
      </c>
      <c r="U94" t="s">
        <v>53</v>
      </c>
      <c r="V94" t="s">
        <v>54</v>
      </c>
      <c r="W94">
        <v>4</v>
      </c>
      <c r="X94" t="b">
        <v>0</v>
      </c>
      <c r="Y94" t="s">
        <v>55</v>
      </c>
      <c r="Z94" t="s">
        <v>56</v>
      </c>
      <c r="AA94" t="s">
        <v>57</v>
      </c>
      <c r="AB94">
        <v>0</v>
      </c>
      <c r="AC94" t="s">
        <v>58</v>
      </c>
      <c r="AD94">
        <v>8</v>
      </c>
      <c r="AE94" t="s">
        <v>59</v>
      </c>
      <c r="AF94">
        <v>5.8</v>
      </c>
      <c r="AG94" t="b">
        <v>0</v>
      </c>
      <c r="AH94">
        <v>7</v>
      </c>
      <c r="AI94" t="s">
        <v>67</v>
      </c>
      <c r="AJ94">
        <v>5.8</v>
      </c>
      <c r="AK94" t="b">
        <v>0</v>
      </c>
      <c r="AL94">
        <v>5.8</v>
      </c>
      <c r="AM94" t="b">
        <v>0</v>
      </c>
      <c r="AN94">
        <v>0</v>
      </c>
      <c r="AO94" t="b">
        <v>0</v>
      </c>
      <c r="AQ94">
        <v>11.135999999999999</v>
      </c>
      <c r="AR94">
        <v>11.135999999999999</v>
      </c>
      <c r="AS94">
        <v>0</v>
      </c>
      <c r="AT94" t="b">
        <v>0</v>
      </c>
      <c r="AU94" t="b">
        <v>1</v>
      </c>
      <c r="BA94" t="str">
        <f t="shared" si="2"/>
        <v>Normal</v>
      </c>
      <c r="BG94" t="str">
        <f t="shared" si="3"/>
        <v>Normal</v>
      </c>
    </row>
    <row r="95" spans="1:59" x14ac:dyDescent="0.2">
      <c r="A95" t="s">
        <v>42</v>
      </c>
      <c r="B95" t="s">
        <v>43</v>
      </c>
      <c r="C95">
        <v>20190101</v>
      </c>
      <c r="D95">
        <v>2019</v>
      </c>
      <c r="E95">
        <v>52</v>
      </c>
      <c r="F95" t="s">
        <v>44</v>
      </c>
      <c r="G95">
        <v>780</v>
      </c>
      <c r="H95" t="s">
        <v>252</v>
      </c>
      <c r="I95" t="s">
        <v>253</v>
      </c>
      <c r="J95" t="s">
        <v>47</v>
      </c>
      <c r="K95" t="s">
        <v>48</v>
      </c>
      <c r="L95">
        <v>0</v>
      </c>
      <c r="M95" t="s">
        <v>49</v>
      </c>
      <c r="N95" t="s">
        <v>50</v>
      </c>
      <c r="O95">
        <v>0</v>
      </c>
      <c r="P95" t="s">
        <v>49</v>
      </c>
      <c r="Q95" t="s">
        <v>50</v>
      </c>
      <c r="R95" t="s">
        <v>104</v>
      </c>
      <c r="S95" t="s">
        <v>52</v>
      </c>
      <c r="T95" t="b">
        <v>1</v>
      </c>
      <c r="U95" t="s">
        <v>53</v>
      </c>
      <c r="V95" t="s">
        <v>54</v>
      </c>
      <c r="W95">
        <v>4</v>
      </c>
      <c r="X95" t="b">
        <v>0</v>
      </c>
      <c r="Y95" t="s">
        <v>55</v>
      </c>
      <c r="Z95" t="s">
        <v>56</v>
      </c>
      <c r="AA95" t="s">
        <v>57</v>
      </c>
      <c r="AB95">
        <v>0</v>
      </c>
      <c r="AC95" t="s">
        <v>58</v>
      </c>
      <c r="AD95">
        <v>-1</v>
      </c>
      <c r="AE95" t="s">
        <v>73</v>
      </c>
      <c r="AF95">
        <v>0</v>
      </c>
      <c r="AG95" t="b">
        <v>0</v>
      </c>
      <c r="AH95">
        <v>-1</v>
      </c>
      <c r="AI95" t="s">
        <v>73</v>
      </c>
      <c r="AJ95">
        <v>0</v>
      </c>
      <c r="AK95" t="b">
        <v>0</v>
      </c>
      <c r="AL95">
        <v>0</v>
      </c>
      <c r="AM95" t="b">
        <v>0</v>
      </c>
      <c r="AN95">
        <v>0</v>
      </c>
      <c r="AO95" t="b">
        <v>0</v>
      </c>
      <c r="AP95">
        <v>0</v>
      </c>
      <c r="AQ95">
        <v>1114808226.1129999</v>
      </c>
      <c r="AR95">
        <v>1114808226.1129999</v>
      </c>
      <c r="AS95">
        <v>0</v>
      </c>
      <c r="AT95" t="b">
        <v>0</v>
      </c>
      <c r="AU95" t="b">
        <v>1</v>
      </c>
      <c r="BA95" t="str">
        <f t="shared" si="2"/>
        <v>Normal</v>
      </c>
      <c r="BG95" t="str">
        <f t="shared" si="3"/>
        <v>Normal</v>
      </c>
    </row>
    <row r="96" spans="1:59" x14ac:dyDescent="0.2">
      <c r="A96" t="s">
        <v>42</v>
      </c>
      <c r="B96" t="s">
        <v>43</v>
      </c>
      <c r="C96">
        <v>20190101</v>
      </c>
      <c r="D96">
        <v>2019</v>
      </c>
      <c r="E96">
        <v>52</v>
      </c>
      <c r="F96" t="s">
        <v>44</v>
      </c>
      <c r="G96">
        <v>784</v>
      </c>
      <c r="H96" t="s">
        <v>254</v>
      </c>
      <c r="I96" t="s">
        <v>255</v>
      </c>
      <c r="J96" t="s">
        <v>47</v>
      </c>
      <c r="K96" t="s">
        <v>48</v>
      </c>
      <c r="L96">
        <v>0</v>
      </c>
      <c r="M96" t="s">
        <v>49</v>
      </c>
      <c r="N96" t="s">
        <v>50</v>
      </c>
      <c r="O96">
        <v>0</v>
      </c>
      <c r="P96" t="s">
        <v>49</v>
      </c>
      <c r="Q96" t="s">
        <v>50</v>
      </c>
      <c r="R96" t="s">
        <v>51</v>
      </c>
      <c r="S96" t="s">
        <v>52</v>
      </c>
      <c r="T96" t="b">
        <v>1</v>
      </c>
      <c r="U96" t="s">
        <v>53</v>
      </c>
      <c r="V96" t="s">
        <v>54</v>
      </c>
      <c r="W96">
        <v>4</v>
      </c>
      <c r="X96" t="b">
        <v>0</v>
      </c>
      <c r="Y96" t="s">
        <v>55</v>
      </c>
      <c r="Z96" t="s">
        <v>56</v>
      </c>
      <c r="AA96" t="s">
        <v>57</v>
      </c>
      <c r="AB96">
        <v>0</v>
      </c>
      <c r="AC96" t="s">
        <v>58</v>
      </c>
      <c r="AD96">
        <v>8</v>
      </c>
      <c r="AE96" t="s">
        <v>59</v>
      </c>
      <c r="AF96">
        <v>271730227836.42999</v>
      </c>
      <c r="AG96" t="b">
        <v>1</v>
      </c>
      <c r="AH96">
        <v>-1</v>
      </c>
      <c r="AI96" t="s">
        <v>73</v>
      </c>
      <c r="AJ96">
        <v>0</v>
      </c>
      <c r="AK96" t="b">
        <v>0</v>
      </c>
      <c r="AL96">
        <v>271730227836.42999</v>
      </c>
      <c r="AM96" t="b">
        <v>1</v>
      </c>
      <c r="AN96">
        <v>0</v>
      </c>
      <c r="AO96" t="b">
        <v>0</v>
      </c>
      <c r="AP96">
        <v>0</v>
      </c>
      <c r="AQ96">
        <v>127284293029.92999</v>
      </c>
      <c r="AR96">
        <v>127284293029.92999</v>
      </c>
      <c r="AS96">
        <v>6</v>
      </c>
      <c r="AT96" t="b">
        <v>0</v>
      </c>
      <c r="AU96" t="b">
        <v>1</v>
      </c>
      <c r="BA96" t="str">
        <f t="shared" si="2"/>
        <v>Normal</v>
      </c>
      <c r="BG96" t="str">
        <f t="shared" si="3"/>
        <v>Normal</v>
      </c>
    </row>
    <row r="97" spans="1:59" x14ac:dyDescent="0.2">
      <c r="A97" t="s">
        <v>42</v>
      </c>
      <c r="B97" t="s">
        <v>43</v>
      </c>
      <c r="C97">
        <v>20190101</v>
      </c>
      <c r="D97">
        <v>2019</v>
      </c>
      <c r="E97">
        <v>52</v>
      </c>
      <c r="F97" t="s">
        <v>44</v>
      </c>
      <c r="G97">
        <v>788</v>
      </c>
      <c r="H97" t="s">
        <v>256</v>
      </c>
      <c r="I97" t="s">
        <v>257</v>
      </c>
      <c r="J97" t="s">
        <v>47</v>
      </c>
      <c r="K97" t="s">
        <v>48</v>
      </c>
      <c r="L97">
        <v>0</v>
      </c>
      <c r="M97" t="s">
        <v>49</v>
      </c>
      <c r="N97" t="s">
        <v>50</v>
      </c>
      <c r="O97">
        <v>0</v>
      </c>
      <c r="P97" t="s">
        <v>49</v>
      </c>
      <c r="Q97" t="s">
        <v>50</v>
      </c>
      <c r="R97" t="s">
        <v>51</v>
      </c>
      <c r="S97" t="s">
        <v>52</v>
      </c>
      <c r="T97" t="b">
        <v>1</v>
      </c>
      <c r="U97" t="s">
        <v>53</v>
      </c>
      <c r="V97" t="s">
        <v>54</v>
      </c>
      <c r="W97">
        <v>4</v>
      </c>
      <c r="X97" t="b">
        <v>0</v>
      </c>
      <c r="Y97" t="s">
        <v>55</v>
      </c>
      <c r="Z97" t="s">
        <v>56</v>
      </c>
      <c r="AA97" t="s">
        <v>57</v>
      </c>
      <c r="AB97">
        <v>0</v>
      </c>
      <c r="AC97" t="s">
        <v>58</v>
      </c>
      <c r="AD97">
        <v>8</v>
      </c>
      <c r="AE97" t="s">
        <v>59</v>
      </c>
      <c r="AF97">
        <v>1238026900</v>
      </c>
      <c r="AG97" t="b">
        <v>0</v>
      </c>
      <c r="AH97">
        <v>8</v>
      </c>
      <c r="AI97" t="s">
        <v>59</v>
      </c>
      <c r="AJ97">
        <v>1238026900</v>
      </c>
      <c r="AK97" t="b">
        <v>0</v>
      </c>
      <c r="AL97">
        <v>1238026900</v>
      </c>
      <c r="AM97" t="b">
        <v>0</v>
      </c>
      <c r="AN97">
        <v>0</v>
      </c>
      <c r="AO97" t="b">
        <v>0</v>
      </c>
      <c r="AQ97">
        <v>614836812.35599995</v>
      </c>
      <c r="AR97">
        <v>614836812.35599995</v>
      </c>
      <c r="AS97">
        <v>0</v>
      </c>
      <c r="AT97" t="b">
        <v>0</v>
      </c>
      <c r="AU97" t="b">
        <v>1</v>
      </c>
      <c r="BA97" t="str">
        <f t="shared" si="2"/>
        <v>Normal</v>
      </c>
      <c r="BG97" t="str">
        <f t="shared" si="3"/>
        <v>Normal</v>
      </c>
    </row>
    <row r="98" spans="1:59" x14ac:dyDescent="0.2">
      <c r="A98" t="s">
        <v>42</v>
      </c>
      <c r="B98" t="s">
        <v>43</v>
      </c>
      <c r="C98">
        <v>20190101</v>
      </c>
      <c r="D98">
        <v>2019</v>
      </c>
      <c r="E98">
        <v>52</v>
      </c>
      <c r="F98" t="s">
        <v>44</v>
      </c>
      <c r="G98">
        <v>800</v>
      </c>
      <c r="H98" t="s">
        <v>258</v>
      </c>
      <c r="I98" t="s">
        <v>259</v>
      </c>
      <c r="J98" t="s">
        <v>47</v>
      </c>
      <c r="K98" t="s">
        <v>48</v>
      </c>
      <c r="L98">
        <v>0</v>
      </c>
      <c r="M98" t="s">
        <v>49</v>
      </c>
      <c r="N98" t="s">
        <v>50</v>
      </c>
      <c r="O98">
        <v>0</v>
      </c>
      <c r="P98" t="s">
        <v>49</v>
      </c>
      <c r="Q98" t="s">
        <v>50</v>
      </c>
      <c r="R98" t="s">
        <v>51</v>
      </c>
      <c r="S98" t="s">
        <v>52</v>
      </c>
      <c r="T98" t="b">
        <v>1</v>
      </c>
      <c r="U98" t="s">
        <v>53</v>
      </c>
      <c r="V98" t="s">
        <v>54</v>
      </c>
      <c r="W98">
        <v>4</v>
      </c>
      <c r="X98" t="b">
        <v>0</v>
      </c>
      <c r="Y98" t="s">
        <v>55</v>
      </c>
      <c r="Z98" t="s">
        <v>56</v>
      </c>
      <c r="AA98" t="s">
        <v>57</v>
      </c>
      <c r="AB98">
        <v>0</v>
      </c>
      <c r="AC98" t="s">
        <v>58</v>
      </c>
      <c r="AD98">
        <v>8</v>
      </c>
      <c r="AE98" t="s">
        <v>59</v>
      </c>
      <c r="AF98">
        <v>23028</v>
      </c>
      <c r="AG98" t="b">
        <v>0</v>
      </c>
      <c r="AH98">
        <v>8</v>
      </c>
      <c r="AI98" t="s">
        <v>59</v>
      </c>
      <c r="AJ98">
        <v>23028</v>
      </c>
      <c r="AK98" t="b">
        <v>0</v>
      </c>
      <c r="AL98">
        <v>23028</v>
      </c>
      <c r="AM98" t="b">
        <v>0</v>
      </c>
      <c r="AN98">
        <v>0</v>
      </c>
      <c r="AO98" t="b">
        <v>0</v>
      </c>
      <c r="AP98">
        <v>0</v>
      </c>
      <c r="AQ98">
        <v>30335.87</v>
      </c>
      <c r="AR98">
        <v>30335.87</v>
      </c>
      <c r="AS98">
        <v>0</v>
      </c>
      <c r="AT98" t="b">
        <v>0</v>
      </c>
      <c r="AU98" t="b">
        <v>1</v>
      </c>
      <c r="BA98" t="str">
        <f t="shared" si="2"/>
        <v>Normal</v>
      </c>
      <c r="BG98" t="str">
        <f t="shared" si="3"/>
        <v>Normal</v>
      </c>
    </row>
    <row r="99" spans="1:59" x14ac:dyDescent="0.2">
      <c r="A99" t="s">
        <v>42</v>
      </c>
      <c r="B99" t="s">
        <v>43</v>
      </c>
      <c r="C99">
        <v>20190101</v>
      </c>
      <c r="D99">
        <v>2019</v>
      </c>
      <c r="E99">
        <v>52</v>
      </c>
      <c r="F99" t="s">
        <v>44</v>
      </c>
      <c r="G99">
        <v>804</v>
      </c>
      <c r="H99" t="s">
        <v>260</v>
      </c>
      <c r="I99" t="s">
        <v>261</v>
      </c>
      <c r="J99" t="s">
        <v>47</v>
      </c>
      <c r="K99" t="s">
        <v>48</v>
      </c>
      <c r="L99">
        <v>0</v>
      </c>
      <c r="M99" t="s">
        <v>49</v>
      </c>
      <c r="N99" t="s">
        <v>50</v>
      </c>
      <c r="O99">
        <v>0</v>
      </c>
      <c r="P99" t="s">
        <v>49</v>
      </c>
      <c r="Q99" t="s">
        <v>50</v>
      </c>
      <c r="R99" t="s">
        <v>104</v>
      </c>
      <c r="S99" t="s">
        <v>52</v>
      </c>
      <c r="T99" t="b">
        <v>1</v>
      </c>
      <c r="U99" t="s">
        <v>53</v>
      </c>
      <c r="V99" t="s">
        <v>54</v>
      </c>
      <c r="W99">
        <v>4</v>
      </c>
      <c r="X99" t="b">
        <v>0</v>
      </c>
      <c r="Y99" t="s">
        <v>55</v>
      </c>
      <c r="Z99" t="s">
        <v>56</v>
      </c>
      <c r="AA99" t="s">
        <v>57</v>
      </c>
      <c r="AB99">
        <v>0</v>
      </c>
      <c r="AC99" t="s">
        <v>58</v>
      </c>
      <c r="AD99">
        <v>8</v>
      </c>
      <c r="AE99" t="s">
        <v>59</v>
      </c>
      <c r="AF99">
        <v>103262.5</v>
      </c>
      <c r="AG99" t="b">
        <v>0</v>
      </c>
      <c r="AH99">
        <v>8</v>
      </c>
      <c r="AI99" t="s">
        <v>59</v>
      </c>
      <c r="AJ99">
        <v>103262.5</v>
      </c>
      <c r="AK99" t="b">
        <v>0</v>
      </c>
      <c r="AL99">
        <v>103262.5</v>
      </c>
      <c r="AM99" t="b">
        <v>0</v>
      </c>
      <c r="AN99">
        <v>0</v>
      </c>
      <c r="AO99" t="b">
        <v>0</v>
      </c>
      <c r="AP99">
        <v>0</v>
      </c>
      <c r="AQ99">
        <v>51143.7</v>
      </c>
      <c r="AR99">
        <v>51143.7</v>
      </c>
      <c r="AS99">
        <v>0</v>
      </c>
      <c r="AT99" t="b">
        <v>0</v>
      </c>
      <c r="AU99" t="b">
        <v>1</v>
      </c>
      <c r="BA99" t="str">
        <f t="shared" si="2"/>
        <v>Normal</v>
      </c>
      <c r="BG99" t="str">
        <f t="shared" si="3"/>
        <v>Normal</v>
      </c>
    </row>
    <row r="100" spans="1:59" x14ac:dyDescent="0.2">
      <c r="A100" t="s">
        <v>42</v>
      </c>
      <c r="B100" t="s">
        <v>43</v>
      </c>
      <c r="C100">
        <v>20190101</v>
      </c>
      <c r="D100">
        <v>2019</v>
      </c>
      <c r="E100">
        <v>52</v>
      </c>
      <c r="F100" t="s">
        <v>44</v>
      </c>
      <c r="G100">
        <v>818</v>
      </c>
      <c r="H100" t="s">
        <v>262</v>
      </c>
      <c r="I100" t="s">
        <v>263</v>
      </c>
      <c r="J100" t="s">
        <v>47</v>
      </c>
      <c r="K100" t="s">
        <v>48</v>
      </c>
      <c r="L100">
        <v>0</v>
      </c>
      <c r="M100" t="s">
        <v>49</v>
      </c>
      <c r="N100" t="s">
        <v>50</v>
      </c>
      <c r="O100">
        <v>0</v>
      </c>
      <c r="P100" t="s">
        <v>49</v>
      </c>
      <c r="Q100" t="s">
        <v>50</v>
      </c>
      <c r="R100" t="s">
        <v>104</v>
      </c>
      <c r="S100" t="s">
        <v>52</v>
      </c>
      <c r="T100" t="b">
        <v>1</v>
      </c>
      <c r="U100" t="s">
        <v>53</v>
      </c>
      <c r="V100" t="s">
        <v>54</v>
      </c>
      <c r="W100">
        <v>4</v>
      </c>
      <c r="X100" t="b">
        <v>0</v>
      </c>
      <c r="Y100" t="s">
        <v>55</v>
      </c>
      <c r="Z100" t="s">
        <v>56</v>
      </c>
      <c r="AA100" t="s">
        <v>57</v>
      </c>
      <c r="AB100">
        <v>0</v>
      </c>
      <c r="AC100" t="s">
        <v>58</v>
      </c>
      <c r="AD100">
        <v>8</v>
      </c>
      <c r="AE100" t="s">
        <v>59</v>
      </c>
      <c r="AF100">
        <v>4091666608.427</v>
      </c>
      <c r="AG100" t="b">
        <v>1</v>
      </c>
      <c r="AH100">
        <v>-1</v>
      </c>
      <c r="AI100" t="s">
        <v>73</v>
      </c>
      <c r="AJ100">
        <v>0</v>
      </c>
      <c r="AK100" t="b">
        <v>0</v>
      </c>
      <c r="AL100">
        <v>4091666608.427</v>
      </c>
      <c r="AM100" t="b">
        <v>1</v>
      </c>
      <c r="AN100">
        <v>0</v>
      </c>
      <c r="AO100" t="b">
        <v>0</v>
      </c>
      <c r="AQ100">
        <v>1916595894.2709999</v>
      </c>
      <c r="AR100">
        <v>1916595894.2709999</v>
      </c>
      <c r="AS100">
        <v>6</v>
      </c>
      <c r="AT100" t="b">
        <v>0</v>
      </c>
      <c r="AU100" t="b">
        <v>1</v>
      </c>
      <c r="BA100" t="str">
        <f t="shared" si="2"/>
        <v>Normal</v>
      </c>
      <c r="BG100" t="str">
        <f t="shared" si="3"/>
        <v>Normal</v>
      </c>
    </row>
    <row r="101" spans="1:59" x14ac:dyDescent="0.2">
      <c r="A101" t="s">
        <v>42</v>
      </c>
      <c r="B101" t="s">
        <v>43</v>
      </c>
      <c r="C101">
        <v>20190101</v>
      </c>
      <c r="D101">
        <v>2019</v>
      </c>
      <c r="E101">
        <v>52</v>
      </c>
      <c r="F101" t="s">
        <v>44</v>
      </c>
      <c r="G101">
        <v>826</v>
      </c>
      <c r="H101" t="s">
        <v>264</v>
      </c>
      <c r="I101" t="s">
        <v>265</v>
      </c>
      <c r="J101" t="s">
        <v>47</v>
      </c>
      <c r="K101" t="s">
        <v>48</v>
      </c>
      <c r="L101">
        <v>0</v>
      </c>
      <c r="M101" t="s">
        <v>49</v>
      </c>
      <c r="N101" t="s">
        <v>50</v>
      </c>
      <c r="O101">
        <v>0</v>
      </c>
      <c r="P101" t="s">
        <v>49</v>
      </c>
      <c r="Q101" t="s">
        <v>50</v>
      </c>
      <c r="R101" t="s">
        <v>51</v>
      </c>
      <c r="S101" t="s">
        <v>52</v>
      </c>
      <c r="T101" t="b">
        <v>1</v>
      </c>
      <c r="U101" t="s">
        <v>53</v>
      </c>
      <c r="V101" t="s">
        <v>54</v>
      </c>
      <c r="W101">
        <v>4</v>
      </c>
      <c r="X101" t="b">
        <v>0</v>
      </c>
      <c r="Y101" t="s">
        <v>55</v>
      </c>
      <c r="Z101" t="s">
        <v>56</v>
      </c>
      <c r="AA101" t="s">
        <v>57</v>
      </c>
      <c r="AB101">
        <v>0</v>
      </c>
      <c r="AC101" t="s">
        <v>58</v>
      </c>
      <c r="AD101">
        <v>-1</v>
      </c>
      <c r="AE101" t="s">
        <v>73</v>
      </c>
      <c r="AF101">
        <v>0</v>
      </c>
      <c r="AG101" t="b">
        <v>1</v>
      </c>
      <c r="AH101">
        <v>-1</v>
      </c>
      <c r="AI101" t="s">
        <v>73</v>
      </c>
      <c r="AJ101">
        <v>0</v>
      </c>
      <c r="AK101" t="b">
        <v>0</v>
      </c>
      <c r="AM101" t="b">
        <v>1</v>
      </c>
      <c r="AN101">
        <v>0</v>
      </c>
      <c r="AO101" t="b">
        <v>0</v>
      </c>
      <c r="AQ101">
        <v>23679681360.439999</v>
      </c>
      <c r="AR101">
        <v>23679681360.439999</v>
      </c>
      <c r="AS101">
        <v>6</v>
      </c>
      <c r="AT101" t="b">
        <v>0</v>
      </c>
      <c r="AU101" t="b">
        <v>1</v>
      </c>
      <c r="BA101" t="str">
        <f t="shared" si="2"/>
        <v>Normal</v>
      </c>
      <c r="BG101" t="str">
        <f t="shared" si="3"/>
        <v>Normal</v>
      </c>
    </row>
    <row r="102" spans="1:59" x14ac:dyDescent="0.2">
      <c r="A102" t="s">
        <v>42</v>
      </c>
      <c r="B102" t="s">
        <v>43</v>
      </c>
      <c r="C102">
        <v>20190101</v>
      </c>
      <c r="D102">
        <v>2019</v>
      </c>
      <c r="E102">
        <v>52</v>
      </c>
      <c r="F102" t="s">
        <v>44</v>
      </c>
      <c r="G102">
        <v>834</v>
      </c>
      <c r="H102" t="s">
        <v>266</v>
      </c>
      <c r="I102" t="s">
        <v>267</v>
      </c>
      <c r="J102" t="s">
        <v>47</v>
      </c>
      <c r="K102" t="s">
        <v>48</v>
      </c>
      <c r="L102">
        <v>0</v>
      </c>
      <c r="M102" t="s">
        <v>49</v>
      </c>
      <c r="N102" t="s">
        <v>50</v>
      </c>
      <c r="O102">
        <v>0</v>
      </c>
      <c r="P102" t="s">
        <v>49</v>
      </c>
      <c r="Q102" t="s">
        <v>50</v>
      </c>
      <c r="R102" t="s">
        <v>51</v>
      </c>
      <c r="S102" t="s">
        <v>52</v>
      </c>
      <c r="T102" t="b">
        <v>1</v>
      </c>
      <c r="U102" t="s">
        <v>53</v>
      </c>
      <c r="V102" t="s">
        <v>54</v>
      </c>
      <c r="W102">
        <v>4</v>
      </c>
      <c r="X102" t="b">
        <v>0</v>
      </c>
      <c r="Y102" t="s">
        <v>55</v>
      </c>
      <c r="Z102" t="s">
        <v>56</v>
      </c>
      <c r="AA102" t="s">
        <v>57</v>
      </c>
      <c r="AB102">
        <v>0</v>
      </c>
      <c r="AC102" t="s">
        <v>58</v>
      </c>
      <c r="AD102">
        <v>8</v>
      </c>
      <c r="AE102" t="s">
        <v>59</v>
      </c>
      <c r="AF102">
        <v>6530534</v>
      </c>
      <c r="AG102" t="b">
        <v>0</v>
      </c>
      <c r="AH102">
        <v>8</v>
      </c>
      <c r="AI102" t="s">
        <v>59</v>
      </c>
      <c r="AJ102">
        <v>6530534</v>
      </c>
      <c r="AK102" t="b">
        <v>0</v>
      </c>
      <c r="AL102">
        <v>6530534</v>
      </c>
      <c r="AM102" t="b">
        <v>0</v>
      </c>
      <c r="AN102">
        <v>0</v>
      </c>
      <c r="AO102" t="b">
        <v>0</v>
      </c>
      <c r="AP102">
        <v>0</v>
      </c>
      <c r="AQ102">
        <v>971652.25</v>
      </c>
      <c r="AR102">
        <v>971652.25</v>
      </c>
      <c r="AS102">
        <v>0</v>
      </c>
      <c r="AT102" t="b">
        <v>0</v>
      </c>
      <c r="AU102" t="b">
        <v>1</v>
      </c>
      <c r="BA102" t="str">
        <f t="shared" si="2"/>
        <v>Normal</v>
      </c>
      <c r="BG102" t="str">
        <f t="shared" si="3"/>
        <v>Normal</v>
      </c>
    </row>
    <row r="103" spans="1:59" x14ac:dyDescent="0.2">
      <c r="A103" t="s">
        <v>42</v>
      </c>
      <c r="B103" t="s">
        <v>43</v>
      </c>
      <c r="C103">
        <v>20190101</v>
      </c>
      <c r="D103">
        <v>2019</v>
      </c>
      <c r="E103">
        <v>52</v>
      </c>
      <c r="F103" t="s">
        <v>44</v>
      </c>
      <c r="G103">
        <v>842</v>
      </c>
      <c r="H103" t="s">
        <v>268</v>
      </c>
      <c r="I103" t="s">
        <v>268</v>
      </c>
      <c r="J103" t="s">
        <v>47</v>
      </c>
      <c r="K103" t="s">
        <v>48</v>
      </c>
      <c r="L103">
        <v>0</v>
      </c>
      <c r="M103" t="s">
        <v>49</v>
      </c>
      <c r="N103" t="s">
        <v>50</v>
      </c>
      <c r="O103">
        <v>0</v>
      </c>
      <c r="P103" t="s">
        <v>49</v>
      </c>
      <c r="Q103" t="s">
        <v>50</v>
      </c>
      <c r="R103" t="s">
        <v>51</v>
      </c>
      <c r="S103" t="s">
        <v>52</v>
      </c>
      <c r="T103" t="b">
        <v>1</v>
      </c>
      <c r="U103" t="s">
        <v>53</v>
      </c>
      <c r="V103" t="s">
        <v>54</v>
      </c>
      <c r="W103">
        <v>4</v>
      </c>
      <c r="X103" t="b">
        <v>0</v>
      </c>
      <c r="Y103" t="s">
        <v>55</v>
      </c>
      <c r="Z103" t="s">
        <v>56</v>
      </c>
      <c r="AA103" t="s">
        <v>57</v>
      </c>
      <c r="AB103">
        <v>0</v>
      </c>
      <c r="AC103" t="s">
        <v>58</v>
      </c>
      <c r="AD103">
        <v>8</v>
      </c>
      <c r="AE103" t="s">
        <v>59</v>
      </c>
      <c r="AF103">
        <v>139455959545.97501</v>
      </c>
      <c r="AG103" t="b">
        <v>1</v>
      </c>
      <c r="AH103">
        <v>-1</v>
      </c>
      <c r="AI103" t="s">
        <v>73</v>
      </c>
      <c r="AJ103">
        <v>0</v>
      </c>
      <c r="AK103" t="b">
        <v>0</v>
      </c>
      <c r="AL103">
        <v>139455959545.97501</v>
      </c>
      <c r="AM103" t="b">
        <v>1</v>
      </c>
      <c r="AN103">
        <v>0</v>
      </c>
      <c r="AO103" t="b">
        <v>0</v>
      </c>
      <c r="AP103">
        <v>0</v>
      </c>
      <c r="AQ103">
        <v>65323191031</v>
      </c>
      <c r="AR103">
        <v>65323191031</v>
      </c>
      <c r="AS103">
        <v>6</v>
      </c>
      <c r="AT103" t="b">
        <v>0</v>
      </c>
      <c r="AU103" t="b">
        <v>1</v>
      </c>
      <c r="BA103" t="str">
        <f t="shared" si="2"/>
        <v>Normal</v>
      </c>
      <c r="BG103" t="str">
        <f t="shared" si="3"/>
        <v>Normal</v>
      </c>
    </row>
    <row r="104" spans="1:59" x14ac:dyDescent="0.2">
      <c r="A104" t="s">
        <v>42</v>
      </c>
      <c r="B104" t="s">
        <v>43</v>
      </c>
      <c r="C104">
        <v>20190101</v>
      </c>
      <c r="D104">
        <v>2019</v>
      </c>
      <c r="E104">
        <v>52</v>
      </c>
      <c r="F104" t="s">
        <v>44</v>
      </c>
      <c r="G104">
        <v>882</v>
      </c>
      <c r="H104" t="s">
        <v>269</v>
      </c>
      <c r="I104" t="s">
        <v>270</v>
      </c>
      <c r="J104" t="s">
        <v>47</v>
      </c>
      <c r="K104" t="s">
        <v>48</v>
      </c>
      <c r="L104">
        <v>0</v>
      </c>
      <c r="M104" t="s">
        <v>49</v>
      </c>
      <c r="N104" t="s">
        <v>50</v>
      </c>
      <c r="O104">
        <v>0</v>
      </c>
      <c r="P104" t="s">
        <v>49</v>
      </c>
      <c r="Q104" t="s">
        <v>50</v>
      </c>
      <c r="R104" t="s">
        <v>104</v>
      </c>
      <c r="S104" t="s">
        <v>52</v>
      </c>
      <c r="T104" t="b">
        <v>1</v>
      </c>
      <c r="U104" t="s">
        <v>53</v>
      </c>
      <c r="V104" t="s">
        <v>54</v>
      </c>
      <c r="W104">
        <v>4</v>
      </c>
      <c r="X104" t="b">
        <v>0</v>
      </c>
      <c r="Y104" t="s">
        <v>55</v>
      </c>
      <c r="Z104" t="s">
        <v>56</v>
      </c>
      <c r="AA104" t="s">
        <v>57</v>
      </c>
      <c r="AB104">
        <v>0</v>
      </c>
      <c r="AC104" t="s">
        <v>58</v>
      </c>
      <c r="AD104">
        <v>8</v>
      </c>
      <c r="AE104" t="s">
        <v>59</v>
      </c>
      <c r="AF104">
        <v>72701</v>
      </c>
      <c r="AG104" t="b">
        <v>0</v>
      </c>
      <c r="AH104">
        <v>7</v>
      </c>
      <c r="AI104" t="s">
        <v>67</v>
      </c>
      <c r="AJ104">
        <v>72701</v>
      </c>
      <c r="AK104" t="b">
        <v>0</v>
      </c>
      <c r="AL104">
        <v>72701</v>
      </c>
      <c r="AM104" t="b">
        <v>0</v>
      </c>
      <c r="AN104">
        <v>0</v>
      </c>
      <c r="AO104" t="b">
        <v>0</v>
      </c>
      <c r="AQ104">
        <v>87458.27</v>
      </c>
      <c r="AR104">
        <v>87458.27</v>
      </c>
      <c r="AS104">
        <v>0</v>
      </c>
      <c r="AT104" t="b">
        <v>0</v>
      </c>
      <c r="AU104" t="b">
        <v>1</v>
      </c>
      <c r="BA104" t="str">
        <f t="shared" si="2"/>
        <v>Normal</v>
      </c>
      <c r="BG104" t="str">
        <f t="shared" si="3"/>
        <v>Normal</v>
      </c>
    </row>
    <row r="105" spans="1:59" x14ac:dyDescent="0.2">
      <c r="A105" t="s">
        <v>42</v>
      </c>
      <c r="B105" t="s">
        <v>43</v>
      </c>
      <c r="C105">
        <v>20200101</v>
      </c>
      <c r="D105">
        <v>2020</v>
      </c>
      <c r="E105">
        <v>52</v>
      </c>
      <c r="F105" t="s">
        <v>271</v>
      </c>
      <c r="G105">
        <v>24</v>
      </c>
      <c r="H105" t="s">
        <v>45</v>
      </c>
      <c r="I105" t="s">
        <v>46</v>
      </c>
      <c r="J105" t="s">
        <v>47</v>
      </c>
      <c r="K105" t="s">
        <v>48</v>
      </c>
      <c r="L105">
        <v>0</v>
      </c>
      <c r="M105" t="s">
        <v>49</v>
      </c>
      <c r="N105" t="s">
        <v>50</v>
      </c>
      <c r="O105">
        <v>0</v>
      </c>
      <c r="P105" t="s">
        <v>49</v>
      </c>
      <c r="Q105" t="s">
        <v>50</v>
      </c>
      <c r="R105" t="s">
        <v>51</v>
      </c>
      <c r="S105" t="s">
        <v>52</v>
      </c>
      <c r="T105" t="b">
        <v>1</v>
      </c>
      <c r="U105" t="s">
        <v>53</v>
      </c>
      <c r="V105" t="s">
        <v>54</v>
      </c>
      <c r="W105">
        <v>4</v>
      </c>
      <c r="X105" t="b">
        <v>0</v>
      </c>
      <c r="Y105" t="s">
        <v>55</v>
      </c>
      <c r="Z105" t="s">
        <v>56</v>
      </c>
      <c r="AA105" t="s">
        <v>57</v>
      </c>
      <c r="AB105">
        <v>0</v>
      </c>
      <c r="AC105" t="s">
        <v>58</v>
      </c>
      <c r="AD105">
        <v>8</v>
      </c>
      <c r="AE105" t="s">
        <v>59</v>
      </c>
      <c r="AF105">
        <v>70976644569</v>
      </c>
      <c r="AG105" t="b">
        <v>0</v>
      </c>
      <c r="AH105">
        <v>19</v>
      </c>
      <c r="AI105" t="s">
        <v>60</v>
      </c>
      <c r="AJ105">
        <v>446393991</v>
      </c>
      <c r="AK105" t="b">
        <v>0</v>
      </c>
      <c r="AL105">
        <v>70976644569</v>
      </c>
      <c r="AM105" t="b">
        <v>0</v>
      </c>
      <c r="AN105">
        <v>0</v>
      </c>
      <c r="AO105" t="b">
        <v>0</v>
      </c>
      <c r="AQ105">
        <v>18379869211.599998</v>
      </c>
      <c r="AR105">
        <v>18379869211.599998</v>
      </c>
      <c r="AS105">
        <v>0</v>
      </c>
      <c r="AT105" t="b">
        <v>0</v>
      </c>
      <c r="AU105" t="b">
        <v>1</v>
      </c>
      <c r="BA105" t="str">
        <f t="shared" si="2"/>
        <v>Normal</v>
      </c>
      <c r="BG105" t="str">
        <f t="shared" si="3"/>
        <v>Normal</v>
      </c>
    </row>
    <row r="106" spans="1:59" x14ac:dyDescent="0.2">
      <c r="A106" t="s">
        <v>42</v>
      </c>
      <c r="B106" t="s">
        <v>43</v>
      </c>
      <c r="C106">
        <v>20200101</v>
      </c>
      <c r="D106">
        <v>2020</v>
      </c>
      <c r="E106">
        <v>52</v>
      </c>
      <c r="F106" t="s">
        <v>271</v>
      </c>
      <c r="G106">
        <v>31</v>
      </c>
      <c r="H106" t="s">
        <v>61</v>
      </c>
      <c r="I106" t="s">
        <v>62</v>
      </c>
      <c r="J106" t="s">
        <v>47</v>
      </c>
      <c r="K106" t="s">
        <v>48</v>
      </c>
      <c r="L106">
        <v>0</v>
      </c>
      <c r="M106" t="s">
        <v>49</v>
      </c>
      <c r="N106" t="s">
        <v>50</v>
      </c>
      <c r="O106">
        <v>0</v>
      </c>
      <c r="P106" t="s">
        <v>49</v>
      </c>
      <c r="Q106" t="s">
        <v>50</v>
      </c>
      <c r="R106" t="s">
        <v>51</v>
      </c>
      <c r="S106" t="s">
        <v>52</v>
      </c>
      <c r="T106" t="b">
        <v>1</v>
      </c>
      <c r="U106" t="s">
        <v>53</v>
      </c>
      <c r="V106" t="s">
        <v>54</v>
      </c>
      <c r="W106">
        <v>4</v>
      </c>
      <c r="X106" t="b">
        <v>0</v>
      </c>
      <c r="Y106" t="s">
        <v>55</v>
      </c>
      <c r="Z106" t="s">
        <v>56</v>
      </c>
      <c r="AA106" t="s">
        <v>57</v>
      </c>
      <c r="AB106">
        <v>0</v>
      </c>
      <c r="AC106" t="s">
        <v>58</v>
      </c>
      <c r="AD106">
        <v>8</v>
      </c>
      <c r="AE106" t="s">
        <v>59</v>
      </c>
      <c r="AF106">
        <v>29023109052</v>
      </c>
      <c r="AG106" t="b">
        <v>0</v>
      </c>
      <c r="AH106">
        <v>8</v>
      </c>
      <c r="AI106" t="s">
        <v>59</v>
      </c>
      <c r="AJ106">
        <v>29023109052</v>
      </c>
      <c r="AK106" t="b">
        <v>0</v>
      </c>
      <c r="AL106">
        <v>29023109052</v>
      </c>
      <c r="AM106" t="b">
        <v>0</v>
      </c>
      <c r="AN106">
        <v>0</v>
      </c>
      <c r="AO106" t="b">
        <v>0</v>
      </c>
      <c r="AQ106">
        <v>9363570683.5499992</v>
      </c>
      <c r="AR106">
        <v>9363570683.5499992</v>
      </c>
      <c r="AS106">
        <v>0</v>
      </c>
      <c r="AT106" t="b">
        <v>0</v>
      </c>
      <c r="AU106" t="b">
        <v>1</v>
      </c>
      <c r="BA106" t="str">
        <f t="shared" si="2"/>
        <v>Normal</v>
      </c>
      <c r="BG106" t="str">
        <f t="shared" si="3"/>
        <v>Normal</v>
      </c>
    </row>
    <row r="107" spans="1:59" x14ac:dyDescent="0.2">
      <c r="A107" t="s">
        <v>42</v>
      </c>
      <c r="B107" t="s">
        <v>43</v>
      </c>
      <c r="C107">
        <v>20200101</v>
      </c>
      <c r="D107">
        <v>2020</v>
      </c>
      <c r="E107">
        <v>52</v>
      </c>
      <c r="F107" t="s">
        <v>271</v>
      </c>
      <c r="G107">
        <v>32</v>
      </c>
      <c r="H107" t="s">
        <v>63</v>
      </c>
      <c r="I107" t="s">
        <v>64</v>
      </c>
      <c r="J107" t="s">
        <v>47</v>
      </c>
      <c r="K107" t="s">
        <v>48</v>
      </c>
      <c r="L107">
        <v>0</v>
      </c>
      <c r="M107" t="s">
        <v>49</v>
      </c>
      <c r="N107" t="s">
        <v>50</v>
      </c>
      <c r="O107">
        <v>0</v>
      </c>
      <c r="P107" t="s">
        <v>49</v>
      </c>
      <c r="Q107" t="s">
        <v>50</v>
      </c>
      <c r="R107" t="s">
        <v>51</v>
      </c>
      <c r="S107" t="s">
        <v>52</v>
      </c>
      <c r="T107" t="b">
        <v>1</v>
      </c>
      <c r="U107" t="s">
        <v>53</v>
      </c>
      <c r="V107" t="s">
        <v>54</v>
      </c>
      <c r="W107">
        <v>4</v>
      </c>
      <c r="X107" t="b">
        <v>0</v>
      </c>
      <c r="Y107" t="s">
        <v>55</v>
      </c>
      <c r="Z107" t="s">
        <v>56</v>
      </c>
      <c r="AA107" t="s">
        <v>57</v>
      </c>
      <c r="AB107">
        <v>0</v>
      </c>
      <c r="AC107" t="s">
        <v>58</v>
      </c>
      <c r="AD107">
        <v>8</v>
      </c>
      <c r="AE107" t="s">
        <v>59</v>
      </c>
      <c r="AF107">
        <v>2377238700</v>
      </c>
      <c r="AG107" t="b">
        <v>0</v>
      </c>
      <c r="AH107">
        <v>8</v>
      </c>
      <c r="AI107" t="s">
        <v>59</v>
      </c>
      <c r="AJ107">
        <v>2377238700</v>
      </c>
      <c r="AK107" t="b">
        <v>0</v>
      </c>
      <c r="AL107">
        <v>2377238700</v>
      </c>
      <c r="AM107" t="b">
        <v>0</v>
      </c>
      <c r="AN107">
        <v>0</v>
      </c>
      <c r="AO107" t="b">
        <v>0</v>
      </c>
      <c r="AP107">
        <v>0</v>
      </c>
      <c r="AQ107">
        <v>570359836.67999995</v>
      </c>
      <c r="AR107">
        <v>570359836.67999995</v>
      </c>
      <c r="AS107">
        <v>0</v>
      </c>
      <c r="AT107" t="b">
        <v>0</v>
      </c>
      <c r="AU107" t="b">
        <v>1</v>
      </c>
      <c r="BA107" t="str">
        <f t="shared" si="2"/>
        <v>Normal</v>
      </c>
      <c r="BG107" t="str">
        <f t="shared" si="3"/>
        <v>Normal</v>
      </c>
    </row>
    <row r="108" spans="1:59" x14ac:dyDescent="0.2">
      <c r="A108" t="s">
        <v>42</v>
      </c>
      <c r="B108" t="s">
        <v>43</v>
      </c>
      <c r="C108">
        <v>20200101</v>
      </c>
      <c r="D108">
        <v>2020</v>
      </c>
      <c r="E108">
        <v>52</v>
      </c>
      <c r="F108" t="s">
        <v>271</v>
      </c>
      <c r="G108">
        <v>36</v>
      </c>
      <c r="H108" t="s">
        <v>65</v>
      </c>
      <c r="I108" t="s">
        <v>66</v>
      </c>
      <c r="J108" t="s">
        <v>47</v>
      </c>
      <c r="K108" t="s">
        <v>48</v>
      </c>
      <c r="L108">
        <v>0</v>
      </c>
      <c r="M108" t="s">
        <v>49</v>
      </c>
      <c r="N108" t="s">
        <v>50</v>
      </c>
      <c r="O108">
        <v>0</v>
      </c>
      <c r="P108" t="s">
        <v>49</v>
      </c>
      <c r="Q108" t="s">
        <v>50</v>
      </c>
      <c r="R108" t="s">
        <v>51</v>
      </c>
      <c r="S108" t="s">
        <v>52</v>
      </c>
      <c r="T108" t="b">
        <v>1</v>
      </c>
      <c r="U108" t="s">
        <v>53</v>
      </c>
      <c r="V108" t="s">
        <v>54</v>
      </c>
      <c r="W108">
        <v>4</v>
      </c>
      <c r="X108" t="b">
        <v>0</v>
      </c>
      <c r="Y108" t="s">
        <v>55</v>
      </c>
      <c r="Z108" t="s">
        <v>56</v>
      </c>
      <c r="AA108" t="s">
        <v>57</v>
      </c>
      <c r="AB108">
        <v>0</v>
      </c>
      <c r="AC108" t="s">
        <v>58</v>
      </c>
      <c r="AD108">
        <v>8</v>
      </c>
      <c r="AE108" t="s">
        <v>59</v>
      </c>
      <c r="AF108">
        <v>9713536460</v>
      </c>
      <c r="AG108" t="b">
        <v>0</v>
      </c>
      <c r="AH108">
        <v>7</v>
      </c>
      <c r="AI108" t="s">
        <v>67</v>
      </c>
      <c r="AJ108">
        <v>9713536460</v>
      </c>
      <c r="AK108" t="b">
        <v>0</v>
      </c>
      <c r="AM108" t="b">
        <v>0</v>
      </c>
      <c r="AN108">
        <v>8255166638.6000004</v>
      </c>
      <c r="AO108" t="b">
        <v>0</v>
      </c>
      <c r="AQ108">
        <v>2975132784.3649998</v>
      </c>
      <c r="AR108">
        <v>2975132784.3649998</v>
      </c>
      <c r="AS108">
        <v>0</v>
      </c>
      <c r="AT108" t="b">
        <v>0</v>
      </c>
      <c r="AU108" t="b">
        <v>1</v>
      </c>
      <c r="BA108" t="str">
        <f t="shared" si="2"/>
        <v>Normal</v>
      </c>
      <c r="BG108" t="str">
        <f t="shared" si="3"/>
        <v>Normal</v>
      </c>
    </row>
    <row r="109" spans="1:59" x14ac:dyDescent="0.2">
      <c r="A109" t="s">
        <v>42</v>
      </c>
      <c r="B109" t="s">
        <v>43</v>
      </c>
      <c r="C109">
        <v>20200101</v>
      </c>
      <c r="D109">
        <v>2020</v>
      </c>
      <c r="E109">
        <v>52</v>
      </c>
      <c r="F109" t="s">
        <v>271</v>
      </c>
      <c r="G109">
        <v>52</v>
      </c>
      <c r="H109" t="s">
        <v>68</v>
      </c>
      <c r="I109" t="s">
        <v>69</v>
      </c>
      <c r="J109" t="s">
        <v>47</v>
      </c>
      <c r="K109" t="s">
        <v>48</v>
      </c>
      <c r="L109">
        <v>0</v>
      </c>
      <c r="M109" t="s">
        <v>49</v>
      </c>
      <c r="N109" t="s">
        <v>50</v>
      </c>
      <c r="O109">
        <v>0</v>
      </c>
      <c r="P109" t="s">
        <v>49</v>
      </c>
      <c r="Q109" t="s">
        <v>50</v>
      </c>
      <c r="R109" t="s">
        <v>51</v>
      </c>
      <c r="S109" t="s">
        <v>52</v>
      </c>
      <c r="T109" t="b">
        <v>1</v>
      </c>
      <c r="U109" t="s">
        <v>53</v>
      </c>
      <c r="V109" t="s">
        <v>54</v>
      </c>
      <c r="W109">
        <v>4</v>
      </c>
      <c r="X109" t="b">
        <v>0</v>
      </c>
      <c r="Y109" t="s">
        <v>55</v>
      </c>
      <c r="Z109" t="s">
        <v>56</v>
      </c>
      <c r="AA109" t="s">
        <v>57</v>
      </c>
      <c r="AB109">
        <v>0</v>
      </c>
      <c r="AC109" t="s">
        <v>58</v>
      </c>
      <c r="AD109">
        <v>8</v>
      </c>
      <c r="AE109" t="s">
        <v>59</v>
      </c>
      <c r="AF109">
        <v>29734740</v>
      </c>
      <c r="AG109" t="b">
        <v>0</v>
      </c>
      <c r="AH109">
        <v>8</v>
      </c>
      <c r="AI109" t="s">
        <v>59</v>
      </c>
      <c r="AJ109">
        <v>29734740</v>
      </c>
      <c r="AK109" t="b">
        <v>0</v>
      </c>
      <c r="AL109">
        <v>29734740</v>
      </c>
      <c r="AM109" t="b">
        <v>0</v>
      </c>
      <c r="AN109">
        <v>0</v>
      </c>
      <c r="AO109" t="b">
        <v>0</v>
      </c>
      <c r="AP109">
        <v>0</v>
      </c>
      <c r="AQ109">
        <v>9292123</v>
      </c>
      <c r="AR109">
        <v>9292123</v>
      </c>
      <c r="AS109">
        <v>0</v>
      </c>
      <c r="AT109" t="b">
        <v>0</v>
      </c>
      <c r="AU109" t="b">
        <v>1</v>
      </c>
      <c r="BA109" t="str">
        <f t="shared" si="2"/>
        <v>Normal</v>
      </c>
      <c r="BG109" t="str">
        <f t="shared" si="3"/>
        <v>Normal</v>
      </c>
    </row>
    <row r="110" spans="1:59" x14ac:dyDescent="0.2">
      <c r="A110" t="s">
        <v>42</v>
      </c>
      <c r="B110" t="s">
        <v>43</v>
      </c>
      <c r="C110">
        <v>20200101</v>
      </c>
      <c r="D110">
        <v>2020</v>
      </c>
      <c r="E110">
        <v>52</v>
      </c>
      <c r="F110" t="s">
        <v>271</v>
      </c>
      <c r="G110">
        <v>56</v>
      </c>
      <c r="H110" t="s">
        <v>71</v>
      </c>
      <c r="I110" t="s">
        <v>72</v>
      </c>
      <c r="J110" t="s">
        <v>47</v>
      </c>
      <c r="K110" t="s">
        <v>48</v>
      </c>
      <c r="L110">
        <v>0</v>
      </c>
      <c r="M110" t="s">
        <v>49</v>
      </c>
      <c r="N110" t="s">
        <v>50</v>
      </c>
      <c r="O110">
        <v>0</v>
      </c>
      <c r="P110" t="s">
        <v>49</v>
      </c>
      <c r="Q110" t="s">
        <v>50</v>
      </c>
      <c r="R110" t="s">
        <v>51</v>
      </c>
      <c r="S110" t="s">
        <v>52</v>
      </c>
      <c r="T110" t="b">
        <v>1</v>
      </c>
      <c r="U110" t="s">
        <v>53</v>
      </c>
      <c r="V110" t="s">
        <v>54</v>
      </c>
      <c r="W110">
        <v>4</v>
      </c>
      <c r="X110" t="b">
        <v>0</v>
      </c>
      <c r="Y110" t="s">
        <v>55</v>
      </c>
      <c r="Z110" t="s">
        <v>56</v>
      </c>
      <c r="AA110" t="s">
        <v>57</v>
      </c>
      <c r="AB110">
        <v>0</v>
      </c>
      <c r="AC110" t="s">
        <v>58</v>
      </c>
      <c r="AD110">
        <v>-1</v>
      </c>
      <c r="AE110" t="s">
        <v>73</v>
      </c>
      <c r="AF110">
        <v>0</v>
      </c>
      <c r="AG110" t="b">
        <v>0</v>
      </c>
      <c r="AH110">
        <v>-1</v>
      </c>
      <c r="AI110" t="s">
        <v>73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Q110">
        <v>35232873.699000001</v>
      </c>
      <c r="AR110">
        <v>35232873.699000001</v>
      </c>
      <c r="AS110">
        <v>0</v>
      </c>
      <c r="AT110" t="b">
        <v>0</v>
      </c>
      <c r="AU110" t="b">
        <v>1</v>
      </c>
      <c r="BA110" t="str">
        <f t="shared" si="2"/>
        <v>Normal</v>
      </c>
      <c r="BG110" t="str">
        <f t="shared" si="3"/>
        <v>Normal</v>
      </c>
    </row>
    <row r="111" spans="1:59" x14ac:dyDescent="0.2">
      <c r="A111" t="s">
        <v>42</v>
      </c>
      <c r="B111" t="s">
        <v>43</v>
      </c>
      <c r="C111">
        <v>20200101</v>
      </c>
      <c r="D111">
        <v>2020</v>
      </c>
      <c r="E111">
        <v>52</v>
      </c>
      <c r="F111" t="s">
        <v>271</v>
      </c>
      <c r="G111">
        <v>68</v>
      </c>
      <c r="H111" t="s">
        <v>74</v>
      </c>
      <c r="I111" t="s">
        <v>75</v>
      </c>
      <c r="J111" t="s">
        <v>47</v>
      </c>
      <c r="K111" t="s">
        <v>48</v>
      </c>
      <c r="L111">
        <v>0</v>
      </c>
      <c r="M111" t="s">
        <v>49</v>
      </c>
      <c r="N111" t="s">
        <v>50</v>
      </c>
      <c r="O111">
        <v>0</v>
      </c>
      <c r="P111" t="s">
        <v>49</v>
      </c>
      <c r="Q111" t="s">
        <v>50</v>
      </c>
      <c r="R111" t="s">
        <v>51</v>
      </c>
      <c r="S111" t="s">
        <v>52</v>
      </c>
      <c r="T111" t="b">
        <v>1</v>
      </c>
      <c r="U111" t="s">
        <v>53</v>
      </c>
      <c r="V111" t="s">
        <v>54</v>
      </c>
      <c r="W111">
        <v>4</v>
      </c>
      <c r="X111" t="b">
        <v>0</v>
      </c>
      <c r="Y111" t="s">
        <v>55</v>
      </c>
      <c r="Z111" t="s">
        <v>56</v>
      </c>
      <c r="AA111" t="s">
        <v>57</v>
      </c>
      <c r="AB111">
        <v>0</v>
      </c>
      <c r="AC111" t="s">
        <v>58</v>
      </c>
      <c r="AD111">
        <v>8</v>
      </c>
      <c r="AE111" t="s">
        <v>59</v>
      </c>
      <c r="AF111">
        <v>34681476.256999999</v>
      </c>
      <c r="AG111" t="b">
        <v>1</v>
      </c>
      <c r="AH111">
        <v>-1</v>
      </c>
      <c r="AI111" t="s">
        <v>73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10517484.710000001</v>
      </c>
      <c r="AR111">
        <v>10517484.710000001</v>
      </c>
      <c r="AS111">
        <v>6</v>
      </c>
      <c r="AT111" t="b">
        <v>0</v>
      </c>
      <c r="AU111" t="b">
        <v>1</v>
      </c>
      <c r="BA111" t="str">
        <f t="shared" si="2"/>
        <v>Normal</v>
      </c>
      <c r="BG111" t="str">
        <f t="shared" si="3"/>
        <v>Normal</v>
      </c>
    </row>
    <row r="112" spans="1:59" x14ac:dyDescent="0.2">
      <c r="A112" t="s">
        <v>42</v>
      </c>
      <c r="B112" t="s">
        <v>43</v>
      </c>
      <c r="C112">
        <v>20200101</v>
      </c>
      <c r="D112">
        <v>2020</v>
      </c>
      <c r="E112">
        <v>52</v>
      </c>
      <c r="F112" t="s">
        <v>271</v>
      </c>
      <c r="G112">
        <v>70</v>
      </c>
      <c r="H112" t="s">
        <v>76</v>
      </c>
      <c r="I112" t="s">
        <v>77</v>
      </c>
      <c r="J112" t="s">
        <v>47</v>
      </c>
      <c r="K112" t="s">
        <v>48</v>
      </c>
      <c r="L112">
        <v>0</v>
      </c>
      <c r="M112" t="s">
        <v>49</v>
      </c>
      <c r="N112" t="s">
        <v>50</v>
      </c>
      <c r="O112">
        <v>0</v>
      </c>
      <c r="P112" t="s">
        <v>49</v>
      </c>
      <c r="Q112" t="s">
        <v>50</v>
      </c>
      <c r="R112" t="s">
        <v>51</v>
      </c>
      <c r="S112" t="s">
        <v>52</v>
      </c>
      <c r="T112" t="b">
        <v>1</v>
      </c>
      <c r="U112" t="s">
        <v>53</v>
      </c>
      <c r="V112" t="s">
        <v>54</v>
      </c>
      <c r="W112">
        <v>4</v>
      </c>
      <c r="X112" t="b">
        <v>0</v>
      </c>
      <c r="Y112" t="s">
        <v>55</v>
      </c>
      <c r="Z112" t="s">
        <v>56</v>
      </c>
      <c r="AA112" t="s">
        <v>57</v>
      </c>
      <c r="AB112">
        <v>0</v>
      </c>
      <c r="AC112" t="s">
        <v>58</v>
      </c>
      <c r="AD112">
        <v>8</v>
      </c>
      <c r="AE112" t="s">
        <v>59</v>
      </c>
      <c r="AF112">
        <v>1561030</v>
      </c>
      <c r="AG112" t="b">
        <v>0</v>
      </c>
      <c r="AH112">
        <v>8</v>
      </c>
      <c r="AI112" t="s">
        <v>59</v>
      </c>
      <c r="AJ112">
        <v>1561030</v>
      </c>
      <c r="AK112" t="b">
        <v>0</v>
      </c>
      <c r="AL112">
        <v>1561030</v>
      </c>
      <c r="AM112" t="b">
        <v>0</v>
      </c>
      <c r="AN112">
        <v>0</v>
      </c>
      <c r="AO112" t="b">
        <v>0</v>
      </c>
      <c r="AQ112">
        <v>485551.64</v>
      </c>
      <c r="AR112">
        <v>485551.64</v>
      </c>
      <c r="AS112">
        <v>0</v>
      </c>
      <c r="AT112" t="b">
        <v>0</v>
      </c>
      <c r="AU112" t="b">
        <v>1</v>
      </c>
      <c r="BA112" t="str">
        <f t="shared" si="2"/>
        <v>Normal</v>
      </c>
      <c r="BG112" t="str">
        <f t="shared" si="3"/>
        <v>Normal</v>
      </c>
    </row>
    <row r="113" spans="1:59" x14ac:dyDescent="0.2">
      <c r="A113" t="s">
        <v>42</v>
      </c>
      <c r="B113" t="s">
        <v>43</v>
      </c>
      <c r="C113">
        <v>20200101</v>
      </c>
      <c r="D113">
        <v>2020</v>
      </c>
      <c r="E113">
        <v>52</v>
      </c>
      <c r="F113" t="s">
        <v>271</v>
      </c>
      <c r="G113">
        <v>72</v>
      </c>
      <c r="H113" t="s">
        <v>78</v>
      </c>
      <c r="I113" t="s">
        <v>79</v>
      </c>
      <c r="J113" t="s">
        <v>47</v>
      </c>
      <c r="K113" t="s">
        <v>48</v>
      </c>
      <c r="L113">
        <v>0</v>
      </c>
      <c r="M113" t="s">
        <v>49</v>
      </c>
      <c r="N113" t="s">
        <v>50</v>
      </c>
      <c r="O113">
        <v>0</v>
      </c>
      <c r="P113" t="s">
        <v>49</v>
      </c>
      <c r="Q113" t="s">
        <v>50</v>
      </c>
      <c r="R113" t="s">
        <v>51</v>
      </c>
      <c r="S113" t="s">
        <v>52</v>
      </c>
      <c r="T113" t="b">
        <v>1</v>
      </c>
      <c r="U113" t="s">
        <v>53</v>
      </c>
      <c r="V113" t="s">
        <v>54</v>
      </c>
      <c r="W113">
        <v>4</v>
      </c>
      <c r="X113" t="b">
        <v>0</v>
      </c>
      <c r="Y113" t="s">
        <v>55</v>
      </c>
      <c r="Z113" t="s">
        <v>56</v>
      </c>
      <c r="AA113" t="s">
        <v>57</v>
      </c>
      <c r="AB113">
        <v>0</v>
      </c>
      <c r="AC113" t="s">
        <v>58</v>
      </c>
      <c r="AD113">
        <v>-1</v>
      </c>
      <c r="AE113" t="s">
        <v>73</v>
      </c>
      <c r="AF113">
        <v>0</v>
      </c>
      <c r="AG113" t="b">
        <v>0</v>
      </c>
      <c r="AH113">
        <v>8</v>
      </c>
      <c r="AI113" t="s">
        <v>59</v>
      </c>
      <c r="AJ113">
        <v>2</v>
      </c>
      <c r="AK113" t="b">
        <v>0</v>
      </c>
      <c r="AL113">
        <v>20005</v>
      </c>
      <c r="AM113" t="b">
        <v>0</v>
      </c>
      <c r="AN113">
        <v>0</v>
      </c>
      <c r="AO113" t="b">
        <v>0</v>
      </c>
      <c r="AQ113">
        <v>4516.9520000000002</v>
      </c>
      <c r="AR113">
        <v>4516.9520000000002</v>
      </c>
      <c r="AS113">
        <v>0</v>
      </c>
      <c r="AT113" t="b">
        <v>0</v>
      </c>
      <c r="AU113" t="b">
        <v>1</v>
      </c>
      <c r="BA113" t="str">
        <f t="shared" si="2"/>
        <v>Normal</v>
      </c>
      <c r="BG113" t="str">
        <f t="shared" si="3"/>
        <v>Normal</v>
      </c>
    </row>
    <row r="114" spans="1:59" x14ac:dyDescent="0.2">
      <c r="A114" t="s">
        <v>42</v>
      </c>
      <c r="B114" t="s">
        <v>43</v>
      </c>
      <c r="C114">
        <v>20200101</v>
      </c>
      <c r="D114">
        <v>2020</v>
      </c>
      <c r="E114">
        <v>52</v>
      </c>
      <c r="F114" t="s">
        <v>271</v>
      </c>
      <c r="G114">
        <v>76</v>
      </c>
      <c r="H114" t="s">
        <v>80</v>
      </c>
      <c r="I114" t="s">
        <v>81</v>
      </c>
      <c r="J114" t="s">
        <v>47</v>
      </c>
      <c r="K114" t="s">
        <v>48</v>
      </c>
      <c r="L114">
        <v>0</v>
      </c>
      <c r="M114" t="s">
        <v>49</v>
      </c>
      <c r="N114" t="s">
        <v>50</v>
      </c>
      <c r="O114">
        <v>0</v>
      </c>
      <c r="P114" t="s">
        <v>49</v>
      </c>
      <c r="Q114" t="s">
        <v>50</v>
      </c>
      <c r="R114" t="s">
        <v>51</v>
      </c>
      <c r="S114" t="s">
        <v>52</v>
      </c>
      <c r="T114" t="b">
        <v>1</v>
      </c>
      <c r="U114" t="s">
        <v>53</v>
      </c>
      <c r="V114" t="s">
        <v>54</v>
      </c>
      <c r="W114">
        <v>4</v>
      </c>
      <c r="X114" t="b">
        <v>0</v>
      </c>
      <c r="Y114" t="s">
        <v>55</v>
      </c>
      <c r="Z114" t="s">
        <v>56</v>
      </c>
      <c r="AA114" t="s">
        <v>57</v>
      </c>
      <c r="AB114">
        <v>0</v>
      </c>
      <c r="AC114" t="s">
        <v>58</v>
      </c>
      <c r="AD114">
        <v>8</v>
      </c>
      <c r="AE114" t="s">
        <v>59</v>
      </c>
      <c r="AF114">
        <v>70009939004.143997</v>
      </c>
      <c r="AG114" t="b">
        <v>1</v>
      </c>
      <c r="AH114">
        <v>-1</v>
      </c>
      <c r="AI114" t="s">
        <v>73</v>
      </c>
      <c r="AJ114">
        <v>0</v>
      </c>
      <c r="AK114" t="b">
        <v>0</v>
      </c>
      <c r="AL114">
        <v>70009939004.143997</v>
      </c>
      <c r="AM114" t="b">
        <v>1</v>
      </c>
      <c r="AN114">
        <v>0</v>
      </c>
      <c r="AO114" t="b">
        <v>0</v>
      </c>
      <c r="AQ114">
        <v>19613857928</v>
      </c>
      <c r="AR114">
        <v>19613857928</v>
      </c>
      <c r="AS114">
        <v>6</v>
      </c>
      <c r="AT114" t="b">
        <v>0</v>
      </c>
      <c r="AU114" t="b">
        <v>1</v>
      </c>
      <c r="BA114" t="str">
        <f t="shared" si="2"/>
        <v>Normal</v>
      </c>
      <c r="BG114" t="str">
        <f t="shared" si="3"/>
        <v>Normal</v>
      </c>
    </row>
    <row r="115" spans="1:59" x14ac:dyDescent="0.2">
      <c r="A115" t="s">
        <v>42</v>
      </c>
      <c r="B115" t="s">
        <v>43</v>
      </c>
      <c r="C115">
        <v>20200101</v>
      </c>
      <c r="D115">
        <v>2020</v>
      </c>
      <c r="E115">
        <v>52</v>
      </c>
      <c r="F115" t="s">
        <v>271</v>
      </c>
      <c r="G115">
        <v>84</v>
      </c>
      <c r="H115" t="s">
        <v>82</v>
      </c>
      <c r="I115" t="s">
        <v>83</v>
      </c>
      <c r="J115" t="s">
        <v>47</v>
      </c>
      <c r="K115" t="s">
        <v>48</v>
      </c>
      <c r="L115">
        <v>0</v>
      </c>
      <c r="M115" t="s">
        <v>49</v>
      </c>
      <c r="N115" t="s">
        <v>50</v>
      </c>
      <c r="O115">
        <v>0</v>
      </c>
      <c r="P115" t="s">
        <v>49</v>
      </c>
      <c r="Q115" t="s">
        <v>50</v>
      </c>
      <c r="R115" t="s">
        <v>51</v>
      </c>
      <c r="S115" t="s">
        <v>52</v>
      </c>
      <c r="T115" t="b">
        <v>1</v>
      </c>
      <c r="U115" t="s">
        <v>53</v>
      </c>
      <c r="V115" t="s">
        <v>54</v>
      </c>
      <c r="W115">
        <v>4</v>
      </c>
      <c r="X115" t="b">
        <v>0</v>
      </c>
      <c r="Y115" t="s">
        <v>55</v>
      </c>
      <c r="Z115" t="s">
        <v>56</v>
      </c>
      <c r="AA115" t="s">
        <v>57</v>
      </c>
      <c r="AB115">
        <v>0</v>
      </c>
      <c r="AC115" t="s">
        <v>58</v>
      </c>
      <c r="AD115">
        <v>8</v>
      </c>
      <c r="AE115" t="s">
        <v>59</v>
      </c>
      <c r="AF115">
        <v>10303429</v>
      </c>
      <c r="AG115" t="b">
        <v>0</v>
      </c>
      <c r="AH115">
        <v>8</v>
      </c>
      <c r="AI115" t="s">
        <v>59</v>
      </c>
      <c r="AJ115">
        <v>10303429</v>
      </c>
      <c r="AK115" t="b">
        <v>0</v>
      </c>
      <c r="AL115">
        <v>10303429</v>
      </c>
      <c r="AM115" t="b">
        <v>0</v>
      </c>
      <c r="AN115">
        <v>0</v>
      </c>
      <c r="AO115" t="b">
        <v>0</v>
      </c>
      <c r="AQ115">
        <v>2445222.2650000001</v>
      </c>
      <c r="AR115">
        <v>2445222.2650000001</v>
      </c>
      <c r="AS115">
        <v>0</v>
      </c>
      <c r="AT115" t="b">
        <v>0</v>
      </c>
      <c r="AU115" t="b">
        <v>1</v>
      </c>
      <c r="BA115" t="str">
        <f t="shared" si="2"/>
        <v>Normal</v>
      </c>
      <c r="BG115" t="str">
        <f t="shared" si="3"/>
        <v>Normal</v>
      </c>
    </row>
    <row r="116" spans="1:59" x14ac:dyDescent="0.2">
      <c r="A116" t="s">
        <v>42</v>
      </c>
      <c r="B116" t="s">
        <v>43</v>
      </c>
      <c r="C116">
        <v>20200101</v>
      </c>
      <c r="D116">
        <v>2020</v>
      </c>
      <c r="E116">
        <v>52</v>
      </c>
      <c r="F116" t="s">
        <v>271</v>
      </c>
      <c r="G116">
        <v>96</v>
      </c>
      <c r="H116" t="s">
        <v>84</v>
      </c>
      <c r="I116" t="s">
        <v>85</v>
      </c>
      <c r="J116" t="s">
        <v>47</v>
      </c>
      <c r="K116" t="s">
        <v>48</v>
      </c>
      <c r="L116">
        <v>0</v>
      </c>
      <c r="M116" t="s">
        <v>49</v>
      </c>
      <c r="N116" t="s">
        <v>50</v>
      </c>
      <c r="O116">
        <v>0</v>
      </c>
      <c r="P116" t="s">
        <v>49</v>
      </c>
      <c r="Q116" t="s">
        <v>50</v>
      </c>
      <c r="R116" t="s">
        <v>51</v>
      </c>
      <c r="S116" t="s">
        <v>52</v>
      </c>
      <c r="T116" t="b">
        <v>1</v>
      </c>
      <c r="U116" t="s">
        <v>53</v>
      </c>
      <c r="V116" t="s">
        <v>54</v>
      </c>
      <c r="W116">
        <v>4</v>
      </c>
      <c r="X116" t="b">
        <v>0</v>
      </c>
      <c r="Y116" t="s">
        <v>55</v>
      </c>
      <c r="Z116" t="s">
        <v>56</v>
      </c>
      <c r="AA116" t="s">
        <v>57</v>
      </c>
      <c r="AB116">
        <v>0</v>
      </c>
      <c r="AC116" t="s">
        <v>58</v>
      </c>
      <c r="AD116">
        <v>8</v>
      </c>
      <c r="AE116" t="s">
        <v>59</v>
      </c>
      <c r="AF116">
        <v>4115723466</v>
      </c>
      <c r="AG116" t="b">
        <v>0</v>
      </c>
      <c r="AH116">
        <v>8</v>
      </c>
      <c r="AI116" t="s">
        <v>59</v>
      </c>
      <c r="AJ116">
        <v>4115723466</v>
      </c>
      <c r="AK116" t="b">
        <v>0</v>
      </c>
      <c r="AL116">
        <v>4115723466</v>
      </c>
      <c r="AM116" t="b">
        <v>0</v>
      </c>
      <c r="AN116">
        <v>0</v>
      </c>
      <c r="AO116" t="b">
        <v>0</v>
      </c>
      <c r="AP116">
        <v>0</v>
      </c>
      <c r="AQ116">
        <v>1273034900.0999999</v>
      </c>
      <c r="AR116">
        <v>1273034900.0999999</v>
      </c>
      <c r="AS116">
        <v>0</v>
      </c>
      <c r="AT116" t="b">
        <v>0</v>
      </c>
      <c r="AU116" t="b">
        <v>1</v>
      </c>
      <c r="BA116" t="str">
        <f t="shared" si="2"/>
        <v>Normal</v>
      </c>
      <c r="BG116" t="str">
        <f t="shared" si="3"/>
        <v>Normal</v>
      </c>
    </row>
    <row r="117" spans="1:59" x14ac:dyDescent="0.2">
      <c r="A117" t="s">
        <v>42</v>
      </c>
      <c r="B117" t="s">
        <v>43</v>
      </c>
      <c r="C117">
        <v>20200101</v>
      </c>
      <c r="D117">
        <v>2020</v>
      </c>
      <c r="E117">
        <v>52</v>
      </c>
      <c r="F117" t="s">
        <v>271</v>
      </c>
      <c r="G117">
        <v>104</v>
      </c>
      <c r="H117" t="s">
        <v>88</v>
      </c>
      <c r="I117" t="s">
        <v>89</v>
      </c>
      <c r="J117" t="s">
        <v>47</v>
      </c>
      <c r="K117" t="s">
        <v>48</v>
      </c>
      <c r="L117">
        <v>0</v>
      </c>
      <c r="M117" t="s">
        <v>49</v>
      </c>
      <c r="N117" t="s">
        <v>50</v>
      </c>
      <c r="O117">
        <v>0</v>
      </c>
      <c r="P117" t="s">
        <v>49</v>
      </c>
      <c r="Q117" t="s">
        <v>50</v>
      </c>
      <c r="R117" t="s">
        <v>51</v>
      </c>
      <c r="S117" t="s">
        <v>52</v>
      </c>
      <c r="T117" t="b">
        <v>1</v>
      </c>
      <c r="U117" t="s">
        <v>53</v>
      </c>
      <c r="V117" t="s">
        <v>54</v>
      </c>
      <c r="W117">
        <v>4</v>
      </c>
      <c r="X117" t="b">
        <v>0</v>
      </c>
      <c r="Y117" t="s">
        <v>55</v>
      </c>
      <c r="Z117" t="s">
        <v>56</v>
      </c>
      <c r="AA117" t="s">
        <v>57</v>
      </c>
      <c r="AB117">
        <v>0</v>
      </c>
      <c r="AC117" t="s">
        <v>58</v>
      </c>
      <c r="AD117">
        <v>8</v>
      </c>
      <c r="AE117" t="s">
        <v>59</v>
      </c>
      <c r="AF117">
        <v>33440000</v>
      </c>
      <c r="AG117" t="b">
        <v>0</v>
      </c>
      <c r="AH117">
        <v>-1</v>
      </c>
      <c r="AI117" t="s">
        <v>73</v>
      </c>
      <c r="AJ117">
        <v>0</v>
      </c>
      <c r="AK117" t="b">
        <v>0</v>
      </c>
      <c r="AL117">
        <v>33440000</v>
      </c>
      <c r="AM117" t="b">
        <v>0</v>
      </c>
      <c r="AN117">
        <v>0</v>
      </c>
      <c r="AO117" t="b">
        <v>0</v>
      </c>
      <c r="AQ117">
        <v>18656200</v>
      </c>
      <c r="AR117">
        <v>18656200</v>
      </c>
      <c r="AS117">
        <v>0</v>
      </c>
      <c r="AT117" t="b">
        <v>0</v>
      </c>
      <c r="AU117" t="b">
        <v>1</v>
      </c>
      <c r="BA117" t="str">
        <f t="shared" si="2"/>
        <v>Normal</v>
      </c>
      <c r="BG117" t="str">
        <f t="shared" si="3"/>
        <v>Normal</v>
      </c>
    </row>
    <row r="118" spans="1:59" x14ac:dyDescent="0.2">
      <c r="A118" t="s">
        <v>42</v>
      </c>
      <c r="B118" t="s">
        <v>43</v>
      </c>
      <c r="C118">
        <v>20200101</v>
      </c>
      <c r="D118">
        <v>2020</v>
      </c>
      <c r="E118">
        <v>52</v>
      </c>
      <c r="F118" t="s">
        <v>271</v>
      </c>
      <c r="G118">
        <v>112</v>
      </c>
      <c r="H118" t="s">
        <v>90</v>
      </c>
      <c r="I118" t="s">
        <v>91</v>
      </c>
      <c r="J118" t="s">
        <v>47</v>
      </c>
      <c r="K118" t="s">
        <v>48</v>
      </c>
      <c r="L118">
        <v>0</v>
      </c>
      <c r="M118" t="s">
        <v>49</v>
      </c>
      <c r="N118" t="s">
        <v>50</v>
      </c>
      <c r="O118">
        <v>0</v>
      </c>
      <c r="P118" t="s">
        <v>49</v>
      </c>
      <c r="Q118" t="s">
        <v>50</v>
      </c>
      <c r="R118" t="s">
        <v>51</v>
      </c>
      <c r="S118" t="s">
        <v>52</v>
      </c>
      <c r="T118" t="b">
        <v>1</v>
      </c>
      <c r="U118" t="s">
        <v>53</v>
      </c>
      <c r="V118" t="s">
        <v>54</v>
      </c>
      <c r="W118">
        <v>4</v>
      </c>
      <c r="X118" t="b">
        <v>0</v>
      </c>
      <c r="Y118" t="s">
        <v>55</v>
      </c>
      <c r="Z118" t="s">
        <v>56</v>
      </c>
      <c r="AA118" t="s">
        <v>57</v>
      </c>
      <c r="AB118">
        <v>0</v>
      </c>
      <c r="AC118" t="s">
        <v>58</v>
      </c>
      <c r="AD118">
        <v>8</v>
      </c>
      <c r="AE118" t="s">
        <v>59</v>
      </c>
      <c r="AF118">
        <v>1143476435.1070001</v>
      </c>
      <c r="AG118" t="b">
        <v>1</v>
      </c>
      <c r="AH118">
        <v>-1</v>
      </c>
      <c r="AI118" t="s">
        <v>73</v>
      </c>
      <c r="AJ118">
        <v>0</v>
      </c>
      <c r="AK118" t="b">
        <v>0</v>
      </c>
      <c r="AL118">
        <v>1143476435.1070001</v>
      </c>
      <c r="AM118" t="b">
        <v>1</v>
      </c>
      <c r="AN118">
        <v>0</v>
      </c>
      <c r="AO118" t="b">
        <v>0</v>
      </c>
      <c r="AP118">
        <v>0</v>
      </c>
      <c r="AQ118">
        <v>343163600</v>
      </c>
      <c r="AR118">
        <v>343163600</v>
      </c>
      <c r="AS118">
        <v>6</v>
      </c>
      <c r="AT118" t="b">
        <v>0</v>
      </c>
      <c r="AU118" t="b">
        <v>1</v>
      </c>
      <c r="BA118" t="str">
        <f t="shared" si="2"/>
        <v>Normal</v>
      </c>
      <c r="BG118" t="str">
        <f t="shared" si="3"/>
        <v>Normal</v>
      </c>
    </row>
    <row r="119" spans="1:59" x14ac:dyDescent="0.2">
      <c r="A119" t="s">
        <v>42</v>
      </c>
      <c r="B119" t="s">
        <v>43</v>
      </c>
      <c r="C119">
        <v>20200101</v>
      </c>
      <c r="D119">
        <v>2020</v>
      </c>
      <c r="E119">
        <v>52</v>
      </c>
      <c r="F119" t="s">
        <v>271</v>
      </c>
      <c r="G119">
        <v>120</v>
      </c>
      <c r="H119" t="s">
        <v>92</v>
      </c>
      <c r="I119" t="s">
        <v>93</v>
      </c>
      <c r="J119" t="s">
        <v>47</v>
      </c>
      <c r="K119" t="s">
        <v>48</v>
      </c>
      <c r="L119">
        <v>0</v>
      </c>
      <c r="M119" t="s">
        <v>49</v>
      </c>
      <c r="N119" t="s">
        <v>50</v>
      </c>
      <c r="O119">
        <v>0</v>
      </c>
      <c r="P119" t="s">
        <v>49</v>
      </c>
      <c r="Q119" t="s">
        <v>50</v>
      </c>
      <c r="R119" t="s">
        <v>51</v>
      </c>
      <c r="S119" t="s">
        <v>52</v>
      </c>
      <c r="T119" t="b">
        <v>1</v>
      </c>
      <c r="U119" t="s">
        <v>53</v>
      </c>
      <c r="V119" t="s">
        <v>54</v>
      </c>
      <c r="W119">
        <v>4</v>
      </c>
      <c r="X119" t="b">
        <v>0</v>
      </c>
      <c r="Y119" t="s">
        <v>55</v>
      </c>
      <c r="Z119" t="s">
        <v>56</v>
      </c>
      <c r="AA119" t="s">
        <v>57</v>
      </c>
      <c r="AB119">
        <v>0</v>
      </c>
      <c r="AC119" t="s">
        <v>58</v>
      </c>
      <c r="AD119">
        <v>8</v>
      </c>
      <c r="AE119" t="s">
        <v>59</v>
      </c>
      <c r="AF119">
        <v>3715162050</v>
      </c>
      <c r="AG119" t="b">
        <v>0</v>
      </c>
      <c r="AH119">
        <v>8</v>
      </c>
      <c r="AI119" t="s">
        <v>59</v>
      </c>
      <c r="AJ119">
        <v>3715162050</v>
      </c>
      <c r="AK119" t="b">
        <v>0</v>
      </c>
      <c r="AL119">
        <v>3715162050</v>
      </c>
      <c r="AM119" t="b">
        <v>0</v>
      </c>
      <c r="AN119">
        <v>0</v>
      </c>
      <c r="AO119" t="b">
        <v>0</v>
      </c>
      <c r="AQ119">
        <v>1115883771.3599999</v>
      </c>
      <c r="AR119">
        <v>1115883771.3599999</v>
      </c>
      <c r="AS119">
        <v>0</v>
      </c>
      <c r="AT119" t="b">
        <v>0</v>
      </c>
      <c r="AU119" t="b">
        <v>1</v>
      </c>
      <c r="BA119" t="str">
        <f t="shared" si="2"/>
        <v>Normal</v>
      </c>
      <c r="BG119" t="str">
        <f t="shared" si="3"/>
        <v>Normal</v>
      </c>
    </row>
    <row r="120" spans="1:59" x14ac:dyDescent="0.2">
      <c r="A120" t="s">
        <v>42</v>
      </c>
      <c r="B120" t="s">
        <v>43</v>
      </c>
      <c r="C120">
        <v>20200101</v>
      </c>
      <c r="D120">
        <v>2020</v>
      </c>
      <c r="E120">
        <v>52</v>
      </c>
      <c r="F120" t="s">
        <v>271</v>
      </c>
      <c r="G120">
        <v>124</v>
      </c>
      <c r="H120" t="s">
        <v>94</v>
      </c>
      <c r="I120" t="s">
        <v>95</v>
      </c>
      <c r="J120" t="s">
        <v>47</v>
      </c>
      <c r="K120" t="s">
        <v>48</v>
      </c>
      <c r="L120">
        <v>0</v>
      </c>
      <c r="M120" t="s">
        <v>49</v>
      </c>
      <c r="N120" t="s">
        <v>50</v>
      </c>
      <c r="O120">
        <v>0</v>
      </c>
      <c r="P120" t="s">
        <v>49</v>
      </c>
      <c r="Q120" t="s">
        <v>50</v>
      </c>
      <c r="R120" t="s">
        <v>51</v>
      </c>
      <c r="S120" t="s">
        <v>52</v>
      </c>
      <c r="T120" t="b">
        <v>1</v>
      </c>
      <c r="U120" t="s">
        <v>53</v>
      </c>
      <c r="V120" t="s">
        <v>54</v>
      </c>
      <c r="W120">
        <v>4</v>
      </c>
      <c r="X120" t="b">
        <v>0</v>
      </c>
      <c r="Y120" t="s">
        <v>55</v>
      </c>
      <c r="Z120" t="s">
        <v>56</v>
      </c>
      <c r="AA120" t="s">
        <v>57</v>
      </c>
      <c r="AB120">
        <v>0</v>
      </c>
      <c r="AC120" t="s">
        <v>58</v>
      </c>
      <c r="AD120">
        <v>8</v>
      </c>
      <c r="AE120" t="s">
        <v>59</v>
      </c>
      <c r="AF120">
        <v>156876691871.57401</v>
      </c>
      <c r="AG120" t="b">
        <v>1</v>
      </c>
      <c r="AH120">
        <v>-1</v>
      </c>
      <c r="AI120" t="s">
        <v>73</v>
      </c>
      <c r="AJ120">
        <v>0</v>
      </c>
      <c r="AK120" t="b">
        <v>0</v>
      </c>
      <c r="AL120">
        <v>156876691871.57401</v>
      </c>
      <c r="AM120" t="b">
        <v>1</v>
      </c>
      <c r="AN120">
        <v>0</v>
      </c>
      <c r="AO120" t="b">
        <v>0</v>
      </c>
      <c r="AQ120">
        <v>47574336106.391998</v>
      </c>
      <c r="AR120">
        <v>47574336106.391998</v>
      </c>
      <c r="AS120">
        <v>6</v>
      </c>
      <c r="AT120" t="b">
        <v>0</v>
      </c>
      <c r="AU120" t="b">
        <v>1</v>
      </c>
      <c r="BA120" t="str">
        <f t="shared" si="2"/>
        <v>Normal</v>
      </c>
      <c r="BG120" t="str">
        <f t="shared" si="3"/>
        <v>Normal</v>
      </c>
    </row>
    <row r="121" spans="1:59" x14ac:dyDescent="0.2">
      <c r="A121" t="s">
        <v>42</v>
      </c>
      <c r="B121" t="s">
        <v>43</v>
      </c>
      <c r="C121">
        <v>20200101</v>
      </c>
      <c r="D121">
        <v>2020</v>
      </c>
      <c r="E121">
        <v>52</v>
      </c>
      <c r="F121" t="s">
        <v>271</v>
      </c>
      <c r="G121">
        <v>152</v>
      </c>
      <c r="H121" t="s">
        <v>272</v>
      </c>
      <c r="I121" t="s">
        <v>273</v>
      </c>
      <c r="J121" t="s">
        <v>47</v>
      </c>
      <c r="K121" t="s">
        <v>48</v>
      </c>
      <c r="L121">
        <v>0</v>
      </c>
      <c r="M121" t="s">
        <v>49</v>
      </c>
      <c r="N121" t="s">
        <v>50</v>
      </c>
      <c r="O121">
        <v>0</v>
      </c>
      <c r="P121" t="s">
        <v>49</v>
      </c>
      <c r="Q121" t="s">
        <v>50</v>
      </c>
      <c r="R121" t="s">
        <v>51</v>
      </c>
      <c r="S121" t="s">
        <v>52</v>
      </c>
      <c r="T121" t="b">
        <v>1</v>
      </c>
      <c r="U121" t="s">
        <v>53</v>
      </c>
      <c r="V121" t="s">
        <v>54</v>
      </c>
      <c r="W121">
        <v>4</v>
      </c>
      <c r="X121" t="b">
        <v>0</v>
      </c>
      <c r="Y121" t="s">
        <v>55</v>
      </c>
      <c r="Z121" t="s">
        <v>56</v>
      </c>
      <c r="AA121" t="s">
        <v>57</v>
      </c>
      <c r="AB121">
        <v>0</v>
      </c>
      <c r="AC121" t="s">
        <v>58</v>
      </c>
      <c r="AD121">
        <v>8</v>
      </c>
      <c r="AE121" t="s">
        <v>59</v>
      </c>
      <c r="AF121">
        <v>51567100</v>
      </c>
      <c r="AG121" t="b">
        <v>0</v>
      </c>
      <c r="AH121">
        <v>8</v>
      </c>
      <c r="AI121" t="s">
        <v>59</v>
      </c>
      <c r="AJ121">
        <v>51567100</v>
      </c>
      <c r="AK121" t="b">
        <v>0</v>
      </c>
      <c r="AL121">
        <v>51567100</v>
      </c>
      <c r="AM121" t="b">
        <v>0</v>
      </c>
      <c r="AN121">
        <v>0</v>
      </c>
      <c r="AO121" t="b">
        <v>0</v>
      </c>
      <c r="AP121">
        <v>0</v>
      </c>
      <c r="AQ121">
        <v>11870850.66</v>
      </c>
      <c r="AR121">
        <v>11870850.66</v>
      </c>
      <c r="AS121">
        <v>0</v>
      </c>
      <c r="AT121" t="b">
        <v>0</v>
      </c>
      <c r="AU121" t="b">
        <v>1</v>
      </c>
      <c r="BA121" t="str">
        <f t="shared" si="2"/>
        <v>Normal</v>
      </c>
      <c r="BG121" t="str">
        <f t="shared" si="3"/>
        <v>Normal</v>
      </c>
    </row>
    <row r="122" spans="1:59" x14ac:dyDescent="0.2">
      <c r="A122" t="s">
        <v>42</v>
      </c>
      <c r="B122" t="s">
        <v>43</v>
      </c>
      <c r="C122">
        <v>20200101</v>
      </c>
      <c r="D122">
        <v>2020</v>
      </c>
      <c r="E122">
        <v>52</v>
      </c>
      <c r="F122" t="s">
        <v>271</v>
      </c>
      <c r="G122">
        <v>156</v>
      </c>
      <c r="H122" t="s">
        <v>96</v>
      </c>
      <c r="I122" t="s">
        <v>97</v>
      </c>
      <c r="J122" t="s">
        <v>47</v>
      </c>
      <c r="K122" t="s">
        <v>48</v>
      </c>
      <c r="L122">
        <v>0</v>
      </c>
      <c r="M122" t="s">
        <v>49</v>
      </c>
      <c r="N122" t="s">
        <v>50</v>
      </c>
      <c r="O122">
        <v>0</v>
      </c>
      <c r="P122" t="s">
        <v>49</v>
      </c>
      <c r="Q122" t="s">
        <v>50</v>
      </c>
      <c r="R122" t="s">
        <v>51</v>
      </c>
      <c r="S122" t="s">
        <v>52</v>
      </c>
      <c r="T122" t="b">
        <v>1</v>
      </c>
      <c r="U122" t="s">
        <v>53</v>
      </c>
      <c r="V122" t="s">
        <v>54</v>
      </c>
      <c r="W122">
        <v>4</v>
      </c>
      <c r="X122" t="b">
        <v>0</v>
      </c>
      <c r="Y122" t="s">
        <v>55</v>
      </c>
      <c r="Z122" t="s">
        <v>56</v>
      </c>
      <c r="AA122" t="s">
        <v>57</v>
      </c>
      <c r="AB122">
        <v>0</v>
      </c>
      <c r="AC122" t="s">
        <v>58</v>
      </c>
      <c r="AD122">
        <v>8</v>
      </c>
      <c r="AE122" t="s">
        <v>59</v>
      </c>
      <c r="AF122">
        <v>1638107900</v>
      </c>
      <c r="AG122" t="b">
        <v>0</v>
      </c>
      <c r="AH122">
        <v>8</v>
      </c>
      <c r="AI122" t="s">
        <v>59</v>
      </c>
      <c r="AJ122">
        <v>1638107900</v>
      </c>
      <c r="AK122" t="b">
        <v>0</v>
      </c>
      <c r="AL122">
        <v>1638107900</v>
      </c>
      <c r="AM122" t="b">
        <v>0</v>
      </c>
      <c r="AN122">
        <v>0</v>
      </c>
      <c r="AO122" t="b">
        <v>0</v>
      </c>
      <c r="AP122">
        <v>0</v>
      </c>
      <c r="AQ122">
        <v>481625542</v>
      </c>
      <c r="AR122">
        <v>481625542</v>
      </c>
      <c r="AS122">
        <v>0</v>
      </c>
      <c r="AT122" t="b">
        <v>0</v>
      </c>
      <c r="AU122" t="b">
        <v>1</v>
      </c>
      <c r="BA122" t="str">
        <f t="shared" si="2"/>
        <v>Normal</v>
      </c>
      <c r="BG122" t="str">
        <f t="shared" si="3"/>
        <v>Normal</v>
      </c>
    </row>
    <row r="123" spans="1:59" x14ac:dyDescent="0.2">
      <c r="A123" t="s">
        <v>42</v>
      </c>
      <c r="B123" t="s">
        <v>43</v>
      </c>
      <c r="C123">
        <v>20200101</v>
      </c>
      <c r="D123">
        <v>2020</v>
      </c>
      <c r="E123">
        <v>52</v>
      </c>
      <c r="F123" t="s">
        <v>271</v>
      </c>
      <c r="G123">
        <v>170</v>
      </c>
      <c r="H123" t="s">
        <v>98</v>
      </c>
      <c r="I123" t="s">
        <v>99</v>
      </c>
      <c r="J123" t="s">
        <v>47</v>
      </c>
      <c r="K123" t="s">
        <v>48</v>
      </c>
      <c r="L123">
        <v>0</v>
      </c>
      <c r="M123" t="s">
        <v>49</v>
      </c>
      <c r="N123" t="s">
        <v>50</v>
      </c>
      <c r="O123">
        <v>0</v>
      </c>
      <c r="P123" t="s">
        <v>49</v>
      </c>
      <c r="Q123" t="s">
        <v>50</v>
      </c>
      <c r="R123" t="s">
        <v>51</v>
      </c>
      <c r="S123" t="s">
        <v>52</v>
      </c>
      <c r="T123" t="b">
        <v>1</v>
      </c>
      <c r="U123" t="s">
        <v>53</v>
      </c>
      <c r="V123" t="s">
        <v>54</v>
      </c>
      <c r="W123">
        <v>4</v>
      </c>
      <c r="X123" t="b">
        <v>0</v>
      </c>
      <c r="Y123" t="s">
        <v>55</v>
      </c>
      <c r="Z123" t="s">
        <v>56</v>
      </c>
      <c r="AA123" t="s">
        <v>57</v>
      </c>
      <c r="AB123">
        <v>0</v>
      </c>
      <c r="AC123" t="s">
        <v>58</v>
      </c>
      <c r="AD123">
        <v>8</v>
      </c>
      <c r="AE123" t="s">
        <v>59</v>
      </c>
      <c r="AF123">
        <v>29252405120</v>
      </c>
      <c r="AG123" t="b">
        <v>0</v>
      </c>
      <c r="AH123">
        <v>12</v>
      </c>
      <c r="AI123" t="s">
        <v>70</v>
      </c>
      <c r="AJ123">
        <v>31640354.379999999</v>
      </c>
      <c r="AK123" t="b">
        <v>0</v>
      </c>
      <c r="AL123">
        <v>29252405120</v>
      </c>
      <c r="AM123" t="b">
        <v>0</v>
      </c>
      <c r="AN123">
        <v>0</v>
      </c>
      <c r="AO123" t="b">
        <v>0</v>
      </c>
      <c r="AP123">
        <v>0</v>
      </c>
      <c r="AQ123">
        <v>7130106325.3500004</v>
      </c>
      <c r="AR123">
        <v>7130106325.3500004</v>
      </c>
      <c r="AS123">
        <v>0</v>
      </c>
      <c r="AT123" t="b">
        <v>0</v>
      </c>
      <c r="AU123" t="b">
        <v>1</v>
      </c>
      <c r="BA123" t="str">
        <f t="shared" si="2"/>
        <v>Normal</v>
      </c>
      <c r="BG123" t="str">
        <f t="shared" si="3"/>
        <v>Normal</v>
      </c>
    </row>
    <row r="124" spans="1:59" x14ac:dyDescent="0.2">
      <c r="A124" t="s">
        <v>42</v>
      </c>
      <c r="B124" t="s">
        <v>43</v>
      </c>
      <c r="C124">
        <v>20200101</v>
      </c>
      <c r="D124">
        <v>2020</v>
      </c>
      <c r="E124">
        <v>52</v>
      </c>
      <c r="F124" t="s">
        <v>271</v>
      </c>
      <c r="G124">
        <v>178</v>
      </c>
      <c r="H124" t="s">
        <v>100</v>
      </c>
      <c r="I124" t="s">
        <v>101</v>
      </c>
      <c r="J124" t="s">
        <v>47</v>
      </c>
      <c r="K124" t="s">
        <v>48</v>
      </c>
      <c r="L124">
        <v>0</v>
      </c>
      <c r="M124" t="s">
        <v>49</v>
      </c>
      <c r="N124" t="s">
        <v>50</v>
      </c>
      <c r="O124">
        <v>0</v>
      </c>
      <c r="P124" t="s">
        <v>49</v>
      </c>
      <c r="Q124" t="s">
        <v>50</v>
      </c>
      <c r="R124" t="s">
        <v>51</v>
      </c>
      <c r="S124" t="s">
        <v>52</v>
      </c>
      <c r="T124" t="b">
        <v>1</v>
      </c>
      <c r="U124" t="s">
        <v>53</v>
      </c>
      <c r="V124" t="s">
        <v>54</v>
      </c>
      <c r="W124">
        <v>4</v>
      </c>
      <c r="X124" t="b">
        <v>0</v>
      </c>
      <c r="Y124" t="s">
        <v>55</v>
      </c>
      <c r="Z124" t="s">
        <v>56</v>
      </c>
      <c r="AA124" t="s">
        <v>57</v>
      </c>
      <c r="AB124">
        <v>0</v>
      </c>
      <c r="AC124" t="s">
        <v>58</v>
      </c>
      <c r="AD124">
        <v>8</v>
      </c>
      <c r="AE124" t="s">
        <v>59</v>
      </c>
      <c r="AF124">
        <v>8650148349</v>
      </c>
      <c r="AG124" t="b">
        <v>0</v>
      </c>
      <c r="AH124">
        <v>8</v>
      </c>
      <c r="AI124" t="s">
        <v>59</v>
      </c>
      <c r="AJ124">
        <v>8650148349</v>
      </c>
      <c r="AK124" t="b">
        <v>0</v>
      </c>
      <c r="AL124">
        <v>8650148349</v>
      </c>
      <c r="AM124" t="b">
        <v>0</v>
      </c>
      <c r="AN124">
        <v>0</v>
      </c>
      <c r="AO124" t="b">
        <v>0</v>
      </c>
      <c r="AP124">
        <v>0</v>
      </c>
      <c r="AQ124">
        <v>3448746965.6500001</v>
      </c>
      <c r="AR124">
        <v>3448746965.6500001</v>
      </c>
      <c r="AS124">
        <v>0</v>
      </c>
      <c r="AT124" t="b">
        <v>0</v>
      </c>
      <c r="AU124" t="b">
        <v>1</v>
      </c>
      <c r="BA124" t="str">
        <f t="shared" si="2"/>
        <v>Normal</v>
      </c>
      <c r="BG124" t="str">
        <f t="shared" si="3"/>
        <v>Normal</v>
      </c>
    </row>
    <row r="125" spans="1:59" x14ac:dyDescent="0.2">
      <c r="A125" t="s">
        <v>42</v>
      </c>
      <c r="B125" t="s">
        <v>43</v>
      </c>
      <c r="C125">
        <v>20200101</v>
      </c>
      <c r="D125">
        <v>2020</v>
      </c>
      <c r="E125">
        <v>52</v>
      </c>
      <c r="F125" t="s">
        <v>271</v>
      </c>
      <c r="G125">
        <v>191</v>
      </c>
      <c r="H125" t="s">
        <v>105</v>
      </c>
      <c r="I125" t="s">
        <v>106</v>
      </c>
      <c r="J125" t="s">
        <v>47</v>
      </c>
      <c r="K125" t="s">
        <v>48</v>
      </c>
      <c r="L125">
        <v>0</v>
      </c>
      <c r="M125" t="s">
        <v>49</v>
      </c>
      <c r="N125" t="s">
        <v>50</v>
      </c>
      <c r="O125">
        <v>0</v>
      </c>
      <c r="P125" t="s">
        <v>49</v>
      </c>
      <c r="Q125" t="s">
        <v>50</v>
      </c>
      <c r="R125" t="s">
        <v>51</v>
      </c>
      <c r="S125" t="s">
        <v>52</v>
      </c>
      <c r="T125" t="b">
        <v>1</v>
      </c>
      <c r="U125" t="s">
        <v>53</v>
      </c>
      <c r="V125" t="s">
        <v>54</v>
      </c>
      <c r="W125">
        <v>4</v>
      </c>
      <c r="X125" t="b">
        <v>0</v>
      </c>
      <c r="Y125" t="s">
        <v>55</v>
      </c>
      <c r="Z125" t="s">
        <v>56</v>
      </c>
      <c r="AA125" t="s">
        <v>57</v>
      </c>
      <c r="AB125">
        <v>0</v>
      </c>
      <c r="AC125" t="s">
        <v>58</v>
      </c>
      <c r="AD125">
        <v>8</v>
      </c>
      <c r="AE125" t="s">
        <v>59</v>
      </c>
      <c r="AF125">
        <v>2032590010</v>
      </c>
      <c r="AG125" t="b">
        <v>0</v>
      </c>
      <c r="AH125">
        <v>8</v>
      </c>
      <c r="AI125" t="s">
        <v>59</v>
      </c>
      <c r="AJ125">
        <v>2032590010</v>
      </c>
      <c r="AK125" t="b">
        <v>0</v>
      </c>
      <c r="AL125">
        <v>2032590010</v>
      </c>
      <c r="AM125" t="b">
        <v>0</v>
      </c>
      <c r="AN125">
        <v>0</v>
      </c>
      <c r="AO125" t="b">
        <v>0</v>
      </c>
      <c r="AP125">
        <v>0</v>
      </c>
      <c r="AQ125">
        <v>635252576</v>
      </c>
      <c r="AR125">
        <v>635252576</v>
      </c>
      <c r="AS125">
        <v>0</v>
      </c>
      <c r="AT125" t="b">
        <v>0</v>
      </c>
      <c r="AU125" t="b">
        <v>1</v>
      </c>
      <c r="BA125" t="str">
        <f t="shared" si="2"/>
        <v>Normal</v>
      </c>
      <c r="BG125" t="str">
        <f t="shared" si="3"/>
        <v>Normal</v>
      </c>
    </row>
    <row r="126" spans="1:59" x14ac:dyDescent="0.2">
      <c r="A126" t="s">
        <v>42</v>
      </c>
      <c r="B126" t="s">
        <v>43</v>
      </c>
      <c r="C126">
        <v>20200101</v>
      </c>
      <c r="D126">
        <v>2020</v>
      </c>
      <c r="E126">
        <v>52</v>
      </c>
      <c r="F126" t="s">
        <v>271</v>
      </c>
      <c r="G126">
        <v>192</v>
      </c>
      <c r="H126" t="s">
        <v>274</v>
      </c>
      <c r="I126" t="s">
        <v>275</v>
      </c>
      <c r="J126" t="s">
        <v>47</v>
      </c>
      <c r="K126" t="s">
        <v>48</v>
      </c>
      <c r="L126">
        <v>0</v>
      </c>
      <c r="M126" t="s">
        <v>49</v>
      </c>
      <c r="N126" t="s">
        <v>50</v>
      </c>
      <c r="O126">
        <v>0</v>
      </c>
      <c r="P126" t="s">
        <v>49</v>
      </c>
      <c r="Q126" t="s">
        <v>50</v>
      </c>
      <c r="R126" t="s">
        <v>51</v>
      </c>
      <c r="S126" t="s">
        <v>52</v>
      </c>
      <c r="T126" t="b">
        <v>1</v>
      </c>
      <c r="U126" t="s">
        <v>53</v>
      </c>
      <c r="V126" t="s">
        <v>54</v>
      </c>
      <c r="W126">
        <v>4</v>
      </c>
      <c r="X126" t="b">
        <v>0</v>
      </c>
      <c r="Y126" t="s">
        <v>55</v>
      </c>
      <c r="Z126" t="s">
        <v>56</v>
      </c>
      <c r="AA126" t="s">
        <v>57</v>
      </c>
      <c r="AB126">
        <v>0</v>
      </c>
      <c r="AC126" t="s">
        <v>58</v>
      </c>
      <c r="AD126">
        <v>8</v>
      </c>
      <c r="AE126" t="s">
        <v>59</v>
      </c>
      <c r="AF126">
        <v>73910099.5</v>
      </c>
      <c r="AG126" t="b">
        <v>0</v>
      </c>
      <c r="AH126">
        <v>21</v>
      </c>
      <c r="AI126" t="s">
        <v>170</v>
      </c>
      <c r="AJ126">
        <v>73910.099000000002</v>
      </c>
      <c r="AK126" t="b">
        <v>0</v>
      </c>
      <c r="AL126">
        <v>73910099.5</v>
      </c>
      <c r="AM126" t="b">
        <v>0</v>
      </c>
      <c r="AN126">
        <v>0</v>
      </c>
      <c r="AO126" t="b">
        <v>0</v>
      </c>
      <c r="AQ126">
        <v>10079429.92</v>
      </c>
      <c r="AR126">
        <v>10079429.92</v>
      </c>
      <c r="AS126">
        <v>0</v>
      </c>
      <c r="AT126" t="b">
        <v>0</v>
      </c>
      <c r="AU126" t="b">
        <v>1</v>
      </c>
      <c r="BA126" t="str">
        <f t="shared" si="2"/>
        <v>Normal</v>
      </c>
      <c r="BG126" t="str">
        <f t="shared" si="3"/>
        <v>Normal</v>
      </c>
    </row>
    <row r="127" spans="1:59" x14ac:dyDescent="0.2">
      <c r="A127" t="s">
        <v>42</v>
      </c>
      <c r="B127" t="s">
        <v>43</v>
      </c>
      <c r="C127">
        <v>20200101</v>
      </c>
      <c r="D127">
        <v>2020</v>
      </c>
      <c r="E127">
        <v>52</v>
      </c>
      <c r="F127" t="s">
        <v>271</v>
      </c>
      <c r="G127">
        <v>203</v>
      </c>
      <c r="H127" t="s">
        <v>107</v>
      </c>
      <c r="I127" t="s">
        <v>108</v>
      </c>
      <c r="J127" t="s">
        <v>47</v>
      </c>
      <c r="K127" t="s">
        <v>48</v>
      </c>
      <c r="L127">
        <v>0</v>
      </c>
      <c r="M127" t="s">
        <v>49</v>
      </c>
      <c r="N127" t="s">
        <v>50</v>
      </c>
      <c r="O127">
        <v>0</v>
      </c>
      <c r="P127" t="s">
        <v>49</v>
      </c>
      <c r="Q127" t="s">
        <v>50</v>
      </c>
      <c r="R127" t="s">
        <v>51</v>
      </c>
      <c r="S127" t="s">
        <v>52</v>
      </c>
      <c r="T127" t="b">
        <v>1</v>
      </c>
      <c r="U127" t="s">
        <v>53</v>
      </c>
      <c r="V127" t="s">
        <v>54</v>
      </c>
      <c r="W127">
        <v>4</v>
      </c>
      <c r="X127" t="b">
        <v>0</v>
      </c>
      <c r="Y127" t="s">
        <v>55</v>
      </c>
      <c r="Z127" t="s">
        <v>56</v>
      </c>
      <c r="AA127" t="s">
        <v>57</v>
      </c>
      <c r="AB127">
        <v>0</v>
      </c>
      <c r="AC127" t="s">
        <v>58</v>
      </c>
      <c r="AD127">
        <v>8</v>
      </c>
      <c r="AE127" t="s">
        <v>59</v>
      </c>
      <c r="AF127">
        <v>373</v>
      </c>
      <c r="AG127" t="b">
        <v>0</v>
      </c>
      <c r="AH127">
        <v>8</v>
      </c>
      <c r="AI127" t="s">
        <v>59</v>
      </c>
      <c r="AJ127">
        <v>373</v>
      </c>
      <c r="AK127" t="b">
        <v>0</v>
      </c>
      <c r="AL127">
        <v>373</v>
      </c>
      <c r="AM127" t="b">
        <v>0</v>
      </c>
      <c r="AN127">
        <v>0</v>
      </c>
      <c r="AO127" t="b">
        <v>0</v>
      </c>
      <c r="AP127">
        <v>0</v>
      </c>
      <c r="AQ127">
        <v>7621</v>
      </c>
      <c r="AR127">
        <v>7621</v>
      </c>
      <c r="AS127">
        <v>0</v>
      </c>
      <c r="AT127" t="b">
        <v>0</v>
      </c>
      <c r="AU127" t="b">
        <v>1</v>
      </c>
      <c r="BA127" t="str">
        <f t="shared" si="2"/>
        <v>Normal</v>
      </c>
      <c r="BG127" t="str">
        <f t="shared" si="3"/>
        <v>Normal</v>
      </c>
    </row>
    <row r="128" spans="1:59" x14ac:dyDescent="0.2">
      <c r="A128" t="s">
        <v>42</v>
      </c>
      <c r="B128" t="s">
        <v>43</v>
      </c>
      <c r="C128">
        <v>20200101</v>
      </c>
      <c r="D128">
        <v>2020</v>
      </c>
      <c r="E128">
        <v>52</v>
      </c>
      <c r="F128" t="s">
        <v>271</v>
      </c>
      <c r="G128">
        <v>208</v>
      </c>
      <c r="H128" t="s">
        <v>109</v>
      </c>
      <c r="I128" t="s">
        <v>110</v>
      </c>
      <c r="J128" t="s">
        <v>47</v>
      </c>
      <c r="K128" t="s">
        <v>48</v>
      </c>
      <c r="L128">
        <v>0</v>
      </c>
      <c r="M128" t="s">
        <v>49</v>
      </c>
      <c r="N128" t="s">
        <v>50</v>
      </c>
      <c r="O128">
        <v>0</v>
      </c>
      <c r="P128" t="s">
        <v>49</v>
      </c>
      <c r="Q128" t="s">
        <v>50</v>
      </c>
      <c r="R128" t="s">
        <v>51</v>
      </c>
      <c r="S128" t="s">
        <v>52</v>
      </c>
      <c r="T128" t="b">
        <v>1</v>
      </c>
      <c r="U128" t="s">
        <v>53</v>
      </c>
      <c r="V128" t="s">
        <v>54</v>
      </c>
      <c r="W128">
        <v>4</v>
      </c>
      <c r="X128" t="b">
        <v>0</v>
      </c>
      <c r="Y128" t="s">
        <v>55</v>
      </c>
      <c r="Z128" t="s">
        <v>56</v>
      </c>
      <c r="AA128" t="s">
        <v>57</v>
      </c>
      <c r="AB128">
        <v>0</v>
      </c>
      <c r="AC128" t="s">
        <v>58</v>
      </c>
      <c r="AD128">
        <v>8</v>
      </c>
      <c r="AE128" t="s">
        <v>59</v>
      </c>
      <c r="AF128">
        <v>1003573837</v>
      </c>
      <c r="AG128" t="b">
        <v>0</v>
      </c>
      <c r="AH128">
        <v>8</v>
      </c>
      <c r="AI128" t="s">
        <v>59</v>
      </c>
      <c r="AJ128">
        <v>1003573837</v>
      </c>
      <c r="AK128" t="b">
        <v>0</v>
      </c>
      <c r="AL128">
        <v>1003573837</v>
      </c>
      <c r="AM128" t="b">
        <v>0</v>
      </c>
      <c r="AN128">
        <v>0</v>
      </c>
      <c r="AO128" t="b">
        <v>0</v>
      </c>
      <c r="AP128">
        <v>0</v>
      </c>
      <c r="AQ128">
        <v>279519317.83999997</v>
      </c>
      <c r="AR128">
        <v>279519317.83999997</v>
      </c>
      <c r="AS128">
        <v>0</v>
      </c>
      <c r="AT128" t="b">
        <v>0</v>
      </c>
      <c r="AU128" t="b">
        <v>1</v>
      </c>
      <c r="BA128" t="str">
        <f t="shared" si="2"/>
        <v>Normal</v>
      </c>
      <c r="BG128" t="str">
        <f t="shared" si="3"/>
        <v>Normal</v>
      </c>
    </row>
    <row r="129" spans="1:59" x14ac:dyDescent="0.2">
      <c r="A129" t="s">
        <v>42</v>
      </c>
      <c r="B129" t="s">
        <v>43</v>
      </c>
      <c r="C129">
        <v>20200101</v>
      </c>
      <c r="D129">
        <v>2020</v>
      </c>
      <c r="E129">
        <v>52</v>
      </c>
      <c r="F129" t="s">
        <v>271</v>
      </c>
      <c r="G129">
        <v>218</v>
      </c>
      <c r="H129" t="s">
        <v>113</v>
      </c>
      <c r="I129" t="s">
        <v>114</v>
      </c>
      <c r="J129" t="s">
        <v>47</v>
      </c>
      <c r="K129" t="s">
        <v>48</v>
      </c>
      <c r="L129">
        <v>0</v>
      </c>
      <c r="M129" t="s">
        <v>49</v>
      </c>
      <c r="N129" t="s">
        <v>50</v>
      </c>
      <c r="O129">
        <v>0</v>
      </c>
      <c r="P129" t="s">
        <v>49</v>
      </c>
      <c r="Q129" t="s">
        <v>50</v>
      </c>
      <c r="R129" t="s">
        <v>51</v>
      </c>
      <c r="S129" t="s">
        <v>52</v>
      </c>
      <c r="T129" t="b">
        <v>1</v>
      </c>
      <c r="U129" t="s">
        <v>53</v>
      </c>
      <c r="V129" t="s">
        <v>54</v>
      </c>
      <c r="W129">
        <v>4</v>
      </c>
      <c r="X129" t="b">
        <v>0</v>
      </c>
      <c r="Y129" t="s">
        <v>55</v>
      </c>
      <c r="Z129" t="s">
        <v>56</v>
      </c>
      <c r="AA129" t="s">
        <v>57</v>
      </c>
      <c r="AB129">
        <v>0</v>
      </c>
      <c r="AC129" t="s">
        <v>58</v>
      </c>
      <c r="AD129">
        <v>-1</v>
      </c>
      <c r="AE129" t="s">
        <v>73</v>
      </c>
      <c r="AF129">
        <v>0</v>
      </c>
      <c r="AG129" t="b">
        <v>1</v>
      </c>
      <c r="AH129">
        <v>-1</v>
      </c>
      <c r="AI129" t="s">
        <v>73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4684794164.5900002</v>
      </c>
      <c r="AR129">
        <v>4684794164.5900002</v>
      </c>
      <c r="AS129">
        <v>6</v>
      </c>
      <c r="AT129" t="b">
        <v>0</v>
      </c>
      <c r="AU129" t="b">
        <v>1</v>
      </c>
      <c r="BA129" t="str">
        <f t="shared" si="2"/>
        <v>Normal</v>
      </c>
      <c r="BG129" t="str">
        <f t="shared" si="3"/>
        <v>Normal</v>
      </c>
    </row>
    <row r="130" spans="1:59" x14ac:dyDescent="0.2">
      <c r="A130" t="s">
        <v>42</v>
      </c>
      <c r="B130" t="s">
        <v>43</v>
      </c>
      <c r="C130">
        <v>20200101</v>
      </c>
      <c r="D130">
        <v>2020</v>
      </c>
      <c r="E130">
        <v>52</v>
      </c>
      <c r="F130" t="s">
        <v>271</v>
      </c>
      <c r="G130">
        <v>233</v>
      </c>
      <c r="H130" t="s">
        <v>117</v>
      </c>
      <c r="I130" t="s">
        <v>118</v>
      </c>
      <c r="J130" t="s">
        <v>47</v>
      </c>
      <c r="K130" t="s">
        <v>48</v>
      </c>
      <c r="L130">
        <v>0</v>
      </c>
      <c r="M130" t="s">
        <v>49</v>
      </c>
      <c r="N130" t="s">
        <v>50</v>
      </c>
      <c r="O130">
        <v>0</v>
      </c>
      <c r="P130" t="s">
        <v>49</v>
      </c>
      <c r="Q130" t="s">
        <v>50</v>
      </c>
      <c r="R130" t="s">
        <v>51</v>
      </c>
      <c r="S130" t="s">
        <v>52</v>
      </c>
      <c r="T130" t="b">
        <v>1</v>
      </c>
      <c r="U130" t="s">
        <v>53</v>
      </c>
      <c r="V130" t="s">
        <v>54</v>
      </c>
      <c r="W130">
        <v>4</v>
      </c>
      <c r="X130" t="b">
        <v>0</v>
      </c>
      <c r="Y130" t="s">
        <v>55</v>
      </c>
      <c r="Z130" t="s">
        <v>56</v>
      </c>
      <c r="AA130" t="s">
        <v>57</v>
      </c>
      <c r="AB130">
        <v>0</v>
      </c>
      <c r="AC130" t="s">
        <v>58</v>
      </c>
      <c r="AD130">
        <v>8</v>
      </c>
      <c r="AE130" t="s">
        <v>59</v>
      </c>
      <c r="AF130">
        <v>7846586.6500000004</v>
      </c>
      <c r="AG130" t="b">
        <v>0</v>
      </c>
      <c r="AH130">
        <v>8</v>
      </c>
      <c r="AI130" t="s">
        <v>59</v>
      </c>
      <c r="AJ130">
        <v>7846586.6500000004</v>
      </c>
      <c r="AK130" t="b">
        <v>0</v>
      </c>
      <c r="AL130">
        <v>7846586.6500000004</v>
      </c>
      <c r="AM130" t="b">
        <v>0</v>
      </c>
      <c r="AN130">
        <v>0</v>
      </c>
      <c r="AO130" t="b">
        <v>0</v>
      </c>
      <c r="AQ130">
        <v>2907914.98</v>
      </c>
      <c r="AR130">
        <v>2907914.98</v>
      </c>
      <c r="AS130">
        <v>0</v>
      </c>
      <c r="AT130" t="b">
        <v>0</v>
      </c>
      <c r="AU130" t="b">
        <v>1</v>
      </c>
      <c r="BA130" t="str">
        <f t="shared" si="2"/>
        <v>Normal</v>
      </c>
      <c r="BG130" t="str">
        <f t="shared" si="3"/>
        <v>Normal</v>
      </c>
    </row>
    <row r="131" spans="1:59" x14ac:dyDescent="0.2">
      <c r="A131" t="s">
        <v>42</v>
      </c>
      <c r="B131" t="s">
        <v>43</v>
      </c>
      <c r="C131">
        <v>20200101</v>
      </c>
      <c r="D131">
        <v>2020</v>
      </c>
      <c r="E131">
        <v>52</v>
      </c>
      <c r="F131" t="s">
        <v>271</v>
      </c>
      <c r="G131">
        <v>242</v>
      </c>
      <c r="H131" t="s">
        <v>119</v>
      </c>
      <c r="I131" t="s">
        <v>120</v>
      </c>
      <c r="J131" t="s">
        <v>47</v>
      </c>
      <c r="K131" t="s">
        <v>48</v>
      </c>
      <c r="L131">
        <v>0</v>
      </c>
      <c r="M131" t="s">
        <v>49</v>
      </c>
      <c r="N131" t="s">
        <v>50</v>
      </c>
      <c r="O131">
        <v>0</v>
      </c>
      <c r="P131" t="s">
        <v>49</v>
      </c>
      <c r="Q131" t="s">
        <v>50</v>
      </c>
      <c r="R131" t="s">
        <v>51</v>
      </c>
      <c r="S131" t="s">
        <v>52</v>
      </c>
      <c r="T131" t="b">
        <v>1</v>
      </c>
      <c r="U131" t="s">
        <v>53</v>
      </c>
      <c r="V131" t="s">
        <v>54</v>
      </c>
      <c r="W131">
        <v>4</v>
      </c>
      <c r="X131" t="b">
        <v>0</v>
      </c>
      <c r="Y131" t="s">
        <v>55</v>
      </c>
      <c r="Z131" t="s">
        <v>56</v>
      </c>
      <c r="AA131" t="s">
        <v>57</v>
      </c>
      <c r="AB131">
        <v>0</v>
      </c>
      <c r="AC131" t="s">
        <v>58</v>
      </c>
      <c r="AD131">
        <v>8</v>
      </c>
      <c r="AE131" t="s">
        <v>59</v>
      </c>
      <c r="AF131">
        <v>974851.29599999997</v>
      </c>
      <c r="AG131" t="b">
        <v>1</v>
      </c>
      <c r="AH131">
        <v>-1</v>
      </c>
      <c r="AI131" t="s">
        <v>73</v>
      </c>
      <c r="AJ131">
        <v>0</v>
      </c>
      <c r="AK131" t="b">
        <v>0</v>
      </c>
      <c r="AL131">
        <v>974851.29599999997</v>
      </c>
      <c r="AM131" t="b">
        <v>1</v>
      </c>
      <c r="AN131">
        <v>0</v>
      </c>
      <c r="AO131" t="b">
        <v>0</v>
      </c>
      <c r="AP131">
        <v>0</v>
      </c>
      <c r="AQ131">
        <v>868602.28</v>
      </c>
      <c r="AR131">
        <v>868602.28</v>
      </c>
      <c r="AS131">
        <v>6</v>
      </c>
      <c r="AT131" t="b">
        <v>0</v>
      </c>
      <c r="AU131" t="b">
        <v>1</v>
      </c>
      <c r="BA131" t="str">
        <f t="shared" ref="BA131:BA194" si="4">IF(OR(AJ131&lt;AY131,AJ705&gt;AZ131),"Outlier","Normal")</f>
        <v>Normal</v>
      </c>
      <c r="BG131" t="str">
        <f t="shared" ref="BG131:BG194" si="5">IF(OR(AQ131&lt;BE131,AQ705&gt;BF131),"Outlier","Normal")</f>
        <v>Normal</v>
      </c>
    </row>
    <row r="132" spans="1:59" x14ac:dyDescent="0.2">
      <c r="A132" t="s">
        <v>42</v>
      </c>
      <c r="B132" t="s">
        <v>43</v>
      </c>
      <c r="C132">
        <v>20200101</v>
      </c>
      <c r="D132">
        <v>2020</v>
      </c>
      <c r="E132">
        <v>52</v>
      </c>
      <c r="F132" t="s">
        <v>271</v>
      </c>
      <c r="G132">
        <v>246</v>
      </c>
      <c r="H132" t="s">
        <v>121</v>
      </c>
      <c r="I132" t="s">
        <v>122</v>
      </c>
      <c r="J132" t="s">
        <v>47</v>
      </c>
      <c r="K132" t="s">
        <v>48</v>
      </c>
      <c r="L132">
        <v>0</v>
      </c>
      <c r="M132" t="s">
        <v>49</v>
      </c>
      <c r="N132" t="s">
        <v>50</v>
      </c>
      <c r="O132">
        <v>0</v>
      </c>
      <c r="P132" t="s">
        <v>49</v>
      </c>
      <c r="Q132" t="s">
        <v>50</v>
      </c>
      <c r="R132" t="s">
        <v>51</v>
      </c>
      <c r="S132" t="s">
        <v>52</v>
      </c>
      <c r="T132" t="b">
        <v>1</v>
      </c>
      <c r="U132" t="s">
        <v>53</v>
      </c>
      <c r="V132" t="s">
        <v>54</v>
      </c>
      <c r="W132">
        <v>4</v>
      </c>
      <c r="X132" t="b">
        <v>0</v>
      </c>
      <c r="Y132" t="s">
        <v>55</v>
      </c>
      <c r="Z132" t="s">
        <v>56</v>
      </c>
      <c r="AA132" t="s">
        <v>57</v>
      </c>
      <c r="AB132">
        <v>0</v>
      </c>
      <c r="AC132" t="s">
        <v>58</v>
      </c>
      <c r="AD132">
        <v>8</v>
      </c>
      <c r="AE132" t="s">
        <v>59</v>
      </c>
      <c r="AF132">
        <v>46332</v>
      </c>
      <c r="AG132" t="b">
        <v>0</v>
      </c>
      <c r="AH132">
        <v>8</v>
      </c>
      <c r="AI132" t="s">
        <v>59</v>
      </c>
      <c r="AJ132">
        <v>46332</v>
      </c>
      <c r="AK132" t="b">
        <v>0</v>
      </c>
      <c r="AL132">
        <v>46332</v>
      </c>
      <c r="AM132" t="b">
        <v>0</v>
      </c>
      <c r="AN132">
        <v>0</v>
      </c>
      <c r="AO132" t="b">
        <v>0</v>
      </c>
      <c r="AP132">
        <v>0</v>
      </c>
      <c r="AQ132">
        <v>4106.1949999999997</v>
      </c>
      <c r="AR132">
        <v>4106.1949999999997</v>
      </c>
      <c r="AS132">
        <v>0</v>
      </c>
      <c r="AT132" t="b">
        <v>0</v>
      </c>
      <c r="AU132" t="b">
        <v>1</v>
      </c>
      <c r="BA132" t="str">
        <f t="shared" si="4"/>
        <v>Normal</v>
      </c>
      <c r="BG132" t="str">
        <f t="shared" si="5"/>
        <v>Normal</v>
      </c>
    </row>
    <row r="133" spans="1:59" x14ac:dyDescent="0.2">
      <c r="A133" t="s">
        <v>42</v>
      </c>
      <c r="B133" t="s">
        <v>43</v>
      </c>
      <c r="C133">
        <v>20200101</v>
      </c>
      <c r="D133">
        <v>2020</v>
      </c>
      <c r="E133">
        <v>52</v>
      </c>
      <c r="F133" t="s">
        <v>271</v>
      </c>
      <c r="G133">
        <v>251</v>
      </c>
      <c r="H133" t="s">
        <v>123</v>
      </c>
      <c r="I133" t="s">
        <v>124</v>
      </c>
      <c r="J133" t="s">
        <v>47</v>
      </c>
      <c r="K133" t="s">
        <v>48</v>
      </c>
      <c r="L133">
        <v>0</v>
      </c>
      <c r="M133" t="s">
        <v>49</v>
      </c>
      <c r="N133" t="s">
        <v>50</v>
      </c>
      <c r="O133">
        <v>0</v>
      </c>
      <c r="P133" t="s">
        <v>49</v>
      </c>
      <c r="Q133" t="s">
        <v>50</v>
      </c>
      <c r="R133" t="s">
        <v>51</v>
      </c>
      <c r="S133" t="s">
        <v>52</v>
      </c>
      <c r="T133" t="b">
        <v>1</v>
      </c>
      <c r="U133" t="s">
        <v>53</v>
      </c>
      <c r="V133" t="s">
        <v>54</v>
      </c>
      <c r="W133">
        <v>4</v>
      </c>
      <c r="X133" t="b">
        <v>0</v>
      </c>
      <c r="Y133" t="s">
        <v>55</v>
      </c>
      <c r="Z133" t="s">
        <v>56</v>
      </c>
      <c r="AA133" t="s">
        <v>57</v>
      </c>
      <c r="AB133">
        <v>0</v>
      </c>
      <c r="AC133" t="s">
        <v>58</v>
      </c>
      <c r="AD133">
        <v>-1</v>
      </c>
      <c r="AE133" t="s">
        <v>73</v>
      </c>
      <c r="AF133">
        <v>0</v>
      </c>
      <c r="AG133" t="b">
        <v>0</v>
      </c>
      <c r="AH133">
        <v>-1</v>
      </c>
      <c r="AI133" t="s">
        <v>73</v>
      </c>
      <c r="AJ133">
        <v>0</v>
      </c>
      <c r="AK133" t="b">
        <v>0</v>
      </c>
      <c r="AM133" t="b">
        <v>0</v>
      </c>
      <c r="AN133">
        <v>0</v>
      </c>
      <c r="AO133" t="b">
        <v>0</v>
      </c>
      <c r="AQ133">
        <v>40617567.993000001</v>
      </c>
      <c r="AR133">
        <v>40617567.993000001</v>
      </c>
      <c r="AS133">
        <v>0</v>
      </c>
      <c r="AT133" t="b">
        <v>0</v>
      </c>
      <c r="AU133" t="b">
        <v>1</v>
      </c>
      <c r="BA133" t="str">
        <f t="shared" si="4"/>
        <v>Normal</v>
      </c>
      <c r="BG133" t="str">
        <f t="shared" si="5"/>
        <v>Normal</v>
      </c>
    </row>
    <row r="134" spans="1:59" x14ac:dyDescent="0.2">
      <c r="A134" t="s">
        <v>42</v>
      </c>
      <c r="B134" t="s">
        <v>43</v>
      </c>
      <c r="C134">
        <v>20200101</v>
      </c>
      <c r="D134">
        <v>2020</v>
      </c>
      <c r="E134">
        <v>52</v>
      </c>
      <c r="F134" t="s">
        <v>271</v>
      </c>
      <c r="G134">
        <v>266</v>
      </c>
      <c r="H134" t="s">
        <v>125</v>
      </c>
      <c r="I134" t="s">
        <v>126</v>
      </c>
      <c r="J134" t="s">
        <v>47</v>
      </c>
      <c r="K134" t="s">
        <v>48</v>
      </c>
      <c r="L134">
        <v>0</v>
      </c>
      <c r="M134" t="s">
        <v>49</v>
      </c>
      <c r="N134" t="s">
        <v>50</v>
      </c>
      <c r="O134">
        <v>0</v>
      </c>
      <c r="P134" t="s">
        <v>49</v>
      </c>
      <c r="Q134" t="s">
        <v>50</v>
      </c>
      <c r="R134" t="s">
        <v>51</v>
      </c>
      <c r="S134" t="s">
        <v>52</v>
      </c>
      <c r="T134" t="b">
        <v>1</v>
      </c>
      <c r="U134" t="s">
        <v>53</v>
      </c>
      <c r="V134" t="s">
        <v>54</v>
      </c>
      <c r="W134">
        <v>4</v>
      </c>
      <c r="X134" t="b">
        <v>0</v>
      </c>
      <c r="Y134" t="s">
        <v>55</v>
      </c>
      <c r="Z134" t="s">
        <v>56</v>
      </c>
      <c r="AA134" t="s">
        <v>57</v>
      </c>
      <c r="AB134">
        <v>0</v>
      </c>
      <c r="AC134" t="s">
        <v>58</v>
      </c>
      <c r="AD134">
        <v>8</v>
      </c>
      <c r="AE134" t="s">
        <v>59</v>
      </c>
      <c r="AF134">
        <v>11640938995</v>
      </c>
      <c r="AG134" t="b">
        <v>0</v>
      </c>
      <c r="AH134">
        <v>19</v>
      </c>
      <c r="AI134" t="s">
        <v>60</v>
      </c>
      <c r="AJ134">
        <v>2293479152.1199999</v>
      </c>
      <c r="AK134" t="b">
        <v>0</v>
      </c>
      <c r="AL134">
        <v>11640938995</v>
      </c>
      <c r="AM134" t="b">
        <v>0</v>
      </c>
      <c r="AN134">
        <v>0</v>
      </c>
      <c r="AO134" t="b">
        <v>0</v>
      </c>
      <c r="AQ134">
        <v>3682154879.5929999</v>
      </c>
      <c r="AR134">
        <v>3682154879.5929999</v>
      </c>
      <c r="AS134">
        <v>0</v>
      </c>
      <c r="AT134" t="b">
        <v>0</v>
      </c>
      <c r="AU134" t="b">
        <v>1</v>
      </c>
      <c r="BA134" t="str">
        <f t="shared" si="4"/>
        <v>Normal</v>
      </c>
      <c r="BG134" t="str">
        <f t="shared" si="5"/>
        <v>Normal</v>
      </c>
    </row>
    <row r="135" spans="1:59" x14ac:dyDescent="0.2">
      <c r="A135" t="s">
        <v>42</v>
      </c>
      <c r="B135" t="s">
        <v>43</v>
      </c>
      <c r="C135">
        <v>20200101</v>
      </c>
      <c r="D135">
        <v>2020</v>
      </c>
      <c r="E135">
        <v>52</v>
      </c>
      <c r="F135" t="s">
        <v>271</v>
      </c>
      <c r="G135">
        <v>268</v>
      </c>
      <c r="H135" t="s">
        <v>128</v>
      </c>
      <c r="I135" t="s">
        <v>129</v>
      </c>
      <c r="J135" t="s">
        <v>47</v>
      </c>
      <c r="K135" t="s">
        <v>48</v>
      </c>
      <c r="L135">
        <v>0</v>
      </c>
      <c r="M135" t="s">
        <v>49</v>
      </c>
      <c r="N135" t="s">
        <v>50</v>
      </c>
      <c r="O135">
        <v>0</v>
      </c>
      <c r="P135" t="s">
        <v>49</v>
      </c>
      <c r="Q135" t="s">
        <v>50</v>
      </c>
      <c r="R135" t="s">
        <v>51</v>
      </c>
      <c r="S135" t="s">
        <v>52</v>
      </c>
      <c r="T135" t="b">
        <v>1</v>
      </c>
      <c r="U135" t="s">
        <v>53</v>
      </c>
      <c r="V135" t="s">
        <v>54</v>
      </c>
      <c r="W135">
        <v>4</v>
      </c>
      <c r="X135" t="b">
        <v>0</v>
      </c>
      <c r="Y135" t="s">
        <v>55</v>
      </c>
      <c r="Z135" t="s">
        <v>56</v>
      </c>
      <c r="AA135" t="s">
        <v>57</v>
      </c>
      <c r="AB135">
        <v>0</v>
      </c>
      <c r="AC135" t="s">
        <v>58</v>
      </c>
      <c r="AD135">
        <v>8</v>
      </c>
      <c r="AE135" t="s">
        <v>59</v>
      </c>
      <c r="AF135">
        <v>33.475000000000001</v>
      </c>
      <c r="AG135" t="b">
        <v>1</v>
      </c>
      <c r="AH135">
        <v>-1</v>
      </c>
      <c r="AI135" t="s">
        <v>73</v>
      </c>
      <c r="AJ135">
        <v>0</v>
      </c>
      <c r="AK135" t="b">
        <v>0</v>
      </c>
      <c r="AL135">
        <v>33.475000000000001</v>
      </c>
      <c r="AM135" t="b">
        <v>1</v>
      </c>
      <c r="AN135">
        <v>0</v>
      </c>
      <c r="AO135" t="b">
        <v>0</v>
      </c>
      <c r="AQ135">
        <v>20</v>
      </c>
      <c r="AR135">
        <v>20</v>
      </c>
      <c r="AS135">
        <v>6</v>
      </c>
      <c r="AT135" t="b">
        <v>0</v>
      </c>
      <c r="AU135" t="b">
        <v>1</v>
      </c>
      <c r="BA135" t="str">
        <f t="shared" si="4"/>
        <v>Normal</v>
      </c>
      <c r="BG135" t="str">
        <f t="shared" si="5"/>
        <v>Normal</v>
      </c>
    </row>
    <row r="136" spans="1:59" x14ac:dyDescent="0.2">
      <c r="A136" t="s">
        <v>42</v>
      </c>
      <c r="B136" t="s">
        <v>43</v>
      </c>
      <c r="C136">
        <v>20200101</v>
      </c>
      <c r="D136">
        <v>2020</v>
      </c>
      <c r="E136">
        <v>52</v>
      </c>
      <c r="F136" t="s">
        <v>271</v>
      </c>
      <c r="G136">
        <v>276</v>
      </c>
      <c r="H136" t="s">
        <v>130</v>
      </c>
      <c r="I136" t="s">
        <v>131</v>
      </c>
      <c r="J136" t="s">
        <v>47</v>
      </c>
      <c r="K136" t="s">
        <v>48</v>
      </c>
      <c r="L136">
        <v>0</v>
      </c>
      <c r="M136" t="s">
        <v>49</v>
      </c>
      <c r="N136" t="s">
        <v>50</v>
      </c>
      <c r="O136">
        <v>0</v>
      </c>
      <c r="P136" t="s">
        <v>49</v>
      </c>
      <c r="Q136" t="s">
        <v>50</v>
      </c>
      <c r="R136" t="s">
        <v>51</v>
      </c>
      <c r="S136" t="s">
        <v>52</v>
      </c>
      <c r="T136" t="b">
        <v>1</v>
      </c>
      <c r="U136" t="s">
        <v>53</v>
      </c>
      <c r="V136" t="s">
        <v>54</v>
      </c>
      <c r="W136">
        <v>4</v>
      </c>
      <c r="X136" t="b">
        <v>0</v>
      </c>
      <c r="Y136" t="s">
        <v>55</v>
      </c>
      <c r="Z136" t="s">
        <v>56</v>
      </c>
      <c r="AA136" t="s">
        <v>57</v>
      </c>
      <c r="AB136">
        <v>0</v>
      </c>
      <c r="AC136" t="s">
        <v>58</v>
      </c>
      <c r="AD136">
        <v>8</v>
      </c>
      <c r="AE136" t="s">
        <v>59</v>
      </c>
      <c r="AF136">
        <v>30554440.868000001</v>
      </c>
      <c r="AG136" t="b">
        <v>1</v>
      </c>
      <c r="AH136">
        <v>-1</v>
      </c>
      <c r="AI136" t="s">
        <v>73</v>
      </c>
      <c r="AJ136">
        <v>0</v>
      </c>
      <c r="AK136" t="b">
        <v>0</v>
      </c>
      <c r="AL136">
        <v>30554440.868000001</v>
      </c>
      <c r="AM136" t="b">
        <v>1</v>
      </c>
      <c r="AN136">
        <v>0</v>
      </c>
      <c r="AO136" t="b">
        <v>0</v>
      </c>
      <c r="AP136">
        <v>0</v>
      </c>
      <c r="AQ136">
        <v>7878351.0539999995</v>
      </c>
      <c r="AR136">
        <v>7878351.0539999995</v>
      </c>
      <c r="AS136">
        <v>6</v>
      </c>
      <c r="AT136" t="b">
        <v>0</v>
      </c>
      <c r="AU136" t="b">
        <v>1</v>
      </c>
      <c r="BA136" t="str">
        <f t="shared" si="4"/>
        <v>Normal</v>
      </c>
      <c r="BG136" t="str">
        <f t="shared" si="5"/>
        <v>Normal</v>
      </c>
    </row>
    <row r="137" spans="1:59" x14ac:dyDescent="0.2">
      <c r="A137" t="s">
        <v>42</v>
      </c>
      <c r="B137" t="s">
        <v>43</v>
      </c>
      <c r="C137">
        <v>20200101</v>
      </c>
      <c r="D137">
        <v>2020</v>
      </c>
      <c r="E137">
        <v>52</v>
      </c>
      <c r="F137" t="s">
        <v>271</v>
      </c>
      <c r="G137">
        <v>300</v>
      </c>
      <c r="H137" t="s">
        <v>134</v>
      </c>
      <c r="I137" t="s">
        <v>135</v>
      </c>
      <c r="J137" t="s">
        <v>47</v>
      </c>
      <c r="K137" t="s">
        <v>48</v>
      </c>
      <c r="L137">
        <v>0</v>
      </c>
      <c r="M137" t="s">
        <v>49</v>
      </c>
      <c r="N137" t="s">
        <v>50</v>
      </c>
      <c r="O137">
        <v>0</v>
      </c>
      <c r="P137" t="s">
        <v>49</v>
      </c>
      <c r="Q137" t="s">
        <v>50</v>
      </c>
      <c r="R137" t="s">
        <v>51</v>
      </c>
      <c r="S137" t="s">
        <v>52</v>
      </c>
      <c r="T137" t="b">
        <v>1</v>
      </c>
      <c r="U137" t="s">
        <v>53</v>
      </c>
      <c r="V137" t="s">
        <v>54</v>
      </c>
      <c r="W137">
        <v>4</v>
      </c>
      <c r="X137" t="b">
        <v>0</v>
      </c>
      <c r="Y137" t="s">
        <v>55</v>
      </c>
      <c r="Z137" t="s">
        <v>56</v>
      </c>
      <c r="AA137" t="s">
        <v>57</v>
      </c>
      <c r="AB137">
        <v>0</v>
      </c>
      <c r="AC137" t="s">
        <v>58</v>
      </c>
      <c r="AD137">
        <v>-1</v>
      </c>
      <c r="AE137" t="s">
        <v>73</v>
      </c>
      <c r="AF137">
        <v>0</v>
      </c>
      <c r="AG137" t="b">
        <v>1</v>
      </c>
      <c r="AH137">
        <v>-1</v>
      </c>
      <c r="AI137" t="s">
        <v>73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17274782.467999998</v>
      </c>
      <c r="AR137">
        <v>17274782.467999998</v>
      </c>
      <c r="AS137">
        <v>6</v>
      </c>
      <c r="AT137" t="b">
        <v>0</v>
      </c>
      <c r="AU137" t="b">
        <v>1</v>
      </c>
      <c r="BA137" t="str">
        <f t="shared" si="4"/>
        <v>Normal</v>
      </c>
      <c r="BG137" t="str">
        <f t="shared" si="5"/>
        <v>Normal</v>
      </c>
    </row>
    <row r="138" spans="1:59" x14ac:dyDescent="0.2">
      <c r="A138" t="s">
        <v>42</v>
      </c>
      <c r="B138" t="s">
        <v>43</v>
      </c>
      <c r="C138">
        <v>20200101</v>
      </c>
      <c r="D138">
        <v>2020</v>
      </c>
      <c r="E138">
        <v>52</v>
      </c>
      <c r="F138" t="s">
        <v>271</v>
      </c>
      <c r="G138">
        <v>320</v>
      </c>
      <c r="H138" t="s">
        <v>136</v>
      </c>
      <c r="I138" t="s">
        <v>137</v>
      </c>
      <c r="J138" t="s">
        <v>47</v>
      </c>
      <c r="K138" t="s">
        <v>48</v>
      </c>
      <c r="L138">
        <v>0</v>
      </c>
      <c r="M138" t="s">
        <v>49</v>
      </c>
      <c r="N138" t="s">
        <v>50</v>
      </c>
      <c r="O138">
        <v>0</v>
      </c>
      <c r="P138" t="s">
        <v>49</v>
      </c>
      <c r="Q138" t="s">
        <v>50</v>
      </c>
      <c r="R138" t="s">
        <v>51</v>
      </c>
      <c r="S138" t="s">
        <v>52</v>
      </c>
      <c r="T138" t="b">
        <v>1</v>
      </c>
      <c r="U138" t="s">
        <v>53</v>
      </c>
      <c r="V138" t="s">
        <v>54</v>
      </c>
      <c r="W138">
        <v>4</v>
      </c>
      <c r="X138" t="b">
        <v>0</v>
      </c>
      <c r="Y138" t="s">
        <v>55</v>
      </c>
      <c r="Z138" t="s">
        <v>56</v>
      </c>
      <c r="AA138" t="s">
        <v>57</v>
      </c>
      <c r="AB138">
        <v>0</v>
      </c>
      <c r="AC138" t="s">
        <v>58</v>
      </c>
      <c r="AD138">
        <v>8</v>
      </c>
      <c r="AE138" t="s">
        <v>59</v>
      </c>
      <c r="AF138">
        <v>216579128</v>
      </c>
      <c r="AG138" t="b">
        <v>0</v>
      </c>
      <c r="AH138">
        <v>8</v>
      </c>
      <c r="AI138" t="s">
        <v>59</v>
      </c>
      <c r="AJ138">
        <v>216579128</v>
      </c>
      <c r="AK138" t="b">
        <v>0</v>
      </c>
      <c r="AL138">
        <v>216579128</v>
      </c>
      <c r="AM138" t="b">
        <v>0</v>
      </c>
      <c r="AN138">
        <v>0</v>
      </c>
      <c r="AO138" t="b">
        <v>0</v>
      </c>
      <c r="AP138">
        <v>0</v>
      </c>
      <c r="AQ138">
        <v>62788644</v>
      </c>
      <c r="AR138">
        <v>62788644</v>
      </c>
      <c r="AS138">
        <v>0</v>
      </c>
      <c r="AT138" t="b">
        <v>0</v>
      </c>
      <c r="AU138" t="b">
        <v>1</v>
      </c>
      <c r="BA138" t="str">
        <f t="shared" si="4"/>
        <v>Normal</v>
      </c>
      <c r="BG138" t="str">
        <f t="shared" si="5"/>
        <v>Normal</v>
      </c>
    </row>
    <row r="139" spans="1:59" x14ac:dyDescent="0.2">
      <c r="A139" t="s">
        <v>42</v>
      </c>
      <c r="B139" t="s">
        <v>43</v>
      </c>
      <c r="C139">
        <v>20200101</v>
      </c>
      <c r="D139">
        <v>2020</v>
      </c>
      <c r="E139">
        <v>52</v>
      </c>
      <c r="F139" t="s">
        <v>271</v>
      </c>
      <c r="G139">
        <v>328</v>
      </c>
      <c r="H139" t="s">
        <v>276</v>
      </c>
      <c r="I139" t="s">
        <v>277</v>
      </c>
      <c r="J139" t="s">
        <v>47</v>
      </c>
      <c r="K139" t="s">
        <v>48</v>
      </c>
      <c r="L139">
        <v>0</v>
      </c>
      <c r="M139" t="s">
        <v>49</v>
      </c>
      <c r="N139" t="s">
        <v>50</v>
      </c>
      <c r="O139">
        <v>0</v>
      </c>
      <c r="P139" t="s">
        <v>49</v>
      </c>
      <c r="Q139" t="s">
        <v>50</v>
      </c>
      <c r="R139" t="s">
        <v>51</v>
      </c>
      <c r="S139" t="s">
        <v>52</v>
      </c>
      <c r="T139" t="b">
        <v>1</v>
      </c>
      <c r="U139" t="s">
        <v>53</v>
      </c>
      <c r="V139" t="s">
        <v>54</v>
      </c>
      <c r="W139">
        <v>4</v>
      </c>
      <c r="X139" t="b">
        <v>0</v>
      </c>
      <c r="Y139" t="s">
        <v>55</v>
      </c>
      <c r="Z139" t="s">
        <v>56</v>
      </c>
      <c r="AA139" t="s">
        <v>57</v>
      </c>
      <c r="AB139">
        <v>0</v>
      </c>
      <c r="AC139" t="s">
        <v>58</v>
      </c>
      <c r="AD139">
        <v>8</v>
      </c>
      <c r="AE139" t="s">
        <v>59</v>
      </c>
      <c r="AF139">
        <v>17159060852</v>
      </c>
      <c r="AG139" t="b">
        <v>0</v>
      </c>
      <c r="AH139">
        <v>2</v>
      </c>
      <c r="AI139" t="s">
        <v>278</v>
      </c>
      <c r="AJ139">
        <v>356192971000000</v>
      </c>
      <c r="AK139" t="b">
        <v>0</v>
      </c>
      <c r="AL139">
        <v>17159060852</v>
      </c>
      <c r="AM139" t="b">
        <v>0</v>
      </c>
      <c r="AN139">
        <v>0</v>
      </c>
      <c r="AO139" t="b">
        <v>0</v>
      </c>
      <c r="AQ139">
        <v>2128162637.9749999</v>
      </c>
      <c r="AR139">
        <v>2128162637.9749999</v>
      </c>
      <c r="AS139">
        <v>0</v>
      </c>
      <c r="AT139" t="b">
        <v>0</v>
      </c>
      <c r="AU139" t="b">
        <v>1</v>
      </c>
      <c r="BA139" t="str">
        <f t="shared" si="4"/>
        <v>Normal</v>
      </c>
      <c r="BG139" t="str">
        <f t="shared" si="5"/>
        <v>Normal</v>
      </c>
    </row>
    <row r="140" spans="1:59" x14ac:dyDescent="0.2">
      <c r="A140" t="s">
        <v>42</v>
      </c>
      <c r="B140" t="s">
        <v>43</v>
      </c>
      <c r="C140">
        <v>20200101</v>
      </c>
      <c r="D140">
        <v>2020</v>
      </c>
      <c r="E140">
        <v>52</v>
      </c>
      <c r="F140" t="s">
        <v>271</v>
      </c>
      <c r="G140">
        <v>348</v>
      </c>
      <c r="H140" t="s">
        <v>138</v>
      </c>
      <c r="I140" t="s">
        <v>139</v>
      </c>
      <c r="J140" t="s">
        <v>47</v>
      </c>
      <c r="K140" t="s">
        <v>48</v>
      </c>
      <c r="L140">
        <v>0</v>
      </c>
      <c r="M140" t="s">
        <v>49</v>
      </c>
      <c r="N140" t="s">
        <v>50</v>
      </c>
      <c r="O140">
        <v>0</v>
      </c>
      <c r="P140" t="s">
        <v>49</v>
      </c>
      <c r="Q140" t="s">
        <v>50</v>
      </c>
      <c r="R140" t="s">
        <v>51</v>
      </c>
      <c r="S140" t="s">
        <v>52</v>
      </c>
      <c r="T140" t="b">
        <v>1</v>
      </c>
      <c r="U140" t="s">
        <v>53</v>
      </c>
      <c r="V140" t="s">
        <v>54</v>
      </c>
      <c r="W140">
        <v>4</v>
      </c>
      <c r="X140" t="b">
        <v>0</v>
      </c>
      <c r="Y140" t="s">
        <v>55</v>
      </c>
      <c r="Z140" t="s">
        <v>56</v>
      </c>
      <c r="AA140" t="s">
        <v>57</v>
      </c>
      <c r="AB140">
        <v>0</v>
      </c>
      <c r="AC140" t="s">
        <v>58</v>
      </c>
      <c r="AD140">
        <v>8</v>
      </c>
      <c r="AE140" t="s">
        <v>59</v>
      </c>
      <c r="AF140">
        <v>361309700</v>
      </c>
      <c r="AG140" t="b">
        <v>0</v>
      </c>
      <c r="AH140">
        <v>8</v>
      </c>
      <c r="AI140" t="s">
        <v>59</v>
      </c>
      <c r="AJ140">
        <v>361309700</v>
      </c>
      <c r="AK140" t="b">
        <v>0</v>
      </c>
      <c r="AL140">
        <v>361309700</v>
      </c>
      <c r="AM140" t="b">
        <v>0</v>
      </c>
      <c r="AN140">
        <v>0</v>
      </c>
      <c r="AO140" t="b">
        <v>0</v>
      </c>
      <c r="AP140">
        <v>0</v>
      </c>
      <c r="AQ140">
        <v>110628172</v>
      </c>
      <c r="AR140">
        <v>110628172</v>
      </c>
      <c r="AS140">
        <v>0</v>
      </c>
      <c r="AT140" t="b">
        <v>0</v>
      </c>
      <c r="AU140" t="b">
        <v>1</v>
      </c>
      <c r="BA140" t="str">
        <f t="shared" si="4"/>
        <v>Normal</v>
      </c>
      <c r="BG140" t="str">
        <f t="shared" si="5"/>
        <v>Normal</v>
      </c>
    </row>
    <row r="141" spans="1:59" x14ac:dyDescent="0.2">
      <c r="A141" t="s">
        <v>42</v>
      </c>
      <c r="B141" t="s">
        <v>43</v>
      </c>
      <c r="C141">
        <v>20200101</v>
      </c>
      <c r="D141">
        <v>2020</v>
      </c>
      <c r="E141">
        <v>52</v>
      </c>
      <c r="F141" t="s">
        <v>271</v>
      </c>
      <c r="G141">
        <v>360</v>
      </c>
      <c r="H141" t="s">
        <v>140</v>
      </c>
      <c r="I141" t="s">
        <v>141</v>
      </c>
      <c r="J141" t="s">
        <v>47</v>
      </c>
      <c r="K141" t="s">
        <v>48</v>
      </c>
      <c r="L141">
        <v>0</v>
      </c>
      <c r="M141" t="s">
        <v>49</v>
      </c>
      <c r="N141" t="s">
        <v>50</v>
      </c>
      <c r="O141">
        <v>0</v>
      </c>
      <c r="P141" t="s">
        <v>49</v>
      </c>
      <c r="Q141" t="s">
        <v>50</v>
      </c>
      <c r="R141" t="s">
        <v>51</v>
      </c>
      <c r="S141" t="s">
        <v>52</v>
      </c>
      <c r="T141" t="b">
        <v>1</v>
      </c>
      <c r="U141" t="s">
        <v>53</v>
      </c>
      <c r="V141" t="s">
        <v>54</v>
      </c>
      <c r="W141">
        <v>4</v>
      </c>
      <c r="X141" t="b">
        <v>0</v>
      </c>
      <c r="Y141" t="s">
        <v>55</v>
      </c>
      <c r="Z141" t="s">
        <v>56</v>
      </c>
      <c r="AA141" t="s">
        <v>57</v>
      </c>
      <c r="AB141">
        <v>0</v>
      </c>
      <c r="AC141" t="s">
        <v>58</v>
      </c>
      <c r="AD141">
        <v>8</v>
      </c>
      <c r="AE141" t="s">
        <v>59</v>
      </c>
      <c r="AF141">
        <v>4395637676.4799995</v>
      </c>
      <c r="AG141" t="b">
        <v>0</v>
      </c>
      <c r="AH141">
        <v>8</v>
      </c>
      <c r="AI141" t="s">
        <v>59</v>
      </c>
      <c r="AJ141">
        <v>4395637676.4799995</v>
      </c>
      <c r="AK141" t="b">
        <v>0</v>
      </c>
      <c r="AL141">
        <v>4395637676.4799995</v>
      </c>
      <c r="AM141" t="b">
        <v>0</v>
      </c>
      <c r="AN141">
        <v>0</v>
      </c>
      <c r="AO141" t="b">
        <v>0</v>
      </c>
      <c r="AP141">
        <v>0</v>
      </c>
      <c r="AQ141">
        <v>1396868368.141</v>
      </c>
      <c r="AR141">
        <v>1396868368.141</v>
      </c>
      <c r="AS141">
        <v>0</v>
      </c>
      <c r="AT141" t="b">
        <v>0</v>
      </c>
      <c r="AU141" t="b">
        <v>1</v>
      </c>
      <c r="BA141" t="str">
        <f t="shared" si="4"/>
        <v>Normal</v>
      </c>
      <c r="BG141" t="str">
        <f t="shared" si="5"/>
        <v>Normal</v>
      </c>
    </row>
    <row r="142" spans="1:59" x14ac:dyDescent="0.2">
      <c r="A142" t="s">
        <v>42</v>
      </c>
      <c r="B142" t="s">
        <v>43</v>
      </c>
      <c r="C142">
        <v>20200101</v>
      </c>
      <c r="D142">
        <v>2020</v>
      </c>
      <c r="E142">
        <v>52</v>
      </c>
      <c r="F142" t="s">
        <v>271</v>
      </c>
      <c r="G142">
        <v>364</v>
      </c>
      <c r="H142" t="s">
        <v>142</v>
      </c>
      <c r="I142" t="s">
        <v>143</v>
      </c>
      <c r="J142" t="s">
        <v>47</v>
      </c>
      <c r="K142" t="s">
        <v>48</v>
      </c>
      <c r="L142">
        <v>0</v>
      </c>
      <c r="M142" t="s">
        <v>49</v>
      </c>
      <c r="N142" t="s">
        <v>50</v>
      </c>
      <c r="O142">
        <v>0</v>
      </c>
      <c r="P142" t="s">
        <v>49</v>
      </c>
      <c r="Q142" t="s">
        <v>50</v>
      </c>
      <c r="R142" t="s">
        <v>51</v>
      </c>
      <c r="S142" t="s">
        <v>52</v>
      </c>
      <c r="T142" t="b">
        <v>1</v>
      </c>
      <c r="U142" t="s">
        <v>53</v>
      </c>
      <c r="V142" t="s">
        <v>54</v>
      </c>
      <c r="W142">
        <v>4</v>
      </c>
      <c r="X142" t="b">
        <v>0</v>
      </c>
      <c r="Y142" t="s">
        <v>55</v>
      </c>
      <c r="Z142" t="s">
        <v>56</v>
      </c>
      <c r="AA142" t="s">
        <v>57</v>
      </c>
      <c r="AB142">
        <v>0</v>
      </c>
      <c r="AC142" t="s">
        <v>58</v>
      </c>
      <c r="AD142">
        <v>-1</v>
      </c>
      <c r="AE142" t="s">
        <v>73</v>
      </c>
      <c r="AF142">
        <v>0</v>
      </c>
      <c r="AG142" t="b">
        <v>0</v>
      </c>
      <c r="AH142">
        <v>-1</v>
      </c>
      <c r="AI142" t="s">
        <v>73</v>
      </c>
      <c r="AJ142">
        <v>0</v>
      </c>
      <c r="AK142" t="b">
        <v>0</v>
      </c>
      <c r="AM142" t="b">
        <v>0</v>
      </c>
      <c r="AN142">
        <v>0</v>
      </c>
      <c r="AO142" t="b">
        <v>0</v>
      </c>
      <c r="AQ142">
        <v>10034998162.6</v>
      </c>
      <c r="AR142">
        <v>10034998162.6</v>
      </c>
      <c r="AS142">
        <v>0</v>
      </c>
      <c r="AT142" t="b">
        <v>0</v>
      </c>
      <c r="AU142" t="b">
        <v>1</v>
      </c>
      <c r="BA142" t="str">
        <f t="shared" si="4"/>
        <v>Normal</v>
      </c>
      <c r="BG142" t="str">
        <f t="shared" si="5"/>
        <v>Normal</v>
      </c>
    </row>
    <row r="143" spans="1:59" x14ac:dyDescent="0.2">
      <c r="A143" t="s">
        <v>42</v>
      </c>
      <c r="B143" t="s">
        <v>43</v>
      </c>
      <c r="C143">
        <v>20200101</v>
      </c>
      <c r="D143">
        <v>2020</v>
      </c>
      <c r="E143">
        <v>52</v>
      </c>
      <c r="F143" t="s">
        <v>271</v>
      </c>
      <c r="G143">
        <v>372</v>
      </c>
      <c r="H143" t="s">
        <v>144</v>
      </c>
      <c r="I143" t="s">
        <v>145</v>
      </c>
      <c r="J143" t="s">
        <v>47</v>
      </c>
      <c r="K143" t="s">
        <v>48</v>
      </c>
      <c r="L143">
        <v>0</v>
      </c>
      <c r="M143" t="s">
        <v>49</v>
      </c>
      <c r="N143" t="s">
        <v>50</v>
      </c>
      <c r="O143">
        <v>0</v>
      </c>
      <c r="P143" t="s">
        <v>49</v>
      </c>
      <c r="Q143" t="s">
        <v>50</v>
      </c>
      <c r="R143" t="s">
        <v>51</v>
      </c>
      <c r="S143" t="s">
        <v>52</v>
      </c>
      <c r="T143" t="b">
        <v>1</v>
      </c>
      <c r="U143" t="s">
        <v>53</v>
      </c>
      <c r="V143" t="s">
        <v>54</v>
      </c>
      <c r="W143">
        <v>4</v>
      </c>
      <c r="X143" t="b">
        <v>0</v>
      </c>
      <c r="Y143" t="s">
        <v>55</v>
      </c>
      <c r="Z143" t="s">
        <v>56</v>
      </c>
      <c r="AA143" t="s">
        <v>57</v>
      </c>
      <c r="AB143">
        <v>0</v>
      </c>
      <c r="AC143" t="s">
        <v>58</v>
      </c>
      <c r="AD143">
        <v>8</v>
      </c>
      <c r="AE143" t="s">
        <v>59</v>
      </c>
      <c r="AF143">
        <v>90888931</v>
      </c>
      <c r="AG143" t="b">
        <v>0</v>
      </c>
      <c r="AH143">
        <v>8</v>
      </c>
      <c r="AI143" t="s">
        <v>59</v>
      </c>
      <c r="AJ143">
        <v>90888931</v>
      </c>
      <c r="AK143" t="b">
        <v>0</v>
      </c>
      <c r="AL143">
        <v>90888931</v>
      </c>
      <c r="AM143" t="b">
        <v>0</v>
      </c>
      <c r="AN143">
        <v>0</v>
      </c>
      <c r="AO143" t="b">
        <v>0</v>
      </c>
      <c r="AP143">
        <v>0</v>
      </c>
      <c r="AQ143">
        <v>47020626.251000002</v>
      </c>
      <c r="AR143">
        <v>47020626.251000002</v>
      </c>
      <c r="AS143">
        <v>0</v>
      </c>
      <c r="AT143" t="b">
        <v>0</v>
      </c>
      <c r="AU143" t="b">
        <v>1</v>
      </c>
      <c r="BA143" t="str">
        <f t="shared" si="4"/>
        <v>Normal</v>
      </c>
      <c r="BG143" t="str">
        <f t="shared" si="5"/>
        <v>Normal</v>
      </c>
    </row>
    <row r="144" spans="1:59" x14ac:dyDescent="0.2">
      <c r="A144" t="s">
        <v>42</v>
      </c>
      <c r="B144" t="s">
        <v>43</v>
      </c>
      <c r="C144">
        <v>20200101</v>
      </c>
      <c r="D144">
        <v>2020</v>
      </c>
      <c r="E144">
        <v>52</v>
      </c>
      <c r="F144" t="s">
        <v>271</v>
      </c>
      <c r="G144">
        <v>380</v>
      </c>
      <c r="H144" t="s">
        <v>148</v>
      </c>
      <c r="I144" t="s">
        <v>149</v>
      </c>
      <c r="J144" t="s">
        <v>47</v>
      </c>
      <c r="K144" t="s">
        <v>48</v>
      </c>
      <c r="L144">
        <v>0</v>
      </c>
      <c r="M144" t="s">
        <v>49</v>
      </c>
      <c r="N144" t="s">
        <v>50</v>
      </c>
      <c r="O144">
        <v>0</v>
      </c>
      <c r="P144" t="s">
        <v>49</v>
      </c>
      <c r="Q144" t="s">
        <v>50</v>
      </c>
      <c r="R144" t="s">
        <v>51</v>
      </c>
      <c r="S144" t="s">
        <v>52</v>
      </c>
      <c r="T144" t="b">
        <v>1</v>
      </c>
      <c r="U144" t="s">
        <v>53</v>
      </c>
      <c r="V144" t="s">
        <v>54</v>
      </c>
      <c r="W144">
        <v>4</v>
      </c>
      <c r="X144" t="b">
        <v>0</v>
      </c>
      <c r="Y144" t="s">
        <v>55</v>
      </c>
      <c r="Z144" t="s">
        <v>56</v>
      </c>
      <c r="AA144" t="s">
        <v>57</v>
      </c>
      <c r="AB144">
        <v>0</v>
      </c>
      <c r="AC144" t="s">
        <v>58</v>
      </c>
      <c r="AD144">
        <v>-1</v>
      </c>
      <c r="AE144" t="s">
        <v>73</v>
      </c>
      <c r="AF144">
        <v>0</v>
      </c>
      <c r="AG144" t="b">
        <v>0</v>
      </c>
      <c r="AH144">
        <v>-1</v>
      </c>
      <c r="AI144" t="s">
        <v>73</v>
      </c>
      <c r="AJ144">
        <v>0</v>
      </c>
      <c r="AK144" t="b">
        <v>0</v>
      </c>
      <c r="AM144" t="b">
        <v>0</v>
      </c>
      <c r="AN144">
        <v>0</v>
      </c>
      <c r="AO144" t="b">
        <v>0</v>
      </c>
      <c r="AQ144">
        <v>246780788.963</v>
      </c>
      <c r="AR144">
        <v>246780788.963</v>
      </c>
      <c r="AS144">
        <v>0</v>
      </c>
      <c r="AT144" t="b">
        <v>0</v>
      </c>
      <c r="AU144" t="b">
        <v>1</v>
      </c>
      <c r="BA144" t="str">
        <f t="shared" si="4"/>
        <v>Normal</v>
      </c>
      <c r="BG144" t="str">
        <f t="shared" si="5"/>
        <v>Normal</v>
      </c>
    </row>
    <row r="145" spans="1:59" x14ac:dyDescent="0.2">
      <c r="A145" t="s">
        <v>42</v>
      </c>
      <c r="B145" t="s">
        <v>43</v>
      </c>
      <c r="C145">
        <v>20200101</v>
      </c>
      <c r="D145">
        <v>2020</v>
      </c>
      <c r="E145">
        <v>52</v>
      </c>
      <c r="F145" t="s">
        <v>271</v>
      </c>
      <c r="G145">
        <v>384</v>
      </c>
      <c r="H145" t="s">
        <v>150</v>
      </c>
      <c r="I145" t="s">
        <v>151</v>
      </c>
      <c r="J145" t="s">
        <v>47</v>
      </c>
      <c r="K145" t="s">
        <v>48</v>
      </c>
      <c r="L145">
        <v>0</v>
      </c>
      <c r="M145" t="s">
        <v>49</v>
      </c>
      <c r="N145" t="s">
        <v>50</v>
      </c>
      <c r="O145">
        <v>0</v>
      </c>
      <c r="P145" t="s">
        <v>49</v>
      </c>
      <c r="Q145" t="s">
        <v>50</v>
      </c>
      <c r="R145" t="s">
        <v>51</v>
      </c>
      <c r="S145" t="s">
        <v>52</v>
      </c>
      <c r="T145" t="b">
        <v>1</v>
      </c>
      <c r="U145" t="s">
        <v>53</v>
      </c>
      <c r="V145" t="s">
        <v>54</v>
      </c>
      <c r="W145">
        <v>4</v>
      </c>
      <c r="X145" t="b">
        <v>0</v>
      </c>
      <c r="Y145" t="s">
        <v>55</v>
      </c>
      <c r="Z145" t="s">
        <v>56</v>
      </c>
      <c r="AA145" t="s">
        <v>57</v>
      </c>
      <c r="AB145">
        <v>0</v>
      </c>
      <c r="AC145" t="s">
        <v>58</v>
      </c>
      <c r="AD145">
        <v>8</v>
      </c>
      <c r="AE145" t="s">
        <v>59</v>
      </c>
      <c r="AF145">
        <v>1446485001</v>
      </c>
      <c r="AG145" t="b">
        <v>0</v>
      </c>
      <c r="AH145">
        <v>8</v>
      </c>
      <c r="AI145" t="s">
        <v>59</v>
      </c>
      <c r="AJ145">
        <v>1446485001</v>
      </c>
      <c r="AK145" t="b">
        <v>0</v>
      </c>
      <c r="AL145">
        <v>1446485001</v>
      </c>
      <c r="AM145" t="b">
        <v>0</v>
      </c>
      <c r="AN145">
        <v>0</v>
      </c>
      <c r="AO145" t="b">
        <v>0</v>
      </c>
      <c r="AP145">
        <v>0</v>
      </c>
      <c r="AQ145">
        <v>446152496.89999998</v>
      </c>
      <c r="AR145">
        <v>446152496.89999998</v>
      </c>
      <c r="AS145">
        <v>0</v>
      </c>
      <c r="AT145" t="b">
        <v>0</v>
      </c>
      <c r="AU145" t="b">
        <v>1</v>
      </c>
      <c r="BA145" t="str">
        <f t="shared" si="4"/>
        <v>Normal</v>
      </c>
      <c r="BG145" t="str">
        <f t="shared" si="5"/>
        <v>Normal</v>
      </c>
    </row>
    <row r="146" spans="1:59" x14ac:dyDescent="0.2">
      <c r="A146" t="s">
        <v>42</v>
      </c>
      <c r="B146" t="s">
        <v>43</v>
      </c>
      <c r="C146">
        <v>20200101</v>
      </c>
      <c r="D146">
        <v>2020</v>
      </c>
      <c r="E146">
        <v>52</v>
      </c>
      <c r="F146" t="s">
        <v>271</v>
      </c>
      <c r="G146">
        <v>398</v>
      </c>
      <c r="H146" t="s">
        <v>152</v>
      </c>
      <c r="I146" t="s">
        <v>153</v>
      </c>
      <c r="J146" t="s">
        <v>47</v>
      </c>
      <c r="K146" t="s">
        <v>48</v>
      </c>
      <c r="L146">
        <v>0</v>
      </c>
      <c r="M146" t="s">
        <v>49</v>
      </c>
      <c r="N146" t="s">
        <v>50</v>
      </c>
      <c r="O146">
        <v>0</v>
      </c>
      <c r="P146" t="s">
        <v>49</v>
      </c>
      <c r="Q146" t="s">
        <v>50</v>
      </c>
      <c r="R146" t="s">
        <v>51</v>
      </c>
      <c r="S146" t="s">
        <v>52</v>
      </c>
      <c r="T146" t="b">
        <v>1</v>
      </c>
      <c r="U146" t="s">
        <v>53</v>
      </c>
      <c r="V146" t="s">
        <v>54</v>
      </c>
      <c r="W146">
        <v>4</v>
      </c>
      <c r="X146" t="b">
        <v>0</v>
      </c>
      <c r="Y146" t="s">
        <v>55</v>
      </c>
      <c r="Z146" t="s">
        <v>56</v>
      </c>
      <c r="AA146" t="s">
        <v>57</v>
      </c>
      <c r="AB146">
        <v>0</v>
      </c>
      <c r="AC146" t="s">
        <v>58</v>
      </c>
      <c r="AD146">
        <v>8</v>
      </c>
      <c r="AE146" t="s">
        <v>59</v>
      </c>
      <c r="AF146">
        <v>70584352368</v>
      </c>
      <c r="AG146" t="b">
        <v>0</v>
      </c>
      <c r="AH146">
        <v>8</v>
      </c>
      <c r="AI146" t="s">
        <v>59</v>
      </c>
      <c r="AJ146">
        <v>70584352368</v>
      </c>
      <c r="AK146" t="b">
        <v>0</v>
      </c>
      <c r="AL146">
        <v>70584352368</v>
      </c>
      <c r="AM146" t="b">
        <v>0</v>
      </c>
      <c r="AN146">
        <v>0</v>
      </c>
      <c r="AO146" t="b">
        <v>0</v>
      </c>
      <c r="AQ146">
        <v>23703849619.59</v>
      </c>
      <c r="AR146">
        <v>23703849619.59</v>
      </c>
      <c r="AS146">
        <v>0</v>
      </c>
      <c r="AT146" t="b">
        <v>0</v>
      </c>
      <c r="AU146" t="b">
        <v>1</v>
      </c>
      <c r="BA146" t="str">
        <f t="shared" si="4"/>
        <v>Normal</v>
      </c>
      <c r="BG146" t="str">
        <f t="shared" si="5"/>
        <v>Normal</v>
      </c>
    </row>
    <row r="147" spans="1:59" x14ac:dyDescent="0.2">
      <c r="A147" t="s">
        <v>42</v>
      </c>
      <c r="B147" t="s">
        <v>43</v>
      </c>
      <c r="C147">
        <v>20200101</v>
      </c>
      <c r="D147">
        <v>2020</v>
      </c>
      <c r="E147">
        <v>52</v>
      </c>
      <c r="F147" t="s">
        <v>271</v>
      </c>
      <c r="G147">
        <v>404</v>
      </c>
      <c r="H147" t="s">
        <v>154</v>
      </c>
      <c r="I147" t="s">
        <v>155</v>
      </c>
      <c r="J147" t="s">
        <v>47</v>
      </c>
      <c r="K147" t="s">
        <v>48</v>
      </c>
      <c r="L147">
        <v>0</v>
      </c>
      <c r="M147" t="s">
        <v>49</v>
      </c>
      <c r="N147" t="s">
        <v>50</v>
      </c>
      <c r="O147">
        <v>0</v>
      </c>
      <c r="P147" t="s">
        <v>49</v>
      </c>
      <c r="Q147" t="s">
        <v>50</v>
      </c>
      <c r="R147" t="s">
        <v>51</v>
      </c>
      <c r="S147" t="s">
        <v>52</v>
      </c>
      <c r="T147" t="b">
        <v>1</v>
      </c>
      <c r="U147" t="s">
        <v>53</v>
      </c>
      <c r="V147" t="s">
        <v>54</v>
      </c>
      <c r="W147">
        <v>4</v>
      </c>
      <c r="X147" t="b">
        <v>0</v>
      </c>
      <c r="Y147" t="s">
        <v>55</v>
      </c>
      <c r="Z147" t="s">
        <v>56</v>
      </c>
      <c r="AA147" t="s">
        <v>57</v>
      </c>
      <c r="AB147">
        <v>0</v>
      </c>
      <c r="AC147" t="s">
        <v>58</v>
      </c>
      <c r="AD147">
        <v>8</v>
      </c>
      <c r="AE147" t="s">
        <v>59</v>
      </c>
      <c r="AF147">
        <v>1358</v>
      </c>
      <c r="AG147" t="b">
        <v>0</v>
      </c>
      <c r="AH147">
        <v>8</v>
      </c>
      <c r="AI147" t="s">
        <v>59</v>
      </c>
      <c r="AJ147">
        <v>1358</v>
      </c>
      <c r="AK147" t="b">
        <v>0</v>
      </c>
      <c r="AL147">
        <v>1358</v>
      </c>
      <c r="AM147" t="b">
        <v>0</v>
      </c>
      <c r="AN147">
        <v>0</v>
      </c>
      <c r="AO147" t="b">
        <v>0</v>
      </c>
      <c r="AQ147">
        <v>1992.92</v>
      </c>
      <c r="AR147">
        <v>1992.92</v>
      </c>
      <c r="AS147">
        <v>0</v>
      </c>
      <c r="AT147" t="b">
        <v>0</v>
      </c>
      <c r="AU147" t="b">
        <v>1</v>
      </c>
      <c r="BA147" t="str">
        <f t="shared" si="4"/>
        <v>Normal</v>
      </c>
      <c r="BG147" t="str">
        <f t="shared" si="5"/>
        <v>Normal</v>
      </c>
    </row>
    <row r="148" spans="1:59" x14ac:dyDescent="0.2">
      <c r="A148" t="s">
        <v>42</v>
      </c>
      <c r="B148" t="s">
        <v>43</v>
      </c>
      <c r="C148">
        <v>20200101</v>
      </c>
      <c r="D148">
        <v>2020</v>
      </c>
      <c r="E148">
        <v>52</v>
      </c>
      <c r="F148" t="s">
        <v>271</v>
      </c>
      <c r="G148">
        <v>410</v>
      </c>
      <c r="H148" t="s">
        <v>156</v>
      </c>
      <c r="I148" t="s">
        <v>157</v>
      </c>
      <c r="J148" t="s">
        <v>47</v>
      </c>
      <c r="K148" t="s">
        <v>48</v>
      </c>
      <c r="L148">
        <v>0</v>
      </c>
      <c r="M148" t="s">
        <v>49</v>
      </c>
      <c r="N148" t="s">
        <v>50</v>
      </c>
      <c r="O148">
        <v>0</v>
      </c>
      <c r="P148" t="s">
        <v>49</v>
      </c>
      <c r="Q148" t="s">
        <v>50</v>
      </c>
      <c r="R148" t="s">
        <v>51</v>
      </c>
      <c r="S148" t="s">
        <v>52</v>
      </c>
      <c r="T148" t="b">
        <v>1</v>
      </c>
      <c r="U148" t="s">
        <v>53</v>
      </c>
      <c r="V148" t="s">
        <v>54</v>
      </c>
      <c r="W148">
        <v>4</v>
      </c>
      <c r="X148" t="b">
        <v>0</v>
      </c>
      <c r="Y148" t="s">
        <v>55</v>
      </c>
      <c r="Z148" t="s">
        <v>56</v>
      </c>
      <c r="AA148" t="s">
        <v>57</v>
      </c>
      <c r="AB148">
        <v>0</v>
      </c>
      <c r="AC148" t="s">
        <v>58</v>
      </c>
      <c r="AD148">
        <v>8</v>
      </c>
      <c r="AE148" t="s">
        <v>59</v>
      </c>
      <c r="AF148">
        <v>1401.7439999999999</v>
      </c>
      <c r="AG148" t="b">
        <v>0</v>
      </c>
      <c r="AH148">
        <v>8</v>
      </c>
      <c r="AI148" t="s">
        <v>59</v>
      </c>
      <c r="AJ148">
        <v>1401.7439999999999</v>
      </c>
      <c r="AK148" t="b">
        <v>0</v>
      </c>
      <c r="AL148">
        <v>1401.7439999999999</v>
      </c>
      <c r="AM148" t="b">
        <v>0</v>
      </c>
      <c r="AN148">
        <v>0</v>
      </c>
      <c r="AO148" t="b">
        <v>0</v>
      </c>
      <c r="AQ148">
        <v>3234</v>
      </c>
      <c r="AR148">
        <v>3234</v>
      </c>
      <c r="AS148">
        <v>0</v>
      </c>
      <c r="AT148" t="b">
        <v>0</v>
      </c>
      <c r="AU148" t="b">
        <v>1</v>
      </c>
      <c r="BA148" t="str">
        <f t="shared" si="4"/>
        <v>Normal</v>
      </c>
      <c r="BG148" t="str">
        <f t="shared" si="5"/>
        <v>Normal</v>
      </c>
    </row>
    <row r="149" spans="1:59" x14ac:dyDescent="0.2">
      <c r="A149" t="s">
        <v>42</v>
      </c>
      <c r="B149" t="s">
        <v>43</v>
      </c>
      <c r="C149">
        <v>20200101</v>
      </c>
      <c r="D149">
        <v>2020</v>
      </c>
      <c r="E149">
        <v>52</v>
      </c>
      <c r="F149" t="s">
        <v>271</v>
      </c>
      <c r="G149">
        <v>414</v>
      </c>
      <c r="H149" t="s">
        <v>158</v>
      </c>
      <c r="I149" t="s">
        <v>159</v>
      </c>
      <c r="J149" t="s">
        <v>47</v>
      </c>
      <c r="K149" t="s">
        <v>48</v>
      </c>
      <c r="L149">
        <v>0</v>
      </c>
      <c r="M149" t="s">
        <v>49</v>
      </c>
      <c r="N149" t="s">
        <v>50</v>
      </c>
      <c r="O149">
        <v>0</v>
      </c>
      <c r="P149" t="s">
        <v>49</v>
      </c>
      <c r="Q149" t="s">
        <v>50</v>
      </c>
      <c r="R149" t="s">
        <v>51</v>
      </c>
      <c r="S149" t="s">
        <v>52</v>
      </c>
      <c r="T149" t="b">
        <v>1</v>
      </c>
      <c r="U149" t="s">
        <v>53</v>
      </c>
      <c r="V149" t="s">
        <v>54</v>
      </c>
      <c r="W149">
        <v>4</v>
      </c>
      <c r="X149" t="b">
        <v>0</v>
      </c>
      <c r="Y149" t="s">
        <v>55</v>
      </c>
      <c r="Z149" t="s">
        <v>56</v>
      </c>
      <c r="AA149" t="s">
        <v>57</v>
      </c>
      <c r="AB149">
        <v>0</v>
      </c>
      <c r="AC149" t="s">
        <v>58</v>
      </c>
      <c r="AD149">
        <v>-1</v>
      </c>
      <c r="AE149" t="s">
        <v>73</v>
      </c>
      <c r="AF149">
        <v>0</v>
      </c>
      <c r="AG149" t="b">
        <v>1</v>
      </c>
      <c r="AH149">
        <v>-1</v>
      </c>
      <c r="AI149" t="s">
        <v>73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28629492308</v>
      </c>
      <c r="AR149">
        <v>28629492308</v>
      </c>
      <c r="AS149">
        <v>6</v>
      </c>
      <c r="AT149" t="b">
        <v>0</v>
      </c>
      <c r="AU149" t="b">
        <v>1</v>
      </c>
      <c r="BA149" t="str">
        <f t="shared" si="4"/>
        <v>Normal</v>
      </c>
      <c r="BG149" t="str">
        <f t="shared" si="5"/>
        <v>Normal</v>
      </c>
    </row>
    <row r="150" spans="1:59" x14ac:dyDescent="0.2">
      <c r="A150" t="s">
        <v>42</v>
      </c>
      <c r="B150" t="s">
        <v>43</v>
      </c>
      <c r="C150">
        <v>20200101</v>
      </c>
      <c r="D150">
        <v>2020</v>
      </c>
      <c r="E150">
        <v>52</v>
      </c>
      <c r="F150" t="s">
        <v>271</v>
      </c>
      <c r="G150">
        <v>417</v>
      </c>
      <c r="H150" t="s">
        <v>160</v>
      </c>
      <c r="I150" t="s">
        <v>161</v>
      </c>
      <c r="J150" t="s">
        <v>47</v>
      </c>
      <c r="K150" t="s">
        <v>48</v>
      </c>
      <c r="L150">
        <v>0</v>
      </c>
      <c r="M150" t="s">
        <v>49</v>
      </c>
      <c r="N150" t="s">
        <v>50</v>
      </c>
      <c r="O150">
        <v>0</v>
      </c>
      <c r="P150" t="s">
        <v>49</v>
      </c>
      <c r="Q150" t="s">
        <v>50</v>
      </c>
      <c r="R150" t="s">
        <v>51</v>
      </c>
      <c r="S150" t="s">
        <v>52</v>
      </c>
      <c r="T150" t="b">
        <v>1</v>
      </c>
      <c r="U150" t="s">
        <v>53</v>
      </c>
      <c r="V150" t="s">
        <v>54</v>
      </c>
      <c r="W150">
        <v>4</v>
      </c>
      <c r="X150" t="b">
        <v>0</v>
      </c>
      <c r="Y150" t="s">
        <v>55</v>
      </c>
      <c r="Z150" t="s">
        <v>56</v>
      </c>
      <c r="AA150" t="s">
        <v>57</v>
      </c>
      <c r="AB150">
        <v>0</v>
      </c>
      <c r="AC150" t="s">
        <v>58</v>
      </c>
      <c r="AD150">
        <v>8</v>
      </c>
      <c r="AE150" t="s">
        <v>59</v>
      </c>
      <c r="AF150">
        <v>51508186</v>
      </c>
      <c r="AG150" t="b">
        <v>0</v>
      </c>
      <c r="AH150">
        <v>8</v>
      </c>
      <c r="AI150" t="s">
        <v>59</v>
      </c>
      <c r="AJ150">
        <v>51508186</v>
      </c>
      <c r="AK150" t="b">
        <v>0</v>
      </c>
      <c r="AL150">
        <v>51508186</v>
      </c>
      <c r="AM150" t="b">
        <v>0</v>
      </c>
      <c r="AN150">
        <v>0</v>
      </c>
      <c r="AO150" t="b">
        <v>0</v>
      </c>
      <c r="AP150">
        <v>0</v>
      </c>
      <c r="AQ150">
        <v>10340116</v>
      </c>
      <c r="AR150">
        <v>10340116</v>
      </c>
      <c r="AS150">
        <v>0</v>
      </c>
      <c r="AT150" t="b">
        <v>0</v>
      </c>
      <c r="AU150" t="b">
        <v>1</v>
      </c>
      <c r="BA150" t="str">
        <f t="shared" si="4"/>
        <v>Normal</v>
      </c>
      <c r="BG150" t="str">
        <f t="shared" si="5"/>
        <v>Normal</v>
      </c>
    </row>
    <row r="151" spans="1:59" x14ac:dyDescent="0.2">
      <c r="A151" t="s">
        <v>42</v>
      </c>
      <c r="B151" t="s">
        <v>43</v>
      </c>
      <c r="C151">
        <v>20200101</v>
      </c>
      <c r="D151">
        <v>2020</v>
      </c>
      <c r="E151">
        <v>52</v>
      </c>
      <c r="F151" t="s">
        <v>271</v>
      </c>
      <c r="G151">
        <v>418</v>
      </c>
      <c r="H151" t="s">
        <v>162</v>
      </c>
      <c r="I151" t="s">
        <v>163</v>
      </c>
      <c r="J151" t="s">
        <v>47</v>
      </c>
      <c r="K151" t="s">
        <v>48</v>
      </c>
      <c r="L151">
        <v>0</v>
      </c>
      <c r="M151" t="s">
        <v>49</v>
      </c>
      <c r="N151" t="s">
        <v>50</v>
      </c>
      <c r="O151">
        <v>0</v>
      </c>
      <c r="P151" t="s">
        <v>49</v>
      </c>
      <c r="Q151" t="s">
        <v>50</v>
      </c>
      <c r="R151" t="s">
        <v>51</v>
      </c>
      <c r="S151" t="s">
        <v>52</v>
      </c>
      <c r="T151" t="b">
        <v>1</v>
      </c>
      <c r="U151" t="s">
        <v>53</v>
      </c>
      <c r="V151" t="s">
        <v>54</v>
      </c>
      <c r="W151">
        <v>4</v>
      </c>
      <c r="X151" t="b">
        <v>0</v>
      </c>
      <c r="Y151" t="s">
        <v>55</v>
      </c>
      <c r="Z151" t="s">
        <v>56</v>
      </c>
      <c r="AA151" t="s">
        <v>57</v>
      </c>
      <c r="AB151">
        <v>0</v>
      </c>
      <c r="AC151" t="s">
        <v>58</v>
      </c>
      <c r="AD151">
        <v>8</v>
      </c>
      <c r="AE151" t="s">
        <v>59</v>
      </c>
      <c r="AF151">
        <v>3000</v>
      </c>
      <c r="AG151" t="b">
        <v>0</v>
      </c>
      <c r="AH151">
        <v>8</v>
      </c>
      <c r="AI151" t="s">
        <v>59</v>
      </c>
      <c r="AJ151">
        <v>3000</v>
      </c>
      <c r="AK151" t="b">
        <v>0</v>
      </c>
      <c r="AL151">
        <v>3000</v>
      </c>
      <c r="AM151" t="b">
        <v>0</v>
      </c>
      <c r="AN151">
        <v>0</v>
      </c>
      <c r="AO151" t="b">
        <v>0</v>
      </c>
      <c r="AP151">
        <v>0</v>
      </c>
      <c r="AQ151">
        <v>150</v>
      </c>
      <c r="AR151">
        <v>150</v>
      </c>
      <c r="AS151">
        <v>0</v>
      </c>
      <c r="AT151" t="b">
        <v>0</v>
      </c>
      <c r="AU151" t="b">
        <v>1</v>
      </c>
      <c r="BA151" t="str">
        <f t="shared" si="4"/>
        <v>Normal</v>
      </c>
      <c r="BG151" t="str">
        <f t="shared" si="5"/>
        <v>Normal</v>
      </c>
    </row>
    <row r="152" spans="1:59" x14ac:dyDescent="0.2">
      <c r="A152" t="s">
        <v>42</v>
      </c>
      <c r="B152" t="s">
        <v>43</v>
      </c>
      <c r="C152">
        <v>20200101</v>
      </c>
      <c r="D152">
        <v>2020</v>
      </c>
      <c r="E152">
        <v>52</v>
      </c>
      <c r="F152" t="s">
        <v>271</v>
      </c>
      <c r="G152">
        <v>422</v>
      </c>
      <c r="H152" t="s">
        <v>164</v>
      </c>
      <c r="I152" t="s">
        <v>165</v>
      </c>
      <c r="J152" t="s">
        <v>47</v>
      </c>
      <c r="K152" t="s">
        <v>48</v>
      </c>
      <c r="L152">
        <v>0</v>
      </c>
      <c r="M152" t="s">
        <v>49</v>
      </c>
      <c r="N152" t="s">
        <v>50</v>
      </c>
      <c r="O152">
        <v>0</v>
      </c>
      <c r="P152" t="s">
        <v>49</v>
      </c>
      <c r="Q152" t="s">
        <v>50</v>
      </c>
      <c r="R152" t="s">
        <v>51</v>
      </c>
      <c r="S152" t="s">
        <v>52</v>
      </c>
      <c r="T152" t="b">
        <v>1</v>
      </c>
      <c r="U152" t="s">
        <v>53</v>
      </c>
      <c r="V152" t="s">
        <v>54</v>
      </c>
      <c r="W152">
        <v>4</v>
      </c>
      <c r="X152" t="b">
        <v>0</v>
      </c>
      <c r="Y152" t="s">
        <v>55</v>
      </c>
      <c r="Z152" t="s">
        <v>56</v>
      </c>
      <c r="AA152" t="s">
        <v>57</v>
      </c>
      <c r="AB152">
        <v>0</v>
      </c>
      <c r="AC152" t="s">
        <v>58</v>
      </c>
      <c r="AD152">
        <v>8</v>
      </c>
      <c r="AE152" t="s">
        <v>59</v>
      </c>
      <c r="AF152">
        <v>275</v>
      </c>
      <c r="AG152" t="b">
        <v>0</v>
      </c>
      <c r="AH152">
        <v>8</v>
      </c>
      <c r="AI152" t="s">
        <v>59</v>
      </c>
      <c r="AJ152">
        <v>275</v>
      </c>
      <c r="AK152" t="b">
        <v>0</v>
      </c>
      <c r="AL152">
        <v>275</v>
      </c>
      <c r="AM152" t="b">
        <v>0</v>
      </c>
      <c r="AN152">
        <v>0</v>
      </c>
      <c r="AO152" t="b">
        <v>0</v>
      </c>
      <c r="AP152">
        <v>0</v>
      </c>
      <c r="AQ152">
        <v>115</v>
      </c>
      <c r="AR152">
        <v>115</v>
      </c>
      <c r="AS152">
        <v>0</v>
      </c>
      <c r="AT152" t="b">
        <v>0</v>
      </c>
      <c r="AU152" t="b">
        <v>1</v>
      </c>
      <c r="BA152" t="str">
        <f t="shared" si="4"/>
        <v>Normal</v>
      </c>
      <c r="BG152" t="str">
        <f t="shared" si="5"/>
        <v>Normal</v>
      </c>
    </row>
    <row r="153" spans="1:59" x14ac:dyDescent="0.2">
      <c r="A153" t="s">
        <v>42</v>
      </c>
      <c r="B153" t="s">
        <v>43</v>
      </c>
      <c r="C153">
        <v>20200101</v>
      </c>
      <c r="D153">
        <v>2020</v>
      </c>
      <c r="E153">
        <v>52</v>
      </c>
      <c r="F153" t="s">
        <v>271</v>
      </c>
      <c r="G153">
        <v>428</v>
      </c>
      <c r="H153" t="s">
        <v>166</v>
      </c>
      <c r="I153" t="s">
        <v>167</v>
      </c>
      <c r="J153" t="s">
        <v>47</v>
      </c>
      <c r="K153" t="s">
        <v>48</v>
      </c>
      <c r="L153">
        <v>0</v>
      </c>
      <c r="M153" t="s">
        <v>49</v>
      </c>
      <c r="N153" t="s">
        <v>50</v>
      </c>
      <c r="O153">
        <v>0</v>
      </c>
      <c r="P153" t="s">
        <v>49</v>
      </c>
      <c r="Q153" t="s">
        <v>50</v>
      </c>
      <c r="R153" t="s">
        <v>51</v>
      </c>
      <c r="S153" t="s">
        <v>52</v>
      </c>
      <c r="T153" t="b">
        <v>1</v>
      </c>
      <c r="U153" t="s">
        <v>53</v>
      </c>
      <c r="V153" t="s">
        <v>54</v>
      </c>
      <c r="W153">
        <v>4</v>
      </c>
      <c r="X153" t="b">
        <v>0</v>
      </c>
      <c r="Y153" t="s">
        <v>55</v>
      </c>
      <c r="Z153" t="s">
        <v>56</v>
      </c>
      <c r="AA153" t="s">
        <v>57</v>
      </c>
      <c r="AB153">
        <v>0</v>
      </c>
      <c r="AC153" t="s">
        <v>58</v>
      </c>
      <c r="AD153">
        <v>8</v>
      </c>
      <c r="AE153" t="s">
        <v>59</v>
      </c>
      <c r="AF153">
        <v>6087325</v>
      </c>
      <c r="AG153" t="b">
        <v>0</v>
      </c>
      <c r="AH153">
        <v>8</v>
      </c>
      <c r="AI153" t="s">
        <v>59</v>
      </c>
      <c r="AJ153">
        <v>6087325</v>
      </c>
      <c r="AK153" t="b">
        <v>0</v>
      </c>
      <c r="AL153">
        <v>6087325</v>
      </c>
      <c r="AM153" t="b">
        <v>0</v>
      </c>
      <c r="AN153">
        <v>0</v>
      </c>
      <c r="AO153" t="b">
        <v>0</v>
      </c>
      <c r="AQ153">
        <v>1789035.4580000001</v>
      </c>
      <c r="AR153">
        <v>1789035.4580000001</v>
      </c>
      <c r="AS153">
        <v>0</v>
      </c>
      <c r="AT153" t="b">
        <v>0</v>
      </c>
      <c r="AU153" t="b">
        <v>1</v>
      </c>
      <c r="BA153" t="str">
        <f t="shared" si="4"/>
        <v>Normal</v>
      </c>
      <c r="BG153" t="str">
        <f t="shared" si="5"/>
        <v>Normal</v>
      </c>
    </row>
    <row r="154" spans="1:59" x14ac:dyDescent="0.2">
      <c r="A154" t="s">
        <v>42</v>
      </c>
      <c r="B154" t="s">
        <v>43</v>
      </c>
      <c r="C154">
        <v>20200101</v>
      </c>
      <c r="D154">
        <v>2020</v>
      </c>
      <c r="E154">
        <v>52</v>
      </c>
      <c r="F154" t="s">
        <v>271</v>
      </c>
      <c r="G154">
        <v>440</v>
      </c>
      <c r="H154" t="s">
        <v>171</v>
      </c>
      <c r="I154" t="s">
        <v>172</v>
      </c>
      <c r="J154" t="s">
        <v>47</v>
      </c>
      <c r="K154" t="s">
        <v>48</v>
      </c>
      <c r="L154">
        <v>0</v>
      </c>
      <c r="M154" t="s">
        <v>49</v>
      </c>
      <c r="N154" t="s">
        <v>50</v>
      </c>
      <c r="O154">
        <v>0</v>
      </c>
      <c r="P154" t="s">
        <v>49</v>
      </c>
      <c r="Q154" t="s">
        <v>50</v>
      </c>
      <c r="R154" t="s">
        <v>51</v>
      </c>
      <c r="S154" t="s">
        <v>52</v>
      </c>
      <c r="T154" t="b">
        <v>1</v>
      </c>
      <c r="U154" t="s">
        <v>53</v>
      </c>
      <c r="V154" t="s">
        <v>54</v>
      </c>
      <c r="W154">
        <v>4</v>
      </c>
      <c r="X154" t="b">
        <v>0</v>
      </c>
      <c r="Y154" t="s">
        <v>55</v>
      </c>
      <c r="Z154" t="s">
        <v>56</v>
      </c>
      <c r="AA154" t="s">
        <v>57</v>
      </c>
      <c r="AB154">
        <v>0</v>
      </c>
      <c r="AC154" t="s">
        <v>58</v>
      </c>
      <c r="AD154">
        <v>8</v>
      </c>
      <c r="AE154" t="s">
        <v>59</v>
      </c>
      <c r="AF154">
        <v>36772520</v>
      </c>
      <c r="AG154" t="b">
        <v>0</v>
      </c>
      <c r="AH154">
        <v>8</v>
      </c>
      <c r="AI154" t="s">
        <v>59</v>
      </c>
      <c r="AJ154">
        <v>36772520</v>
      </c>
      <c r="AK154" t="b">
        <v>0</v>
      </c>
      <c r="AL154">
        <v>36772520</v>
      </c>
      <c r="AM154" t="b">
        <v>0</v>
      </c>
      <c r="AN154">
        <v>0</v>
      </c>
      <c r="AO154" t="b">
        <v>0</v>
      </c>
      <c r="AQ154">
        <v>12330124</v>
      </c>
      <c r="AR154">
        <v>12330124</v>
      </c>
      <c r="AS154">
        <v>0</v>
      </c>
      <c r="AT154" t="b">
        <v>0</v>
      </c>
      <c r="AU154" t="b">
        <v>1</v>
      </c>
      <c r="BA154" t="str">
        <f t="shared" si="4"/>
        <v>Normal</v>
      </c>
      <c r="BG154" t="str">
        <f t="shared" si="5"/>
        <v>Normal</v>
      </c>
    </row>
    <row r="155" spans="1:59" x14ac:dyDescent="0.2">
      <c r="A155" t="s">
        <v>42</v>
      </c>
      <c r="B155" t="s">
        <v>43</v>
      </c>
      <c r="C155">
        <v>20200101</v>
      </c>
      <c r="D155">
        <v>2020</v>
      </c>
      <c r="E155">
        <v>52</v>
      </c>
      <c r="F155" t="s">
        <v>271</v>
      </c>
      <c r="G155">
        <v>442</v>
      </c>
      <c r="H155" t="s">
        <v>173</v>
      </c>
      <c r="I155" t="s">
        <v>174</v>
      </c>
      <c r="J155" t="s">
        <v>47</v>
      </c>
      <c r="K155" t="s">
        <v>48</v>
      </c>
      <c r="L155">
        <v>0</v>
      </c>
      <c r="M155" t="s">
        <v>49</v>
      </c>
      <c r="N155" t="s">
        <v>50</v>
      </c>
      <c r="O155">
        <v>0</v>
      </c>
      <c r="P155" t="s">
        <v>49</v>
      </c>
      <c r="Q155" t="s">
        <v>50</v>
      </c>
      <c r="R155" t="s">
        <v>51</v>
      </c>
      <c r="S155" t="s">
        <v>52</v>
      </c>
      <c r="T155" t="b">
        <v>1</v>
      </c>
      <c r="U155" t="s">
        <v>53</v>
      </c>
      <c r="V155" t="s">
        <v>54</v>
      </c>
      <c r="W155">
        <v>4</v>
      </c>
      <c r="X155" t="b">
        <v>0</v>
      </c>
      <c r="Y155" t="s">
        <v>55</v>
      </c>
      <c r="Z155" t="s">
        <v>56</v>
      </c>
      <c r="AA155" t="s">
        <v>57</v>
      </c>
      <c r="AB155">
        <v>0</v>
      </c>
      <c r="AC155" t="s">
        <v>58</v>
      </c>
      <c r="AD155">
        <v>8</v>
      </c>
      <c r="AE155" t="s">
        <v>59</v>
      </c>
      <c r="AF155">
        <v>440</v>
      </c>
      <c r="AG155" t="b">
        <v>0</v>
      </c>
      <c r="AH155">
        <v>8</v>
      </c>
      <c r="AI155" t="s">
        <v>59</v>
      </c>
      <c r="AJ155">
        <v>440</v>
      </c>
      <c r="AK155" t="b">
        <v>0</v>
      </c>
      <c r="AL155">
        <v>440</v>
      </c>
      <c r="AM155" t="b">
        <v>0</v>
      </c>
      <c r="AN155">
        <v>0</v>
      </c>
      <c r="AO155" t="b">
        <v>0</v>
      </c>
      <c r="AP155">
        <v>0</v>
      </c>
      <c r="AQ155">
        <v>547.29499999999996</v>
      </c>
      <c r="AR155">
        <v>547.29499999999996</v>
      </c>
      <c r="AS155">
        <v>0</v>
      </c>
      <c r="AT155" t="b">
        <v>0</v>
      </c>
      <c r="AU155" t="b">
        <v>1</v>
      </c>
      <c r="BA155" t="str">
        <f t="shared" si="4"/>
        <v>Normal</v>
      </c>
      <c r="BG155" t="str">
        <f t="shared" si="5"/>
        <v>Normal</v>
      </c>
    </row>
    <row r="156" spans="1:59" x14ac:dyDescent="0.2">
      <c r="A156" t="s">
        <v>42</v>
      </c>
      <c r="B156" t="s">
        <v>43</v>
      </c>
      <c r="C156">
        <v>20200101</v>
      </c>
      <c r="D156">
        <v>2020</v>
      </c>
      <c r="E156">
        <v>52</v>
      </c>
      <c r="F156" t="s">
        <v>271</v>
      </c>
      <c r="G156">
        <v>458</v>
      </c>
      <c r="H156" t="s">
        <v>177</v>
      </c>
      <c r="I156" t="s">
        <v>178</v>
      </c>
      <c r="J156" t="s">
        <v>47</v>
      </c>
      <c r="K156" t="s">
        <v>48</v>
      </c>
      <c r="L156">
        <v>0</v>
      </c>
      <c r="M156" t="s">
        <v>49</v>
      </c>
      <c r="N156" t="s">
        <v>50</v>
      </c>
      <c r="O156">
        <v>0</v>
      </c>
      <c r="P156" t="s">
        <v>49</v>
      </c>
      <c r="Q156" t="s">
        <v>50</v>
      </c>
      <c r="R156" t="s">
        <v>51</v>
      </c>
      <c r="S156" t="s">
        <v>52</v>
      </c>
      <c r="T156" t="b">
        <v>1</v>
      </c>
      <c r="U156" t="s">
        <v>53</v>
      </c>
      <c r="V156" t="s">
        <v>54</v>
      </c>
      <c r="W156">
        <v>4</v>
      </c>
      <c r="X156" t="b">
        <v>0</v>
      </c>
      <c r="Y156" t="s">
        <v>55</v>
      </c>
      <c r="Z156" t="s">
        <v>56</v>
      </c>
      <c r="AA156" t="s">
        <v>57</v>
      </c>
      <c r="AB156">
        <v>0</v>
      </c>
      <c r="AC156" t="s">
        <v>58</v>
      </c>
      <c r="AD156">
        <v>8</v>
      </c>
      <c r="AE156" t="s">
        <v>59</v>
      </c>
      <c r="AF156">
        <v>13685320600</v>
      </c>
      <c r="AG156" t="b">
        <v>0</v>
      </c>
      <c r="AH156">
        <v>8</v>
      </c>
      <c r="AI156" t="s">
        <v>59</v>
      </c>
      <c r="AJ156">
        <v>13685320600</v>
      </c>
      <c r="AK156" t="b">
        <v>0</v>
      </c>
      <c r="AL156">
        <v>13685320600</v>
      </c>
      <c r="AM156" t="b">
        <v>0</v>
      </c>
      <c r="AN156">
        <v>0</v>
      </c>
      <c r="AO156" t="b">
        <v>0</v>
      </c>
      <c r="AP156">
        <v>0</v>
      </c>
      <c r="AQ156">
        <v>4696973705.0760002</v>
      </c>
      <c r="AR156">
        <v>4696973705.0760002</v>
      </c>
      <c r="AS156">
        <v>0</v>
      </c>
      <c r="AT156" t="b">
        <v>0</v>
      </c>
      <c r="AU156" t="b">
        <v>1</v>
      </c>
      <c r="BA156" t="str">
        <f t="shared" si="4"/>
        <v>Normal</v>
      </c>
      <c r="BG156" t="str">
        <f t="shared" si="5"/>
        <v>Normal</v>
      </c>
    </row>
    <row r="157" spans="1:59" x14ac:dyDescent="0.2">
      <c r="A157" t="s">
        <v>42</v>
      </c>
      <c r="B157" t="s">
        <v>43</v>
      </c>
      <c r="C157">
        <v>20200101</v>
      </c>
      <c r="D157">
        <v>2020</v>
      </c>
      <c r="E157">
        <v>52</v>
      </c>
      <c r="F157" t="s">
        <v>271</v>
      </c>
      <c r="G157">
        <v>484</v>
      </c>
      <c r="H157" t="s">
        <v>181</v>
      </c>
      <c r="I157" t="s">
        <v>182</v>
      </c>
      <c r="J157" t="s">
        <v>47</v>
      </c>
      <c r="K157" t="s">
        <v>48</v>
      </c>
      <c r="L157">
        <v>0</v>
      </c>
      <c r="M157" t="s">
        <v>49</v>
      </c>
      <c r="N157" t="s">
        <v>50</v>
      </c>
      <c r="O157">
        <v>0</v>
      </c>
      <c r="P157" t="s">
        <v>49</v>
      </c>
      <c r="Q157" t="s">
        <v>50</v>
      </c>
      <c r="R157" t="s">
        <v>104</v>
      </c>
      <c r="S157" t="s">
        <v>52</v>
      </c>
      <c r="T157" t="b">
        <v>1</v>
      </c>
      <c r="U157" t="s">
        <v>53</v>
      </c>
      <c r="V157" t="s">
        <v>54</v>
      </c>
      <c r="W157">
        <v>4</v>
      </c>
      <c r="X157" t="b">
        <v>0</v>
      </c>
      <c r="Y157" t="s">
        <v>55</v>
      </c>
      <c r="Z157" t="s">
        <v>56</v>
      </c>
      <c r="AA157" t="s">
        <v>57</v>
      </c>
      <c r="AB157">
        <v>0</v>
      </c>
      <c r="AC157" t="s">
        <v>58</v>
      </c>
      <c r="AD157">
        <v>8</v>
      </c>
      <c r="AE157" t="s">
        <v>59</v>
      </c>
      <c r="AF157">
        <v>48419567931.324997</v>
      </c>
      <c r="AG157" t="b">
        <v>1</v>
      </c>
      <c r="AH157">
        <v>-1</v>
      </c>
      <c r="AI157" t="s">
        <v>73</v>
      </c>
      <c r="AJ157">
        <v>0</v>
      </c>
      <c r="AK157" t="b">
        <v>0</v>
      </c>
      <c r="AL157">
        <v>48419567931.324997</v>
      </c>
      <c r="AM157" t="b">
        <v>1</v>
      </c>
      <c r="AN157">
        <v>0</v>
      </c>
      <c r="AO157" t="b">
        <v>0</v>
      </c>
      <c r="AQ157">
        <v>14683690556</v>
      </c>
      <c r="AR157">
        <v>14683690556</v>
      </c>
      <c r="AS157">
        <v>6</v>
      </c>
      <c r="AT157" t="b">
        <v>0</v>
      </c>
      <c r="AU157" t="b">
        <v>1</v>
      </c>
      <c r="BA157" t="str">
        <f t="shared" si="4"/>
        <v>Normal</v>
      </c>
      <c r="BG157" t="str">
        <f t="shared" si="5"/>
        <v>Normal</v>
      </c>
    </row>
    <row r="158" spans="1:59" x14ac:dyDescent="0.2">
      <c r="A158" t="s">
        <v>42</v>
      </c>
      <c r="B158" t="s">
        <v>43</v>
      </c>
      <c r="C158">
        <v>20200101</v>
      </c>
      <c r="D158">
        <v>2020</v>
      </c>
      <c r="E158">
        <v>52</v>
      </c>
      <c r="F158" t="s">
        <v>271</v>
      </c>
      <c r="G158">
        <v>496</v>
      </c>
      <c r="H158" t="s">
        <v>183</v>
      </c>
      <c r="I158" t="s">
        <v>184</v>
      </c>
      <c r="J158" t="s">
        <v>47</v>
      </c>
      <c r="K158" t="s">
        <v>48</v>
      </c>
      <c r="L158">
        <v>0</v>
      </c>
      <c r="M158" t="s">
        <v>49</v>
      </c>
      <c r="N158" t="s">
        <v>50</v>
      </c>
      <c r="O158">
        <v>0</v>
      </c>
      <c r="P158" t="s">
        <v>49</v>
      </c>
      <c r="Q158" t="s">
        <v>50</v>
      </c>
      <c r="R158" t="s">
        <v>51</v>
      </c>
      <c r="S158" t="s">
        <v>52</v>
      </c>
      <c r="T158" t="b">
        <v>1</v>
      </c>
      <c r="U158" t="s">
        <v>53</v>
      </c>
      <c r="V158" t="s">
        <v>54</v>
      </c>
      <c r="W158">
        <v>4</v>
      </c>
      <c r="X158" t="b">
        <v>0</v>
      </c>
      <c r="Y158" t="s">
        <v>55</v>
      </c>
      <c r="Z158" t="s">
        <v>56</v>
      </c>
      <c r="AA158" t="s">
        <v>57</v>
      </c>
      <c r="AB158">
        <v>0</v>
      </c>
      <c r="AC158" t="s">
        <v>58</v>
      </c>
      <c r="AD158">
        <v>8</v>
      </c>
      <c r="AE158" t="s">
        <v>59</v>
      </c>
      <c r="AF158">
        <v>554023744</v>
      </c>
      <c r="AG158" t="b">
        <v>0</v>
      </c>
      <c r="AH158">
        <v>19</v>
      </c>
      <c r="AI158" t="s">
        <v>60</v>
      </c>
      <c r="AJ158">
        <v>4070534.94</v>
      </c>
      <c r="AK158" t="b">
        <v>0</v>
      </c>
      <c r="AL158">
        <v>554023744</v>
      </c>
      <c r="AM158" t="b">
        <v>0</v>
      </c>
      <c r="AN158">
        <v>0</v>
      </c>
      <c r="AO158" t="b">
        <v>0</v>
      </c>
      <c r="AP158">
        <v>0</v>
      </c>
      <c r="AQ158">
        <v>150853239.46000001</v>
      </c>
      <c r="AR158">
        <v>150853239.46000001</v>
      </c>
      <c r="AS158">
        <v>0</v>
      </c>
      <c r="AT158" t="b">
        <v>0</v>
      </c>
      <c r="AU158" t="b">
        <v>1</v>
      </c>
      <c r="BA158" t="str">
        <f t="shared" si="4"/>
        <v>Normal</v>
      </c>
      <c r="BG158" t="str">
        <f t="shared" si="5"/>
        <v>Normal</v>
      </c>
    </row>
    <row r="159" spans="1:59" x14ac:dyDescent="0.2">
      <c r="A159" t="s">
        <v>42</v>
      </c>
      <c r="B159" t="s">
        <v>43</v>
      </c>
      <c r="C159">
        <v>20200101</v>
      </c>
      <c r="D159">
        <v>2020</v>
      </c>
      <c r="E159">
        <v>52</v>
      </c>
      <c r="F159" t="s">
        <v>271</v>
      </c>
      <c r="G159">
        <v>498</v>
      </c>
      <c r="H159" t="s">
        <v>185</v>
      </c>
      <c r="I159" t="s">
        <v>186</v>
      </c>
      <c r="J159" t="s">
        <v>47</v>
      </c>
      <c r="K159" t="s">
        <v>48</v>
      </c>
      <c r="L159">
        <v>0</v>
      </c>
      <c r="M159" t="s">
        <v>49</v>
      </c>
      <c r="N159" t="s">
        <v>50</v>
      </c>
      <c r="O159">
        <v>0</v>
      </c>
      <c r="P159" t="s">
        <v>49</v>
      </c>
      <c r="Q159" t="s">
        <v>50</v>
      </c>
      <c r="R159" t="s">
        <v>51</v>
      </c>
      <c r="S159" t="s">
        <v>52</v>
      </c>
      <c r="T159" t="b">
        <v>1</v>
      </c>
      <c r="U159" t="s">
        <v>53</v>
      </c>
      <c r="V159" t="s">
        <v>54</v>
      </c>
      <c r="W159">
        <v>4</v>
      </c>
      <c r="X159" t="b">
        <v>0</v>
      </c>
      <c r="Y159" t="s">
        <v>55</v>
      </c>
      <c r="Z159" t="s">
        <v>56</v>
      </c>
      <c r="AA159" t="s">
        <v>57</v>
      </c>
      <c r="AB159">
        <v>0</v>
      </c>
      <c r="AC159" t="s">
        <v>58</v>
      </c>
      <c r="AD159">
        <v>8</v>
      </c>
      <c r="AE159" t="s">
        <v>59</v>
      </c>
      <c r="AF159">
        <v>4297520</v>
      </c>
      <c r="AG159" t="b">
        <v>0</v>
      </c>
      <c r="AH159">
        <v>8</v>
      </c>
      <c r="AI159" t="s">
        <v>59</v>
      </c>
      <c r="AJ159">
        <v>4297520</v>
      </c>
      <c r="AK159" t="b">
        <v>0</v>
      </c>
      <c r="AL159">
        <v>4297520</v>
      </c>
      <c r="AM159" t="b">
        <v>0</v>
      </c>
      <c r="AN159">
        <v>0</v>
      </c>
      <c r="AO159" t="b">
        <v>0</v>
      </c>
      <c r="AP159">
        <v>0</v>
      </c>
      <c r="AQ159">
        <v>833265</v>
      </c>
      <c r="AR159">
        <v>833265</v>
      </c>
      <c r="AS159">
        <v>0</v>
      </c>
      <c r="AT159" t="b">
        <v>0</v>
      </c>
      <c r="AU159" t="b">
        <v>1</v>
      </c>
      <c r="BA159" t="str">
        <f t="shared" si="4"/>
        <v>Normal</v>
      </c>
      <c r="BG159" t="str">
        <f t="shared" si="5"/>
        <v>Normal</v>
      </c>
    </row>
    <row r="160" spans="1:59" x14ac:dyDescent="0.2">
      <c r="A160" t="s">
        <v>42</v>
      </c>
      <c r="B160" t="s">
        <v>43</v>
      </c>
      <c r="C160">
        <v>20200101</v>
      </c>
      <c r="D160">
        <v>2020</v>
      </c>
      <c r="E160">
        <v>52</v>
      </c>
      <c r="F160" t="s">
        <v>271</v>
      </c>
      <c r="G160">
        <v>512</v>
      </c>
      <c r="H160" t="s">
        <v>187</v>
      </c>
      <c r="I160" t="s">
        <v>188</v>
      </c>
      <c r="J160" t="s">
        <v>47</v>
      </c>
      <c r="K160" t="s">
        <v>48</v>
      </c>
      <c r="L160">
        <v>0</v>
      </c>
      <c r="M160" t="s">
        <v>49</v>
      </c>
      <c r="N160" t="s">
        <v>50</v>
      </c>
      <c r="O160">
        <v>0</v>
      </c>
      <c r="P160" t="s">
        <v>49</v>
      </c>
      <c r="Q160" t="s">
        <v>50</v>
      </c>
      <c r="R160" t="s">
        <v>51</v>
      </c>
      <c r="S160" t="s">
        <v>52</v>
      </c>
      <c r="T160" t="b">
        <v>1</v>
      </c>
      <c r="U160" t="s">
        <v>53</v>
      </c>
      <c r="V160" t="s">
        <v>54</v>
      </c>
      <c r="W160">
        <v>4</v>
      </c>
      <c r="X160" t="b">
        <v>0</v>
      </c>
      <c r="Y160" t="s">
        <v>55</v>
      </c>
      <c r="Z160" t="s">
        <v>56</v>
      </c>
      <c r="AA160" t="s">
        <v>57</v>
      </c>
      <c r="AB160">
        <v>0</v>
      </c>
      <c r="AC160" t="s">
        <v>58</v>
      </c>
      <c r="AD160">
        <v>8</v>
      </c>
      <c r="AE160" t="s">
        <v>59</v>
      </c>
      <c r="AF160">
        <v>43339847820.652</v>
      </c>
      <c r="AG160" t="b">
        <v>1</v>
      </c>
      <c r="AH160">
        <v>-1</v>
      </c>
      <c r="AI160" t="s">
        <v>73</v>
      </c>
      <c r="AJ160">
        <v>0</v>
      </c>
      <c r="AK160" t="b">
        <v>0</v>
      </c>
      <c r="AL160">
        <v>43339847820.652</v>
      </c>
      <c r="AM160" t="b">
        <v>1</v>
      </c>
      <c r="AN160">
        <v>0</v>
      </c>
      <c r="AO160" t="b">
        <v>0</v>
      </c>
      <c r="AQ160">
        <v>13143217532.325001</v>
      </c>
      <c r="AR160">
        <v>13143217532.325001</v>
      </c>
      <c r="AS160">
        <v>6</v>
      </c>
      <c r="AT160" t="b">
        <v>0</v>
      </c>
      <c r="AU160" t="b">
        <v>1</v>
      </c>
      <c r="BA160" t="str">
        <f t="shared" si="4"/>
        <v>Normal</v>
      </c>
      <c r="BG160" t="str">
        <f t="shared" si="5"/>
        <v>Normal</v>
      </c>
    </row>
    <row r="161" spans="1:59" x14ac:dyDescent="0.2">
      <c r="A161" t="s">
        <v>42</v>
      </c>
      <c r="B161" t="s">
        <v>43</v>
      </c>
      <c r="C161">
        <v>20200101</v>
      </c>
      <c r="D161">
        <v>2020</v>
      </c>
      <c r="E161">
        <v>52</v>
      </c>
      <c r="F161" t="s">
        <v>271</v>
      </c>
      <c r="G161">
        <v>516</v>
      </c>
      <c r="H161" t="s">
        <v>189</v>
      </c>
      <c r="I161" t="s">
        <v>190</v>
      </c>
      <c r="J161" t="s">
        <v>47</v>
      </c>
      <c r="K161" t="s">
        <v>48</v>
      </c>
      <c r="L161">
        <v>0</v>
      </c>
      <c r="M161" t="s">
        <v>49</v>
      </c>
      <c r="N161" t="s">
        <v>50</v>
      </c>
      <c r="O161">
        <v>0</v>
      </c>
      <c r="P161" t="s">
        <v>49</v>
      </c>
      <c r="Q161" t="s">
        <v>50</v>
      </c>
      <c r="R161" t="s">
        <v>51</v>
      </c>
      <c r="S161" t="s">
        <v>52</v>
      </c>
      <c r="T161" t="b">
        <v>1</v>
      </c>
      <c r="U161" t="s">
        <v>53</v>
      </c>
      <c r="V161" t="s">
        <v>54</v>
      </c>
      <c r="W161">
        <v>4</v>
      </c>
      <c r="X161" t="b">
        <v>0</v>
      </c>
      <c r="Y161" t="s">
        <v>55</v>
      </c>
      <c r="Z161" t="s">
        <v>56</v>
      </c>
      <c r="AA161" t="s">
        <v>57</v>
      </c>
      <c r="AB161">
        <v>0</v>
      </c>
      <c r="AC161" t="s">
        <v>58</v>
      </c>
      <c r="AD161">
        <v>8</v>
      </c>
      <c r="AE161" t="s">
        <v>59</v>
      </c>
      <c r="AF161">
        <v>16620.374</v>
      </c>
      <c r="AG161" t="b">
        <v>1</v>
      </c>
      <c r="AH161">
        <v>-1</v>
      </c>
      <c r="AI161" t="s">
        <v>73</v>
      </c>
      <c r="AJ161">
        <v>0</v>
      </c>
      <c r="AK161" t="b">
        <v>0</v>
      </c>
      <c r="AL161">
        <v>16620.374</v>
      </c>
      <c r="AM161" t="b">
        <v>1</v>
      </c>
      <c r="AN161">
        <v>0</v>
      </c>
      <c r="AO161" t="b">
        <v>0</v>
      </c>
      <c r="AQ161">
        <v>59765.006999999998</v>
      </c>
      <c r="AR161">
        <v>59765.006999999998</v>
      </c>
      <c r="AS161">
        <v>6</v>
      </c>
      <c r="AT161" t="b">
        <v>0</v>
      </c>
      <c r="AU161" t="b">
        <v>1</v>
      </c>
      <c r="BA161" t="str">
        <f t="shared" si="4"/>
        <v>Normal</v>
      </c>
      <c r="BG161" t="str">
        <f t="shared" si="5"/>
        <v>Normal</v>
      </c>
    </row>
    <row r="162" spans="1:59" x14ac:dyDescent="0.2">
      <c r="A162" t="s">
        <v>42</v>
      </c>
      <c r="B162" t="s">
        <v>43</v>
      </c>
      <c r="C162">
        <v>20200101</v>
      </c>
      <c r="D162">
        <v>2020</v>
      </c>
      <c r="E162">
        <v>52</v>
      </c>
      <c r="F162" t="s">
        <v>271</v>
      </c>
      <c r="G162">
        <v>528</v>
      </c>
      <c r="H162" t="s">
        <v>191</v>
      </c>
      <c r="I162" t="s">
        <v>192</v>
      </c>
      <c r="J162" t="s">
        <v>47</v>
      </c>
      <c r="K162" t="s">
        <v>48</v>
      </c>
      <c r="L162">
        <v>0</v>
      </c>
      <c r="M162" t="s">
        <v>49</v>
      </c>
      <c r="N162" t="s">
        <v>50</v>
      </c>
      <c r="O162">
        <v>0</v>
      </c>
      <c r="P162" t="s">
        <v>49</v>
      </c>
      <c r="Q162" t="s">
        <v>50</v>
      </c>
      <c r="R162" t="s">
        <v>51</v>
      </c>
      <c r="S162" t="s">
        <v>52</v>
      </c>
      <c r="T162" t="b">
        <v>1</v>
      </c>
      <c r="U162" t="s">
        <v>53</v>
      </c>
      <c r="V162" t="s">
        <v>54</v>
      </c>
      <c r="W162">
        <v>4</v>
      </c>
      <c r="X162" t="b">
        <v>0</v>
      </c>
      <c r="Y162" t="s">
        <v>55</v>
      </c>
      <c r="Z162" t="s">
        <v>56</v>
      </c>
      <c r="AA162" t="s">
        <v>57</v>
      </c>
      <c r="AB162">
        <v>0</v>
      </c>
      <c r="AC162" t="s">
        <v>58</v>
      </c>
      <c r="AD162">
        <v>8</v>
      </c>
      <c r="AE162" t="s">
        <v>59</v>
      </c>
      <c r="AF162">
        <v>191919700</v>
      </c>
      <c r="AG162" t="b">
        <v>0</v>
      </c>
      <c r="AH162">
        <v>8</v>
      </c>
      <c r="AI162" t="s">
        <v>59</v>
      </c>
      <c r="AJ162">
        <v>191919700</v>
      </c>
      <c r="AK162" t="b">
        <v>0</v>
      </c>
      <c r="AL162">
        <v>191919700</v>
      </c>
      <c r="AM162" t="b">
        <v>0</v>
      </c>
      <c r="AN162">
        <v>0</v>
      </c>
      <c r="AO162" t="b">
        <v>0</v>
      </c>
      <c r="AP162">
        <v>0</v>
      </c>
      <c r="AQ162">
        <v>67889319.296000004</v>
      </c>
      <c r="AR162">
        <v>67889319.296000004</v>
      </c>
      <c r="AS162">
        <v>0</v>
      </c>
      <c r="AT162" t="b">
        <v>0</v>
      </c>
      <c r="AU162" t="b">
        <v>1</v>
      </c>
      <c r="BA162" t="str">
        <f t="shared" si="4"/>
        <v>Normal</v>
      </c>
      <c r="BG162" t="str">
        <f t="shared" si="5"/>
        <v>Normal</v>
      </c>
    </row>
    <row r="163" spans="1:59" x14ac:dyDescent="0.2">
      <c r="A163" t="s">
        <v>42</v>
      </c>
      <c r="B163" t="s">
        <v>43</v>
      </c>
      <c r="C163">
        <v>20200101</v>
      </c>
      <c r="D163">
        <v>2020</v>
      </c>
      <c r="E163">
        <v>52</v>
      </c>
      <c r="F163" t="s">
        <v>271</v>
      </c>
      <c r="G163">
        <v>533</v>
      </c>
      <c r="H163" t="s">
        <v>193</v>
      </c>
      <c r="I163" t="s">
        <v>194</v>
      </c>
      <c r="J163" t="s">
        <v>47</v>
      </c>
      <c r="K163" t="s">
        <v>48</v>
      </c>
      <c r="L163">
        <v>0</v>
      </c>
      <c r="M163" t="s">
        <v>49</v>
      </c>
      <c r="N163" t="s">
        <v>50</v>
      </c>
      <c r="O163">
        <v>0</v>
      </c>
      <c r="P163" t="s">
        <v>49</v>
      </c>
      <c r="Q163" t="s">
        <v>50</v>
      </c>
      <c r="R163" t="s">
        <v>104</v>
      </c>
      <c r="S163" t="s">
        <v>52</v>
      </c>
      <c r="T163" t="b">
        <v>1</v>
      </c>
      <c r="U163" t="s">
        <v>53</v>
      </c>
      <c r="V163" t="s">
        <v>54</v>
      </c>
      <c r="W163">
        <v>4</v>
      </c>
      <c r="X163" t="b">
        <v>0</v>
      </c>
      <c r="Y163" t="s">
        <v>55</v>
      </c>
      <c r="Z163" t="s">
        <v>56</v>
      </c>
      <c r="AA163" t="s">
        <v>57</v>
      </c>
      <c r="AB163">
        <v>0</v>
      </c>
      <c r="AC163" t="s">
        <v>58</v>
      </c>
      <c r="AD163">
        <v>8</v>
      </c>
      <c r="AE163" t="s">
        <v>59</v>
      </c>
      <c r="AF163">
        <v>1</v>
      </c>
      <c r="AG163" t="b">
        <v>0</v>
      </c>
      <c r="AH163">
        <v>8</v>
      </c>
      <c r="AI163" t="s">
        <v>59</v>
      </c>
      <c r="AJ163">
        <v>1</v>
      </c>
      <c r="AK163" t="b">
        <v>0</v>
      </c>
      <c r="AL163">
        <v>1</v>
      </c>
      <c r="AM163" t="b">
        <v>0</v>
      </c>
      <c r="AN163">
        <v>0</v>
      </c>
      <c r="AO163" t="b">
        <v>0</v>
      </c>
      <c r="AP163">
        <v>0</v>
      </c>
      <c r="AQ163">
        <v>2.2349999999999999</v>
      </c>
      <c r="AR163">
        <v>2.2349999999999999</v>
      </c>
      <c r="AS163">
        <v>0</v>
      </c>
      <c r="AT163" t="b">
        <v>0</v>
      </c>
      <c r="AU163" t="b">
        <v>1</v>
      </c>
      <c r="BA163" t="str">
        <f t="shared" si="4"/>
        <v>Normal</v>
      </c>
      <c r="BG163" t="str">
        <f t="shared" si="5"/>
        <v>Normal</v>
      </c>
    </row>
    <row r="164" spans="1:59" x14ac:dyDescent="0.2">
      <c r="A164" t="s">
        <v>42</v>
      </c>
      <c r="B164" t="s">
        <v>43</v>
      </c>
      <c r="C164">
        <v>20200101</v>
      </c>
      <c r="D164">
        <v>2020</v>
      </c>
      <c r="E164">
        <v>52</v>
      </c>
      <c r="F164" t="s">
        <v>271</v>
      </c>
      <c r="G164">
        <v>554</v>
      </c>
      <c r="H164" t="s">
        <v>195</v>
      </c>
      <c r="I164" t="s">
        <v>196</v>
      </c>
      <c r="J164" t="s">
        <v>47</v>
      </c>
      <c r="K164" t="s">
        <v>48</v>
      </c>
      <c r="L164">
        <v>0</v>
      </c>
      <c r="M164" t="s">
        <v>49</v>
      </c>
      <c r="N164" t="s">
        <v>50</v>
      </c>
      <c r="O164">
        <v>0</v>
      </c>
      <c r="P164" t="s">
        <v>49</v>
      </c>
      <c r="Q164" t="s">
        <v>50</v>
      </c>
      <c r="R164" t="s">
        <v>51</v>
      </c>
      <c r="S164" t="s">
        <v>52</v>
      </c>
      <c r="T164" t="b">
        <v>1</v>
      </c>
      <c r="U164" t="s">
        <v>53</v>
      </c>
      <c r="V164" t="s">
        <v>54</v>
      </c>
      <c r="W164">
        <v>4</v>
      </c>
      <c r="X164" t="b">
        <v>0</v>
      </c>
      <c r="Y164" t="s">
        <v>55</v>
      </c>
      <c r="Z164" t="s">
        <v>56</v>
      </c>
      <c r="AA164" t="s">
        <v>57</v>
      </c>
      <c r="AB164">
        <v>0</v>
      </c>
      <c r="AC164" t="s">
        <v>58</v>
      </c>
      <c r="AD164">
        <v>8</v>
      </c>
      <c r="AE164" t="s">
        <v>59</v>
      </c>
      <c r="AF164">
        <v>876903183.06900001</v>
      </c>
      <c r="AG164" t="b">
        <v>1</v>
      </c>
      <c r="AH164">
        <v>-1</v>
      </c>
      <c r="AI164" t="s">
        <v>73</v>
      </c>
      <c r="AJ164">
        <v>0</v>
      </c>
      <c r="AK164" t="b">
        <v>0</v>
      </c>
      <c r="AL164">
        <v>876903183.06900001</v>
      </c>
      <c r="AM164" t="b">
        <v>1</v>
      </c>
      <c r="AN164">
        <v>0</v>
      </c>
      <c r="AO164" t="b">
        <v>0</v>
      </c>
      <c r="AQ164">
        <v>276729578.01999998</v>
      </c>
      <c r="AR164">
        <v>276729578.01999998</v>
      </c>
      <c r="AS164">
        <v>6</v>
      </c>
      <c r="AT164" t="b">
        <v>0</v>
      </c>
      <c r="AU164" t="b">
        <v>1</v>
      </c>
      <c r="BA164" t="str">
        <f t="shared" si="4"/>
        <v>Normal</v>
      </c>
      <c r="BG164" t="str">
        <f t="shared" si="5"/>
        <v>Normal</v>
      </c>
    </row>
    <row r="165" spans="1:59" x14ac:dyDescent="0.2">
      <c r="A165" t="s">
        <v>42</v>
      </c>
      <c r="B165" t="s">
        <v>43</v>
      </c>
      <c r="C165">
        <v>20200101</v>
      </c>
      <c r="D165">
        <v>2020</v>
      </c>
      <c r="E165">
        <v>52</v>
      </c>
      <c r="F165" t="s">
        <v>271</v>
      </c>
      <c r="G165">
        <v>558</v>
      </c>
      <c r="H165" t="s">
        <v>279</v>
      </c>
      <c r="I165" t="s">
        <v>280</v>
      </c>
      <c r="J165" t="s">
        <v>47</v>
      </c>
      <c r="K165" t="s">
        <v>48</v>
      </c>
      <c r="L165">
        <v>0</v>
      </c>
      <c r="M165" t="s">
        <v>49</v>
      </c>
      <c r="N165" t="s">
        <v>50</v>
      </c>
      <c r="O165">
        <v>0</v>
      </c>
      <c r="P165" t="s">
        <v>49</v>
      </c>
      <c r="Q165" t="s">
        <v>50</v>
      </c>
      <c r="R165" t="s">
        <v>51</v>
      </c>
      <c r="S165" t="s">
        <v>52</v>
      </c>
      <c r="T165" t="b">
        <v>1</v>
      </c>
      <c r="U165" t="s">
        <v>53</v>
      </c>
      <c r="V165" t="s">
        <v>54</v>
      </c>
      <c r="W165">
        <v>4</v>
      </c>
      <c r="X165" t="b">
        <v>0</v>
      </c>
      <c r="Y165" t="s">
        <v>55</v>
      </c>
      <c r="Z165" t="s">
        <v>56</v>
      </c>
      <c r="AA165" t="s">
        <v>57</v>
      </c>
      <c r="AB165">
        <v>0</v>
      </c>
      <c r="AC165" t="s">
        <v>58</v>
      </c>
      <c r="AD165">
        <v>8</v>
      </c>
      <c r="AE165" t="s">
        <v>59</v>
      </c>
      <c r="AF165">
        <v>4.4000000000000004</v>
      </c>
      <c r="AG165" t="b">
        <v>0</v>
      </c>
      <c r="AH165">
        <v>8</v>
      </c>
      <c r="AI165" t="s">
        <v>59</v>
      </c>
      <c r="AJ165">
        <v>4.4000000000000004</v>
      </c>
      <c r="AK165" t="b">
        <v>0</v>
      </c>
      <c r="AL165">
        <v>4.4000000000000004</v>
      </c>
      <c r="AM165" t="b">
        <v>0</v>
      </c>
      <c r="AN165">
        <v>0</v>
      </c>
      <c r="AO165" t="b">
        <v>0</v>
      </c>
      <c r="AP165">
        <v>0</v>
      </c>
      <c r="AQ165">
        <v>51</v>
      </c>
      <c r="AR165">
        <v>51</v>
      </c>
      <c r="AS165">
        <v>0</v>
      </c>
      <c r="AT165" t="b">
        <v>0</v>
      </c>
      <c r="AU165" t="b">
        <v>1</v>
      </c>
      <c r="BA165" t="str">
        <f t="shared" si="4"/>
        <v>Normal</v>
      </c>
      <c r="BG165" t="str">
        <f t="shared" si="5"/>
        <v>Normal</v>
      </c>
    </row>
    <row r="166" spans="1:59" x14ac:dyDescent="0.2">
      <c r="A166" t="s">
        <v>42</v>
      </c>
      <c r="B166" t="s">
        <v>43</v>
      </c>
      <c r="C166">
        <v>20200101</v>
      </c>
      <c r="D166">
        <v>2020</v>
      </c>
      <c r="E166">
        <v>52</v>
      </c>
      <c r="F166" t="s">
        <v>271</v>
      </c>
      <c r="G166">
        <v>566</v>
      </c>
      <c r="H166" t="s">
        <v>197</v>
      </c>
      <c r="I166" t="s">
        <v>198</v>
      </c>
      <c r="J166" t="s">
        <v>47</v>
      </c>
      <c r="K166" t="s">
        <v>48</v>
      </c>
      <c r="L166">
        <v>0</v>
      </c>
      <c r="M166" t="s">
        <v>49</v>
      </c>
      <c r="N166" t="s">
        <v>50</v>
      </c>
      <c r="O166">
        <v>0</v>
      </c>
      <c r="P166" t="s">
        <v>49</v>
      </c>
      <c r="Q166" t="s">
        <v>50</v>
      </c>
      <c r="R166" t="s">
        <v>104</v>
      </c>
      <c r="S166" t="s">
        <v>52</v>
      </c>
      <c r="T166" t="b">
        <v>1</v>
      </c>
      <c r="U166" t="s">
        <v>53</v>
      </c>
      <c r="V166" t="s">
        <v>54</v>
      </c>
      <c r="W166">
        <v>4</v>
      </c>
      <c r="X166" t="b">
        <v>0</v>
      </c>
      <c r="Y166" t="s">
        <v>55</v>
      </c>
      <c r="Z166" t="s">
        <v>56</v>
      </c>
      <c r="AA166" t="s">
        <v>57</v>
      </c>
      <c r="AB166">
        <v>0</v>
      </c>
      <c r="AC166" t="s">
        <v>58</v>
      </c>
      <c r="AD166">
        <v>8</v>
      </c>
      <c r="AE166" t="s">
        <v>59</v>
      </c>
      <c r="AF166">
        <v>89594686600</v>
      </c>
      <c r="AG166" t="b">
        <v>0</v>
      </c>
      <c r="AH166">
        <v>8</v>
      </c>
      <c r="AI166" t="s">
        <v>59</v>
      </c>
      <c r="AJ166">
        <v>89594686600</v>
      </c>
      <c r="AK166" t="b">
        <v>0</v>
      </c>
      <c r="AL166">
        <v>89594686600</v>
      </c>
      <c r="AM166" t="b">
        <v>0</v>
      </c>
      <c r="AN166">
        <v>0</v>
      </c>
      <c r="AO166" t="b">
        <v>0</v>
      </c>
      <c r="AP166">
        <v>0</v>
      </c>
      <c r="AQ166">
        <v>26322067330.493</v>
      </c>
      <c r="AR166">
        <v>26322067330.493</v>
      </c>
      <c r="AS166">
        <v>0</v>
      </c>
      <c r="AT166" t="b">
        <v>0</v>
      </c>
      <c r="AU166" t="b">
        <v>1</v>
      </c>
      <c r="BA166" t="str">
        <f t="shared" si="4"/>
        <v>Normal</v>
      </c>
      <c r="BG166" t="str">
        <f t="shared" si="5"/>
        <v>Normal</v>
      </c>
    </row>
    <row r="167" spans="1:59" x14ac:dyDescent="0.2">
      <c r="A167" t="s">
        <v>42</v>
      </c>
      <c r="B167" t="s">
        <v>43</v>
      </c>
      <c r="C167">
        <v>20200101</v>
      </c>
      <c r="D167">
        <v>2020</v>
      </c>
      <c r="E167">
        <v>52</v>
      </c>
      <c r="F167" t="s">
        <v>271</v>
      </c>
      <c r="G167">
        <v>579</v>
      </c>
      <c r="H167" t="s">
        <v>199</v>
      </c>
      <c r="I167" t="s">
        <v>200</v>
      </c>
      <c r="J167" t="s">
        <v>47</v>
      </c>
      <c r="K167" t="s">
        <v>48</v>
      </c>
      <c r="L167">
        <v>0</v>
      </c>
      <c r="M167" t="s">
        <v>49</v>
      </c>
      <c r="N167" t="s">
        <v>50</v>
      </c>
      <c r="O167">
        <v>0</v>
      </c>
      <c r="P167" t="s">
        <v>49</v>
      </c>
      <c r="Q167" t="s">
        <v>50</v>
      </c>
      <c r="R167" t="s">
        <v>51</v>
      </c>
      <c r="S167" t="s">
        <v>52</v>
      </c>
      <c r="T167" t="b">
        <v>1</v>
      </c>
      <c r="U167" t="s">
        <v>53</v>
      </c>
      <c r="V167" t="s">
        <v>54</v>
      </c>
      <c r="W167">
        <v>4</v>
      </c>
      <c r="X167" t="b">
        <v>0</v>
      </c>
      <c r="Y167" t="s">
        <v>55</v>
      </c>
      <c r="Z167" t="s">
        <v>56</v>
      </c>
      <c r="AA167" t="s">
        <v>57</v>
      </c>
      <c r="AB167">
        <v>0</v>
      </c>
      <c r="AC167" t="s">
        <v>58</v>
      </c>
      <c r="AD167">
        <v>8</v>
      </c>
      <c r="AE167" t="s">
        <v>59</v>
      </c>
      <c r="AF167">
        <v>75958060280</v>
      </c>
      <c r="AG167" t="b">
        <v>0</v>
      </c>
      <c r="AH167">
        <v>-1</v>
      </c>
      <c r="AI167" t="s">
        <v>73</v>
      </c>
      <c r="AJ167">
        <v>0</v>
      </c>
      <c r="AK167" t="b">
        <v>0</v>
      </c>
      <c r="AL167">
        <v>75958060280</v>
      </c>
      <c r="AM167" t="b">
        <v>0</v>
      </c>
      <c r="AN167">
        <v>0</v>
      </c>
      <c r="AO167" t="b">
        <v>0</v>
      </c>
      <c r="AP167">
        <v>0</v>
      </c>
      <c r="AQ167">
        <v>22558847311.643002</v>
      </c>
      <c r="AR167">
        <v>22558847311.643002</v>
      </c>
      <c r="AS167">
        <v>0</v>
      </c>
      <c r="AT167" t="b">
        <v>0</v>
      </c>
      <c r="AU167" t="b">
        <v>1</v>
      </c>
      <c r="BA167" t="str">
        <f t="shared" si="4"/>
        <v>Normal</v>
      </c>
      <c r="BG167" t="str">
        <f t="shared" si="5"/>
        <v>Normal</v>
      </c>
    </row>
    <row r="168" spans="1:59" x14ac:dyDescent="0.2">
      <c r="A168" t="s">
        <v>42</v>
      </c>
      <c r="B168" t="s">
        <v>43</v>
      </c>
      <c r="C168">
        <v>20200101</v>
      </c>
      <c r="D168">
        <v>2020</v>
      </c>
      <c r="E168">
        <v>52</v>
      </c>
      <c r="F168" t="s">
        <v>271</v>
      </c>
      <c r="G168">
        <v>586</v>
      </c>
      <c r="H168" t="s">
        <v>201</v>
      </c>
      <c r="I168" t="s">
        <v>202</v>
      </c>
      <c r="J168" t="s">
        <v>47</v>
      </c>
      <c r="K168" t="s">
        <v>48</v>
      </c>
      <c r="L168">
        <v>0</v>
      </c>
      <c r="M168" t="s">
        <v>49</v>
      </c>
      <c r="N168" t="s">
        <v>50</v>
      </c>
      <c r="O168">
        <v>0</v>
      </c>
      <c r="P168" t="s">
        <v>49</v>
      </c>
      <c r="Q168" t="s">
        <v>50</v>
      </c>
      <c r="R168" t="s">
        <v>51</v>
      </c>
      <c r="S168" t="s">
        <v>52</v>
      </c>
      <c r="T168" t="b">
        <v>1</v>
      </c>
      <c r="U168" t="s">
        <v>53</v>
      </c>
      <c r="V168" t="s">
        <v>54</v>
      </c>
      <c r="W168">
        <v>4</v>
      </c>
      <c r="X168" t="b">
        <v>0</v>
      </c>
      <c r="Y168" t="s">
        <v>55</v>
      </c>
      <c r="Z168" t="s">
        <v>56</v>
      </c>
      <c r="AA168" t="s">
        <v>57</v>
      </c>
      <c r="AB168">
        <v>0</v>
      </c>
      <c r="AC168" t="s">
        <v>58</v>
      </c>
      <c r="AD168">
        <v>8</v>
      </c>
      <c r="AE168" t="s">
        <v>59</v>
      </c>
      <c r="AF168">
        <v>376507000</v>
      </c>
      <c r="AG168" t="b">
        <v>0</v>
      </c>
      <c r="AH168">
        <v>21</v>
      </c>
      <c r="AI168" t="s">
        <v>170</v>
      </c>
      <c r="AJ168">
        <v>376507</v>
      </c>
      <c r="AK168" t="b">
        <v>0</v>
      </c>
      <c r="AL168">
        <v>376507000</v>
      </c>
      <c r="AM168" t="b">
        <v>0</v>
      </c>
      <c r="AN168">
        <v>0</v>
      </c>
      <c r="AO168" t="b">
        <v>0</v>
      </c>
      <c r="AP168">
        <v>0</v>
      </c>
      <c r="AQ168">
        <v>119121643.862</v>
      </c>
      <c r="AR168">
        <v>119121643.862</v>
      </c>
      <c r="AS168">
        <v>0</v>
      </c>
      <c r="AT168" t="b">
        <v>0</v>
      </c>
      <c r="AU168" t="b">
        <v>1</v>
      </c>
      <c r="BA168" t="str">
        <f t="shared" si="4"/>
        <v>Normal</v>
      </c>
      <c r="BG168" t="str">
        <f t="shared" si="5"/>
        <v>Normal</v>
      </c>
    </row>
    <row r="169" spans="1:59" x14ac:dyDescent="0.2">
      <c r="A169" t="s">
        <v>42</v>
      </c>
      <c r="B169" t="s">
        <v>43</v>
      </c>
      <c r="C169">
        <v>20200101</v>
      </c>
      <c r="D169">
        <v>2020</v>
      </c>
      <c r="E169">
        <v>52</v>
      </c>
      <c r="F169" t="s">
        <v>271</v>
      </c>
      <c r="G169">
        <v>598</v>
      </c>
      <c r="H169" t="s">
        <v>203</v>
      </c>
      <c r="I169" t="s">
        <v>204</v>
      </c>
      <c r="J169" t="s">
        <v>47</v>
      </c>
      <c r="K169" t="s">
        <v>48</v>
      </c>
      <c r="L169">
        <v>0</v>
      </c>
      <c r="M169" t="s">
        <v>49</v>
      </c>
      <c r="N169" t="s">
        <v>50</v>
      </c>
      <c r="O169">
        <v>0</v>
      </c>
      <c r="P169" t="s">
        <v>49</v>
      </c>
      <c r="Q169" t="s">
        <v>50</v>
      </c>
      <c r="R169" t="s">
        <v>51</v>
      </c>
      <c r="S169" t="s">
        <v>52</v>
      </c>
      <c r="T169" t="b">
        <v>1</v>
      </c>
      <c r="U169" t="s">
        <v>53</v>
      </c>
      <c r="V169" t="s">
        <v>54</v>
      </c>
      <c r="W169">
        <v>4</v>
      </c>
      <c r="X169" t="b">
        <v>0</v>
      </c>
      <c r="Y169" t="s">
        <v>55</v>
      </c>
      <c r="Z169" t="s">
        <v>56</v>
      </c>
      <c r="AA169" t="s">
        <v>57</v>
      </c>
      <c r="AB169">
        <v>0</v>
      </c>
      <c r="AC169" t="s">
        <v>58</v>
      </c>
      <c r="AD169">
        <v>8</v>
      </c>
      <c r="AE169" t="s">
        <v>59</v>
      </c>
      <c r="AF169">
        <v>76423138.599999994</v>
      </c>
      <c r="AG169" t="b">
        <v>0</v>
      </c>
      <c r="AH169">
        <v>7</v>
      </c>
      <c r="AI169" t="s">
        <v>67</v>
      </c>
      <c r="AJ169">
        <v>76423138.599999994</v>
      </c>
      <c r="AK169" t="b">
        <v>0</v>
      </c>
      <c r="AL169">
        <v>76423138.599999994</v>
      </c>
      <c r="AM169" t="b">
        <v>0</v>
      </c>
      <c r="AN169">
        <v>0</v>
      </c>
      <c r="AO169" t="b">
        <v>0</v>
      </c>
      <c r="AQ169">
        <v>441126455.384</v>
      </c>
      <c r="AR169">
        <v>441126455.384</v>
      </c>
      <c r="AS169">
        <v>0</v>
      </c>
      <c r="AT169" t="b">
        <v>0</v>
      </c>
      <c r="AU169" t="b">
        <v>1</v>
      </c>
      <c r="BA169" t="str">
        <f t="shared" si="4"/>
        <v>Normal</v>
      </c>
      <c r="BG169" t="str">
        <f t="shared" si="5"/>
        <v>Normal</v>
      </c>
    </row>
    <row r="170" spans="1:59" x14ac:dyDescent="0.2">
      <c r="A170" t="s">
        <v>42</v>
      </c>
      <c r="B170" t="s">
        <v>43</v>
      </c>
      <c r="C170">
        <v>20200101</v>
      </c>
      <c r="D170">
        <v>2020</v>
      </c>
      <c r="E170">
        <v>52</v>
      </c>
      <c r="F170" t="s">
        <v>271</v>
      </c>
      <c r="G170">
        <v>604</v>
      </c>
      <c r="H170" t="s">
        <v>205</v>
      </c>
      <c r="I170" t="s">
        <v>206</v>
      </c>
      <c r="J170" t="s">
        <v>47</v>
      </c>
      <c r="K170" t="s">
        <v>48</v>
      </c>
      <c r="L170">
        <v>0</v>
      </c>
      <c r="M170" t="s">
        <v>49</v>
      </c>
      <c r="N170" t="s">
        <v>50</v>
      </c>
      <c r="O170">
        <v>0</v>
      </c>
      <c r="P170" t="s">
        <v>49</v>
      </c>
      <c r="Q170" t="s">
        <v>50</v>
      </c>
      <c r="R170" t="s">
        <v>51</v>
      </c>
      <c r="S170" t="s">
        <v>52</v>
      </c>
      <c r="T170" t="b">
        <v>1</v>
      </c>
      <c r="U170" t="s">
        <v>53</v>
      </c>
      <c r="V170" t="s">
        <v>54</v>
      </c>
      <c r="W170">
        <v>4</v>
      </c>
      <c r="X170" t="b">
        <v>0</v>
      </c>
      <c r="Y170" t="s">
        <v>55</v>
      </c>
      <c r="Z170" t="s">
        <v>56</v>
      </c>
      <c r="AA170" t="s">
        <v>57</v>
      </c>
      <c r="AB170">
        <v>0</v>
      </c>
      <c r="AC170" t="s">
        <v>58</v>
      </c>
      <c r="AD170">
        <v>8</v>
      </c>
      <c r="AE170" t="s">
        <v>59</v>
      </c>
      <c r="AF170">
        <v>576851055</v>
      </c>
      <c r="AG170" t="b">
        <v>0</v>
      </c>
      <c r="AH170">
        <v>12</v>
      </c>
      <c r="AI170" t="s">
        <v>70</v>
      </c>
      <c r="AJ170">
        <v>650043.62800000003</v>
      </c>
      <c r="AK170" t="b">
        <v>0</v>
      </c>
      <c r="AL170">
        <v>576851055</v>
      </c>
      <c r="AM170" t="b">
        <v>0</v>
      </c>
      <c r="AN170">
        <v>0</v>
      </c>
      <c r="AO170" t="b">
        <v>0</v>
      </c>
      <c r="AP170">
        <v>0</v>
      </c>
      <c r="AQ170">
        <v>151659630.28</v>
      </c>
      <c r="AR170">
        <v>151659630.28</v>
      </c>
      <c r="AS170">
        <v>0</v>
      </c>
      <c r="AT170" t="b">
        <v>0</v>
      </c>
      <c r="AU170" t="b">
        <v>1</v>
      </c>
      <c r="BA170" t="str">
        <f t="shared" si="4"/>
        <v>Normal</v>
      </c>
      <c r="BG170" t="str">
        <f t="shared" si="5"/>
        <v>Normal</v>
      </c>
    </row>
    <row r="171" spans="1:59" x14ac:dyDescent="0.2">
      <c r="A171" t="s">
        <v>42</v>
      </c>
      <c r="B171" t="s">
        <v>43</v>
      </c>
      <c r="C171">
        <v>20200101</v>
      </c>
      <c r="D171">
        <v>2020</v>
      </c>
      <c r="E171">
        <v>52</v>
      </c>
      <c r="F171" t="s">
        <v>271</v>
      </c>
      <c r="G171">
        <v>608</v>
      </c>
      <c r="H171" t="s">
        <v>207</v>
      </c>
      <c r="I171" t="s">
        <v>208</v>
      </c>
      <c r="J171" t="s">
        <v>47</v>
      </c>
      <c r="K171" t="s">
        <v>48</v>
      </c>
      <c r="L171">
        <v>0</v>
      </c>
      <c r="M171" t="s">
        <v>49</v>
      </c>
      <c r="N171" t="s">
        <v>50</v>
      </c>
      <c r="O171">
        <v>0</v>
      </c>
      <c r="P171" t="s">
        <v>49</v>
      </c>
      <c r="Q171" t="s">
        <v>50</v>
      </c>
      <c r="R171" t="s">
        <v>51</v>
      </c>
      <c r="S171" t="s">
        <v>52</v>
      </c>
      <c r="T171" t="b">
        <v>1</v>
      </c>
      <c r="U171" t="s">
        <v>53</v>
      </c>
      <c r="V171" t="s">
        <v>54</v>
      </c>
      <c r="W171">
        <v>4</v>
      </c>
      <c r="X171" t="b">
        <v>0</v>
      </c>
      <c r="Y171" t="s">
        <v>55</v>
      </c>
      <c r="Z171" t="s">
        <v>56</v>
      </c>
      <c r="AA171" t="s">
        <v>57</v>
      </c>
      <c r="AB171">
        <v>0</v>
      </c>
      <c r="AC171" t="s">
        <v>58</v>
      </c>
      <c r="AD171">
        <v>8</v>
      </c>
      <c r="AE171" t="s">
        <v>59</v>
      </c>
      <c r="AF171">
        <v>885855303</v>
      </c>
      <c r="AG171" t="b">
        <v>0</v>
      </c>
      <c r="AH171">
        <v>19</v>
      </c>
      <c r="AI171" t="s">
        <v>60</v>
      </c>
      <c r="AJ171">
        <v>5571417</v>
      </c>
      <c r="AK171" t="b">
        <v>0</v>
      </c>
      <c r="AL171">
        <v>885855303</v>
      </c>
      <c r="AM171" t="b">
        <v>0</v>
      </c>
      <c r="AN171">
        <v>740595028</v>
      </c>
      <c r="AO171" t="b">
        <v>0</v>
      </c>
      <c r="AQ171">
        <v>221360958</v>
      </c>
      <c r="AR171">
        <v>221360958</v>
      </c>
      <c r="AS171">
        <v>0</v>
      </c>
      <c r="AT171" t="b">
        <v>0</v>
      </c>
      <c r="AU171" t="b">
        <v>1</v>
      </c>
      <c r="BA171" t="str">
        <f t="shared" si="4"/>
        <v>Normal</v>
      </c>
      <c r="BG171" t="str">
        <f t="shared" si="5"/>
        <v>Normal</v>
      </c>
    </row>
    <row r="172" spans="1:59" x14ac:dyDescent="0.2">
      <c r="A172" t="s">
        <v>42</v>
      </c>
      <c r="B172" t="s">
        <v>43</v>
      </c>
      <c r="C172">
        <v>20200101</v>
      </c>
      <c r="D172">
        <v>2020</v>
      </c>
      <c r="E172">
        <v>52</v>
      </c>
      <c r="F172" t="s">
        <v>271</v>
      </c>
      <c r="G172">
        <v>616</v>
      </c>
      <c r="H172" t="s">
        <v>209</v>
      </c>
      <c r="I172" t="s">
        <v>210</v>
      </c>
      <c r="J172" t="s">
        <v>47</v>
      </c>
      <c r="K172" t="s">
        <v>48</v>
      </c>
      <c r="L172">
        <v>0</v>
      </c>
      <c r="M172" t="s">
        <v>49</v>
      </c>
      <c r="N172" t="s">
        <v>50</v>
      </c>
      <c r="O172">
        <v>0</v>
      </c>
      <c r="P172" t="s">
        <v>49</v>
      </c>
      <c r="Q172" t="s">
        <v>50</v>
      </c>
      <c r="R172" t="s">
        <v>51</v>
      </c>
      <c r="S172" t="s">
        <v>52</v>
      </c>
      <c r="T172" t="b">
        <v>1</v>
      </c>
      <c r="U172" t="s">
        <v>53</v>
      </c>
      <c r="V172" t="s">
        <v>54</v>
      </c>
      <c r="W172">
        <v>4</v>
      </c>
      <c r="X172" t="b">
        <v>0</v>
      </c>
      <c r="Y172" t="s">
        <v>55</v>
      </c>
      <c r="Z172" t="s">
        <v>56</v>
      </c>
      <c r="AA172" t="s">
        <v>57</v>
      </c>
      <c r="AB172">
        <v>0</v>
      </c>
      <c r="AC172" t="s">
        <v>58</v>
      </c>
      <c r="AD172">
        <v>-1</v>
      </c>
      <c r="AE172" t="s">
        <v>73</v>
      </c>
      <c r="AF172">
        <v>0</v>
      </c>
      <c r="AG172" t="b">
        <v>1</v>
      </c>
      <c r="AH172">
        <v>-1</v>
      </c>
      <c r="AI172" t="s">
        <v>73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0</v>
      </c>
      <c r="AQ172">
        <v>56552213</v>
      </c>
      <c r="AR172">
        <v>56552213</v>
      </c>
      <c r="AS172">
        <v>6</v>
      </c>
      <c r="AT172" t="b">
        <v>0</v>
      </c>
      <c r="AU172" t="b">
        <v>1</v>
      </c>
      <c r="BA172" t="str">
        <f t="shared" si="4"/>
        <v>Normal</v>
      </c>
      <c r="BG172" t="str">
        <f t="shared" si="5"/>
        <v>Normal</v>
      </c>
    </row>
    <row r="173" spans="1:59" x14ac:dyDescent="0.2">
      <c r="A173" t="s">
        <v>42</v>
      </c>
      <c r="B173" t="s">
        <v>43</v>
      </c>
      <c r="C173">
        <v>20200101</v>
      </c>
      <c r="D173">
        <v>2020</v>
      </c>
      <c r="E173">
        <v>52</v>
      </c>
      <c r="F173" t="s">
        <v>271</v>
      </c>
      <c r="G173">
        <v>626</v>
      </c>
      <c r="H173" t="s">
        <v>213</v>
      </c>
      <c r="I173" t="s">
        <v>214</v>
      </c>
      <c r="J173" t="s">
        <v>47</v>
      </c>
      <c r="K173" t="s">
        <v>48</v>
      </c>
      <c r="L173">
        <v>0</v>
      </c>
      <c r="M173" t="s">
        <v>49</v>
      </c>
      <c r="N173" t="s">
        <v>50</v>
      </c>
      <c r="O173">
        <v>0</v>
      </c>
      <c r="P173" t="s">
        <v>49</v>
      </c>
      <c r="Q173" t="s">
        <v>50</v>
      </c>
      <c r="R173" t="s">
        <v>51</v>
      </c>
      <c r="S173" t="s">
        <v>52</v>
      </c>
      <c r="T173" t="b">
        <v>1</v>
      </c>
      <c r="U173" t="s">
        <v>53</v>
      </c>
      <c r="V173" t="s">
        <v>54</v>
      </c>
      <c r="W173">
        <v>4</v>
      </c>
      <c r="X173" t="b">
        <v>0</v>
      </c>
      <c r="Y173" t="s">
        <v>55</v>
      </c>
      <c r="Z173" t="s">
        <v>56</v>
      </c>
      <c r="AA173" t="s">
        <v>57</v>
      </c>
      <c r="AB173">
        <v>0</v>
      </c>
      <c r="AC173" t="s">
        <v>58</v>
      </c>
      <c r="AD173">
        <v>-1</v>
      </c>
      <c r="AE173" t="s">
        <v>73</v>
      </c>
      <c r="AF173">
        <v>0</v>
      </c>
      <c r="AG173" t="b">
        <v>0</v>
      </c>
      <c r="AH173">
        <v>-1</v>
      </c>
      <c r="AI173" t="s">
        <v>73</v>
      </c>
      <c r="AJ173">
        <v>0</v>
      </c>
      <c r="AK173" t="b">
        <v>0</v>
      </c>
      <c r="AM173" t="b">
        <v>0</v>
      </c>
      <c r="AN173">
        <v>0</v>
      </c>
      <c r="AO173" t="b">
        <v>0</v>
      </c>
      <c r="AQ173">
        <v>163401306.22999999</v>
      </c>
      <c r="AR173">
        <v>163401306.22999999</v>
      </c>
      <c r="AS173">
        <v>0</v>
      </c>
      <c r="AT173" t="b">
        <v>0</v>
      </c>
      <c r="AU173" t="b">
        <v>1</v>
      </c>
      <c r="BA173" t="str">
        <f t="shared" si="4"/>
        <v>Normal</v>
      </c>
      <c r="BG173" t="str">
        <f t="shared" si="5"/>
        <v>Normal</v>
      </c>
    </row>
    <row r="174" spans="1:59" x14ac:dyDescent="0.2">
      <c r="A174" t="s">
        <v>42</v>
      </c>
      <c r="B174" t="s">
        <v>43</v>
      </c>
      <c r="C174">
        <v>20200101</v>
      </c>
      <c r="D174">
        <v>2020</v>
      </c>
      <c r="E174">
        <v>52</v>
      </c>
      <c r="F174" t="s">
        <v>271</v>
      </c>
      <c r="G174">
        <v>634</v>
      </c>
      <c r="H174" t="s">
        <v>216</v>
      </c>
      <c r="I174" t="s">
        <v>217</v>
      </c>
      <c r="J174" t="s">
        <v>47</v>
      </c>
      <c r="K174" t="s">
        <v>48</v>
      </c>
      <c r="L174">
        <v>0</v>
      </c>
      <c r="M174" t="s">
        <v>49</v>
      </c>
      <c r="N174" t="s">
        <v>50</v>
      </c>
      <c r="O174">
        <v>0</v>
      </c>
      <c r="P174" t="s">
        <v>49</v>
      </c>
      <c r="Q174" t="s">
        <v>50</v>
      </c>
      <c r="R174" t="s">
        <v>51</v>
      </c>
      <c r="S174" t="s">
        <v>52</v>
      </c>
      <c r="T174" t="b">
        <v>1</v>
      </c>
      <c r="U174" t="s">
        <v>53</v>
      </c>
      <c r="V174" t="s">
        <v>54</v>
      </c>
      <c r="W174">
        <v>4</v>
      </c>
      <c r="X174" t="b">
        <v>0</v>
      </c>
      <c r="Y174" t="s">
        <v>55</v>
      </c>
      <c r="Z174" t="s">
        <v>56</v>
      </c>
      <c r="AA174" t="s">
        <v>57</v>
      </c>
      <c r="AB174">
        <v>0</v>
      </c>
      <c r="AC174" t="s">
        <v>58</v>
      </c>
      <c r="AD174">
        <v>8</v>
      </c>
      <c r="AE174" t="s">
        <v>59</v>
      </c>
      <c r="AF174">
        <v>22671512853.514999</v>
      </c>
      <c r="AG174" t="b">
        <v>1</v>
      </c>
      <c r="AH174">
        <v>-1</v>
      </c>
      <c r="AI174" t="s">
        <v>73</v>
      </c>
      <c r="AJ174">
        <v>0</v>
      </c>
      <c r="AK174" t="b">
        <v>0</v>
      </c>
      <c r="AL174">
        <v>22671512853.514999</v>
      </c>
      <c r="AM174" t="b">
        <v>1</v>
      </c>
      <c r="AN174">
        <v>0</v>
      </c>
      <c r="AO174" t="b">
        <v>0</v>
      </c>
      <c r="AP174">
        <v>0</v>
      </c>
      <c r="AQ174">
        <v>7253522000.2580004</v>
      </c>
      <c r="AR174">
        <v>7253522000.2580004</v>
      </c>
      <c r="AS174">
        <v>6</v>
      </c>
      <c r="AT174" t="b">
        <v>0</v>
      </c>
      <c r="AU174" t="b">
        <v>1</v>
      </c>
      <c r="BA174" t="str">
        <f t="shared" si="4"/>
        <v>Normal</v>
      </c>
      <c r="BG174" t="str">
        <f t="shared" si="5"/>
        <v>Normal</v>
      </c>
    </row>
    <row r="175" spans="1:59" x14ac:dyDescent="0.2">
      <c r="A175" t="s">
        <v>42</v>
      </c>
      <c r="B175" t="s">
        <v>43</v>
      </c>
      <c r="C175">
        <v>20200101</v>
      </c>
      <c r="D175">
        <v>2020</v>
      </c>
      <c r="E175">
        <v>52</v>
      </c>
      <c r="F175" t="s">
        <v>271</v>
      </c>
      <c r="G175">
        <v>642</v>
      </c>
      <c r="H175" t="s">
        <v>218</v>
      </c>
      <c r="I175" t="s">
        <v>219</v>
      </c>
      <c r="J175" t="s">
        <v>47</v>
      </c>
      <c r="K175" t="s">
        <v>48</v>
      </c>
      <c r="L175">
        <v>0</v>
      </c>
      <c r="M175" t="s">
        <v>49</v>
      </c>
      <c r="N175" t="s">
        <v>50</v>
      </c>
      <c r="O175">
        <v>0</v>
      </c>
      <c r="P175" t="s">
        <v>49</v>
      </c>
      <c r="Q175" t="s">
        <v>50</v>
      </c>
      <c r="R175" t="s">
        <v>51</v>
      </c>
      <c r="S175" t="s">
        <v>52</v>
      </c>
      <c r="T175" t="b">
        <v>1</v>
      </c>
      <c r="U175" t="s">
        <v>53</v>
      </c>
      <c r="V175" t="s">
        <v>54</v>
      </c>
      <c r="W175">
        <v>4</v>
      </c>
      <c r="X175" t="b">
        <v>0</v>
      </c>
      <c r="Y175" t="s">
        <v>55</v>
      </c>
      <c r="Z175" t="s">
        <v>56</v>
      </c>
      <c r="AA175" t="s">
        <v>57</v>
      </c>
      <c r="AB175">
        <v>0</v>
      </c>
      <c r="AC175" t="s">
        <v>58</v>
      </c>
      <c r="AD175">
        <v>-1</v>
      </c>
      <c r="AE175" t="s">
        <v>73</v>
      </c>
      <c r="AF175">
        <v>0</v>
      </c>
      <c r="AG175" t="b">
        <v>1</v>
      </c>
      <c r="AH175">
        <v>-1</v>
      </c>
      <c r="AI175" t="s">
        <v>73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0</v>
      </c>
      <c r="AQ175">
        <v>10953530.720000001</v>
      </c>
      <c r="AR175">
        <v>10953530.720000001</v>
      </c>
      <c r="AS175">
        <v>6</v>
      </c>
      <c r="AT175" t="b">
        <v>0</v>
      </c>
      <c r="AU175" t="b">
        <v>1</v>
      </c>
      <c r="BA175" t="str">
        <f t="shared" si="4"/>
        <v>Normal</v>
      </c>
      <c r="BG175" t="str">
        <f t="shared" si="5"/>
        <v>Normal</v>
      </c>
    </row>
    <row r="176" spans="1:59" x14ac:dyDescent="0.2">
      <c r="A176" t="s">
        <v>42</v>
      </c>
      <c r="B176" t="s">
        <v>43</v>
      </c>
      <c r="C176">
        <v>20200101</v>
      </c>
      <c r="D176">
        <v>2020</v>
      </c>
      <c r="E176">
        <v>52</v>
      </c>
      <c r="F176" t="s">
        <v>271</v>
      </c>
      <c r="G176">
        <v>643</v>
      </c>
      <c r="H176" t="s">
        <v>220</v>
      </c>
      <c r="I176" t="s">
        <v>221</v>
      </c>
      <c r="J176" t="s">
        <v>47</v>
      </c>
      <c r="K176" t="s">
        <v>48</v>
      </c>
      <c r="L176">
        <v>0</v>
      </c>
      <c r="M176" t="s">
        <v>49</v>
      </c>
      <c r="N176" t="s">
        <v>50</v>
      </c>
      <c r="O176">
        <v>0</v>
      </c>
      <c r="P176" t="s">
        <v>49</v>
      </c>
      <c r="Q176" t="s">
        <v>50</v>
      </c>
      <c r="R176" t="s">
        <v>51</v>
      </c>
      <c r="S176" t="s">
        <v>52</v>
      </c>
      <c r="T176" t="b">
        <v>1</v>
      </c>
      <c r="U176" t="s">
        <v>53</v>
      </c>
      <c r="V176" t="s">
        <v>54</v>
      </c>
      <c r="W176">
        <v>4</v>
      </c>
      <c r="X176" t="b">
        <v>0</v>
      </c>
      <c r="Y176" t="s">
        <v>55</v>
      </c>
      <c r="Z176" t="s">
        <v>56</v>
      </c>
      <c r="AA176" t="s">
        <v>57</v>
      </c>
      <c r="AB176">
        <v>0</v>
      </c>
      <c r="AC176" t="s">
        <v>58</v>
      </c>
      <c r="AD176">
        <v>8</v>
      </c>
      <c r="AE176" t="s">
        <v>59</v>
      </c>
      <c r="AF176">
        <v>239170421479.91901</v>
      </c>
      <c r="AG176" t="b">
        <v>1</v>
      </c>
      <c r="AH176">
        <v>-1</v>
      </c>
      <c r="AI176" t="s">
        <v>73</v>
      </c>
      <c r="AJ176">
        <v>0</v>
      </c>
      <c r="AK176" t="b">
        <v>0</v>
      </c>
      <c r="AL176">
        <v>239170421479.91901</v>
      </c>
      <c r="AM176" t="b">
        <v>1</v>
      </c>
      <c r="AN176">
        <v>0</v>
      </c>
      <c r="AO176" t="b">
        <v>0</v>
      </c>
      <c r="AP176">
        <v>0</v>
      </c>
      <c r="AQ176">
        <v>72564293957.580002</v>
      </c>
      <c r="AR176">
        <v>72564293957.580002</v>
      </c>
      <c r="AS176">
        <v>6</v>
      </c>
      <c r="AT176" t="b">
        <v>0</v>
      </c>
      <c r="AU176" t="b">
        <v>1</v>
      </c>
      <c r="BA176" t="str">
        <f t="shared" si="4"/>
        <v>Normal</v>
      </c>
      <c r="BG176" t="str">
        <f t="shared" si="5"/>
        <v>Normal</v>
      </c>
    </row>
    <row r="177" spans="1:59" x14ac:dyDescent="0.2">
      <c r="A177" t="s">
        <v>42</v>
      </c>
      <c r="B177" t="s">
        <v>43</v>
      </c>
      <c r="C177">
        <v>20200101</v>
      </c>
      <c r="D177">
        <v>2020</v>
      </c>
      <c r="E177">
        <v>52</v>
      </c>
      <c r="F177" t="s">
        <v>271</v>
      </c>
      <c r="G177">
        <v>646</v>
      </c>
      <c r="H177" t="s">
        <v>222</v>
      </c>
      <c r="I177" t="s">
        <v>223</v>
      </c>
      <c r="J177" t="s">
        <v>47</v>
      </c>
      <c r="K177" t="s">
        <v>48</v>
      </c>
      <c r="L177">
        <v>0</v>
      </c>
      <c r="M177" t="s">
        <v>49</v>
      </c>
      <c r="N177" t="s">
        <v>50</v>
      </c>
      <c r="O177">
        <v>0</v>
      </c>
      <c r="P177" t="s">
        <v>49</v>
      </c>
      <c r="Q177" t="s">
        <v>50</v>
      </c>
      <c r="R177" t="s">
        <v>104</v>
      </c>
      <c r="S177" t="s">
        <v>52</v>
      </c>
      <c r="T177" t="b">
        <v>1</v>
      </c>
      <c r="U177" t="s">
        <v>53</v>
      </c>
      <c r="V177" t="s">
        <v>54</v>
      </c>
      <c r="W177">
        <v>4</v>
      </c>
      <c r="X177" t="b">
        <v>0</v>
      </c>
      <c r="Y177" t="s">
        <v>55</v>
      </c>
      <c r="Z177" t="s">
        <v>56</v>
      </c>
      <c r="AA177" t="s">
        <v>57</v>
      </c>
      <c r="AB177">
        <v>0</v>
      </c>
      <c r="AC177" t="s">
        <v>58</v>
      </c>
      <c r="AD177">
        <v>8</v>
      </c>
      <c r="AE177" t="s">
        <v>59</v>
      </c>
      <c r="AF177">
        <v>100</v>
      </c>
      <c r="AG177" t="b">
        <v>0</v>
      </c>
      <c r="AH177">
        <v>8</v>
      </c>
      <c r="AI177" t="s">
        <v>59</v>
      </c>
      <c r="AJ177">
        <v>100</v>
      </c>
      <c r="AK177" t="b">
        <v>0</v>
      </c>
      <c r="AL177">
        <v>100</v>
      </c>
      <c r="AM177" t="b">
        <v>0</v>
      </c>
      <c r="AN177">
        <v>0</v>
      </c>
      <c r="AO177" t="b">
        <v>0</v>
      </c>
      <c r="AQ177">
        <v>232.94</v>
      </c>
      <c r="AR177">
        <v>232.94</v>
      </c>
      <c r="AS177">
        <v>0</v>
      </c>
      <c r="AT177" t="b">
        <v>0</v>
      </c>
      <c r="AU177" t="b">
        <v>1</v>
      </c>
      <c r="BA177" t="str">
        <f t="shared" si="4"/>
        <v>Normal</v>
      </c>
      <c r="BG177" t="str">
        <f t="shared" si="5"/>
        <v>Normal</v>
      </c>
    </row>
    <row r="178" spans="1:59" x14ac:dyDescent="0.2">
      <c r="A178" t="s">
        <v>42</v>
      </c>
      <c r="B178" t="s">
        <v>43</v>
      </c>
      <c r="C178">
        <v>20200101</v>
      </c>
      <c r="D178">
        <v>2020</v>
      </c>
      <c r="E178">
        <v>52</v>
      </c>
      <c r="F178" t="s">
        <v>271</v>
      </c>
      <c r="G178">
        <v>682</v>
      </c>
      <c r="H178" t="s">
        <v>224</v>
      </c>
      <c r="I178" t="s">
        <v>225</v>
      </c>
      <c r="J178" t="s">
        <v>47</v>
      </c>
      <c r="K178" t="s">
        <v>48</v>
      </c>
      <c r="L178">
        <v>0</v>
      </c>
      <c r="M178" t="s">
        <v>49</v>
      </c>
      <c r="N178" t="s">
        <v>50</v>
      </c>
      <c r="O178">
        <v>0</v>
      </c>
      <c r="P178" t="s">
        <v>49</v>
      </c>
      <c r="Q178" t="s">
        <v>50</v>
      </c>
      <c r="R178" t="s">
        <v>104</v>
      </c>
      <c r="S178" t="s">
        <v>52</v>
      </c>
      <c r="T178" t="b">
        <v>1</v>
      </c>
      <c r="U178" t="s">
        <v>53</v>
      </c>
      <c r="V178" t="s">
        <v>54</v>
      </c>
      <c r="W178">
        <v>4</v>
      </c>
      <c r="X178" t="b">
        <v>0</v>
      </c>
      <c r="Y178" t="s">
        <v>55</v>
      </c>
      <c r="Z178" t="s">
        <v>56</v>
      </c>
      <c r="AA178" t="s">
        <v>57</v>
      </c>
      <c r="AB178">
        <v>0</v>
      </c>
      <c r="AC178" t="s">
        <v>58</v>
      </c>
      <c r="AD178">
        <v>8</v>
      </c>
      <c r="AE178" t="s">
        <v>59</v>
      </c>
      <c r="AF178">
        <v>335109400000</v>
      </c>
      <c r="AG178" t="b">
        <v>0</v>
      </c>
      <c r="AH178">
        <v>8</v>
      </c>
      <c r="AI178" t="s">
        <v>59</v>
      </c>
      <c r="AJ178">
        <v>335109400000</v>
      </c>
      <c r="AK178" t="b">
        <v>0</v>
      </c>
      <c r="AL178">
        <v>335109400000</v>
      </c>
      <c r="AM178" t="b">
        <v>0</v>
      </c>
      <c r="AN178">
        <v>0</v>
      </c>
      <c r="AO178" t="b">
        <v>0</v>
      </c>
      <c r="AQ178">
        <v>100382507626.70399</v>
      </c>
      <c r="AR178">
        <v>100382507626.70399</v>
      </c>
      <c r="AS178">
        <v>0</v>
      </c>
      <c r="AT178" t="b">
        <v>0</v>
      </c>
      <c r="AU178" t="b">
        <v>1</v>
      </c>
      <c r="BA178" t="str">
        <f t="shared" si="4"/>
        <v>Normal</v>
      </c>
      <c r="BG178" t="str">
        <f t="shared" si="5"/>
        <v>Normal</v>
      </c>
    </row>
    <row r="179" spans="1:59" x14ac:dyDescent="0.2">
      <c r="A179" t="s">
        <v>42</v>
      </c>
      <c r="B179" t="s">
        <v>43</v>
      </c>
      <c r="C179">
        <v>20200101</v>
      </c>
      <c r="D179">
        <v>2020</v>
      </c>
      <c r="E179">
        <v>52</v>
      </c>
      <c r="F179" t="s">
        <v>271</v>
      </c>
      <c r="G179">
        <v>686</v>
      </c>
      <c r="H179" t="s">
        <v>226</v>
      </c>
      <c r="I179" t="s">
        <v>227</v>
      </c>
      <c r="J179" t="s">
        <v>47</v>
      </c>
      <c r="K179" t="s">
        <v>48</v>
      </c>
      <c r="L179">
        <v>0</v>
      </c>
      <c r="M179" t="s">
        <v>49</v>
      </c>
      <c r="N179" t="s">
        <v>50</v>
      </c>
      <c r="O179">
        <v>0</v>
      </c>
      <c r="P179" t="s">
        <v>49</v>
      </c>
      <c r="Q179" t="s">
        <v>50</v>
      </c>
      <c r="R179" t="s">
        <v>51</v>
      </c>
      <c r="S179" t="s">
        <v>52</v>
      </c>
      <c r="T179" t="b">
        <v>1</v>
      </c>
      <c r="U179" t="s">
        <v>53</v>
      </c>
      <c r="V179" t="s">
        <v>54</v>
      </c>
      <c r="W179">
        <v>4</v>
      </c>
      <c r="X179" t="b">
        <v>0</v>
      </c>
      <c r="Y179" t="s">
        <v>55</v>
      </c>
      <c r="Z179" t="s">
        <v>56</v>
      </c>
      <c r="AA179" t="s">
        <v>57</v>
      </c>
      <c r="AB179">
        <v>0</v>
      </c>
      <c r="AC179" t="s">
        <v>58</v>
      </c>
      <c r="AD179">
        <v>8</v>
      </c>
      <c r="AE179" t="s">
        <v>59</v>
      </c>
      <c r="AF179">
        <v>46271610</v>
      </c>
      <c r="AG179" t="b">
        <v>0</v>
      </c>
      <c r="AH179">
        <v>8</v>
      </c>
      <c r="AI179" t="s">
        <v>59</v>
      </c>
      <c r="AJ179">
        <v>46271610</v>
      </c>
      <c r="AK179" t="b">
        <v>0</v>
      </c>
      <c r="AL179">
        <v>46271610</v>
      </c>
      <c r="AM179" t="b">
        <v>0</v>
      </c>
      <c r="AN179">
        <v>0</v>
      </c>
      <c r="AO179" t="b">
        <v>0</v>
      </c>
      <c r="AP179">
        <v>0</v>
      </c>
      <c r="AQ179">
        <v>6955687.307</v>
      </c>
      <c r="AR179">
        <v>6955687.307</v>
      </c>
      <c r="AS179">
        <v>0</v>
      </c>
      <c r="AT179" t="b">
        <v>0</v>
      </c>
      <c r="AU179" t="b">
        <v>1</v>
      </c>
      <c r="BA179" t="str">
        <f t="shared" si="4"/>
        <v>Normal</v>
      </c>
      <c r="BG179" t="str">
        <f t="shared" si="5"/>
        <v>Normal</v>
      </c>
    </row>
    <row r="180" spans="1:59" x14ac:dyDescent="0.2">
      <c r="A180" t="s">
        <v>42</v>
      </c>
      <c r="B180" t="s">
        <v>43</v>
      </c>
      <c r="C180">
        <v>20200101</v>
      </c>
      <c r="D180">
        <v>2020</v>
      </c>
      <c r="E180">
        <v>52</v>
      </c>
      <c r="F180" t="s">
        <v>271</v>
      </c>
      <c r="G180">
        <v>688</v>
      </c>
      <c r="H180" t="s">
        <v>228</v>
      </c>
      <c r="I180" t="s">
        <v>229</v>
      </c>
      <c r="J180" t="s">
        <v>47</v>
      </c>
      <c r="K180" t="s">
        <v>48</v>
      </c>
      <c r="L180">
        <v>0</v>
      </c>
      <c r="M180" t="s">
        <v>49</v>
      </c>
      <c r="N180" t="s">
        <v>50</v>
      </c>
      <c r="O180">
        <v>0</v>
      </c>
      <c r="P180" t="s">
        <v>49</v>
      </c>
      <c r="Q180" t="s">
        <v>50</v>
      </c>
      <c r="R180" t="s">
        <v>51</v>
      </c>
      <c r="S180" t="s">
        <v>52</v>
      </c>
      <c r="T180" t="b">
        <v>1</v>
      </c>
      <c r="U180" t="s">
        <v>53</v>
      </c>
      <c r="V180" t="s">
        <v>54</v>
      </c>
      <c r="W180">
        <v>4</v>
      </c>
      <c r="X180" t="b">
        <v>0</v>
      </c>
      <c r="Y180" t="s">
        <v>55</v>
      </c>
      <c r="Z180" t="s">
        <v>56</v>
      </c>
      <c r="AA180" t="s">
        <v>57</v>
      </c>
      <c r="AB180">
        <v>0</v>
      </c>
      <c r="AC180" t="s">
        <v>58</v>
      </c>
      <c r="AD180">
        <v>8</v>
      </c>
      <c r="AE180" t="s">
        <v>59</v>
      </c>
      <c r="AF180">
        <v>371540</v>
      </c>
      <c r="AG180" t="b">
        <v>0</v>
      </c>
      <c r="AH180">
        <v>8</v>
      </c>
      <c r="AI180" t="s">
        <v>59</v>
      </c>
      <c r="AJ180">
        <v>371540</v>
      </c>
      <c r="AK180" t="b">
        <v>0</v>
      </c>
      <c r="AL180">
        <v>371540</v>
      </c>
      <c r="AM180" t="b">
        <v>0</v>
      </c>
      <c r="AN180">
        <v>0</v>
      </c>
      <c r="AO180" t="b">
        <v>0</v>
      </c>
      <c r="AP180">
        <v>133534</v>
      </c>
      <c r="AQ180">
        <v>132740</v>
      </c>
      <c r="AR180">
        <v>132740</v>
      </c>
      <c r="AS180">
        <v>0</v>
      </c>
      <c r="AT180" t="b">
        <v>0</v>
      </c>
      <c r="AU180" t="b">
        <v>1</v>
      </c>
      <c r="BA180" t="str">
        <f t="shared" si="4"/>
        <v>Normal</v>
      </c>
      <c r="BG180" t="str">
        <f t="shared" si="5"/>
        <v>Normal</v>
      </c>
    </row>
    <row r="181" spans="1:59" x14ac:dyDescent="0.2">
      <c r="A181" t="s">
        <v>42</v>
      </c>
      <c r="B181" t="s">
        <v>43</v>
      </c>
      <c r="C181">
        <v>20200101</v>
      </c>
      <c r="D181">
        <v>2020</v>
      </c>
      <c r="E181">
        <v>52</v>
      </c>
      <c r="F181" t="s">
        <v>271</v>
      </c>
      <c r="G181">
        <v>702</v>
      </c>
      <c r="H181" t="s">
        <v>230</v>
      </c>
      <c r="I181" t="s">
        <v>231</v>
      </c>
      <c r="J181" t="s">
        <v>47</v>
      </c>
      <c r="K181" t="s">
        <v>48</v>
      </c>
      <c r="L181">
        <v>0</v>
      </c>
      <c r="M181" t="s">
        <v>49</v>
      </c>
      <c r="N181" t="s">
        <v>50</v>
      </c>
      <c r="O181">
        <v>0</v>
      </c>
      <c r="P181" t="s">
        <v>49</v>
      </c>
      <c r="Q181" t="s">
        <v>50</v>
      </c>
      <c r="R181" t="s">
        <v>51</v>
      </c>
      <c r="S181" t="s">
        <v>52</v>
      </c>
      <c r="T181" t="b">
        <v>1</v>
      </c>
      <c r="U181" t="s">
        <v>53</v>
      </c>
      <c r="V181" t="s">
        <v>54</v>
      </c>
      <c r="W181">
        <v>4</v>
      </c>
      <c r="X181" t="b">
        <v>0</v>
      </c>
      <c r="Y181" t="s">
        <v>55</v>
      </c>
      <c r="Z181" t="s">
        <v>56</v>
      </c>
      <c r="AA181" t="s">
        <v>57</v>
      </c>
      <c r="AB181">
        <v>0</v>
      </c>
      <c r="AC181" t="s">
        <v>58</v>
      </c>
      <c r="AD181">
        <v>8</v>
      </c>
      <c r="AE181" t="s">
        <v>59</v>
      </c>
      <c r="AF181">
        <v>11326.608</v>
      </c>
      <c r="AG181" t="b">
        <v>1</v>
      </c>
      <c r="AH181">
        <v>-1</v>
      </c>
      <c r="AI181" t="s">
        <v>73</v>
      </c>
      <c r="AJ181">
        <v>0</v>
      </c>
      <c r="AK181" t="b">
        <v>0</v>
      </c>
      <c r="AL181">
        <v>11326.608</v>
      </c>
      <c r="AM181" t="b">
        <v>1</v>
      </c>
      <c r="AN181">
        <v>0</v>
      </c>
      <c r="AO181" t="b">
        <v>0</v>
      </c>
      <c r="AP181">
        <v>0</v>
      </c>
      <c r="AQ181">
        <v>4681.5140000000001</v>
      </c>
      <c r="AR181">
        <v>4681.5140000000001</v>
      </c>
      <c r="AS181">
        <v>6</v>
      </c>
      <c r="AT181" t="b">
        <v>0</v>
      </c>
      <c r="AU181" t="b">
        <v>1</v>
      </c>
      <c r="BA181" t="str">
        <f t="shared" si="4"/>
        <v>Normal</v>
      </c>
      <c r="BG181" t="str">
        <f t="shared" si="5"/>
        <v>Normal</v>
      </c>
    </row>
    <row r="182" spans="1:59" x14ac:dyDescent="0.2">
      <c r="A182" t="s">
        <v>42</v>
      </c>
      <c r="B182" t="s">
        <v>43</v>
      </c>
      <c r="C182">
        <v>20200101</v>
      </c>
      <c r="D182">
        <v>2020</v>
      </c>
      <c r="E182">
        <v>52</v>
      </c>
      <c r="F182" t="s">
        <v>271</v>
      </c>
      <c r="G182">
        <v>703</v>
      </c>
      <c r="H182" t="s">
        <v>232</v>
      </c>
      <c r="I182" t="s">
        <v>233</v>
      </c>
      <c r="J182" t="s">
        <v>47</v>
      </c>
      <c r="K182" t="s">
        <v>48</v>
      </c>
      <c r="L182">
        <v>0</v>
      </c>
      <c r="M182" t="s">
        <v>49</v>
      </c>
      <c r="N182" t="s">
        <v>50</v>
      </c>
      <c r="O182">
        <v>0</v>
      </c>
      <c r="P182" t="s">
        <v>49</v>
      </c>
      <c r="Q182" t="s">
        <v>50</v>
      </c>
      <c r="R182" t="s">
        <v>51</v>
      </c>
      <c r="S182" t="s">
        <v>52</v>
      </c>
      <c r="T182" t="b">
        <v>1</v>
      </c>
      <c r="U182" t="s">
        <v>53</v>
      </c>
      <c r="V182" t="s">
        <v>54</v>
      </c>
      <c r="W182">
        <v>4</v>
      </c>
      <c r="X182" t="b">
        <v>0</v>
      </c>
      <c r="Y182" t="s">
        <v>55</v>
      </c>
      <c r="Z182" t="s">
        <v>56</v>
      </c>
      <c r="AA182" t="s">
        <v>57</v>
      </c>
      <c r="AB182">
        <v>0</v>
      </c>
      <c r="AC182" t="s">
        <v>58</v>
      </c>
      <c r="AD182">
        <v>8</v>
      </c>
      <c r="AE182" t="s">
        <v>59</v>
      </c>
      <c r="AF182">
        <v>2021278</v>
      </c>
      <c r="AG182" t="b">
        <v>0</v>
      </c>
      <c r="AH182">
        <v>8</v>
      </c>
      <c r="AI182" t="s">
        <v>59</v>
      </c>
      <c r="AJ182">
        <v>2021278</v>
      </c>
      <c r="AK182" t="b">
        <v>0</v>
      </c>
      <c r="AL182">
        <v>2021278</v>
      </c>
      <c r="AM182" t="b">
        <v>0</v>
      </c>
      <c r="AN182">
        <v>0</v>
      </c>
      <c r="AO182" t="b">
        <v>0</v>
      </c>
      <c r="AQ182">
        <v>610358.70299999998</v>
      </c>
      <c r="AR182">
        <v>610358.70299999998</v>
      </c>
      <c r="AS182">
        <v>0</v>
      </c>
      <c r="AT182" t="b">
        <v>0</v>
      </c>
      <c r="AU182" t="b">
        <v>1</v>
      </c>
      <c r="BA182" t="str">
        <f t="shared" si="4"/>
        <v>Normal</v>
      </c>
      <c r="BG182" t="str">
        <f t="shared" si="5"/>
        <v>Normal</v>
      </c>
    </row>
    <row r="183" spans="1:59" x14ac:dyDescent="0.2">
      <c r="A183" t="s">
        <v>42</v>
      </c>
      <c r="B183" t="s">
        <v>43</v>
      </c>
      <c r="C183">
        <v>20200101</v>
      </c>
      <c r="D183">
        <v>2020</v>
      </c>
      <c r="E183">
        <v>52</v>
      </c>
      <c r="F183" t="s">
        <v>271</v>
      </c>
      <c r="G183">
        <v>704</v>
      </c>
      <c r="H183" t="s">
        <v>234</v>
      </c>
      <c r="I183" t="s">
        <v>235</v>
      </c>
      <c r="J183" t="s">
        <v>47</v>
      </c>
      <c r="K183" t="s">
        <v>48</v>
      </c>
      <c r="L183">
        <v>0</v>
      </c>
      <c r="M183" t="s">
        <v>49</v>
      </c>
      <c r="N183" t="s">
        <v>50</v>
      </c>
      <c r="O183">
        <v>0</v>
      </c>
      <c r="P183" t="s">
        <v>49</v>
      </c>
      <c r="Q183" t="s">
        <v>50</v>
      </c>
      <c r="R183" t="s">
        <v>51</v>
      </c>
      <c r="S183" t="s">
        <v>52</v>
      </c>
      <c r="T183" t="b">
        <v>1</v>
      </c>
      <c r="U183" t="s">
        <v>53</v>
      </c>
      <c r="V183" t="s">
        <v>54</v>
      </c>
      <c r="W183">
        <v>4</v>
      </c>
      <c r="X183" t="b">
        <v>0</v>
      </c>
      <c r="Y183" t="s">
        <v>55</v>
      </c>
      <c r="Z183" t="s">
        <v>56</v>
      </c>
      <c r="AA183" t="s">
        <v>57</v>
      </c>
      <c r="AB183">
        <v>0</v>
      </c>
      <c r="AC183" t="s">
        <v>58</v>
      </c>
      <c r="AD183">
        <v>8</v>
      </c>
      <c r="AE183" t="s">
        <v>59</v>
      </c>
      <c r="AF183">
        <v>4217263556.7379999</v>
      </c>
      <c r="AG183" t="b">
        <v>1</v>
      </c>
      <c r="AH183">
        <v>-1</v>
      </c>
      <c r="AI183" t="s">
        <v>73</v>
      </c>
      <c r="AJ183">
        <v>0</v>
      </c>
      <c r="AK183" t="b">
        <v>0</v>
      </c>
      <c r="AL183">
        <v>4217263556.7379999</v>
      </c>
      <c r="AM183" t="b">
        <v>1</v>
      </c>
      <c r="AN183">
        <v>0</v>
      </c>
      <c r="AO183" t="b">
        <v>0</v>
      </c>
      <c r="AP183">
        <v>0</v>
      </c>
      <c r="AQ183">
        <v>1568350946.8150001</v>
      </c>
      <c r="AR183">
        <v>1568350946.8150001</v>
      </c>
      <c r="AS183">
        <v>6</v>
      </c>
      <c r="AT183" t="b">
        <v>0</v>
      </c>
      <c r="AU183" t="b">
        <v>1</v>
      </c>
      <c r="BA183" t="str">
        <f t="shared" si="4"/>
        <v>Normal</v>
      </c>
      <c r="BG183" t="str">
        <f t="shared" si="5"/>
        <v>Normal</v>
      </c>
    </row>
    <row r="184" spans="1:59" x14ac:dyDescent="0.2">
      <c r="A184" t="s">
        <v>42</v>
      </c>
      <c r="B184" t="s">
        <v>43</v>
      </c>
      <c r="C184">
        <v>20200101</v>
      </c>
      <c r="D184">
        <v>2020</v>
      </c>
      <c r="E184">
        <v>52</v>
      </c>
      <c r="F184" t="s">
        <v>271</v>
      </c>
      <c r="G184">
        <v>705</v>
      </c>
      <c r="H184" t="s">
        <v>236</v>
      </c>
      <c r="I184" t="s">
        <v>237</v>
      </c>
      <c r="J184" t="s">
        <v>47</v>
      </c>
      <c r="K184" t="s">
        <v>48</v>
      </c>
      <c r="L184">
        <v>0</v>
      </c>
      <c r="M184" t="s">
        <v>49</v>
      </c>
      <c r="N184" t="s">
        <v>50</v>
      </c>
      <c r="O184">
        <v>0</v>
      </c>
      <c r="P184" t="s">
        <v>49</v>
      </c>
      <c r="Q184" t="s">
        <v>50</v>
      </c>
      <c r="R184" t="s">
        <v>51</v>
      </c>
      <c r="S184" t="s">
        <v>52</v>
      </c>
      <c r="T184" t="b">
        <v>1</v>
      </c>
      <c r="U184" t="s">
        <v>53</v>
      </c>
      <c r="V184" t="s">
        <v>54</v>
      </c>
      <c r="W184">
        <v>4</v>
      </c>
      <c r="X184" t="b">
        <v>0</v>
      </c>
      <c r="Y184" t="s">
        <v>55</v>
      </c>
      <c r="Z184" t="s">
        <v>56</v>
      </c>
      <c r="AA184" t="s">
        <v>57</v>
      </c>
      <c r="AB184">
        <v>0</v>
      </c>
      <c r="AC184" t="s">
        <v>58</v>
      </c>
      <c r="AD184">
        <v>8</v>
      </c>
      <c r="AE184" t="s">
        <v>59</v>
      </c>
      <c r="AF184">
        <v>417.2</v>
      </c>
      <c r="AG184" t="b">
        <v>0</v>
      </c>
      <c r="AH184">
        <v>8</v>
      </c>
      <c r="AI184" t="s">
        <v>59</v>
      </c>
      <c r="AJ184">
        <v>417.2</v>
      </c>
      <c r="AK184" t="b">
        <v>0</v>
      </c>
      <c r="AL184">
        <v>417.2</v>
      </c>
      <c r="AM184" t="b">
        <v>0</v>
      </c>
      <c r="AN184">
        <v>0</v>
      </c>
      <c r="AO184" t="b">
        <v>0</v>
      </c>
      <c r="AP184">
        <v>0</v>
      </c>
      <c r="AQ184">
        <v>11956.34</v>
      </c>
      <c r="AR184">
        <v>11956.34</v>
      </c>
      <c r="AS184">
        <v>0</v>
      </c>
      <c r="AT184" t="b">
        <v>0</v>
      </c>
      <c r="AU184" t="b">
        <v>1</v>
      </c>
      <c r="BA184" t="str">
        <f t="shared" si="4"/>
        <v>Normal</v>
      </c>
      <c r="BG184" t="str">
        <f t="shared" si="5"/>
        <v>Normal</v>
      </c>
    </row>
    <row r="185" spans="1:59" x14ac:dyDescent="0.2">
      <c r="A185" t="s">
        <v>42</v>
      </c>
      <c r="B185" t="s">
        <v>43</v>
      </c>
      <c r="C185">
        <v>20200101</v>
      </c>
      <c r="D185">
        <v>2020</v>
      </c>
      <c r="E185">
        <v>52</v>
      </c>
      <c r="F185" t="s">
        <v>271</v>
      </c>
      <c r="G185">
        <v>710</v>
      </c>
      <c r="H185" t="s">
        <v>238</v>
      </c>
      <c r="I185" t="s">
        <v>239</v>
      </c>
      <c r="J185" t="s">
        <v>47</v>
      </c>
      <c r="K185" t="s">
        <v>48</v>
      </c>
      <c r="L185">
        <v>0</v>
      </c>
      <c r="M185" t="s">
        <v>49</v>
      </c>
      <c r="N185" t="s">
        <v>50</v>
      </c>
      <c r="O185">
        <v>0</v>
      </c>
      <c r="P185" t="s">
        <v>49</v>
      </c>
      <c r="Q185" t="s">
        <v>50</v>
      </c>
      <c r="R185" t="s">
        <v>51</v>
      </c>
      <c r="S185" t="s">
        <v>52</v>
      </c>
      <c r="T185" t="b">
        <v>1</v>
      </c>
      <c r="U185" t="s">
        <v>53</v>
      </c>
      <c r="V185" t="s">
        <v>54</v>
      </c>
      <c r="W185">
        <v>4</v>
      </c>
      <c r="X185" t="b">
        <v>0</v>
      </c>
      <c r="Y185" t="s">
        <v>55</v>
      </c>
      <c r="Z185" t="s">
        <v>56</v>
      </c>
      <c r="AA185" t="s">
        <v>57</v>
      </c>
      <c r="AB185">
        <v>0</v>
      </c>
      <c r="AC185" t="s">
        <v>58</v>
      </c>
      <c r="AD185">
        <v>-1</v>
      </c>
      <c r="AE185" t="s">
        <v>73</v>
      </c>
      <c r="AF185">
        <v>0</v>
      </c>
      <c r="AG185" t="b">
        <v>1</v>
      </c>
      <c r="AH185">
        <v>-1</v>
      </c>
      <c r="AI185" t="s">
        <v>73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79701740.211999997</v>
      </c>
      <c r="AR185">
        <v>79701740.211999997</v>
      </c>
      <c r="AS185">
        <v>6</v>
      </c>
      <c r="AT185" t="b">
        <v>0</v>
      </c>
      <c r="AU185" t="b">
        <v>1</v>
      </c>
      <c r="BA185" t="str">
        <f t="shared" si="4"/>
        <v>Normal</v>
      </c>
      <c r="BG185" t="str">
        <f t="shared" si="5"/>
        <v>Normal</v>
      </c>
    </row>
    <row r="186" spans="1:59" x14ac:dyDescent="0.2">
      <c r="A186" t="s">
        <v>42</v>
      </c>
      <c r="B186" t="s">
        <v>43</v>
      </c>
      <c r="C186">
        <v>20200101</v>
      </c>
      <c r="D186">
        <v>2020</v>
      </c>
      <c r="E186">
        <v>52</v>
      </c>
      <c r="F186" t="s">
        <v>271</v>
      </c>
      <c r="G186">
        <v>724</v>
      </c>
      <c r="H186" t="s">
        <v>240</v>
      </c>
      <c r="I186" t="s">
        <v>241</v>
      </c>
      <c r="J186" t="s">
        <v>47</v>
      </c>
      <c r="K186" t="s">
        <v>48</v>
      </c>
      <c r="L186">
        <v>0</v>
      </c>
      <c r="M186" t="s">
        <v>49</v>
      </c>
      <c r="N186" t="s">
        <v>50</v>
      </c>
      <c r="O186">
        <v>0</v>
      </c>
      <c r="P186" t="s">
        <v>49</v>
      </c>
      <c r="Q186" t="s">
        <v>50</v>
      </c>
      <c r="R186" t="s">
        <v>51</v>
      </c>
      <c r="S186" t="s">
        <v>52</v>
      </c>
      <c r="T186" t="b">
        <v>1</v>
      </c>
      <c r="U186" t="s">
        <v>53</v>
      </c>
      <c r="V186" t="s">
        <v>54</v>
      </c>
      <c r="W186">
        <v>4</v>
      </c>
      <c r="X186" t="b">
        <v>0</v>
      </c>
      <c r="Y186" t="s">
        <v>55</v>
      </c>
      <c r="Z186" t="s">
        <v>56</v>
      </c>
      <c r="AA186" t="s">
        <v>57</v>
      </c>
      <c r="AB186">
        <v>0</v>
      </c>
      <c r="AC186" t="s">
        <v>58</v>
      </c>
      <c r="AD186">
        <v>8</v>
      </c>
      <c r="AE186" t="s">
        <v>59</v>
      </c>
      <c r="AF186">
        <v>1040841500.04</v>
      </c>
      <c r="AG186" t="b">
        <v>0</v>
      </c>
      <c r="AH186">
        <v>8</v>
      </c>
      <c r="AI186" t="s">
        <v>59</v>
      </c>
      <c r="AJ186">
        <v>1040841500.04</v>
      </c>
      <c r="AK186" t="b">
        <v>0</v>
      </c>
      <c r="AL186">
        <v>1040841500.04</v>
      </c>
      <c r="AM186" t="b">
        <v>0</v>
      </c>
      <c r="AN186">
        <v>0</v>
      </c>
      <c r="AO186" t="b">
        <v>0</v>
      </c>
      <c r="AP186">
        <v>0</v>
      </c>
      <c r="AQ186">
        <v>353055239.16000003</v>
      </c>
      <c r="AR186">
        <v>353055239.16000003</v>
      </c>
      <c r="AS186">
        <v>0</v>
      </c>
      <c r="AT186" t="b">
        <v>0</v>
      </c>
      <c r="AU186" t="b">
        <v>1</v>
      </c>
      <c r="BA186" t="str">
        <f t="shared" si="4"/>
        <v>Normal</v>
      </c>
      <c r="BG186" t="str">
        <f t="shared" si="5"/>
        <v>Normal</v>
      </c>
    </row>
    <row r="187" spans="1:59" x14ac:dyDescent="0.2">
      <c r="A187" t="s">
        <v>42</v>
      </c>
      <c r="B187" t="s">
        <v>43</v>
      </c>
      <c r="C187">
        <v>20200101</v>
      </c>
      <c r="D187">
        <v>2020</v>
      </c>
      <c r="E187">
        <v>52</v>
      </c>
      <c r="F187" t="s">
        <v>271</v>
      </c>
      <c r="G187">
        <v>740</v>
      </c>
      <c r="H187" t="s">
        <v>281</v>
      </c>
      <c r="I187" t="s">
        <v>282</v>
      </c>
      <c r="J187" t="s">
        <v>47</v>
      </c>
      <c r="K187" t="s">
        <v>48</v>
      </c>
      <c r="L187">
        <v>0</v>
      </c>
      <c r="M187" t="s">
        <v>49</v>
      </c>
      <c r="N187" t="s">
        <v>50</v>
      </c>
      <c r="O187">
        <v>0</v>
      </c>
      <c r="P187" t="s">
        <v>49</v>
      </c>
      <c r="Q187" t="s">
        <v>50</v>
      </c>
      <c r="R187" t="s">
        <v>127</v>
      </c>
      <c r="S187" t="s">
        <v>52</v>
      </c>
      <c r="T187" t="b">
        <v>1</v>
      </c>
      <c r="U187" t="s">
        <v>53</v>
      </c>
      <c r="V187" t="s">
        <v>54</v>
      </c>
      <c r="W187">
        <v>4</v>
      </c>
      <c r="X187" t="b">
        <v>0</v>
      </c>
      <c r="Y187" t="s">
        <v>55</v>
      </c>
      <c r="Z187" t="s">
        <v>56</v>
      </c>
      <c r="AA187" t="s">
        <v>57</v>
      </c>
      <c r="AB187">
        <v>0</v>
      </c>
      <c r="AC187" t="s">
        <v>58</v>
      </c>
      <c r="AD187">
        <v>8</v>
      </c>
      <c r="AE187" t="s">
        <v>59</v>
      </c>
      <c r="AF187">
        <v>522.12</v>
      </c>
      <c r="AG187" t="b">
        <v>0</v>
      </c>
      <c r="AH187">
        <v>8</v>
      </c>
      <c r="AI187" t="s">
        <v>59</v>
      </c>
      <c r="AJ187">
        <v>522.12</v>
      </c>
      <c r="AK187" t="b">
        <v>0</v>
      </c>
      <c r="AL187">
        <v>522.12</v>
      </c>
      <c r="AM187" t="b">
        <v>0</v>
      </c>
      <c r="AN187">
        <v>523.35</v>
      </c>
      <c r="AO187" t="b">
        <v>0</v>
      </c>
      <c r="AP187">
        <v>0</v>
      </c>
      <c r="AQ187">
        <v>1051.04</v>
      </c>
      <c r="AR187">
        <v>1051.04</v>
      </c>
      <c r="AS187">
        <v>0</v>
      </c>
      <c r="AT187" t="b">
        <v>0</v>
      </c>
      <c r="AU187" t="b">
        <v>1</v>
      </c>
      <c r="BA187" t="str">
        <f t="shared" si="4"/>
        <v>Normal</v>
      </c>
      <c r="BG187" t="str">
        <f t="shared" si="5"/>
        <v>Normal</v>
      </c>
    </row>
    <row r="188" spans="1:59" x14ac:dyDescent="0.2">
      <c r="A188" t="s">
        <v>42</v>
      </c>
      <c r="B188" t="s">
        <v>43</v>
      </c>
      <c r="C188">
        <v>20200101</v>
      </c>
      <c r="D188">
        <v>2020</v>
      </c>
      <c r="E188">
        <v>52</v>
      </c>
      <c r="F188" t="s">
        <v>271</v>
      </c>
      <c r="G188">
        <v>748</v>
      </c>
      <c r="H188" t="s">
        <v>242</v>
      </c>
      <c r="I188" t="s">
        <v>243</v>
      </c>
      <c r="J188" t="s">
        <v>47</v>
      </c>
      <c r="K188" t="s">
        <v>48</v>
      </c>
      <c r="L188">
        <v>0</v>
      </c>
      <c r="M188" t="s">
        <v>49</v>
      </c>
      <c r="N188" t="s">
        <v>50</v>
      </c>
      <c r="O188">
        <v>0</v>
      </c>
      <c r="P188" t="s">
        <v>49</v>
      </c>
      <c r="Q188" t="s">
        <v>50</v>
      </c>
      <c r="R188" t="s">
        <v>51</v>
      </c>
      <c r="S188" t="s">
        <v>52</v>
      </c>
      <c r="T188" t="b">
        <v>1</v>
      </c>
      <c r="U188" t="s">
        <v>53</v>
      </c>
      <c r="V188" t="s">
        <v>54</v>
      </c>
      <c r="W188">
        <v>4</v>
      </c>
      <c r="X188" t="b">
        <v>0</v>
      </c>
      <c r="Y188" t="s">
        <v>55</v>
      </c>
      <c r="Z188" t="s">
        <v>56</v>
      </c>
      <c r="AA188" t="s">
        <v>57</v>
      </c>
      <c r="AB188">
        <v>0</v>
      </c>
      <c r="AC188" t="s">
        <v>58</v>
      </c>
      <c r="AD188">
        <v>8</v>
      </c>
      <c r="AE188" t="s">
        <v>59</v>
      </c>
      <c r="AF188">
        <v>1</v>
      </c>
      <c r="AG188" t="b">
        <v>0</v>
      </c>
      <c r="AH188">
        <v>8</v>
      </c>
      <c r="AI188" t="s">
        <v>59</v>
      </c>
      <c r="AJ188">
        <v>1</v>
      </c>
      <c r="AK188" t="b">
        <v>0</v>
      </c>
      <c r="AL188">
        <v>1</v>
      </c>
      <c r="AM188" t="b">
        <v>0</v>
      </c>
      <c r="AN188">
        <v>0</v>
      </c>
      <c r="AO188" t="b">
        <v>0</v>
      </c>
      <c r="AP188">
        <v>0</v>
      </c>
      <c r="AQ188">
        <v>1.75</v>
      </c>
      <c r="AR188">
        <v>1.75</v>
      </c>
      <c r="AS188">
        <v>0</v>
      </c>
      <c r="AT188" t="b">
        <v>0</v>
      </c>
      <c r="AU188" t="b">
        <v>1</v>
      </c>
      <c r="BA188" t="str">
        <f t="shared" si="4"/>
        <v>Normal</v>
      </c>
      <c r="BG188" t="str">
        <f t="shared" si="5"/>
        <v>Normal</v>
      </c>
    </row>
    <row r="189" spans="1:59" x14ac:dyDescent="0.2">
      <c r="A189" t="s">
        <v>42</v>
      </c>
      <c r="B189" t="s">
        <v>43</v>
      </c>
      <c r="C189">
        <v>20200101</v>
      </c>
      <c r="D189">
        <v>2020</v>
      </c>
      <c r="E189">
        <v>52</v>
      </c>
      <c r="F189" t="s">
        <v>271</v>
      </c>
      <c r="G189">
        <v>752</v>
      </c>
      <c r="H189" t="s">
        <v>244</v>
      </c>
      <c r="I189" t="s">
        <v>245</v>
      </c>
      <c r="J189" t="s">
        <v>47</v>
      </c>
      <c r="K189" t="s">
        <v>48</v>
      </c>
      <c r="L189">
        <v>0</v>
      </c>
      <c r="M189" t="s">
        <v>49</v>
      </c>
      <c r="N189" t="s">
        <v>50</v>
      </c>
      <c r="O189">
        <v>0</v>
      </c>
      <c r="P189" t="s">
        <v>49</v>
      </c>
      <c r="Q189" t="s">
        <v>50</v>
      </c>
      <c r="R189" t="s">
        <v>51</v>
      </c>
      <c r="S189" t="s">
        <v>52</v>
      </c>
      <c r="T189" t="b">
        <v>1</v>
      </c>
      <c r="U189" t="s">
        <v>53</v>
      </c>
      <c r="V189" t="s">
        <v>54</v>
      </c>
      <c r="W189">
        <v>4</v>
      </c>
      <c r="X189" t="b">
        <v>0</v>
      </c>
      <c r="Y189" t="s">
        <v>55</v>
      </c>
      <c r="Z189" t="s">
        <v>56</v>
      </c>
      <c r="AA189" t="s">
        <v>57</v>
      </c>
      <c r="AB189">
        <v>0</v>
      </c>
      <c r="AC189" t="s">
        <v>58</v>
      </c>
      <c r="AD189">
        <v>8</v>
      </c>
      <c r="AE189" t="s">
        <v>59</v>
      </c>
      <c r="AF189">
        <v>49907342.630000003</v>
      </c>
      <c r="AG189" t="b">
        <v>1</v>
      </c>
      <c r="AH189">
        <v>-1</v>
      </c>
      <c r="AI189" t="s">
        <v>73</v>
      </c>
      <c r="AJ189">
        <v>0</v>
      </c>
      <c r="AK189" t="b">
        <v>0</v>
      </c>
      <c r="AL189">
        <v>49907342.630000003</v>
      </c>
      <c r="AM189" t="b">
        <v>1</v>
      </c>
      <c r="AN189">
        <v>0</v>
      </c>
      <c r="AO189" t="b">
        <v>0</v>
      </c>
      <c r="AP189">
        <v>0</v>
      </c>
      <c r="AQ189">
        <v>12107521.036</v>
      </c>
      <c r="AR189">
        <v>12107521.036</v>
      </c>
      <c r="AS189">
        <v>6</v>
      </c>
      <c r="AT189" t="b">
        <v>0</v>
      </c>
      <c r="AU189" t="b">
        <v>1</v>
      </c>
      <c r="BA189" t="str">
        <f t="shared" si="4"/>
        <v>Normal</v>
      </c>
      <c r="BG189" t="str">
        <f t="shared" si="5"/>
        <v>Normal</v>
      </c>
    </row>
    <row r="190" spans="1:59" x14ac:dyDescent="0.2">
      <c r="A190" t="s">
        <v>42</v>
      </c>
      <c r="B190" t="s">
        <v>43</v>
      </c>
      <c r="C190">
        <v>20200101</v>
      </c>
      <c r="D190">
        <v>2020</v>
      </c>
      <c r="E190">
        <v>52</v>
      </c>
      <c r="F190" t="s">
        <v>271</v>
      </c>
      <c r="G190">
        <v>757</v>
      </c>
      <c r="H190" t="s">
        <v>246</v>
      </c>
      <c r="I190" t="s">
        <v>247</v>
      </c>
      <c r="J190" t="s">
        <v>47</v>
      </c>
      <c r="K190" t="s">
        <v>48</v>
      </c>
      <c r="L190">
        <v>0</v>
      </c>
      <c r="M190" t="s">
        <v>49</v>
      </c>
      <c r="N190" t="s">
        <v>50</v>
      </c>
      <c r="O190">
        <v>0</v>
      </c>
      <c r="P190" t="s">
        <v>49</v>
      </c>
      <c r="Q190" t="s">
        <v>50</v>
      </c>
      <c r="R190" t="s">
        <v>51</v>
      </c>
      <c r="S190" t="s">
        <v>52</v>
      </c>
      <c r="T190" t="b">
        <v>1</v>
      </c>
      <c r="U190" t="s">
        <v>53</v>
      </c>
      <c r="V190" t="s">
        <v>54</v>
      </c>
      <c r="W190">
        <v>4</v>
      </c>
      <c r="X190" t="b">
        <v>0</v>
      </c>
      <c r="Y190" t="s">
        <v>55</v>
      </c>
      <c r="Z190" t="s">
        <v>56</v>
      </c>
      <c r="AA190" t="s">
        <v>57</v>
      </c>
      <c r="AB190">
        <v>0</v>
      </c>
      <c r="AC190" t="s">
        <v>58</v>
      </c>
      <c r="AD190">
        <v>8</v>
      </c>
      <c r="AE190" t="s">
        <v>59</v>
      </c>
      <c r="AF190">
        <v>139</v>
      </c>
      <c r="AG190" t="b">
        <v>0</v>
      </c>
      <c r="AH190">
        <v>7</v>
      </c>
      <c r="AI190" t="s">
        <v>67</v>
      </c>
      <c r="AJ190">
        <v>139</v>
      </c>
      <c r="AK190" t="b">
        <v>0</v>
      </c>
      <c r="AL190">
        <v>139</v>
      </c>
      <c r="AM190" t="b">
        <v>0</v>
      </c>
      <c r="AN190">
        <v>0</v>
      </c>
      <c r="AO190" t="b">
        <v>0</v>
      </c>
      <c r="AP190">
        <v>0</v>
      </c>
      <c r="AQ190">
        <v>1779.25</v>
      </c>
      <c r="AR190">
        <v>1779.25</v>
      </c>
      <c r="AS190">
        <v>0</v>
      </c>
      <c r="AT190" t="b">
        <v>0</v>
      </c>
      <c r="AU190" t="b">
        <v>1</v>
      </c>
      <c r="BA190" t="str">
        <f t="shared" si="4"/>
        <v>Normal</v>
      </c>
      <c r="BG190" t="str">
        <f t="shared" si="5"/>
        <v>Normal</v>
      </c>
    </row>
    <row r="191" spans="1:59" x14ac:dyDescent="0.2">
      <c r="A191" t="s">
        <v>42</v>
      </c>
      <c r="B191" t="s">
        <v>43</v>
      </c>
      <c r="C191">
        <v>20200101</v>
      </c>
      <c r="D191">
        <v>2020</v>
      </c>
      <c r="E191">
        <v>52</v>
      </c>
      <c r="F191" t="s">
        <v>271</v>
      </c>
      <c r="G191">
        <v>764</v>
      </c>
      <c r="H191" t="s">
        <v>248</v>
      </c>
      <c r="I191" t="s">
        <v>249</v>
      </c>
      <c r="J191" t="s">
        <v>47</v>
      </c>
      <c r="K191" t="s">
        <v>48</v>
      </c>
      <c r="L191">
        <v>0</v>
      </c>
      <c r="M191" t="s">
        <v>49</v>
      </c>
      <c r="N191" t="s">
        <v>50</v>
      </c>
      <c r="O191">
        <v>0</v>
      </c>
      <c r="P191" t="s">
        <v>49</v>
      </c>
      <c r="Q191" t="s">
        <v>50</v>
      </c>
      <c r="R191" t="s">
        <v>51</v>
      </c>
      <c r="S191" t="s">
        <v>52</v>
      </c>
      <c r="T191" t="b">
        <v>1</v>
      </c>
      <c r="U191" t="s">
        <v>53</v>
      </c>
      <c r="V191" t="s">
        <v>54</v>
      </c>
      <c r="W191">
        <v>4</v>
      </c>
      <c r="X191" t="b">
        <v>0</v>
      </c>
      <c r="Y191" t="s">
        <v>55</v>
      </c>
      <c r="Z191" t="s">
        <v>56</v>
      </c>
      <c r="AA191" t="s">
        <v>57</v>
      </c>
      <c r="AB191">
        <v>0</v>
      </c>
      <c r="AC191" t="s">
        <v>58</v>
      </c>
      <c r="AD191">
        <v>8</v>
      </c>
      <c r="AE191" t="s">
        <v>59</v>
      </c>
      <c r="AF191">
        <v>1255191893.0420001</v>
      </c>
      <c r="AG191" t="b">
        <v>1</v>
      </c>
      <c r="AH191">
        <v>-1</v>
      </c>
      <c r="AI191" t="s">
        <v>73</v>
      </c>
      <c r="AJ191">
        <v>0</v>
      </c>
      <c r="AK191" t="b">
        <v>0</v>
      </c>
      <c r="AL191">
        <v>1255191893.0420001</v>
      </c>
      <c r="AM191" t="b">
        <v>1</v>
      </c>
      <c r="AN191">
        <v>0</v>
      </c>
      <c r="AO191" t="b">
        <v>0</v>
      </c>
      <c r="AQ191">
        <v>369503254.236</v>
      </c>
      <c r="AR191">
        <v>369503254.236</v>
      </c>
      <c r="AS191">
        <v>6</v>
      </c>
      <c r="AT191" t="b">
        <v>0</v>
      </c>
      <c r="AU191" t="b">
        <v>1</v>
      </c>
      <c r="BA191" t="str">
        <f t="shared" si="4"/>
        <v>Normal</v>
      </c>
      <c r="BG191" t="str">
        <f t="shared" si="5"/>
        <v>Normal</v>
      </c>
    </row>
    <row r="192" spans="1:59" x14ac:dyDescent="0.2">
      <c r="A192" t="s">
        <v>42</v>
      </c>
      <c r="B192" t="s">
        <v>43</v>
      </c>
      <c r="C192">
        <v>20200101</v>
      </c>
      <c r="D192">
        <v>2020</v>
      </c>
      <c r="E192">
        <v>52</v>
      </c>
      <c r="F192" t="s">
        <v>271</v>
      </c>
      <c r="G192">
        <v>780</v>
      </c>
      <c r="H192" t="s">
        <v>252</v>
      </c>
      <c r="I192" t="s">
        <v>253</v>
      </c>
      <c r="J192" t="s">
        <v>47</v>
      </c>
      <c r="K192" t="s">
        <v>48</v>
      </c>
      <c r="L192">
        <v>0</v>
      </c>
      <c r="M192" t="s">
        <v>49</v>
      </c>
      <c r="N192" t="s">
        <v>50</v>
      </c>
      <c r="O192">
        <v>0</v>
      </c>
      <c r="P192" t="s">
        <v>49</v>
      </c>
      <c r="Q192" t="s">
        <v>50</v>
      </c>
      <c r="R192" t="s">
        <v>104</v>
      </c>
      <c r="S192" t="s">
        <v>52</v>
      </c>
      <c r="T192" t="b">
        <v>1</v>
      </c>
      <c r="U192" t="s">
        <v>53</v>
      </c>
      <c r="V192" t="s">
        <v>54</v>
      </c>
      <c r="W192">
        <v>4</v>
      </c>
      <c r="X192" t="b">
        <v>0</v>
      </c>
      <c r="Y192" t="s">
        <v>55</v>
      </c>
      <c r="Z192" t="s">
        <v>56</v>
      </c>
      <c r="AA192" t="s">
        <v>57</v>
      </c>
      <c r="AB192">
        <v>0</v>
      </c>
      <c r="AC192" t="s">
        <v>58</v>
      </c>
      <c r="AD192">
        <v>-1</v>
      </c>
      <c r="AE192" t="s">
        <v>73</v>
      </c>
      <c r="AF192">
        <v>0</v>
      </c>
      <c r="AG192" t="b">
        <v>0</v>
      </c>
      <c r="AH192">
        <v>-1</v>
      </c>
      <c r="AI192" t="s">
        <v>73</v>
      </c>
      <c r="AJ192">
        <v>0</v>
      </c>
      <c r="AK192" t="b">
        <v>0</v>
      </c>
      <c r="AL192">
        <v>0</v>
      </c>
      <c r="AM192" t="b">
        <v>0</v>
      </c>
      <c r="AN192">
        <v>0</v>
      </c>
      <c r="AO192" t="b">
        <v>0</v>
      </c>
      <c r="AP192">
        <v>0</v>
      </c>
      <c r="AQ192">
        <v>730879374.41499996</v>
      </c>
      <c r="AR192">
        <v>730879374.41499996</v>
      </c>
      <c r="AS192">
        <v>0</v>
      </c>
      <c r="AT192" t="b">
        <v>0</v>
      </c>
      <c r="AU192" t="b">
        <v>1</v>
      </c>
      <c r="BA192" t="str">
        <f t="shared" si="4"/>
        <v>Normal</v>
      </c>
      <c r="BG192" t="str">
        <f t="shared" si="5"/>
        <v>Normal</v>
      </c>
    </row>
    <row r="193" spans="1:59" x14ac:dyDescent="0.2">
      <c r="A193" t="s">
        <v>42</v>
      </c>
      <c r="B193" t="s">
        <v>43</v>
      </c>
      <c r="C193">
        <v>20200101</v>
      </c>
      <c r="D193">
        <v>2020</v>
      </c>
      <c r="E193">
        <v>52</v>
      </c>
      <c r="F193" t="s">
        <v>271</v>
      </c>
      <c r="G193">
        <v>784</v>
      </c>
      <c r="H193" t="s">
        <v>254</v>
      </c>
      <c r="I193" t="s">
        <v>255</v>
      </c>
      <c r="J193" t="s">
        <v>47</v>
      </c>
      <c r="K193" t="s">
        <v>48</v>
      </c>
      <c r="L193">
        <v>0</v>
      </c>
      <c r="M193" t="s">
        <v>49</v>
      </c>
      <c r="N193" t="s">
        <v>50</v>
      </c>
      <c r="O193">
        <v>0</v>
      </c>
      <c r="P193" t="s">
        <v>49</v>
      </c>
      <c r="Q193" t="s">
        <v>50</v>
      </c>
      <c r="R193" t="s">
        <v>51</v>
      </c>
      <c r="S193" t="s">
        <v>52</v>
      </c>
      <c r="T193" t="b">
        <v>1</v>
      </c>
      <c r="U193" t="s">
        <v>53</v>
      </c>
      <c r="V193" t="s">
        <v>54</v>
      </c>
      <c r="W193">
        <v>4</v>
      </c>
      <c r="X193" t="b">
        <v>0</v>
      </c>
      <c r="Y193" t="s">
        <v>55</v>
      </c>
      <c r="Z193" t="s">
        <v>56</v>
      </c>
      <c r="AA193" t="s">
        <v>57</v>
      </c>
      <c r="AB193">
        <v>0</v>
      </c>
      <c r="AC193" t="s">
        <v>58</v>
      </c>
      <c r="AD193">
        <v>-1</v>
      </c>
      <c r="AE193" t="s">
        <v>73</v>
      </c>
      <c r="AF193">
        <v>0</v>
      </c>
      <c r="AG193" t="b">
        <v>0</v>
      </c>
      <c r="AH193">
        <v>-1</v>
      </c>
      <c r="AI193" t="s">
        <v>73</v>
      </c>
      <c r="AJ193">
        <v>0</v>
      </c>
      <c r="AK193" t="b">
        <v>0</v>
      </c>
      <c r="AL193">
        <v>0</v>
      </c>
      <c r="AM193" t="b">
        <v>0</v>
      </c>
      <c r="AN193">
        <v>0</v>
      </c>
      <c r="AO193" t="b">
        <v>0</v>
      </c>
      <c r="AP193">
        <v>0</v>
      </c>
      <c r="AQ193">
        <v>105123364795.73599</v>
      </c>
      <c r="AR193">
        <v>105123364795.73599</v>
      </c>
      <c r="AS193">
        <v>0</v>
      </c>
      <c r="AT193" t="b">
        <v>0</v>
      </c>
      <c r="AU193" t="b">
        <v>1</v>
      </c>
      <c r="BA193" t="str">
        <f t="shared" si="4"/>
        <v>Normal</v>
      </c>
      <c r="BG193" t="str">
        <f t="shared" si="5"/>
        <v>Normal</v>
      </c>
    </row>
    <row r="194" spans="1:59" x14ac:dyDescent="0.2">
      <c r="A194" t="s">
        <v>42</v>
      </c>
      <c r="B194" t="s">
        <v>43</v>
      </c>
      <c r="C194">
        <v>20200101</v>
      </c>
      <c r="D194">
        <v>2020</v>
      </c>
      <c r="E194">
        <v>52</v>
      </c>
      <c r="F194" t="s">
        <v>271</v>
      </c>
      <c r="G194">
        <v>788</v>
      </c>
      <c r="H194" t="s">
        <v>256</v>
      </c>
      <c r="I194" t="s">
        <v>257</v>
      </c>
      <c r="J194" t="s">
        <v>47</v>
      </c>
      <c r="K194" t="s">
        <v>48</v>
      </c>
      <c r="L194">
        <v>0</v>
      </c>
      <c r="M194" t="s">
        <v>49</v>
      </c>
      <c r="N194" t="s">
        <v>50</v>
      </c>
      <c r="O194">
        <v>0</v>
      </c>
      <c r="P194" t="s">
        <v>49</v>
      </c>
      <c r="Q194" t="s">
        <v>50</v>
      </c>
      <c r="R194" t="s">
        <v>51</v>
      </c>
      <c r="S194" t="s">
        <v>52</v>
      </c>
      <c r="T194" t="b">
        <v>1</v>
      </c>
      <c r="U194" t="s">
        <v>53</v>
      </c>
      <c r="V194" t="s">
        <v>54</v>
      </c>
      <c r="W194">
        <v>4</v>
      </c>
      <c r="X194" t="b">
        <v>0</v>
      </c>
      <c r="Y194" t="s">
        <v>55</v>
      </c>
      <c r="Z194" t="s">
        <v>56</v>
      </c>
      <c r="AA194" t="s">
        <v>57</v>
      </c>
      <c r="AB194">
        <v>0</v>
      </c>
      <c r="AC194" t="s">
        <v>58</v>
      </c>
      <c r="AD194">
        <v>8</v>
      </c>
      <c r="AE194" t="s">
        <v>59</v>
      </c>
      <c r="AF194">
        <v>1444786770</v>
      </c>
      <c r="AG194" t="b">
        <v>0</v>
      </c>
      <c r="AH194">
        <v>8</v>
      </c>
      <c r="AI194" t="s">
        <v>59</v>
      </c>
      <c r="AJ194">
        <v>1444786770</v>
      </c>
      <c r="AK194" t="b">
        <v>0</v>
      </c>
      <c r="AL194">
        <v>1444786770</v>
      </c>
      <c r="AM194" t="b">
        <v>0</v>
      </c>
      <c r="AN194">
        <v>0</v>
      </c>
      <c r="AO194" t="b">
        <v>0</v>
      </c>
      <c r="AP194">
        <v>0</v>
      </c>
      <c r="AQ194">
        <v>536649564.75999999</v>
      </c>
      <c r="AR194">
        <v>536649564.75999999</v>
      </c>
      <c r="AS194">
        <v>0</v>
      </c>
      <c r="AT194" t="b">
        <v>0</v>
      </c>
      <c r="AU194" t="b">
        <v>1</v>
      </c>
      <c r="BA194" t="str">
        <f t="shared" si="4"/>
        <v>Normal</v>
      </c>
      <c r="BG194" t="str">
        <f t="shared" si="5"/>
        <v>Normal</v>
      </c>
    </row>
    <row r="195" spans="1:59" x14ac:dyDescent="0.2">
      <c r="A195" t="s">
        <v>42</v>
      </c>
      <c r="B195" t="s">
        <v>43</v>
      </c>
      <c r="C195">
        <v>20200101</v>
      </c>
      <c r="D195">
        <v>2020</v>
      </c>
      <c r="E195">
        <v>52</v>
      </c>
      <c r="F195" t="s">
        <v>271</v>
      </c>
      <c r="G195">
        <v>800</v>
      </c>
      <c r="H195" t="s">
        <v>258</v>
      </c>
      <c r="I195" t="s">
        <v>259</v>
      </c>
      <c r="J195" t="s">
        <v>47</v>
      </c>
      <c r="K195" t="s">
        <v>48</v>
      </c>
      <c r="L195">
        <v>0</v>
      </c>
      <c r="M195" t="s">
        <v>49</v>
      </c>
      <c r="N195" t="s">
        <v>50</v>
      </c>
      <c r="O195">
        <v>0</v>
      </c>
      <c r="P195" t="s">
        <v>49</v>
      </c>
      <c r="Q195" t="s">
        <v>50</v>
      </c>
      <c r="R195" t="s">
        <v>51</v>
      </c>
      <c r="S195" t="s">
        <v>52</v>
      </c>
      <c r="T195" t="b">
        <v>1</v>
      </c>
      <c r="U195" t="s">
        <v>53</v>
      </c>
      <c r="V195" t="s">
        <v>54</v>
      </c>
      <c r="W195">
        <v>4</v>
      </c>
      <c r="X195" t="b">
        <v>0</v>
      </c>
      <c r="Y195" t="s">
        <v>55</v>
      </c>
      <c r="Z195" t="s">
        <v>56</v>
      </c>
      <c r="AA195" t="s">
        <v>57</v>
      </c>
      <c r="AB195">
        <v>0</v>
      </c>
      <c r="AC195" t="s">
        <v>58</v>
      </c>
      <c r="AD195">
        <v>8</v>
      </c>
      <c r="AE195" t="s">
        <v>59</v>
      </c>
      <c r="AF195">
        <v>200</v>
      </c>
      <c r="AG195" t="b">
        <v>0</v>
      </c>
      <c r="AH195">
        <v>8</v>
      </c>
      <c r="AI195" t="s">
        <v>59</v>
      </c>
      <c r="AJ195">
        <v>200</v>
      </c>
      <c r="AK195" t="b">
        <v>0</v>
      </c>
      <c r="AL195">
        <v>200</v>
      </c>
      <c r="AM195" t="b">
        <v>0</v>
      </c>
      <c r="AN195">
        <v>0</v>
      </c>
      <c r="AO195" t="b">
        <v>0</v>
      </c>
      <c r="AP195">
        <v>0</v>
      </c>
      <c r="AQ195">
        <v>307</v>
      </c>
      <c r="AR195">
        <v>307</v>
      </c>
      <c r="AS195">
        <v>0</v>
      </c>
      <c r="AT195" t="b">
        <v>0</v>
      </c>
      <c r="AU195" t="b">
        <v>1</v>
      </c>
      <c r="BA195" t="str">
        <f t="shared" ref="BA195:BA258" si="6">IF(OR(AJ195&lt;AY195,AJ769&gt;AZ195),"Outlier","Normal")</f>
        <v>Normal</v>
      </c>
      <c r="BG195" t="str">
        <f t="shared" ref="BG195:BG258" si="7">IF(OR(AQ195&lt;BE195,AQ769&gt;BF195),"Outlier","Normal")</f>
        <v>Normal</v>
      </c>
    </row>
    <row r="196" spans="1:59" x14ac:dyDescent="0.2">
      <c r="A196" t="s">
        <v>42</v>
      </c>
      <c r="B196" t="s">
        <v>43</v>
      </c>
      <c r="C196">
        <v>20200101</v>
      </c>
      <c r="D196">
        <v>2020</v>
      </c>
      <c r="E196">
        <v>52</v>
      </c>
      <c r="F196" t="s">
        <v>271</v>
      </c>
      <c r="G196">
        <v>804</v>
      </c>
      <c r="H196" t="s">
        <v>260</v>
      </c>
      <c r="I196" t="s">
        <v>261</v>
      </c>
      <c r="J196" t="s">
        <v>47</v>
      </c>
      <c r="K196" t="s">
        <v>48</v>
      </c>
      <c r="L196">
        <v>0</v>
      </c>
      <c r="M196" t="s">
        <v>49</v>
      </c>
      <c r="N196" t="s">
        <v>50</v>
      </c>
      <c r="O196">
        <v>0</v>
      </c>
      <c r="P196" t="s">
        <v>49</v>
      </c>
      <c r="Q196" t="s">
        <v>50</v>
      </c>
      <c r="R196" t="s">
        <v>51</v>
      </c>
      <c r="S196" t="s">
        <v>52</v>
      </c>
      <c r="T196" t="b">
        <v>1</v>
      </c>
      <c r="U196" t="s">
        <v>53</v>
      </c>
      <c r="V196" t="s">
        <v>54</v>
      </c>
      <c r="W196">
        <v>4</v>
      </c>
      <c r="X196" t="b">
        <v>0</v>
      </c>
      <c r="Y196" t="s">
        <v>55</v>
      </c>
      <c r="Z196" t="s">
        <v>56</v>
      </c>
      <c r="AA196" t="s">
        <v>57</v>
      </c>
      <c r="AB196">
        <v>0</v>
      </c>
      <c r="AC196" t="s">
        <v>58</v>
      </c>
      <c r="AD196">
        <v>8</v>
      </c>
      <c r="AE196" t="s">
        <v>59</v>
      </c>
      <c r="AF196">
        <v>80000000</v>
      </c>
      <c r="AG196" t="b">
        <v>0</v>
      </c>
      <c r="AH196">
        <v>8</v>
      </c>
      <c r="AI196" t="s">
        <v>59</v>
      </c>
      <c r="AJ196">
        <v>80000000</v>
      </c>
      <c r="AK196" t="b">
        <v>0</v>
      </c>
      <c r="AL196">
        <v>80000000</v>
      </c>
      <c r="AM196" t="b">
        <v>0</v>
      </c>
      <c r="AN196">
        <v>0</v>
      </c>
      <c r="AO196" t="b">
        <v>0</v>
      </c>
      <c r="AP196">
        <v>0</v>
      </c>
      <c r="AQ196">
        <v>24350926.059999999</v>
      </c>
      <c r="AR196">
        <v>24350926.059999999</v>
      </c>
      <c r="AS196">
        <v>0</v>
      </c>
      <c r="AT196" t="b">
        <v>0</v>
      </c>
      <c r="AU196" t="b">
        <v>1</v>
      </c>
      <c r="BA196" t="str">
        <f t="shared" si="6"/>
        <v>Normal</v>
      </c>
      <c r="BG196" t="str">
        <f t="shared" si="7"/>
        <v>Normal</v>
      </c>
    </row>
    <row r="197" spans="1:59" x14ac:dyDescent="0.2">
      <c r="A197" t="s">
        <v>42</v>
      </c>
      <c r="B197" t="s">
        <v>43</v>
      </c>
      <c r="C197">
        <v>20200101</v>
      </c>
      <c r="D197">
        <v>2020</v>
      </c>
      <c r="E197">
        <v>52</v>
      </c>
      <c r="F197" t="s">
        <v>271</v>
      </c>
      <c r="G197">
        <v>818</v>
      </c>
      <c r="H197" t="s">
        <v>262</v>
      </c>
      <c r="I197" t="s">
        <v>263</v>
      </c>
      <c r="J197" t="s">
        <v>47</v>
      </c>
      <c r="K197" t="s">
        <v>48</v>
      </c>
      <c r="L197">
        <v>0</v>
      </c>
      <c r="M197" t="s">
        <v>49</v>
      </c>
      <c r="N197" t="s">
        <v>50</v>
      </c>
      <c r="O197">
        <v>0</v>
      </c>
      <c r="P197" t="s">
        <v>49</v>
      </c>
      <c r="Q197" t="s">
        <v>50</v>
      </c>
      <c r="R197" t="s">
        <v>104</v>
      </c>
      <c r="S197" t="s">
        <v>52</v>
      </c>
      <c r="T197" t="b">
        <v>1</v>
      </c>
      <c r="U197" t="s">
        <v>53</v>
      </c>
      <c r="V197" t="s">
        <v>54</v>
      </c>
      <c r="W197">
        <v>4</v>
      </c>
      <c r="X197" t="b">
        <v>0</v>
      </c>
      <c r="Y197" t="s">
        <v>55</v>
      </c>
      <c r="Z197" t="s">
        <v>56</v>
      </c>
      <c r="AA197" t="s">
        <v>57</v>
      </c>
      <c r="AB197">
        <v>0</v>
      </c>
      <c r="AC197" t="s">
        <v>58</v>
      </c>
      <c r="AD197">
        <v>8</v>
      </c>
      <c r="AE197" t="s">
        <v>59</v>
      </c>
      <c r="AF197">
        <v>3930226228.592</v>
      </c>
      <c r="AG197" t="b">
        <v>1</v>
      </c>
      <c r="AH197">
        <v>-1</v>
      </c>
      <c r="AI197" t="s">
        <v>73</v>
      </c>
      <c r="AJ197">
        <v>0</v>
      </c>
      <c r="AK197" t="b">
        <v>0</v>
      </c>
      <c r="AL197">
        <v>3930226228.592</v>
      </c>
      <c r="AM197" t="b">
        <v>1</v>
      </c>
      <c r="AN197">
        <v>0</v>
      </c>
      <c r="AO197" t="b">
        <v>0</v>
      </c>
      <c r="AQ197">
        <v>1191878164.579</v>
      </c>
      <c r="AR197">
        <v>1191878164.579</v>
      </c>
      <c r="AS197">
        <v>6</v>
      </c>
      <c r="AT197" t="b">
        <v>0</v>
      </c>
      <c r="AU197" t="b">
        <v>1</v>
      </c>
      <c r="BA197" t="str">
        <f t="shared" si="6"/>
        <v>Normal</v>
      </c>
      <c r="BG197" t="str">
        <f t="shared" si="7"/>
        <v>Normal</v>
      </c>
    </row>
    <row r="198" spans="1:59" x14ac:dyDescent="0.2">
      <c r="A198" t="s">
        <v>42</v>
      </c>
      <c r="B198" t="s">
        <v>43</v>
      </c>
      <c r="C198">
        <v>20200101</v>
      </c>
      <c r="D198">
        <v>2020</v>
      </c>
      <c r="E198">
        <v>52</v>
      </c>
      <c r="F198" t="s">
        <v>271</v>
      </c>
      <c r="G198">
        <v>826</v>
      </c>
      <c r="H198" t="s">
        <v>264</v>
      </c>
      <c r="I198" t="s">
        <v>265</v>
      </c>
      <c r="J198" t="s">
        <v>47</v>
      </c>
      <c r="K198" t="s">
        <v>48</v>
      </c>
      <c r="L198">
        <v>0</v>
      </c>
      <c r="M198" t="s">
        <v>49</v>
      </c>
      <c r="N198" t="s">
        <v>50</v>
      </c>
      <c r="O198">
        <v>0</v>
      </c>
      <c r="P198" t="s">
        <v>49</v>
      </c>
      <c r="Q198" t="s">
        <v>50</v>
      </c>
      <c r="R198" t="s">
        <v>51</v>
      </c>
      <c r="S198" t="s">
        <v>52</v>
      </c>
      <c r="T198" t="b">
        <v>1</v>
      </c>
      <c r="U198" t="s">
        <v>53</v>
      </c>
      <c r="V198" t="s">
        <v>54</v>
      </c>
      <c r="W198">
        <v>4</v>
      </c>
      <c r="X198" t="b">
        <v>0</v>
      </c>
      <c r="Y198" t="s">
        <v>55</v>
      </c>
      <c r="Z198" t="s">
        <v>56</v>
      </c>
      <c r="AA198" t="s">
        <v>57</v>
      </c>
      <c r="AB198">
        <v>0</v>
      </c>
      <c r="AC198" t="s">
        <v>58</v>
      </c>
      <c r="AD198">
        <v>-1</v>
      </c>
      <c r="AE198" t="s">
        <v>73</v>
      </c>
      <c r="AF198">
        <v>0</v>
      </c>
      <c r="AG198" t="b">
        <v>1</v>
      </c>
      <c r="AH198">
        <v>-1</v>
      </c>
      <c r="AI198" t="s">
        <v>73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0</v>
      </c>
      <c r="AQ198">
        <v>16096917228.921</v>
      </c>
      <c r="AR198">
        <v>16096917228.921</v>
      </c>
      <c r="AS198">
        <v>6</v>
      </c>
      <c r="AT198" t="b">
        <v>0</v>
      </c>
      <c r="AU198" t="b">
        <v>1</v>
      </c>
      <c r="BA198" t="str">
        <f t="shared" si="6"/>
        <v>Normal</v>
      </c>
      <c r="BG198" t="str">
        <f t="shared" si="7"/>
        <v>Normal</v>
      </c>
    </row>
    <row r="199" spans="1:59" x14ac:dyDescent="0.2">
      <c r="A199" t="s">
        <v>42</v>
      </c>
      <c r="B199" t="s">
        <v>43</v>
      </c>
      <c r="C199">
        <v>20200101</v>
      </c>
      <c r="D199">
        <v>2020</v>
      </c>
      <c r="E199">
        <v>52</v>
      </c>
      <c r="F199" t="s">
        <v>271</v>
      </c>
      <c r="G199">
        <v>834</v>
      </c>
      <c r="H199" t="s">
        <v>266</v>
      </c>
      <c r="I199" t="s">
        <v>267</v>
      </c>
      <c r="J199" t="s">
        <v>47</v>
      </c>
      <c r="K199" t="s">
        <v>48</v>
      </c>
      <c r="L199">
        <v>0</v>
      </c>
      <c r="M199" t="s">
        <v>49</v>
      </c>
      <c r="N199" t="s">
        <v>50</v>
      </c>
      <c r="O199">
        <v>0</v>
      </c>
      <c r="P199" t="s">
        <v>49</v>
      </c>
      <c r="Q199" t="s">
        <v>50</v>
      </c>
      <c r="R199" t="s">
        <v>51</v>
      </c>
      <c r="S199" t="s">
        <v>52</v>
      </c>
      <c r="T199" t="b">
        <v>1</v>
      </c>
      <c r="U199" t="s">
        <v>53</v>
      </c>
      <c r="V199" t="s">
        <v>54</v>
      </c>
      <c r="W199">
        <v>4</v>
      </c>
      <c r="X199" t="b">
        <v>0</v>
      </c>
      <c r="Y199" t="s">
        <v>55</v>
      </c>
      <c r="Z199" t="s">
        <v>56</v>
      </c>
      <c r="AA199" t="s">
        <v>57</v>
      </c>
      <c r="AB199">
        <v>0</v>
      </c>
      <c r="AC199" t="s">
        <v>58</v>
      </c>
      <c r="AD199">
        <v>8</v>
      </c>
      <c r="AE199" t="s">
        <v>59</v>
      </c>
      <c r="AF199">
        <v>1744661</v>
      </c>
      <c r="AG199" t="b">
        <v>0</v>
      </c>
      <c r="AH199">
        <v>8</v>
      </c>
      <c r="AI199" t="s">
        <v>59</v>
      </c>
      <c r="AJ199">
        <v>1744661</v>
      </c>
      <c r="AK199" t="b">
        <v>0</v>
      </c>
      <c r="AL199">
        <v>1744661</v>
      </c>
      <c r="AM199" t="b">
        <v>0</v>
      </c>
      <c r="AN199">
        <v>0</v>
      </c>
      <c r="AO199" t="b">
        <v>0</v>
      </c>
      <c r="AP199">
        <v>0</v>
      </c>
      <c r="AQ199">
        <v>323487.35999999999</v>
      </c>
      <c r="AR199">
        <v>323487.35999999999</v>
      </c>
      <c r="AS199">
        <v>0</v>
      </c>
      <c r="AT199" t="b">
        <v>0</v>
      </c>
      <c r="AU199" t="b">
        <v>1</v>
      </c>
      <c r="BA199" t="str">
        <f t="shared" si="6"/>
        <v>Normal</v>
      </c>
      <c r="BG199" t="str">
        <f t="shared" si="7"/>
        <v>Normal</v>
      </c>
    </row>
    <row r="200" spans="1:59" x14ac:dyDescent="0.2">
      <c r="A200" t="s">
        <v>42</v>
      </c>
      <c r="B200" t="s">
        <v>43</v>
      </c>
      <c r="C200">
        <v>20200101</v>
      </c>
      <c r="D200">
        <v>2020</v>
      </c>
      <c r="E200">
        <v>52</v>
      </c>
      <c r="F200" t="s">
        <v>271</v>
      </c>
      <c r="G200">
        <v>842</v>
      </c>
      <c r="H200" t="s">
        <v>268</v>
      </c>
      <c r="I200" t="s">
        <v>268</v>
      </c>
      <c r="J200" t="s">
        <v>47</v>
      </c>
      <c r="K200" t="s">
        <v>48</v>
      </c>
      <c r="L200">
        <v>0</v>
      </c>
      <c r="M200" t="s">
        <v>49</v>
      </c>
      <c r="N200" t="s">
        <v>50</v>
      </c>
      <c r="O200">
        <v>0</v>
      </c>
      <c r="P200" t="s">
        <v>49</v>
      </c>
      <c r="Q200" t="s">
        <v>50</v>
      </c>
      <c r="R200" t="s">
        <v>51</v>
      </c>
      <c r="S200" t="s">
        <v>52</v>
      </c>
      <c r="T200" t="b">
        <v>1</v>
      </c>
      <c r="U200" t="s">
        <v>53</v>
      </c>
      <c r="V200" t="s">
        <v>54</v>
      </c>
      <c r="W200">
        <v>4</v>
      </c>
      <c r="X200" t="b">
        <v>0</v>
      </c>
      <c r="Y200" t="s">
        <v>55</v>
      </c>
      <c r="Z200" t="s">
        <v>56</v>
      </c>
      <c r="AA200" t="s">
        <v>57</v>
      </c>
      <c r="AB200">
        <v>0</v>
      </c>
      <c r="AC200" t="s">
        <v>58</v>
      </c>
      <c r="AD200">
        <v>8</v>
      </c>
      <c r="AE200" t="s">
        <v>59</v>
      </c>
      <c r="AF200">
        <v>184211339079</v>
      </c>
      <c r="AG200" t="b">
        <v>0</v>
      </c>
      <c r="AH200">
        <v>19</v>
      </c>
      <c r="AI200" t="s">
        <v>60</v>
      </c>
      <c r="AJ200">
        <v>1158561881</v>
      </c>
      <c r="AK200" t="b">
        <v>0</v>
      </c>
      <c r="AL200">
        <v>184211339079</v>
      </c>
      <c r="AM200" t="b">
        <v>0</v>
      </c>
      <c r="AN200">
        <v>0</v>
      </c>
      <c r="AO200" t="b">
        <v>0</v>
      </c>
      <c r="AP200">
        <v>0</v>
      </c>
      <c r="AQ200">
        <v>50285962130</v>
      </c>
      <c r="AR200">
        <v>50285962130</v>
      </c>
      <c r="AS200">
        <v>0</v>
      </c>
      <c r="AT200" t="b">
        <v>0</v>
      </c>
      <c r="AU200" t="b">
        <v>1</v>
      </c>
      <c r="BA200" t="str">
        <f t="shared" si="6"/>
        <v>Normal</v>
      </c>
      <c r="BG200" t="str">
        <f t="shared" si="7"/>
        <v>Normal</v>
      </c>
    </row>
    <row r="201" spans="1:59" x14ac:dyDescent="0.2">
      <c r="A201" t="s">
        <v>42</v>
      </c>
      <c r="B201" t="s">
        <v>43</v>
      </c>
      <c r="C201">
        <v>20200101</v>
      </c>
      <c r="D201">
        <v>2020</v>
      </c>
      <c r="E201">
        <v>52</v>
      </c>
      <c r="F201" t="s">
        <v>271</v>
      </c>
      <c r="G201">
        <v>860</v>
      </c>
      <c r="H201" t="s">
        <v>283</v>
      </c>
      <c r="I201" t="s">
        <v>284</v>
      </c>
      <c r="J201" t="s">
        <v>47</v>
      </c>
      <c r="K201" t="s">
        <v>48</v>
      </c>
      <c r="L201">
        <v>0</v>
      </c>
      <c r="M201" t="s">
        <v>49</v>
      </c>
      <c r="N201" t="s">
        <v>50</v>
      </c>
      <c r="O201">
        <v>0</v>
      </c>
      <c r="P201" t="s">
        <v>49</v>
      </c>
      <c r="Q201" t="s">
        <v>50</v>
      </c>
      <c r="R201" t="s">
        <v>51</v>
      </c>
      <c r="S201" t="s">
        <v>52</v>
      </c>
      <c r="T201" t="b">
        <v>1</v>
      </c>
      <c r="U201" t="s">
        <v>53</v>
      </c>
      <c r="V201" t="s">
        <v>54</v>
      </c>
      <c r="W201">
        <v>4</v>
      </c>
      <c r="X201" t="b">
        <v>0</v>
      </c>
      <c r="Y201" t="s">
        <v>55</v>
      </c>
      <c r="Z201" t="s">
        <v>56</v>
      </c>
      <c r="AA201" t="s">
        <v>57</v>
      </c>
      <c r="AB201">
        <v>0</v>
      </c>
      <c r="AC201" t="s">
        <v>58</v>
      </c>
      <c r="AD201">
        <v>8</v>
      </c>
      <c r="AE201" t="s">
        <v>59</v>
      </c>
      <c r="AF201">
        <v>2.21</v>
      </c>
      <c r="AG201" t="b">
        <v>0</v>
      </c>
      <c r="AH201">
        <v>21</v>
      </c>
      <c r="AI201" t="s">
        <v>170</v>
      </c>
      <c r="AJ201">
        <v>2E-3</v>
      </c>
      <c r="AK201" t="b">
        <v>0</v>
      </c>
      <c r="AL201">
        <v>2.21</v>
      </c>
      <c r="AM201" t="b">
        <v>0</v>
      </c>
      <c r="AN201">
        <v>0</v>
      </c>
      <c r="AO201" t="b">
        <v>0</v>
      </c>
      <c r="AQ201">
        <v>1</v>
      </c>
      <c r="AR201">
        <v>1</v>
      </c>
      <c r="AS201">
        <v>0</v>
      </c>
      <c r="AT201" t="b">
        <v>0</v>
      </c>
      <c r="AU201" t="b">
        <v>1</v>
      </c>
      <c r="BA201" t="str">
        <f t="shared" si="6"/>
        <v>Normal</v>
      </c>
      <c r="BG201" t="str">
        <f t="shared" si="7"/>
        <v>Normal</v>
      </c>
    </row>
    <row r="202" spans="1:59" x14ac:dyDescent="0.2">
      <c r="A202" t="s">
        <v>42</v>
      </c>
      <c r="B202" t="s">
        <v>43</v>
      </c>
      <c r="C202">
        <v>20200101</v>
      </c>
      <c r="D202">
        <v>2020</v>
      </c>
      <c r="E202">
        <v>52</v>
      </c>
      <c r="F202" t="s">
        <v>271</v>
      </c>
      <c r="G202">
        <v>894</v>
      </c>
      <c r="H202" t="s">
        <v>285</v>
      </c>
      <c r="I202" t="s">
        <v>286</v>
      </c>
      <c r="J202" t="s">
        <v>47</v>
      </c>
      <c r="K202" t="s">
        <v>48</v>
      </c>
      <c r="L202">
        <v>0</v>
      </c>
      <c r="M202" t="s">
        <v>49</v>
      </c>
      <c r="N202" t="s">
        <v>50</v>
      </c>
      <c r="O202">
        <v>0</v>
      </c>
      <c r="P202" t="s">
        <v>49</v>
      </c>
      <c r="Q202" t="s">
        <v>50</v>
      </c>
      <c r="R202" t="s">
        <v>51</v>
      </c>
      <c r="S202" t="s">
        <v>52</v>
      </c>
      <c r="T202" t="b">
        <v>1</v>
      </c>
      <c r="U202" t="s">
        <v>53</v>
      </c>
      <c r="V202" t="s">
        <v>54</v>
      </c>
      <c r="W202">
        <v>4</v>
      </c>
      <c r="X202" t="b">
        <v>0</v>
      </c>
      <c r="Y202" t="s">
        <v>55</v>
      </c>
      <c r="Z202" t="s">
        <v>56</v>
      </c>
      <c r="AA202" t="s">
        <v>57</v>
      </c>
      <c r="AB202">
        <v>0</v>
      </c>
      <c r="AC202" t="s">
        <v>58</v>
      </c>
      <c r="AD202">
        <v>8</v>
      </c>
      <c r="AE202" t="s">
        <v>59</v>
      </c>
      <c r="AF202">
        <v>10</v>
      </c>
      <c r="AG202" t="b">
        <v>0</v>
      </c>
      <c r="AH202">
        <v>7</v>
      </c>
      <c r="AI202" t="s">
        <v>67</v>
      </c>
      <c r="AJ202">
        <v>10</v>
      </c>
      <c r="AK202" t="b">
        <v>0</v>
      </c>
      <c r="AL202">
        <v>10</v>
      </c>
      <c r="AM202" t="b">
        <v>0</v>
      </c>
      <c r="AN202">
        <v>0</v>
      </c>
      <c r="AO202" t="b">
        <v>0</v>
      </c>
      <c r="AQ202">
        <v>0.8</v>
      </c>
      <c r="AR202">
        <v>0.8</v>
      </c>
      <c r="AS202">
        <v>0</v>
      </c>
      <c r="AT202" t="b">
        <v>0</v>
      </c>
      <c r="AU202" t="b">
        <v>1</v>
      </c>
      <c r="BA202" t="str">
        <f t="shared" si="6"/>
        <v>Normal</v>
      </c>
      <c r="BG202" t="str">
        <f t="shared" si="7"/>
        <v>Normal</v>
      </c>
    </row>
    <row r="203" spans="1:59" x14ac:dyDescent="0.2">
      <c r="A203" t="s">
        <v>42</v>
      </c>
      <c r="B203" t="s">
        <v>43</v>
      </c>
      <c r="C203">
        <v>20210101</v>
      </c>
      <c r="D203">
        <v>2021</v>
      </c>
      <c r="E203">
        <v>52</v>
      </c>
      <c r="F203" t="s">
        <v>287</v>
      </c>
      <c r="G203">
        <v>20</v>
      </c>
      <c r="H203" t="s">
        <v>288</v>
      </c>
      <c r="I203" t="s">
        <v>289</v>
      </c>
      <c r="J203" t="s">
        <v>47</v>
      </c>
      <c r="K203" t="s">
        <v>48</v>
      </c>
      <c r="L203">
        <v>0</v>
      </c>
      <c r="M203" t="s">
        <v>49</v>
      </c>
      <c r="N203" t="s">
        <v>50</v>
      </c>
      <c r="O203">
        <v>0</v>
      </c>
      <c r="P203" t="s">
        <v>49</v>
      </c>
      <c r="Q203" t="s">
        <v>50</v>
      </c>
      <c r="R203" t="s">
        <v>51</v>
      </c>
      <c r="S203" t="s">
        <v>52</v>
      </c>
      <c r="T203" t="b">
        <v>1</v>
      </c>
      <c r="U203" t="s">
        <v>53</v>
      </c>
      <c r="V203" t="s">
        <v>54</v>
      </c>
      <c r="W203">
        <v>4</v>
      </c>
      <c r="X203" t="b">
        <v>0</v>
      </c>
      <c r="Y203" t="s">
        <v>55</v>
      </c>
      <c r="Z203" t="s">
        <v>56</v>
      </c>
      <c r="AA203" t="s">
        <v>57</v>
      </c>
      <c r="AB203">
        <v>0</v>
      </c>
      <c r="AC203" t="s">
        <v>58</v>
      </c>
      <c r="AD203">
        <v>8</v>
      </c>
      <c r="AE203" t="s">
        <v>59</v>
      </c>
      <c r="AF203">
        <v>12000</v>
      </c>
      <c r="AG203" t="b">
        <v>0</v>
      </c>
      <c r="AH203">
        <v>8</v>
      </c>
      <c r="AI203" t="s">
        <v>59</v>
      </c>
      <c r="AJ203">
        <v>12000</v>
      </c>
      <c r="AK203" t="b">
        <v>0</v>
      </c>
      <c r="AL203">
        <v>12000</v>
      </c>
      <c r="AM203" t="b">
        <v>0</v>
      </c>
      <c r="AN203">
        <v>0</v>
      </c>
      <c r="AO203" t="b">
        <v>0</v>
      </c>
      <c r="AQ203">
        <v>846.95</v>
      </c>
      <c r="AR203">
        <v>846.95</v>
      </c>
      <c r="AS203">
        <v>0</v>
      </c>
      <c r="AT203" t="b">
        <v>0</v>
      </c>
      <c r="AU203" t="b">
        <v>1</v>
      </c>
      <c r="BA203" t="str">
        <f t="shared" si="6"/>
        <v>Normal</v>
      </c>
      <c r="BG203" t="str">
        <f t="shared" si="7"/>
        <v>Normal</v>
      </c>
    </row>
    <row r="204" spans="1:59" x14ac:dyDescent="0.2">
      <c r="A204" t="s">
        <v>42</v>
      </c>
      <c r="B204" t="s">
        <v>43</v>
      </c>
      <c r="C204">
        <v>20210101</v>
      </c>
      <c r="D204">
        <v>2021</v>
      </c>
      <c r="E204">
        <v>52</v>
      </c>
      <c r="F204" t="s">
        <v>287</v>
      </c>
      <c r="G204">
        <v>24</v>
      </c>
      <c r="H204" t="s">
        <v>45</v>
      </c>
      <c r="I204" t="s">
        <v>46</v>
      </c>
      <c r="J204" t="s">
        <v>47</v>
      </c>
      <c r="K204" t="s">
        <v>48</v>
      </c>
      <c r="L204">
        <v>0</v>
      </c>
      <c r="M204" t="s">
        <v>49</v>
      </c>
      <c r="N204" t="s">
        <v>50</v>
      </c>
      <c r="O204">
        <v>0</v>
      </c>
      <c r="P204" t="s">
        <v>49</v>
      </c>
      <c r="Q204" t="s">
        <v>50</v>
      </c>
      <c r="R204" t="s">
        <v>51</v>
      </c>
      <c r="S204" t="s">
        <v>52</v>
      </c>
      <c r="T204" t="b">
        <v>1</v>
      </c>
      <c r="U204" t="s">
        <v>53</v>
      </c>
      <c r="V204" t="s">
        <v>54</v>
      </c>
      <c r="W204">
        <v>4</v>
      </c>
      <c r="X204" t="b">
        <v>0</v>
      </c>
      <c r="Y204" t="s">
        <v>55</v>
      </c>
      <c r="Z204" t="s">
        <v>56</v>
      </c>
      <c r="AA204" t="s">
        <v>57</v>
      </c>
      <c r="AB204">
        <v>0</v>
      </c>
      <c r="AC204" t="s">
        <v>58</v>
      </c>
      <c r="AD204">
        <v>8</v>
      </c>
      <c r="AE204" t="s">
        <v>59</v>
      </c>
      <c r="AF204">
        <v>62554119306</v>
      </c>
      <c r="AG204" t="b">
        <v>0</v>
      </c>
      <c r="AH204">
        <v>19</v>
      </c>
      <c r="AI204" t="s">
        <v>60</v>
      </c>
      <c r="AJ204">
        <v>393422134</v>
      </c>
      <c r="AK204" t="b">
        <v>0</v>
      </c>
      <c r="AL204">
        <v>62554119306</v>
      </c>
      <c r="AM204" t="b">
        <v>0</v>
      </c>
      <c r="AN204">
        <v>0</v>
      </c>
      <c r="AO204" t="b">
        <v>0</v>
      </c>
      <c r="AQ204">
        <v>27481273609.393002</v>
      </c>
      <c r="AR204">
        <v>27481273609.393002</v>
      </c>
      <c r="AS204">
        <v>0</v>
      </c>
      <c r="AT204" t="b">
        <v>0</v>
      </c>
      <c r="AU204" t="b">
        <v>1</v>
      </c>
      <c r="BA204" t="str">
        <f t="shared" si="6"/>
        <v>Normal</v>
      </c>
      <c r="BG204" t="str">
        <f t="shared" si="7"/>
        <v>Normal</v>
      </c>
    </row>
    <row r="205" spans="1:59" x14ac:dyDescent="0.2">
      <c r="A205" t="s">
        <v>42</v>
      </c>
      <c r="B205" t="s">
        <v>43</v>
      </c>
      <c r="C205">
        <v>20210101</v>
      </c>
      <c r="D205">
        <v>2021</v>
      </c>
      <c r="E205">
        <v>52</v>
      </c>
      <c r="F205" t="s">
        <v>287</v>
      </c>
      <c r="G205">
        <v>31</v>
      </c>
      <c r="H205" t="s">
        <v>61</v>
      </c>
      <c r="I205" t="s">
        <v>62</v>
      </c>
      <c r="J205" t="s">
        <v>47</v>
      </c>
      <c r="K205" t="s">
        <v>48</v>
      </c>
      <c r="L205">
        <v>0</v>
      </c>
      <c r="M205" t="s">
        <v>49</v>
      </c>
      <c r="N205" t="s">
        <v>50</v>
      </c>
      <c r="O205">
        <v>0</v>
      </c>
      <c r="P205" t="s">
        <v>49</v>
      </c>
      <c r="Q205" t="s">
        <v>50</v>
      </c>
      <c r="R205" t="s">
        <v>51</v>
      </c>
      <c r="S205" t="s">
        <v>52</v>
      </c>
      <c r="T205" t="b">
        <v>1</v>
      </c>
      <c r="U205" t="s">
        <v>53</v>
      </c>
      <c r="V205" t="s">
        <v>54</v>
      </c>
      <c r="W205">
        <v>4</v>
      </c>
      <c r="X205" t="b">
        <v>0</v>
      </c>
      <c r="Y205" t="s">
        <v>55</v>
      </c>
      <c r="Z205" t="s">
        <v>56</v>
      </c>
      <c r="AA205" t="s">
        <v>57</v>
      </c>
      <c r="AB205">
        <v>0</v>
      </c>
      <c r="AC205" t="s">
        <v>58</v>
      </c>
      <c r="AD205">
        <v>8</v>
      </c>
      <c r="AE205" t="s">
        <v>59</v>
      </c>
      <c r="AF205">
        <v>27116114710</v>
      </c>
      <c r="AG205" t="b">
        <v>0</v>
      </c>
      <c r="AH205">
        <v>8</v>
      </c>
      <c r="AI205" t="s">
        <v>59</v>
      </c>
      <c r="AJ205">
        <v>27116114710</v>
      </c>
      <c r="AK205" t="b">
        <v>0</v>
      </c>
      <c r="AL205">
        <v>27116114710</v>
      </c>
      <c r="AM205" t="b">
        <v>0</v>
      </c>
      <c r="AN205">
        <v>0</v>
      </c>
      <c r="AO205" t="b">
        <v>0</v>
      </c>
      <c r="AQ205">
        <v>13218921496.59</v>
      </c>
      <c r="AR205">
        <v>13218921496.59</v>
      </c>
      <c r="AS205">
        <v>0</v>
      </c>
      <c r="AT205" t="b">
        <v>0</v>
      </c>
      <c r="AU205" t="b">
        <v>1</v>
      </c>
      <c r="BA205" t="str">
        <f t="shared" si="6"/>
        <v>Normal</v>
      </c>
      <c r="BG205" t="str">
        <f t="shared" si="7"/>
        <v>Normal</v>
      </c>
    </row>
    <row r="206" spans="1:59" x14ac:dyDescent="0.2">
      <c r="A206" t="s">
        <v>42</v>
      </c>
      <c r="B206" t="s">
        <v>43</v>
      </c>
      <c r="C206">
        <v>20210101</v>
      </c>
      <c r="D206">
        <v>2021</v>
      </c>
      <c r="E206">
        <v>52</v>
      </c>
      <c r="F206" t="s">
        <v>287</v>
      </c>
      <c r="G206">
        <v>32</v>
      </c>
      <c r="H206" t="s">
        <v>63</v>
      </c>
      <c r="I206" t="s">
        <v>64</v>
      </c>
      <c r="J206" t="s">
        <v>47</v>
      </c>
      <c r="K206" t="s">
        <v>48</v>
      </c>
      <c r="L206">
        <v>0</v>
      </c>
      <c r="M206" t="s">
        <v>49</v>
      </c>
      <c r="N206" t="s">
        <v>50</v>
      </c>
      <c r="O206">
        <v>0</v>
      </c>
      <c r="P206" t="s">
        <v>49</v>
      </c>
      <c r="Q206" t="s">
        <v>50</v>
      </c>
      <c r="R206" t="s">
        <v>51</v>
      </c>
      <c r="S206" t="s">
        <v>52</v>
      </c>
      <c r="T206" t="b">
        <v>1</v>
      </c>
      <c r="U206" t="s">
        <v>53</v>
      </c>
      <c r="V206" t="s">
        <v>54</v>
      </c>
      <c r="W206">
        <v>4</v>
      </c>
      <c r="X206" t="b">
        <v>0</v>
      </c>
      <c r="Y206" t="s">
        <v>55</v>
      </c>
      <c r="Z206" t="s">
        <v>56</v>
      </c>
      <c r="AA206" t="s">
        <v>57</v>
      </c>
      <c r="AB206">
        <v>0</v>
      </c>
      <c r="AC206" t="s">
        <v>58</v>
      </c>
      <c r="AD206">
        <v>8</v>
      </c>
      <c r="AE206" t="s">
        <v>59</v>
      </c>
      <c r="AF206">
        <v>2277713900</v>
      </c>
      <c r="AG206" t="b">
        <v>0</v>
      </c>
      <c r="AH206">
        <v>8</v>
      </c>
      <c r="AI206" t="s">
        <v>59</v>
      </c>
      <c r="AJ206">
        <v>2277713900</v>
      </c>
      <c r="AK206" t="b">
        <v>0</v>
      </c>
      <c r="AL206">
        <v>2277713900</v>
      </c>
      <c r="AM206" t="b">
        <v>0</v>
      </c>
      <c r="AN206">
        <v>0</v>
      </c>
      <c r="AO206" t="b">
        <v>0</v>
      </c>
      <c r="AP206">
        <v>0</v>
      </c>
      <c r="AQ206">
        <v>1161542098.5799999</v>
      </c>
      <c r="AR206">
        <v>1161542098.5799999</v>
      </c>
      <c r="AS206">
        <v>0</v>
      </c>
      <c r="AT206" t="b">
        <v>0</v>
      </c>
      <c r="AU206" t="b">
        <v>1</v>
      </c>
      <c r="BA206" t="str">
        <f t="shared" si="6"/>
        <v>Normal</v>
      </c>
      <c r="BG206" t="str">
        <f t="shared" si="7"/>
        <v>Normal</v>
      </c>
    </row>
    <row r="207" spans="1:59" x14ac:dyDescent="0.2">
      <c r="A207" t="s">
        <v>42</v>
      </c>
      <c r="B207" t="s">
        <v>43</v>
      </c>
      <c r="C207">
        <v>20210101</v>
      </c>
      <c r="D207">
        <v>2021</v>
      </c>
      <c r="E207">
        <v>52</v>
      </c>
      <c r="F207" t="s">
        <v>287</v>
      </c>
      <c r="G207">
        <v>36</v>
      </c>
      <c r="H207" t="s">
        <v>65</v>
      </c>
      <c r="I207" t="s">
        <v>66</v>
      </c>
      <c r="J207" t="s">
        <v>47</v>
      </c>
      <c r="K207" t="s">
        <v>48</v>
      </c>
      <c r="L207">
        <v>0</v>
      </c>
      <c r="M207" t="s">
        <v>49</v>
      </c>
      <c r="N207" t="s">
        <v>50</v>
      </c>
      <c r="O207">
        <v>0</v>
      </c>
      <c r="P207" t="s">
        <v>49</v>
      </c>
      <c r="Q207" t="s">
        <v>50</v>
      </c>
      <c r="R207" t="s">
        <v>51</v>
      </c>
      <c r="S207" t="s">
        <v>52</v>
      </c>
      <c r="T207" t="b">
        <v>1</v>
      </c>
      <c r="U207" t="s">
        <v>53</v>
      </c>
      <c r="V207" t="s">
        <v>54</v>
      </c>
      <c r="W207">
        <v>4</v>
      </c>
      <c r="X207" t="b">
        <v>0</v>
      </c>
      <c r="Y207" t="s">
        <v>55</v>
      </c>
      <c r="Z207" t="s">
        <v>56</v>
      </c>
      <c r="AA207" t="s">
        <v>57</v>
      </c>
      <c r="AB207">
        <v>0</v>
      </c>
      <c r="AC207" t="s">
        <v>58</v>
      </c>
      <c r="AD207">
        <v>8</v>
      </c>
      <c r="AE207" t="s">
        <v>59</v>
      </c>
      <c r="AF207">
        <v>15890500613.4</v>
      </c>
      <c r="AG207" t="b">
        <v>0</v>
      </c>
      <c r="AH207">
        <v>7</v>
      </c>
      <c r="AI207" t="s">
        <v>67</v>
      </c>
      <c r="AJ207">
        <v>15890500613.4</v>
      </c>
      <c r="AK207" t="b">
        <v>0</v>
      </c>
      <c r="AM207" t="b">
        <v>0</v>
      </c>
      <c r="AN207">
        <v>13205851803.200001</v>
      </c>
      <c r="AO207" t="b">
        <v>0</v>
      </c>
      <c r="AQ207">
        <v>7606804961.2229996</v>
      </c>
      <c r="AR207">
        <v>7606804961.2229996</v>
      </c>
      <c r="AS207">
        <v>0</v>
      </c>
      <c r="AT207" t="b">
        <v>0</v>
      </c>
      <c r="AU207" t="b">
        <v>1</v>
      </c>
      <c r="BA207" t="str">
        <f t="shared" si="6"/>
        <v>Normal</v>
      </c>
      <c r="BG207" t="str">
        <f t="shared" si="7"/>
        <v>Normal</v>
      </c>
    </row>
    <row r="208" spans="1:59" x14ac:dyDescent="0.2">
      <c r="A208" t="s">
        <v>42</v>
      </c>
      <c r="B208" t="s">
        <v>43</v>
      </c>
      <c r="C208">
        <v>20210101</v>
      </c>
      <c r="D208">
        <v>2021</v>
      </c>
      <c r="E208">
        <v>52</v>
      </c>
      <c r="F208" t="s">
        <v>287</v>
      </c>
      <c r="G208">
        <v>52</v>
      </c>
      <c r="H208" t="s">
        <v>68</v>
      </c>
      <c r="I208" t="s">
        <v>69</v>
      </c>
      <c r="J208" t="s">
        <v>47</v>
      </c>
      <c r="K208" t="s">
        <v>48</v>
      </c>
      <c r="L208">
        <v>0</v>
      </c>
      <c r="M208" t="s">
        <v>49</v>
      </c>
      <c r="N208" t="s">
        <v>50</v>
      </c>
      <c r="O208">
        <v>0</v>
      </c>
      <c r="P208" t="s">
        <v>49</v>
      </c>
      <c r="Q208" t="s">
        <v>50</v>
      </c>
      <c r="R208" t="s">
        <v>51</v>
      </c>
      <c r="S208" t="s">
        <v>52</v>
      </c>
      <c r="T208" t="b">
        <v>1</v>
      </c>
      <c r="U208" t="s">
        <v>53</v>
      </c>
      <c r="V208" t="s">
        <v>54</v>
      </c>
      <c r="W208">
        <v>4</v>
      </c>
      <c r="X208" t="b">
        <v>0</v>
      </c>
      <c r="Y208" t="s">
        <v>55</v>
      </c>
      <c r="Z208" t="s">
        <v>56</v>
      </c>
      <c r="AA208" t="s">
        <v>57</v>
      </c>
      <c r="AB208">
        <v>0</v>
      </c>
      <c r="AC208" t="s">
        <v>58</v>
      </c>
      <c r="AD208">
        <v>8</v>
      </c>
      <c r="AE208" t="s">
        <v>59</v>
      </c>
      <c r="AF208">
        <v>11761820</v>
      </c>
      <c r="AG208" t="b">
        <v>0</v>
      </c>
      <c r="AH208">
        <v>8</v>
      </c>
      <c r="AI208" t="s">
        <v>59</v>
      </c>
      <c r="AJ208">
        <v>11761820</v>
      </c>
      <c r="AK208" t="b">
        <v>0</v>
      </c>
      <c r="AL208">
        <v>11761820</v>
      </c>
      <c r="AM208" t="b">
        <v>0</v>
      </c>
      <c r="AN208">
        <v>0</v>
      </c>
      <c r="AO208" t="b">
        <v>0</v>
      </c>
      <c r="AP208">
        <v>0</v>
      </c>
      <c r="AQ208">
        <v>5988363</v>
      </c>
      <c r="AR208">
        <v>5988363</v>
      </c>
      <c r="AS208">
        <v>0</v>
      </c>
      <c r="AT208" t="b">
        <v>0</v>
      </c>
      <c r="AU208" t="b">
        <v>1</v>
      </c>
      <c r="BA208" t="str">
        <f t="shared" si="6"/>
        <v>Normal</v>
      </c>
      <c r="BG208" t="str">
        <f t="shared" si="7"/>
        <v>Normal</v>
      </c>
    </row>
    <row r="209" spans="1:59" x14ac:dyDescent="0.2">
      <c r="A209" t="s">
        <v>42</v>
      </c>
      <c r="B209" t="s">
        <v>43</v>
      </c>
      <c r="C209">
        <v>20210101</v>
      </c>
      <c r="D209">
        <v>2021</v>
      </c>
      <c r="E209">
        <v>52</v>
      </c>
      <c r="F209" t="s">
        <v>287</v>
      </c>
      <c r="G209">
        <v>56</v>
      </c>
      <c r="H209" t="s">
        <v>71</v>
      </c>
      <c r="I209" t="s">
        <v>72</v>
      </c>
      <c r="J209" t="s">
        <v>47</v>
      </c>
      <c r="K209" t="s">
        <v>48</v>
      </c>
      <c r="L209">
        <v>0</v>
      </c>
      <c r="M209" t="s">
        <v>49</v>
      </c>
      <c r="N209" t="s">
        <v>50</v>
      </c>
      <c r="O209">
        <v>0</v>
      </c>
      <c r="P209" t="s">
        <v>49</v>
      </c>
      <c r="Q209" t="s">
        <v>50</v>
      </c>
      <c r="R209" t="s">
        <v>51</v>
      </c>
      <c r="S209" t="s">
        <v>52</v>
      </c>
      <c r="T209" t="b">
        <v>1</v>
      </c>
      <c r="U209" t="s">
        <v>53</v>
      </c>
      <c r="V209" t="s">
        <v>54</v>
      </c>
      <c r="W209">
        <v>4</v>
      </c>
      <c r="X209" t="b">
        <v>0</v>
      </c>
      <c r="Y209" t="s">
        <v>55</v>
      </c>
      <c r="Z209" t="s">
        <v>56</v>
      </c>
      <c r="AA209" t="s">
        <v>57</v>
      </c>
      <c r="AB209">
        <v>0</v>
      </c>
      <c r="AC209" t="s">
        <v>58</v>
      </c>
      <c r="AD209">
        <v>-1</v>
      </c>
      <c r="AE209" t="s">
        <v>73</v>
      </c>
      <c r="AF209">
        <v>0</v>
      </c>
      <c r="AG209" t="b">
        <v>0</v>
      </c>
      <c r="AH209">
        <v>-1</v>
      </c>
      <c r="AI209" t="s">
        <v>73</v>
      </c>
      <c r="AJ209">
        <v>0</v>
      </c>
      <c r="AK209" t="b">
        <v>0</v>
      </c>
      <c r="AM209" t="b">
        <v>0</v>
      </c>
      <c r="AN209">
        <v>0</v>
      </c>
      <c r="AO209" t="b">
        <v>0</v>
      </c>
      <c r="AQ209">
        <v>39597033.222999997</v>
      </c>
      <c r="AR209">
        <v>39597033.222999997</v>
      </c>
      <c r="AS209">
        <v>0</v>
      </c>
      <c r="AT209" t="b">
        <v>0</v>
      </c>
      <c r="AU209" t="b">
        <v>1</v>
      </c>
      <c r="BA209" t="str">
        <f t="shared" si="6"/>
        <v>Normal</v>
      </c>
      <c r="BG209" t="str">
        <f t="shared" si="7"/>
        <v>Normal</v>
      </c>
    </row>
    <row r="210" spans="1:59" x14ac:dyDescent="0.2">
      <c r="A210" t="s">
        <v>42</v>
      </c>
      <c r="B210" t="s">
        <v>43</v>
      </c>
      <c r="C210">
        <v>20210101</v>
      </c>
      <c r="D210">
        <v>2021</v>
      </c>
      <c r="E210">
        <v>52</v>
      </c>
      <c r="F210" t="s">
        <v>287</v>
      </c>
      <c r="G210">
        <v>68</v>
      </c>
      <c r="H210" t="s">
        <v>74</v>
      </c>
      <c r="I210" t="s">
        <v>75</v>
      </c>
      <c r="J210" t="s">
        <v>47</v>
      </c>
      <c r="K210" t="s">
        <v>48</v>
      </c>
      <c r="L210">
        <v>0</v>
      </c>
      <c r="M210" t="s">
        <v>49</v>
      </c>
      <c r="N210" t="s">
        <v>50</v>
      </c>
      <c r="O210">
        <v>0</v>
      </c>
      <c r="P210" t="s">
        <v>49</v>
      </c>
      <c r="Q210" t="s">
        <v>50</v>
      </c>
      <c r="R210" t="s">
        <v>51</v>
      </c>
      <c r="S210" t="s">
        <v>52</v>
      </c>
      <c r="T210" t="b">
        <v>1</v>
      </c>
      <c r="U210" t="s">
        <v>53</v>
      </c>
      <c r="V210" t="s">
        <v>54</v>
      </c>
      <c r="W210">
        <v>4</v>
      </c>
      <c r="X210" t="b">
        <v>0</v>
      </c>
      <c r="Y210" t="s">
        <v>55</v>
      </c>
      <c r="Z210" t="s">
        <v>56</v>
      </c>
      <c r="AA210" t="s">
        <v>57</v>
      </c>
      <c r="AB210">
        <v>0</v>
      </c>
      <c r="AC210" t="s">
        <v>58</v>
      </c>
      <c r="AD210">
        <v>8</v>
      </c>
      <c r="AE210" t="s">
        <v>59</v>
      </c>
      <c r="AF210">
        <v>47291802.465000004</v>
      </c>
      <c r="AG210" t="b">
        <v>1</v>
      </c>
      <c r="AH210">
        <v>-1</v>
      </c>
      <c r="AI210" t="s">
        <v>73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P210">
        <v>0</v>
      </c>
      <c r="AQ210">
        <v>20283766.050000001</v>
      </c>
      <c r="AR210">
        <v>20283766.050000001</v>
      </c>
      <c r="AS210">
        <v>6</v>
      </c>
      <c r="AT210" t="b">
        <v>0</v>
      </c>
      <c r="AU210" t="b">
        <v>1</v>
      </c>
      <c r="BA210" t="str">
        <f t="shared" si="6"/>
        <v>Normal</v>
      </c>
      <c r="BG210" t="str">
        <f t="shared" si="7"/>
        <v>Normal</v>
      </c>
    </row>
    <row r="211" spans="1:59" x14ac:dyDescent="0.2">
      <c r="A211" t="s">
        <v>42</v>
      </c>
      <c r="B211" t="s">
        <v>43</v>
      </c>
      <c r="C211">
        <v>20210101</v>
      </c>
      <c r="D211">
        <v>2021</v>
      </c>
      <c r="E211">
        <v>52</v>
      </c>
      <c r="F211" t="s">
        <v>287</v>
      </c>
      <c r="G211">
        <v>70</v>
      </c>
      <c r="H211" t="s">
        <v>76</v>
      </c>
      <c r="I211" t="s">
        <v>77</v>
      </c>
      <c r="J211" t="s">
        <v>47</v>
      </c>
      <c r="K211" t="s">
        <v>48</v>
      </c>
      <c r="L211">
        <v>0</v>
      </c>
      <c r="M211" t="s">
        <v>49</v>
      </c>
      <c r="N211" t="s">
        <v>50</v>
      </c>
      <c r="O211">
        <v>0</v>
      </c>
      <c r="P211" t="s">
        <v>49</v>
      </c>
      <c r="Q211" t="s">
        <v>50</v>
      </c>
      <c r="R211" t="s">
        <v>51</v>
      </c>
      <c r="S211" t="s">
        <v>52</v>
      </c>
      <c r="T211" t="b">
        <v>1</v>
      </c>
      <c r="U211" t="s">
        <v>53</v>
      </c>
      <c r="V211" t="s">
        <v>54</v>
      </c>
      <c r="W211">
        <v>4</v>
      </c>
      <c r="X211" t="b">
        <v>0</v>
      </c>
      <c r="Y211" t="s">
        <v>55</v>
      </c>
      <c r="Z211" t="s">
        <v>56</v>
      </c>
      <c r="AA211" t="s">
        <v>57</v>
      </c>
      <c r="AB211">
        <v>0</v>
      </c>
      <c r="AC211" t="s">
        <v>58</v>
      </c>
      <c r="AD211">
        <v>8</v>
      </c>
      <c r="AE211" t="s">
        <v>59</v>
      </c>
      <c r="AF211">
        <v>11406400</v>
      </c>
      <c r="AG211" t="b">
        <v>0</v>
      </c>
      <c r="AH211">
        <v>8</v>
      </c>
      <c r="AI211" t="s">
        <v>59</v>
      </c>
      <c r="AJ211">
        <v>11406400</v>
      </c>
      <c r="AK211" t="b">
        <v>0</v>
      </c>
      <c r="AL211">
        <v>11406400</v>
      </c>
      <c r="AM211" t="b">
        <v>0</v>
      </c>
      <c r="AN211">
        <v>0</v>
      </c>
      <c r="AO211" t="b">
        <v>0</v>
      </c>
      <c r="AP211">
        <v>0</v>
      </c>
      <c r="AQ211">
        <v>5641592.1600000001</v>
      </c>
      <c r="AR211">
        <v>5641592.1600000001</v>
      </c>
      <c r="AS211">
        <v>0</v>
      </c>
      <c r="AT211" t="b">
        <v>0</v>
      </c>
      <c r="AU211" t="b">
        <v>1</v>
      </c>
      <c r="BA211" t="str">
        <f t="shared" si="6"/>
        <v>Normal</v>
      </c>
      <c r="BG211" t="str">
        <f t="shared" si="7"/>
        <v>Normal</v>
      </c>
    </row>
    <row r="212" spans="1:59" x14ac:dyDescent="0.2">
      <c r="A212" t="s">
        <v>42</v>
      </c>
      <c r="B212" t="s">
        <v>43</v>
      </c>
      <c r="C212">
        <v>20210101</v>
      </c>
      <c r="D212">
        <v>2021</v>
      </c>
      <c r="E212">
        <v>52</v>
      </c>
      <c r="F212" t="s">
        <v>287</v>
      </c>
      <c r="G212">
        <v>72</v>
      </c>
      <c r="H212" t="s">
        <v>78</v>
      </c>
      <c r="I212" t="s">
        <v>79</v>
      </c>
      <c r="J212" t="s">
        <v>47</v>
      </c>
      <c r="K212" t="s">
        <v>48</v>
      </c>
      <c r="L212">
        <v>0</v>
      </c>
      <c r="M212" t="s">
        <v>49</v>
      </c>
      <c r="N212" t="s">
        <v>50</v>
      </c>
      <c r="O212">
        <v>0</v>
      </c>
      <c r="P212" t="s">
        <v>49</v>
      </c>
      <c r="Q212" t="s">
        <v>50</v>
      </c>
      <c r="R212" t="s">
        <v>51</v>
      </c>
      <c r="S212" t="s">
        <v>52</v>
      </c>
      <c r="T212" t="b">
        <v>1</v>
      </c>
      <c r="U212" t="s">
        <v>53</v>
      </c>
      <c r="V212" t="s">
        <v>54</v>
      </c>
      <c r="W212">
        <v>4</v>
      </c>
      <c r="X212" t="b">
        <v>0</v>
      </c>
      <c r="Y212" t="s">
        <v>55</v>
      </c>
      <c r="Z212" t="s">
        <v>56</v>
      </c>
      <c r="AA212" t="s">
        <v>57</v>
      </c>
      <c r="AB212">
        <v>0</v>
      </c>
      <c r="AC212" t="s">
        <v>58</v>
      </c>
      <c r="AD212">
        <v>8</v>
      </c>
      <c r="AE212" t="s">
        <v>59</v>
      </c>
      <c r="AF212">
        <v>8751</v>
      </c>
      <c r="AG212" t="b">
        <v>0</v>
      </c>
      <c r="AH212">
        <v>8</v>
      </c>
      <c r="AI212" t="s">
        <v>59</v>
      </c>
      <c r="AJ212">
        <v>3752</v>
      </c>
      <c r="AK212" t="b">
        <v>0</v>
      </c>
      <c r="AL212">
        <v>8856.5</v>
      </c>
      <c r="AM212" t="b">
        <v>0</v>
      </c>
      <c r="AN212">
        <v>0</v>
      </c>
      <c r="AO212" t="b">
        <v>0</v>
      </c>
      <c r="AQ212">
        <v>2054.5990000000002</v>
      </c>
      <c r="AR212">
        <v>2054.5990000000002</v>
      </c>
      <c r="AS212">
        <v>0</v>
      </c>
      <c r="AT212" t="b">
        <v>0</v>
      </c>
      <c r="AU212" t="b">
        <v>1</v>
      </c>
      <c r="BA212" t="str">
        <f t="shared" si="6"/>
        <v>Normal</v>
      </c>
      <c r="BG212" t="str">
        <f t="shared" si="7"/>
        <v>Normal</v>
      </c>
    </row>
    <row r="213" spans="1:59" x14ac:dyDescent="0.2">
      <c r="A213" t="s">
        <v>42</v>
      </c>
      <c r="B213" t="s">
        <v>43</v>
      </c>
      <c r="C213">
        <v>20210101</v>
      </c>
      <c r="D213">
        <v>2021</v>
      </c>
      <c r="E213">
        <v>52</v>
      </c>
      <c r="F213" t="s">
        <v>287</v>
      </c>
      <c r="G213">
        <v>76</v>
      </c>
      <c r="H213" t="s">
        <v>80</v>
      </c>
      <c r="I213" t="s">
        <v>81</v>
      </c>
      <c r="J213" t="s">
        <v>47</v>
      </c>
      <c r="K213" t="s">
        <v>48</v>
      </c>
      <c r="L213">
        <v>0</v>
      </c>
      <c r="M213" t="s">
        <v>49</v>
      </c>
      <c r="N213" t="s">
        <v>50</v>
      </c>
      <c r="O213">
        <v>0</v>
      </c>
      <c r="P213" t="s">
        <v>49</v>
      </c>
      <c r="Q213" t="s">
        <v>50</v>
      </c>
      <c r="R213" t="s">
        <v>51</v>
      </c>
      <c r="S213" t="s">
        <v>52</v>
      </c>
      <c r="T213" t="b">
        <v>1</v>
      </c>
      <c r="U213" t="s">
        <v>53</v>
      </c>
      <c r="V213" t="s">
        <v>54</v>
      </c>
      <c r="W213">
        <v>4</v>
      </c>
      <c r="X213" t="b">
        <v>0</v>
      </c>
      <c r="Y213" t="s">
        <v>55</v>
      </c>
      <c r="Z213" t="s">
        <v>56</v>
      </c>
      <c r="AA213" t="s">
        <v>57</v>
      </c>
      <c r="AB213">
        <v>0</v>
      </c>
      <c r="AC213" t="s">
        <v>58</v>
      </c>
      <c r="AD213">
        <v>8</v>
      </c>
      <c r="AE213" t="s">
        <v>59</v>
      </c>
      <c r="AF213">
        <v>67564853418.18</v>
      </c>
      <c r="AG213" t="b">
        <v>1</v>
      </c>
      <c r="AH213">
        <v>-1</v>
      </c>
      <c r="AI213" t="s">
        <v>73</v>
      </c>
      <c r="AJ213">
        <v>0</v>
      </c>
      <c r="AK213" t="b">
        <v>0</v>
      </c>
      <c r="AL213">
        <v>67564853418.18</v>
      </c>
      <c r="AM213" t="b">
        <v>1</v>
      </c>
      <c r="AN213">
        <v>0</v>
      </c>
      <c r="AO213" t="b">
        <v>0</v>
      </c>
      <c r="AQ213">
        <v>30608981810</v>
      </c>
      <c r="AR213">
        <v>30608981810</v>
      </c>
      <c r="AS213">
        <v>6</v>
      </c>
      <c r="AT213" t="b">
        <v>0</v>
      </c>
      <c r="AU213" t="b">
        <v>1</v>
      </c>
      <c r="BA213" t="str">
        <f t="shared" si="6"/>
        <v>Normal</v>
      </c>
      <c r="BG213" t="str">
        <f t="shared" si="7"/>
        <v>Normal</v>
      </c>
    </row>
    <row r="214" spans="1:59" x14ac:dyDescent="0.2">
      <c r="A214" t="s">
        <v>42</v>
      </c>
      <c r="B214" t="s">
        <v>43</v>
      </c>
      <c r="C214">
        <v>20210101</v>
      </c>
      <c r="D214">
        <v>2021</v>
      </c>
      <c r="E214">
        <v>52</v>
      </c>
      <c r="F214" t="s">
        <v>287</v>
      </c>
      <c r="G214">
        <v>84</v>
      </c>
      <c r="H214" t="s">
        <v>82</v>
      </c>
      <c r="I214" t="s">
        <v>83</v>
      </c>
      <c r="J214" t="s">
        <v>47</v>
      </c>
      <c r="K214" t="s">
        <v>48</v>
      </c>
      <c r="L214">
        <v>0</v>
      </c>
      <c r="M214" t="s">
        <v>49</v>
      </c>
      <c r="N214" t="s">
        <v>50</v>
      </c>
      <c r="O214">
        <v>0</v>
      </c>
      <c r="P214" t="s">
        <v>49</v>
      </c>
      <c r="Q214" t="s">
        <v>50</v>
      </c>
      <c r="R214" t="s">
        <v>51</v>
      </c>
      <c r="S214" t="s">
        <v>52</v>
      </c>
      <c r="T214" t="b">
        <v>1</v>
      </c>
      <c r="U214" t="s">
        <v>53</v>
      </c>
      <c r="V214" t="s">
        <v>54</v>
      </c>
      <c r="W214">
        <v>4</v>
      </c>
      <c r="X214" t="b">
        <v>0</v>
      </c>
      <c r="Y214" t="s">
        <v>55</v>
      </c>
      <c r="Z214" t="s">
        <v>56</v>
      </c>
      <c r="AA214" t="s">
        <v>57</v>
      </c>
      <c r="AB214">
        <v>0</v>
      </c>
      <c r="AC214" t="s">
        <v>58</v>
      </c>
      <c r="AD214">
        <v>8</v>
      </c>
      <c r="AE214" t="s">
        <v>59</v>
      </c>
      <c r="AF214">
        <v>10074345.300000001</v>
      </c>
      <c r="AG214" t="b">
        <v>0</v>
      </c>
      <c r="AH214">
        <v>8</v>
      </c>
      <c r="AI214" t="s">
        <v>59</v>
      </c>
      <c r="AJ214">
        <v>10074345.300000001</v>
      </c>
      <c r="AK214" t="b">
        <v>0</v>
      </c>
      <c r="AL214">
        <v>10074345.300000001</v>
      </c>
      <c r="AM214" t="b">
        <v>0</v>
      </c>
      <c r="AN214">
        <v>0</v>
      </c>
      <c r="AO214" t="b">
        <v>0</v>
      </c>
      <c r="AQ214">
        <v>4302535.3389999997</v>
      </c>
      <c r="AR214">
        <v>4302535.3389999997</v>
      </c>
      <c r="AS214">
        <v>0</v>
      </c>
      <c r="AT214" t="b">
        <v>0</v>
      </c>
      <c r="AU214" t="b">
        <v>1</v>
      </c>
      <c r="BA214" t="str">
        <f t="shared" si="6"/>
        <v>Normal</v>
      </c>
      <c r="BG214" t="str">
        <f t="shared" si="7"/>
        <v>Normal</v>
      </c>
    </row>
    <row r="215" spans="1:59" x14ac:dyDescent="0.2">
      <c r="A215" t="s">
        <v>42</v>
      </c>
      <c r="B215" t="s">
        <v>43</v>
      </c>
      <c r="C215">
        <v>20210101</v>
      </c>
      <c r="D215">
        <v>2021</v>
      </c>
      <c r="E215">
        <v>52</v>
      </c>
      <c r="F215" t="s">
        <v>287</v>
      </c>
      <c r="G215">
        <v>96</v>
      </c>
      <c r="H215" t="s">
        <v>84</v>
      </c>
      <c r="I215" t="s">
        <v>85</v>
      </c>
      <c r="J215" t="s">
        <v>47</v>
      </c>
      <c r="K215" t="s">
        <v>48</v>
      </c>
      <c r="L215">
        <v>0</v>
      </c>
      <c r="M215" t="s">
        <v>49</v>
      </c>
      <c r="N215" t="s">
        <v>50</v>
      </c>
      <c r="O215">
        <v>0</v>
      </c>
      <c r="P215" t="s">
        <v>49</v>
      </c>
      <c r="Q215" t="s">
        <v>50</v>
      </c>
      <c r="R215" t="s">
        <v>51</v>
      </c>
      <c r="S215" t="s">
        <v>52</v>
      </c>
      <c r="T215" t="b">
        <v>1</v>
      </c>
      <c r="U215" t="s">
        <v>53</v>
      </c>
      <c r="V215" t="s">
        <v>54</v>
      </c>
      <c r="W215">
        <v>4</v>
      </c>
      <c r="X215" t="b">
        <v>0</v>
      </c>
      <c r="Y215" t="s">
        <v>55</v>
      </c>
      <c r="Z215" t="s">
        <v>56</v>
      </c>
      <c r="AA215" t="s">
        <v>57</v>
      </c>
      <c r="AB215">
        <v>0</v>
      </c>
      <c r="AC215" t="s">
        <v>58</v>
      </c>
      <c r="AD215">
        <v>8</v>
      </c>
      <c r="AE215" t="s">
        <v>59</v>
      </c>
      <c r="AF215">
        <v>4019303170</v>
      </c>
      <c r="AG215" t="b">
        <v>0</v>
      </c>
      <c r="AH215">
        <v>8</v>
      </c>
      <c r="AI215" t="s">
        <v>59</v>
      </c>
      <c r="AJ215">
        <v>4019303170</v>
      </c>
      <c r="AK215" t="b">
        <v>0</v>
      </c>
      <c r="AL215">
        <v>4019303170</v>
      </c>
      <c r="AM215" t="b">
        <v>0</v>
      </c>
      <c r="AN215">
        <v>0</v>
      </c>
      <c r="AO215" t="b">
        <v>0</v>
      </c>
      <c r="AP215">
        <v>0</v>
      </c>
      <c r="AQ215">
        <v>2155680594.54</v>
      </c>
      <c r="AR215">
        <v>2155680594.54</v>
      </c>
      <c r="AS215">
        <v>0</v>
      </c>
      <c r="AT215" t="b">
        <v>0</v>
      </c>
      <c r="AU215" t="b">
        <v>1</v>
      </c>
      <c r="BA215" t="str">
        <f t="shared" si="6"/>
        <v>Normal</v>
      </c>
      <c r="BG215" t="str">
        <f t="shared" si="7"/>
        <v>Normal</v>
      </c>
    </row>
    <row r="216" spans="1:59" x14ac:dyDescent="0.2">
      <c r="A216" t="s">
        <v>42</v>
      </c>
      <c r="B216" t="s">
        <v>43</v>
      </c>
      <c r="C216">
        <v>20210101</v>
      </c>
      <c r="D216">
        <v>2021</v>
      </c>
      <c r="E216">
        <v>52</v>
      </c>
      <c r="F216" t="s">
        <v>287</v>
      </c>
      <c r="G216">
        <v>120</v>
      </c>
      <c r="H216" t="s">
        <v>92</v>
      </c>
      <c r="I216" t="s">
        <v>93</v>
      </c>
      <c r="J216" t="s">
        <v>47</v>
      </c>
      <c r="K216" t="s">
        <v>48</v>
      </c>
      <c r="L216">
        <v>0</v>
      </c>
      <c r="M216" t="s">
        <v>49</v>
      </c>
      <c r="N216" t="s">
        <v>50</v>
      </c>
      <c r="O216">
        <v>0</v>
      </c>
      <c r="P216" t="s">
        <v>49</v>
      </c>
      <c r="Q216" t="s">
        <v>50</v>
      </c>
      <c r="R216" t="s">
        <v>51</v>
      </c>
      <c r="S216" t="s">
        <v>52</v>
      </c>
      <c r="T216" t="b">
        <v>1</v>
      </c>
      <c r="U216" t="s">
        <v>53</v>
      </c>
      <c r="V216" t="s">
        <v>54</v>
      </c>
      <c r="W216">
        <v>4</v>
      </c>
      <c r="X216" t="b">
        <v>0</v>
      </c>
      <c r="Y216" t="s">
        <v>55</v>
      </c>
      <c r="Z216" t="s">
        <v>56</v>
      </c>
      <c r="AA216" t="s">
        <v>57</v>
      </c>
      <c r="AB216">
        <v>0</v>
      </c>
      <c r="AC216" t="s">
        <v>58</v>
      </c>
      <c r="AD216">
        <v>8</v>
      </c>
      <c r="AE216" t="s">
        <v>59</v>
      </c>
      <c r="AF216">
        <v>3585667100</v>
      </c>
      <c r="AG216" t="b">
        <v>0</v>
      </c>
      <c r="AH216">
        <v>8</v>
      </c>
      <c r="AI216" t="s">
        <v>59</v>
      </c>
      <c r="AJ216">
        <v>3585667100</v>
      </c>
      <c r="AK216" t="b">
        <v>0</v>
      </c>
      <c r="AL216">
        <v>3585667100</v>
      </c>
      <c r="AM216" t="b">
        <v>0</v>
      </c>
      <c r="AN216">
        <v>0</v>
      </c>
      <c r="AO216" t="b">
        <v>0</v>
      </c>
      <c r="AQ216">
        <v>1743537525.78</v>
      </c>
      <c r="AR216">
        <v>1743537525.78</v>
      </c>
      <c r="AS216">
        <v>0</v>
      </c>
      <c r="AT216" t="b">
        <v>0</v>
      </c>
      <c r="AU216" t="b">
        <v>1</v>
      </c>
      <c r="BA216" t="str">
        <f t="shared" si="6"/>
        <v>Normal</v>
      </c>
      <c r="BG216" t="str">
        <f t="shared" si="7"/>
        <v>Normal</v>
      </c>
    </row>
    <row r="217" spans="1:59" x14ac:dyDescent="0.2">
      <c r="A217" t="s">
        <v>42</v>
      </c>
      <c r="B217" t="s">
        <v>43</v>
      </c>
      <c r="C217">
        <v>20210101</v>
      </c>
      <c r="D217">
        <v>2021</v>
      </c>
      <c r="E217">
        <v>52</v>
      </c>
      <c r="F217" t="s">
        <v>287</v>
      </c>
      <c r="G217">
        <v>124</v>
      </c>
      <c r="H217" t="s">
        <v>94</v>
      </c>
      <c r="I217" t="s">
        <v>95</v>
      </c>
      <c r="J217" t="s">
        <v>47</v>
      </c>
      <c r="K217" t="s">
        <v>48</v>
      </c>
      <c r="L217">
        <v>0</v>
      </c>
      <c r="M217" t="s">
        <v>49</v>
      </c>
      <c r="N217" t="s">
        <v>50</v>
      </c>
      <c r="O217">
        <v>0</v>
      </c>
      <c r="P217" t="s">
        <v>49</v>
      </c>
      <c r="Q217" t="s">
        <v>50</v>
      </c>
      <c r="R217" t="s">
        <v>51</v>
      </c>
      <c r="S217" t="s">
        <v>52</v>
      </c>
      <c r="T217" t="b">
        <v>1</v>
      </c>
      <c r="U217" t="s">
        <v>53</v>
      </c>
      <c r="V217" t="s">
        <v>54</v>
      </c>
      <c r="W217">
        <v>4</v>
      </c>
      <c r="X217" t="b">
        <v>0</v>
      </c>
      <c r="Y217" t="s">
        <v>55</v>
      </c>
      <c r="Z217" t="s">
        <v>56</v>
      </c>
      <c r="AA217" t="s">
        <v>57</v>
      </c>
      <c r="AB217">
        <v>0</v>
      </c>
      <c r="AC217" t="s">
        <v>58</v>
      </c>
      <c r="AD217">
        <v>8</v>
      </c>
      <c r="AE217" t="s">
        <v>59</v>
      </c>
      <c r="AF217">
        <v>173111068694.85999</v>
      </c>
      <c r="AG217" t="b">
        <v>1</v>
      </c>
      <c r="AH217">
        <v>-1</v>
      </c>
      <c r="AI217" t="s">
        <v>73</v>
      </c>
      <c r="AJ217">
        <v>0</v>
      </c>
      <c r="AK217" t="b">
        <v>0</v>
      </c>
      <c r="AL217">
        <v>173111068694.85999</v>
      </c>
      <c r="AM217" t="b">
        <v>1</v>
      </c>
      <c r="AN217">
        <v>0</v>
      </c>
      <c r="AO217" t="b">
        <v>0</v>
      </c>
      <c r="AQ217">
        <v>81939749590.761002</v>
      </c>
      <c r="AR217">
        <v>81939749590.761002</v>
      </c>
      <c r="AS217">
        <v>6</v>
      </c>
      <c r="AT217" t="b">
        <v>0</v>
      </c>
      <c r="AU217" t="b">
        <v>1</v>
      </c>
      <c r="BA217" t="str">
        <f t="shared" si="6"/>
        <v>Normal</v>
      </c>
      <c r="BG217" t="str">
        <f t="shared" si="7"/>
        <v>Normal</v>
      </c>
    </row>
    <row r="218" spans="1:59" x14ac:dyDescent="0.2">
      <c r="A218" t="s">
        <v>42</v>
      </c>
      <c r="B218" t="s">
        <v>43</v>
      </c>
      <c r="C218">
        <v>20210101</v>
      </c>
      <c r="D218">
        <v>2021</v>
      </c>
      <c r="E218">
        <v>52</v>
      </c>
      <c r="F218" t="s">
        <v>287</v>
      </c>
      <c r="G218">
        <v>156</v>
      </c>
      <c r="H218" t="s">
        <v>96</v>
      </c>
      <c r="I218" t="s">
        <v>97</v>
      </c>
      <c r="J218" t="s">
        <v>47</v>
      </c>
      <c r="K218" t="s">
        <v>48</v>
      </c>
      <c r="L218">
        <v>0</v>
      </c>
      <c r="M218" t="s">
        <v>49</v>
      </c>
      <c r="N218" t="s">
        <v>50</v>
      </c>
      <c r="O218">
        <v>0</v>
      </c>
      <c r="P218" t="s">
        <v>49</v>
      </c>
      <c r="Q218" t="s">
        <v>50</v>
      </c>
      <c r="R218" t="s">
        <v>51</v>
      </c>
      <c r="S218" t="s">
        <v>52</v>
      </c>
      <c r="T218" t="b">
        <v>1</v>
      </c>
      <c r="U218" t="s">
        <v>53</v>
      </c>
      <c r="V218" t="s">
        <v>54</v>
      </c>
      <c r="W218">
        <v>4</v>
      </c>
      <c r="X218" t="b">
        <v>0</v>
      </c>
      <c r="Y218" t="s">
        <v>55</v>
      </c>
      <c r="Z218" t="s">
        <v>56</v>
      </c>
      <c r="AA218" t="s">
        <v>57</v>
      </c>
      <c r="AB218">
        <v>0</v>
      </c>
      <c r="AC218" t="s">
        <v>58</v>
      </c>
      <c r="AD218">
        <v>8</v>
      </c>
      <c r="AE218" t="s">
        <v>59</v>
      </c>
      <c r="AF218">
        <v>2610761300</v>
      </c>
      <c r="AG218" t="b">
        <v>0</v>
      </c>
      <c r="AH218">
        <v>8</v>
      </c>
      <c r="AI218" t="s">
        <v>59</v>
      </c>
      <c r="AJ218">
        <v>2610761300</v>
      </c>
      <c r="AK218" t="b">
        <v>0</v>
      </c>
      <c r="AL218">
        <v>2610761300</v>
      </c>
      <c r="AM218" t="b">
        <v>0</v>
      </c>
      <c r="AN218">
        <v>0</v>
      </c>
      <c r="AO218" t="b">
        <v>0</v>
      </c>
      <c r="AQ218">
        <v>1010393812</v>
      </c>
      <c r="AR218">
        <v>1010393812</v>
      </c>
      <c r="AS218">
        <v>0</v>
      </c>
      <c r="AT218" t="b">
        <v>0</v>
      </c>
      <c r="AU218" t="b">
        <v>1</v>
      </c>
      <c r="BA218" t="str">
        <f t="shared" si="6"/>
        <v>Normal</v>
      </c>
      <c r="BG218" t="str">
        <f t="shared" si="7"/>
        <v>Normal</v>
      </c>
    </row>
    <row r="219" spans="1:59" x14ac:dyDescent="0.2">
      <c r="A219" t="s">
        <v>42</v>
      </c>
      <c r="B219" t="s">
        <v>43</v>
      </c>
      <c r="C219">
        <v>20210101</v>
      </c>
      <c r="D219">
        <v>2021</v>
      </c>
      <c r="E219">
        <v>52</v>
      </c>
      <c r="F219" t="s">
        <v>287</v>
      </c>
      <c r="G219">
        <v>170</v>
      </c>
      <c r="H219" t="s">
        <v>98</v>
      </c>
      <c r="I219" t="s">
        <v>99</v>
      </c>
      <c r="J219" t="s">
        <v>47</v>
      </c>
      <c r="K219" t="s">
        <v>48</v>
      </c>
      <c r="L219">
        <v>0</v>
      </c>
      <c r="M219" t="s">
        <v>49</v>
      </c>
      <c r="N219" t="s">
        <v>50</v>
      </c>
      <c r="O219">
        <v>0</v>
      </c>
      <c r="P219" t="s">
        <v>49</v>
      </c>
      <c r="Q219" t="s">
        <v>50</v>
      </c>
      <c r="R219" t="s">
        <v>51</v>
      </c>
      <c r="S219" t="s">
        <v>52</v>
      </c>
      <c r="T219" t="b">
        <v>1</v>
      </c>
      <c r="U219" t="s">
        <v>53</v>
      </c>
      <c r="V219" t="s">
        <v>54</v>
      </c>
      <c r="W219">
        <v>4</v>
      </c>
      <c r="X219" t="b">
        <v>0</v>
      </c>
      <c r="Y219" t="s">
        <v>55</v>
      </c>
      <c r="Z219" t="s">
        <v>56</v>
      </c>
      <c r="AA219" t="s">
        <v>57</v>
      </c>
      <c r="AB219">
        <v>0</v>
      </c>
      <c r="AC219" t="s">
        <v>58</v>
      </c>
      <c r="AD219">
        <v>8</v>
      </c>
      <c r="AE219" t="s">
        <v>59</v>
      </c>
      <c r="AF219">
        <v>24961840853.395</v>
      </c>
      <c r="AG219" t="b">
        <v>1</v>
      </c>
      <c r="AH219">
        <v>-1</v>
      </c>
      <c r="AI219" t="s">
        <v>73</v>
      </c>
      <c r="AJ219">
        <v>0</v>
      </c>
      <c r="AK219" t="b">
        <v>0</v>
      </c>
      <c r="AL219">
        <v>24961840853.395</v>
      </c>
      <c r="AM219" t="b">
        <v>1</v>
      </c>
      <c r="AN219">
        <v>0</v>
      </c>
      <c r="AO219" t="b">
        <v>0</v>
      </c>
      <c r="AP219">
        <v>0</v>
      </c>
      <c r="AQ219">
        <v>11200541488.129999</v>
      </c>
      <c r="AR219">
        <v>11200541488.129999</v>
      </c>
      <c r="AS219">
        <v>6</v>
      </c>
      <c r="AT219" t="b">
        <v>0</v>
      </c>
      <c r="AU219" t="b">
        <v>1</v>
      </c>
      <c r="BA219" t="str">
        <f t="shared" si="6"/>
        <v>Normal</v>
      </c>
      <c r="BG219" t="str">
        <f t="shared" si="7"/>
        <v>Normal</v>
      </c>
    </row>
    <row r="220" spans="1:59" x14ac:dyDescent="0.2">
      <c r="A220" t="s">
        <v>42</v>
      </c>
      <c r="B220" t="s">
        <v>43</v>
      </c>
      <c r="C220">
        <v>20210101</v>
      </c>
      <c r="D220">
        <v>2021</v>
      </c>
      <c r="E220">
        <v>52</v>
      </c>
      <c r="F220" t="s">
        <v>287</v>
      </c>
      <c r="G220">
        <v>178</v>
      </c>
      <c r="H220" t="s">
        <v>100</v>
      </c>
      <c r="I220" t="s">
        <v>101</v>
      </c>
      <c r="J220" t="s">
        <v>47</v>
      </c>
      <c r="K220" t="s">
        <v>48</v>
      </c>
      <c r="L220">
        <v>0</v>
      </c>
      <c r="M220" t="s">
        <v>49</v>
      </c>
      <c r="N220" t="s">
        <v>50</v>
      </c>
      <c r="O220">
        <v>0</v>
      </c>
      <c r="P220" t="s">
        <v>49</v>
      </c>
      <c r="Q220" t="s">
        <v>50</v>
      </c>
      <c r="R220" t="s">
        <v>51</v>
      </c>
      <c r="S220" t="s">
        <v>52</v>
      </c>
      <c r="T220" t="b">
        <v>1</v>
      </c>
      <c r="U220" t="s">
        <v>53</v>
      </c>
      <c r="V220" t="s">
        <v>54</v>
      </c>
      <c r="W220">
        <v>4</v>
      </c>
      <c r="X220" t="b">
        <v>0</v>
      </c>
      <c r="Y220" t="s">
        <v>55</v>
      </c>
      <c r="Z220" t="s">
        <v>56</v>
      </c>
      <c r="AA220" t="s">
        <v>57</v>
      </c>
      <c r="AB220">
        <v>0</v>
      </c>
      <c r="AC220" t="s">
        <v>58</v>
      </c>
      <c r="AD220">
        <v>8</v>
      </c>
      <c r="AE220" t="s">
        <v>59</v>
      </c>
      <c r="AF220">
        <v>2415856349</v>
      </c>
      <c r="AG220" t="b">
        <v>0</v>
      </c>
      <c r="AH220">
        <v>8</v>
      </c>
      <c r="AI220" t="s">
        <v>59</v>
      </c>
      <c r="AJ220">
        <v>2415856349</v>
      </c>
      <c r="AK220" t="b">
        <v>0</v>
      </c>
      <c r="AL220">
        <v>2415856349</v>
      </c>
      <c r="AM220" t="b">
        <v>0</v>
      </c>
      <c r="AN220">
        <v>0</v>
      </c>
      <c r="AO220" t="b">
        <v>0</v>
      </c>
      <c r="AP220">
        <v>0</v>
      </c>
      <c r="AQ220">
        <v>1072025913.4</v>
      </c>
      <c r="AR220">
        <v>1072025913.4</v>
      </c>
      <c r="AS220">
        <v>0</v>
      </c>
      <c r="AT220" t="b">
        <v>0</v>
      </c>
      <c r="AU220" t="b">
        <v>1</v>
      </c>
      <c r="BA220" t="str">
        <f t="shared" si="6"/>
        <v>Normal</v>
      </c>
      <c r="BG220" t="str">
        <f t="shared" si="7"/>
        <v>Normal</v>
      </c>
    </row>
    <row r="221" spans="1:59" x14ac:dyDescent="0.2">
      <c r="A221" t="s">
        <v>42</v>
      </c>
      <c r="B221" t="s">
        <v>43</v>
      </c>
      <c r="C221">
        <v>20210101</v>
      </c>
      <c r="D221">
        <v>2021</v>
      </c>
      <c r="E221">
        <v>52</v>
      </c>
      <c r="F221" t="s">
        <v>287</v>
      </c>
      <c r="G221">
        <v>191</v>
      </c>
      <c r="H221" t="s">
        <v>105</v>
      </c>
      <c r="I221" t="s">
        <v>106</v>
      </c>
      <c r="J221" t="s">
        <v>47</v>
      </c>
      <c r="K221" t="s">
        <v>48</v>
      </c>
      <c r="L221">
        <v>0</v>
      </c>
      <c r="M221" t="s">
        <v>49</v>
      </c>
      <c r="N221" t="s">
        <v>50</v>
      </c>
      <c r="O221">
        <v>0</v>
      </c>
      <c r="P221" t="s">
        <v>49</v>
      </c>
      <c r="Q221" t="s">
        <v>50</v>
      </c>
      <c r="R221" t="s">
        <v>51</v>
      </c>
      <c r="S221" t="s">
        <v>52</v>
      </c>
      <c r="T221" t="b">
        <v>1</v>
      </c>
      <c r="U221" t="s">
        <v>53</v>
      </c>
      <c r="V221" t="s">
        <v>54</v>
      </c>
      <c r="W221">
        <v>4</v>
      </c>
      <c r="X221" t="b">
        <v>0</v>
      </c>
      <c r="Y221" t="s">
        <v>55</v>
      </c>
      <c r="Z221" t="s">
        <v>56</v>
      </c>
      <c r="AA221" t="s">
        <v>57</v>
      </c>
      <c r="AB221">
        <v>0</v>
      </c>
      <c r="AC221" t="s">
        <v>58</v>
      </c>
      <c r="AD221">
        <v>8</v>
      </c>
      <c r="AE221" t="s">
        <v>59</v>
      </c>
      <c r="AF221">
        <v>1822611575</v>
      </c>
      <c r="AG221" t="b">
        <v>0</v>
      </c>
      <c r="AH221">
        <v>8</v>
      </c>
      <c r="AI221" t="s">
        <v>59</v>
      </c>
      <c r="AJ221">
        <v>1822611575</v>
      </c>
      <c r="AK221" t="b">
        <v>0</v>
      </c>
      <c r="AL221">
        <v>1822611575</v>
      </c>
      <c r="AM221" t="b">
        <v>0</v>
      </c>
      <c r="AN221">
        <v>0</v>
      </c>
      <c r="AO221" t="b">
        <v>0</v>
      </c>
      <c r="AP221">
        <v>0</v>
      </c>
      <c r="AQ221">
        <v>905134926</v>
      </c>
      <c r="AR221">
        <v>905134926</v>
      </c>
      <c r="AS221">
        <v>0</v>
      </c>
      <c r="AT221" t="b">
        <v>0</v>
      </c>
      <c r="AU221" t="b">
        <v>1</v>
      </c>
      <c r="BA221" t="str">
        <f t="shared" si="6"/>
        <v>Normal</v>
      </c>
      <c r="BG221" t="str">
        <f t="shared" si="7"/>
        <v>Normal</v>
      </c>
    </row>
    <row r="222" spans="1:59" x14ac:dyDescent="0.2">
      <c r="A222" t="s">
        <v>42</v>
      </c>
      <c r="B222" t="s">
        <v>43</v>
      </c>
      <c r="C222">
        <v>20210101</v>
      </c>
      <c r="D222">
        <v>2021</v>
      </c>
      <c r="E222">
        <v>52</v>
      </c>
      <c r="F222" t="s">
        <v>287</v>
      </c>
      <c r="G222">
        <v>192</v>
      </c>
      <c r="H222" t="s">
        <v>274</v>
      </c>
      <c r="I222" t="s">
        <v>275</v>
      </c>
      <c r="J222" t="s">
        <v>47</v>
      </c>
      <c r="K222" t="s">
        <v>48</v>
      </c>
      <c r="L222">
        <v>0</v>
      </c>
      <c r="M222" t="s">
        <v>49</v>
      </c>
      <c r="N222" t="s">
        <v>50</v>
      </c>
      <c r="O222">
        <v>0</v>
      </c>
      <c r="P222" t="s">
        <v>49</v>
      </c>
      <c r="Q222" t="s">
        <v>50</v>
      </c>
      <c r="R222" t="s">
        <v>51</v>
      </c>
      <c r="S222" t="s">
        <v>52</v>
      </c>
      <c r="T222" t="b">
        <v>1</v>
      </c>
      <c r="U222" t="s">
        <v>53</v>
      </c>
      <c r="V222" t="s">
        <v>54</v>
      </c>
      <c r="W222">
        <v>4</v>
      </c>
      <c r="X222" t="b">
        <v>0</v>
      </c>
      <c r="Y222" t="s">
        <v>55</v>
      </c>
      <c r="Z222" t="s">
        <v>56</v>
      </c>
      <c r="AA222" t="s">
        <v>57</v>
      </c>
      <c r="AB222">
        <v>0</v>
      </c>
      <c r="AC222" t="s">
        <v>58</v>
      </c>
      <c r="AD222">
        <v>8</v>
      </c>
      <c r="AE222" t="s">
        <v>59</v>
      </c>
      <c r="AF222">
        <v>268330200</v>
      </c>
      <c r="AG222" t="b">
        <v>0</v>
      </c>
      <c r="AH222">
        <v>21</v>
      </c>
      <c r="AI222" t="s">
        <v>170</v>
      </c>
      <c r="AJ222">
        <v>268330.2</v>
      </c>
      <c r="AK222" t="b">
        <v>0</v>
      </c>
      <c r="AL222">
        <v>268330200</v>
      </c>
      <c r="AM222" t="b">
        <v>0</v>
      </c>
      <c r="AN222">
        <v>0</v>
      </c>
      <c r="AO222" t="b">
        <v>0</v>
      </c>
      <c r="AQ222">
        <v>72052065.25</v>
      </c>
      <c r="AR222">
        <v>72052065.25</v>
      </c>
      <c r="AS222">
        <v>0</v>
      </c>
      <c r="AT222" t="b">
        <v>0</v>
      </c>
      <c r="AU222" t="b">
        <v>1</v>
      </c>
      <c r="BA222" t="str">
        <f t="shared" si="6"/>
        <v>Normal</v>
      </c>
      <c r="BG222" t="str">
        <f t="shared" si="7"/>
        <v>Normal</v>
      </c>
    </row>
    <row r="223" spans="1:59" x14ac:dyDescent="0.2">
      <c r="A223" t="s">
        <v>42</v>
      </c>
      <c r="B223" t="s">
        <v>43</v>
      </c>
      <c r="C223">
        <v>20210101</v>
      </c>
      <c r="D223">
        <v>2021</v>
      </c>
      <c r="E223">
        <v>52</v>
      </c>
      <c r="F223" t="s">
        <v>287</v>
      </c>
      <c r="G223">
        <v>203</v>
      </c>
      <c r="H223" t="s">
        <v>107</v>
      </c>
      <c r="I223" t="s">
        <v>108</v>
      </c>
      <c r="J223" t="s">
        <v>47</v>
      </c>
      <c r="K223" t="s">
        <v>48</v>
      </c>
      <c r="L223">
        <v>0</v>
      </c>
      <c r="M223" t="s">
        <v>49</v>
      </c>
      <c r="N223" t="s">
        <v>50</v>
      </c>
      <c r="O223">
        <v>0</v>
      </c>
      <c r="P223" t="s">
        <v>49</v>
      </c>
      <c r="Q223" t="s">
        <v>50</v>
      </c>
      <c r="R223" t="s">
        <v>51</v>
      </c>
      <c r="S223" t="s">
        <v>52</v>
      </c>
      <c r="T223" t="b">
        <v>1</v>
      </c>
      <c r="U223" t="s">
        <v>53</v>
      </c>
      <c r="V223" t="s">
        <v>54</v>
      </c>
      <c r="W223">
        <v>4</v>
      </c>
      <c r="X223" t="b">
        <v>0</v>
      </c>
      <c r="Y223" t="s">
        <v>55</v>
      </c>
      <c r="Z223" t="s">
        <v>56</v>
      </c>
      <c r="AA223" t="s">
        <v>57</v>
      </c>
      <c r="AB223">
        <v>0</v>
      </c>
      <c r="AC223" t="s">
        <v>58</v>
      </c>
      <c r="AD223">
        <v>8</v>
      </c>
      <c r="AE223" t="s">
        <v>59</v>
      </c>
      <c r="AF223">
        <v>659</v>
      </c>
      <c r="AG223" t="b">
        <v>0</v>
      </c>
      <c r="AH223">
        <v>8</v>
      </c>
      <c r="AI223" t="s">
        <v>59</v>
      </c>
      <c r="AJ223">
        <v>659</v>
      </c>
      <c r="AK223" t="b">
        <v>0</v>
      </c>
      <c r="AL223">
        <v>659</v>
      </c>
      <c r="AM223" t="b">
        <v>0</v>
      </c>
      <c r="AN223">
        <v>0</v>
      </c>
      <c r="AO223" t="b">
        <v>0</v>
      </c>
      <c r="AP223">
        <v>0</v>
      </c>
      <c r="AQ223">
        <v>7726</v>
      </c>
      <c r="AR223">
        <v>7726</v>
      </c>
      <c r="AS223">
        <v>0</v>
      </c>
      <c r="AT223" t="b">
        <v>0</v>
      </c>
      <c r="AU223" t="b">
        <v>1</v>
      </c>
      <c r="BA223" t="str">
        <f t="shared" si="6"/>
        <v>Normal</v>
      </c>
      <c r="BG223" t="str">
        <f t="shared" si="7"/>
        <v>Normal</v>
      </c>
    </row>
    <row r="224" spans="1:59" x14ac:dyDescent="0.2">
      <c r="A224" t="s">
        <v>42</v>
      </c>
      <c r="B224" t="s">
        <v>43</v>
      </c>
      <c r="C224">
        <v>20210101</v>
      </c>
      <c r="D224">
        <v>2021</v>
      </c>
      <c r="E224">
        <v>52</v>
      </c>
      <c r="F224" t="s">
        <v>287</v>
      </c>
      <c r="G224">
        <v>208</v>
      </c>
      <c r="H224" t="s">
        <v>109</v>
      </c>
      <c r="I224" t="s">
        <v>110</v>
      </c>
      <c r="J224" t="s">
        <v>47</v>
      </c>
      <c r="K224" t="s">
        <v>48</v>
      </c>
      <c r="L224">
        <v>0</v>
      </c>
      <c r="M224" t="s">
        <v>49</v>
      </c>
      <c r="N224" t="s">
        <v>50</v>
      </c>
      <c r="O224">
        <v>0</v>
      </c>
      <c r="P224" t="s">
        <v>49</v>
      </c>
      <c r="Q224" t="s">
        <v>50</v>
      </c>
      <c r="R224" t="s">
        <v>51</v>
      </c>
      <c r="S224" t="s">
        <v>52</v>
      </c>
      <c r="T224" t="b">
        <v>1</v>
      </c>
      <c r="U224" t="s">
        <v>53</v>
      </c>
      <c r="V224" t="s">
        <v>54</v>
      </c>
      <c r="W224">
        <v>4</v>
      </c>
      <c r="X224" t="b">
        <v>0</v>
      </c>
      <c r="Y224" t="s">
        <v>55</v>
      </c>
      <c r="Z224" t="s">
        <v>56</v>
      </c>
      <c r="AA224" t="s">
        <v>57</v>
      </c>
      <c r="AB224">
        <v>0</v>
      </c>
      <c r="AC224" t="s">
        <v>58</v>
      </c>
      <c r="AD224">
        <v>8</v>
      </c>
      <c r="AE224" t="s">
        <v>59</v>
      </c>
      <c r="AF224">
        <v>697014985</v>
      </c>
      <c r="AG224" t="b">
        <v>0</v>
      </c>
      <c r="AH224">
        <v>8</v>
      </c>
      <c r="AI224" t="s">
        <v>59</v>
      </c>
      <c r="AJ224">
        <v>697014985</v>
      </c>
      <c r="AK224" t="b">
        <v>0</v>
      </c>
      <c r="AL224">
        <v>697014985</v>
      </c>
      <c r="AM224" t="b">
        <v>0</v>
      </c>
      <c r="AN224">
        <v>0</v>
      </c>
      <c r="AO224" t="b">
        <v>0</v>
      </c>
      <c r="AQ224">
        <v>363459896.17199999</v>
      </c>
      <c r="AR224">
        <v>363459896.17199999</v>
      </c>
      <c r="AS224">
        <v>0</v>
      </c>
      <c r="AT224" t="b">
        <v>0</v>
      </c>
      <c r="AU224" t="b">
        <v>1</v>
      </c>
      <c r="BA224" t="str">
        <f t="shared" si="6"/>
        <v>Normal</v>
      </c>
      <c r="BG224" t="str">
        <f t="shared" si="7"/>
        <v>Normal</v>
      </c>
    </row>
    <row r="225" spans="1:59" x14ac:dyDescent="0.2">
      <c r="A225" t="s">
        <v>42</v>
      </c>
      <c r="B225" t="s">
        <v>43</v>
      </c>
      <c r="C225">
        <v>20210101</v>
      </c>
      <c r="D225">
        <v>2021</v>
      </c>
      <c r="E225">
        <v>52</v>
      </c>
      <c r="F225" t="s">
        <v>287</v>
      </c>
      <c r="G225">
        <v>212</v>
      </c>
      <c r="H225" t="s">
        <v>290</v>
      </c>
      <c r="I225" t="s">
        <v>291</v>
      </c>
      <c r="J225" t="s">
        <v>47</v>
      </c>
      <c r="K225" t="s">
        <v>48</v>
      </c>
      <c r="L225">
        <v>0</v>
      </c>
      <c r="M225" t="s">
        <v>49</v>
      </c>
      <c r="N225" t="s">
        <v>50</v>
      </c>
      <c r="O225">
        <v>0</v>
      </c>
      <c r="P225" t="s">
        <v>49</v>
      </c>
      <c r="Q225" t="s">
        <v>50</v>
      </c>
      <c r="R225" t="s">
        <v>127</v>
      </c>
      <c r="S225" t="s">
        <v>52</v>
      </c>
      <c r="T225" t="b">
        <v>1</v>
      </c>
      <c r="U225" t="s">
        <v>53</v>
      </c>
      <c r="V225" t="s">
        <v>54</v>
      </c>
      <c r="W225">
        <v>4</v>
      </c>
      <c r="X225" t="b">
        <v>0</v>
      </c>
      <c r="Y225" t="s">
        <v>55</v>
      </c>
      <c r="Z225" t="s">
        <v>56</v>
      </c>
      <c r="AA225" t="s">
        <v>57</v>
      </c>
      <c r="AB225">
        <v>0</v>
      </c>
      <c r="AC225" t="s">
        <v>58</v>
      </c>
      <c r="AD225">
        <v>8</v>
      </c>
      <c r="AE225" t="s">
        <v>59</v>
      </c>
      <c r="AF225">
        <v>2</v>
      </c>
      <c r="AG225" t="b">
        <v>0</v>
      </c>
      <c r="AH225">
        <v>8</v>
      </c>
      <c r="AI225" t="s">
        <v>59</v>
      </c>
      <c r="AJ225">
        <v>2</v>
      </c>
      <c r="AK225" t="b">
        <v>0</v>
      </c>
      <c r="AL225">
        <v>2</v>
      </c>
      <c r="AM225" t="b">
        <v>0</v>
      </c>
      <c r="AN225">
        <v>0</v>
      </c>
      <c r="AO225" t="b">
        <v>0</v>
      </c>
      <c r="AQ225">
        <v>5.556</v>
      </c>
      <c r="AR225">
        <v>5.556</v>
      </c>
      <c r="AS225">
        <v>0</v>
      </c>
      <c r="AT225" t="b">
        <v>0</v>
      </c>
      <c r="AU225" t="b">
        <v>1</v>
      </c>
      <c r="BA225" t="str">
        <f t="shared" si="6"/>
        <v>Normal</v>
      </c>
      <c r="BG225" t="str">
        <f t="shared" si="7"/>
        <v>Normal</v>
      </c>
    </row>
    <row r="226" spans="1:59" x14ac:dyDescent="0.2">
      <c r="A226" t="s">
        <v>42</v>
      </c>
      <c r="B226" t="s">
        <v>43</v>
      </c>
      <c r="C226">
        <v>20210101</v>
      </c>
      <c r="D226">
        <v>2021</v>
      </c>
      <c r="E226">
        <v>52</v>
      </c>
      <c r="F226" t="s">
        <v>287</v>
      </c>
      <c r="G226">
        <v>214</v>
      </c>
      <c r="H226" t="s">
        <v>111</v>
      </c>
      <c r="I226" t="s">
        <v>112</v>
      </c>
      <c r="J226" t="s">
        <v>47</v>
      </c>
      <c r="K226" t="s">
        <v>48</v>
      </c>
      <c r="L226">
        <v>0</v>
      </c>
      <c r="M226" t="s">
        <v>49</v>
      </c>
      <c r="N226" t="s">
        <v>50</v>
      </c>
      <c r="O226">
        <v>0</v>
      </c>
      <c r="P226" t="s">
        <v>49</v>
      </c>
      <c r="Q226" t="s">
        <v>50</v>
      </c>
      <c r="R226" t="s">
        <v>51</v>
      </c>
      <c r="S226" t="s">
        <v>52</v>
      </c>
      <c r="T226" t="b">
        <v>1</v>
      </c>
      <c r="U226" t="s">
        <v>53</v>
      </c>
      <c r="V226" t="s">
        <v>54</v>
      </c>
      <c r="W226">
        <v>4</v>
      </c>
      <c r="X226" t="b">
        <v>0</v>
      </c>
      <c r="Y226" t="s">
        <v>55</v>
      </c>
      <c r="Z226" t="s">
        <v>56</v>
      </c>
      <c r="AA226" t="s">
        <v>57</v>
      </c>
      <c r="AB226">
        <v>0</v>
      </c>
      <c r="AC226" t="s">
        <v>58</v>
      </c>
      <c r="AD226">
        <v>8</v>
      </c>
      <c r="AE226" t="s">
        <v>59</v>
      </c>
      <c r="AF226">
        <v>1</v>
      </c>
      <c r="AG226" t="b">
        <v>0</v>
      </c>
      <c r="AH226">
        <v>5</v>
      </c>
      <c r="AI226" t="s">
        <v>292</v>
      </c>
      <c r="AJ226">
        <v>4</v>
      </c>
      <c r="AK226" t="b">
        <v>0</v>
      </c>
      <c r="AL226">
        <v>1</v>
      </c>
      <c r="AM226" t="b">
        <v>0</v>
      </c>
      <c r="AN226">
        <v>0</v>
      </c>
      <c r="AO226" t="b">
        <v>0</v>
      </c>
      <c r="AQ226">
        <v>40</v>
      </c>
      <c r="AR226">
        <v>40</v>
      </c>
      <c r="AS226">
        <v>0</v>
      </c>
      <c r="AT226" t="b">
        <v>0</v>
      </c>
      <c r="AU226" t="b">
        <v>1</v>
      </c>
      <c r="BA226" t="str">
        <f t="shared" si="6"/>
        <v>Normal</v>
      </c>
      <c r="BG226" t="str">
        <f t="shared" si="7"/>
        <v>Normal</v>
      </c>
    </row>
    <row r="227" spans="1:59" x14ac:dyDescent="0.2">
      <c r="A227" t="s">
        <v>42</v>
      </c>
      <c r="B227" t="s">
        <v>43</v>
      </c>
      <c r="C227">
        <v>20210101</v>
      </c>
      <c r="D227">
        <v>2021</v>
      </c>
      <c r="E227">
        <v>52</v>
      </c>
      <c r="F227" t="s">
        <v>287</v>
      </c>
      <c r="G227">
        <v>218</v>
      </c>
      <c r="H227" t="s">
        <v>113</v>
      </c>
      <c r="I227" t="s">
        <v>114</v>
      </c>
      <c r="J227" t="s">
        <v>47</v>
      </c>
      <c r="K227" t="s">
        <v>48</v>
      </c>
      <c r="L227">
        <v>0</v>
      </c>
      <c r="M227" t="s">
        <v>49</v>
      </c>
      <c r="N227" t="s">
        <v>50</v>
      </c>
      <c r="O227">
        <v>0</v>
      </c>
      <c r="P227" t="s">
        <v>49</v>
      </c>
      <c r="Q227" t="s">
        <v>50</v>
      </c>
      <c r="R227" t="s">
        <v>51</v>
      </c>
      <c r="S227" t="s">
        <v>52</v>
      </c>
      <c r="T227" t="b">
        <v>1</v>
      </c>
      <c r="U227" t="s">
        <v>53</v>
      </c>
      <c r="V227" t="s">
        <v>54</v>
      </c>
      <c r="W227">
        <v>4</v>
      </c>
      <c r="X227" t="b">
        <v>0</v>
      </c>
      <c r="Y227" t="s">
        <v>55</v>
      </c>
      <c r="Z227" t="s">
        <v>56</v>
      </c>
      <c r="AA227" t="s">
        <v>57</v>
      </c>
      <c r="AB227">
        <v>0</v>
      </c>
      <c r="AC227" t="s">
        <v>58</v>
      </c>
      <c r="AD227">
        <v>8</v>
      </c>
      <c r="AE227" t="s">
        <v>59</v>
      </c>
      <c r="AF227">
        <v>16426097000</v>
      </c>
      <c r="AG227" t="b">
        <v>0</v>
      </c>
      <c r="AH227">
        <v>8</v>
      </c>
      <c r="AI227" t="s">
        <v>59</v>
      </c>
      <c r="AJ227">
        <v>16426097000</v>
      </c>
      <c r="AK227" t="b">
        <v>0</v>
      </c>
      <c r="AL227">
        <v>16426097000</v>
      </c>
      <c r="AM227" t="b">
        <v>0</v>
      </c>
      <c r="AN227">
        <v>0</v>
      </c>
      <c r="AO227" t="b">
        <v>0</v>
      </c>
      <c r="AP227">
        <v>0</v>
      </c>
      <c r="AQ227">
        <v>7278163134.71</v>
      </c>
      <c r="AR227">
        <v>7278163134.71</v>
      </c>
      <c r="AS227">
        <v>0</v>
      </c>
      <c r="AT227" t="b">
        <v>0</v>
      </c>
      <c r="AU227" t="b">
        <v>1</v>
      </c>
      <c r="BA227" t="str">
        <f t="shared" si="6"/>
        <v>Normal</v>
      </c>
      <c r="BG227" t="str">
        <f t="shared" si="7"/>
        <v>Normal</v>
      </c>
    </row>
    <row r="228" spans="1:59" x14ac:dyDescent="0.2">
      <c r="A228" t="s">
        <v>42</v>
      </c>
      <c r="B228" t="s">
        <v>43</v>
      </c>
      <c r="C228">
        <v>20210101</v>
      </c>
      <c r="D228">
        <v>2021</v>
      </c>
      <c r="E228">
        <v>52</v>
      </c>
      <c r="F228" t="s">
        <v>287</v>
      </c>
      <c r="G228">
        <v>233</v>
      </c>
      <c r="H228" t="s">
        <v>117</v>
      </c>
      <c r="I228" t="s">
        <v>118</v>
      </c>
      <c r="J228" t="s">
        <v>47</v>
      </c>
      <c r="K228" t="s">
        <v>48</v>
      </c>
      <c r="L228">
        <v>0</v>
      </c>
      <c r="M228" t="s">
        <v>49</v>
      </c>
      <c r="N228" t="s">
        <v>50</v>
      </c>
      <c r="O228">
        <v>0</v>
      </c>
      <c r="P228" t="s">
        <v>49</v>
      </c>
      <c r="Q228" t="s">
        <v>50</v>
      </c>
      <c r="R228" t="s">
        <v>51</v>
      </c>
      <c r="S228" t="s">
        <v>52</v>
      </c>
      <c r="T228" t="b">
        <v>1</v>
      </c>
      <c r="U228" t="s">
        <v>53</v>
      </c>
      <c r="V228" t="s">
        <v>54</v>
      </c>
      <c r="W228">
        <v>4</v>
      </c>
      <c r="X228" t="b">
        <v>0</v>
      </c>
      <c r="Y228" t="s">
        <v>55</v>
      </c>
      <c r="Z228" t="s">
        <v>56</v>
      </c>
      <c r="AA228" t="s">
        <v>57</v>
      </c>
      <c r="AB228">
        <v>0</v>
      </c>
      <c r="AC228" t="s">
        <v>58</v>
      </c>
      <c r="AD228">
        <v>8</v>
      </c>
      <c r="AE228" t="s">
        <v>59</v>
      </c>
      <c r="AF228">
        <v>46108893.439999998</v>
      </c>
      <c r="AG228" t="b">
        <v>0</v>
      </c>
      <c r="AH228">
        <v>8</v>
      </c>
      <c r="AI228" t="s">
        <v>59</v>
      </c>
      <c r="AJ228">
        <v>46108893.439999998</v>
      </c>
      <c r="AK228" t="b">
        <v>0</v>
      </c>
      <c r="AL228">
        <v>46108893.439999998</v>
      </c>
      <c r="AM228" t="b">
        <v>0</v>
      </c>
      <c r="AN228">
        <v>0</v>
      </c>
      <c r="AO228" t="b">
        <v>0</v>
      </c>
      <c r="AQ228">
        <v>19808826.190000001</v>
      </c>
      <c r="AR228">
        <v>19808826.190000001</v>
      </c>
      <c r="AS228">
        <v>0</v>
      </c>
      <c r="AT228" t="b">
        <v>0</v>
      </c>
      <c r="AU228" t="b">
        <v>1</v>
      </c>
      <c r="BA228" t="str">
        <f t="shared" si="6"/>
        <v>Normal</v>
      </c>
      <c r="BG228" t="str">
        <f t="shared" si="7"/>
        <v>Normal</v>
      </c>
    </row>
    <row r="229" spans="1:59" x14ac:dyDescent="0.2">
      <c r="A229" t="s">
        <v>42</v>
      </c>
      <c r="B229" t="s">
        <v>43</v>
      </c>
      <c r="C229">
        <v>20210101</v>
      </c>
      <c r="D229">
        <v>2021</v>
      </c>
      <c r="E229">
        <v>52</v>
      </c>
      <c r="F229" t="s">
        <v>287</v>
      </c>
      <c r="G229">
        <v>242</v>
      </c>
      <c r="H229" t="s">
        <v>119</v>
      </c>
      <c r="I229" t="s">
        <v>120</v>
      </c>
      <c r="J229" t="s">
        <v>47</v>
      </c>
      <c r="K229" t="s">
        <v>48</v>
      </c>
      <c r="L229">
        <v>0</v>
      </c>
      <c r="M229" t="s">
        <v>49</v>
      </c>
      <c r="N229" t="s">
        <v>50</v>
      </c>
      <c r="O229">
        <v>0</v>
      </c>
      <c r="P229" t="s">
        <v>49</v>
      </c>
      <c r="Q229" t="s">
        <v>50</v>
      </c>
      <c r="R229" t="s">
        <v>51</v>
      </c>
      <c r="S229" t="s">
        <v>52</v>
      </c>
      <c r="T229" t="b">
        <v>1</v>
      </c>
      <c r="U229" t="s">
        <v>53</v>
      </c>
      <c r="V229" t="s">
        <v>54</v>
      </c>
      <c r="W229">
        <v>4</v>
      </c>
      <c r="X229" t="b">
        <v>0</v>
      </c>
      <c r="Y229" t="s">
        <v>55</v>
      </c>
      <c r="Z229" t="s">
        <v>56</v>
      </c>
      <c r="AA229" t="s">
        <v>57</v>
      </c>
      <c r="AB229">
        <v>0</v>
      </c>
      <c r="AC229" t="s">
        <v>58</v>
      </c>
      <c r="AD229">
        <v>8</v>
      </c>
      <c r="AE229" t="s">
        <v>59</v>
      </c>
      <c r="AF229">
        <v>3019130.9539999999</v>
      </c>
      <c r="AG229" t="b">
        <v>1</v>
      </c>
      <c r="AH229">
        <v>-1</v>
      </c>
      <c r="AI229" t="s">
        <v>73</v>
      </c>
      <c r="AJ229">
        <v>0</v>
      </c>
      <c r="AK229" t="b">
        <v>0</v>
      </c>
      <c r="AL229">
        <v>3019130.9539999999</v>
      </c>
      <c r="AM229" t="b">
        <v>1</v>
      </c>
      <c r="AN229">
        <v>0</v>
      </c>
      <c r="AO229" t="b">
        <v>0</v>
      </c>
      <c r="AP229">
        <v>0</v>
      </c>
      <c r="AQ229">
        <v>2756713.5269999998</v>
      </c>
      <c r="AR229">
        <v>2756713.5269999998</v>
      </c>
      <c r="AS229">
        <v>6</v>
      </c>
      <c r="AT229" t="b">
        <v>0</v>
      </c>
      <c r="AU229" t="b">
        <v>1</v>
      </c>
      <c r="BA229" t="str">
        <f t="shared" si="6"/>
        <v>Normal</v>
      </c>
      <c r="BG229" t="str">
        <f t="shared" si="7"/>
        <v>Normal</v>
      </c>
    </row>
    <row r="230" spans="1:59" x14ac:dyDescent="0.2">
      <c r="A230" t="s">
        <v>42</v>
      </c>
      <c r="B230" t="s">
        <v>43</v>
      </c>
      <c r="C230">
        <v>20210101</v>
      </c>
      <c r="D230">
        <v>2021</v>
      </c>
      <c r="E230">
        <v>52</v>
      </c>
      <c r="F230" t="s">
        <v>287</v>
      </c>
      <c r="G230">
        <v>246</v>
      </c>
      <c r="H230" t="s">
        <v>121</v>
      </c>
      <c r="I230" t="s">
        <v>122</v>
      </c>
      <c r="J230" t="s">
        <v>47</v>
      </c>
      <c r="K230" t="s">
        <v>48</v>
      </c>
      <c r="L230">
        <v>0</v>
      </c>
      <c r="M230" t="s">
        <v>49</v>
      </c>
      <c r="N230" t="s">
        <v>50</v>
      </c>
      <c r="O230">
        <v>0</v>
      </c>
      <c r="P230" t="s">
        <v>49</v>
      </c>
      <c r="Q230" t="s">
        <v>50</v>
      </c>
      <c r="R230" t="s">
        <v>51</v>
      </c>
      <c r="S230" t="s">
        <v>52</v>
      </c>
      <c r="T230" t="b">
        <v>1</v>
      </c>
      <c r="U230" t="s">
        <v>53</v>
      </c>
      <c r="V230" t="s">
        <v>54</v>
      </c>
      <c r="W230">
        <v>4</v>
      </c>
      <c r="X230" t="b">
        <v>0</v>
      </c>
      <c r="Y230" t="s">
        <v>55</v>
      </c>
      <c r="Z230" t="s">
        <v>56</v>
      </c>
      <c r="AA230" t="s">
        <v>57</v>
      </c>
      <c r="AB230">
        <v>0</v>
      </c>
      <c r="AC230" t="s">
        <v>58</v>
      </c>
      <c r="AD230">
        <v>8</v>
      </c>
      <c r="AE230" t="s">
        <v>59</v>
      </c>
      <c r="AF230">
        <v>1340.325</v>
      </c>
      <c r="AG230" t="b">
        <v>1</v>
      </c>
      <c r="AH230">
        <v>-1</v>
      </c>
      <c r="AI230" t="s">
        <v>73</v>
      </c>
      <c r="AJ230">
        <v>0</v>
      </c>
      <c r="AK230" t="b">
        <v>0</v>
      </c>
      <c r="AL230">
        <v>1340.325</v>
      </c>
      <c r="AM230" t="b">
        <v>1</v>
      </c>
      <c r="AN230">
        <v>0</v>
      </c>
      <c r="AO230" t="b">
        <v>0</v>
      </c>
      <c r="AP230">
        <v>0</v>
      </c>
      <c r="AQ230">
        <v>684.80700000000002</v>
      </c>
      <c r="AR230">
        <v>684.80700000000002</v>
      </c>
      <c r="AS230">
        <v>6</v>
      </c>
      <c r="AT230" t="b">
        <v>0</v>
      </c>
      <c r="AU230" t="b">
        <v>1</v>
      </c>
      <c r="BA230" t="str">
        <f t="shared" si="6"/>
        <v>Normal</v>
      </c>
      <c r="BG230" t="str">
        <f t="shared" si="7"/>
        <v>Normal</v>
      </c>
    </row>
    <row r="231" spans="1:59" x14ac:dyDescent="0.2">
      <c r="A231" t="s">
        <v>42</v>
      </c>
      <c r="B231" t="s">
        <v>43</v>
      </c>
      <c r="C231">
        <v>20210101</v>
      </c>
      <c r="D231">
        <v>2021</v>
      </c>
      <c r="E231">
        <v>52</v>
      </c>
      <c r="F231" t="s">
        <v>287</v>
      </c>
      <c r="G231">
        <v>251</v>
      </c>
      <c r="H231" t="s">
        <v>123</v>
      </c>
      <c r="I231" t="s">
        <v>124</v>
      </c>
      <c r="J231" t="s">
        <v>47</v>
      </c>
      <c r="K231" t="s">
        <v>48</v>
      </c>
      <c r="L231">
        <v>0</v>
      </c>
      <c r="M231" t="s">
        <v>49</v>
      </c>
      <c r="N231" t="s">
        <v>50</v>
      </c>
      <c r="O231">
        <v>0</v>
      </c>
      <c r="P231" t="s">
        <v>49</v>
      </c>
      <c r="Q231" t="s">
        <v>50</v>
      </c>
      <c r="R231" t="s">
        <v>51</v>
      </c>
      <c r="S231" t="s">
        <v>52</v>
      </c>
      <c r="T231" t="b">
        <v>1</v>
      </c>
      <c r="U231" t="s">
        <v>53</v>
      </c>
      <c r="V231" t="s">
        <v>54</v>
      </c>
      <c r="W231">
        <v>4</v>
      </c>
      <c r="X231" t="b">
        <v>0</v>
      </c>
      <c r="Y231" t="s">
        <v>55</v>
      </c>
      <c r="Z231" t="s">
        <v>56</v>
      </c>
      <c r="AA231" t="s">
        <v>57</v>
      </c>
      <c r="AB231">
        <v>0</v>
      </c>
      <c r="AC231" t="s">
        <v>58</v>
      </c>
      <c r="AD231">
        <v>-1</v>
      </c>
      <c r="AE231" t="s">
        <v>73</v>
      </c>
      <c r="AF231">
        <v>0</v>
      </c>
      <c r="AG231" t="b">
        <v>0</v>
      </c>
      <c r="AH231">
        <v>-1</v>
      </c>
      <c r="AI231" t="s">
        <v>73</v>
      </c>
      <c r="AJ231">
        <v>0</v>
      </c>
      <c r="AK231" t="b">
        <v>0</v>
      </c>
      <c r="AM231" t="b">
        <v>0</v>
      </c>
      <c r="AN231">
        <v>0</v>
      </c>
      <c r="AO231" t="b">
        <v>0</v>
      </c>
      <c r="AQ231">
        <v>17666943.284000002</v>
      </c>
      <c r="AR231">
        <v>17666943.284000002</v>
      </c>
      <c r="AS231">
        <v>0</v>
      </c>
      <c r="AT231" t="b">
        <v>0</v>
      </c>
      <c r="AU231" t="b">
        <v>1</v>
      </c>
      <c r="BA231" t="str">
        <f t="shared" si="6"/>
        <v>Normal</v>
      </c>
      <c r="BG231" t="str">
        <f t="shared" si="7"/>
        <v>Normal</v>
      </c>
    </row>
    <row r="232" spans="1:59" x14ac:dyDescent="0.2">
      <c r="A232" t="s">
        <v>42</v>
      </c>
      <c r="B232" t="s">
        <v>43</v>
      </c>
      <c r="C232">
        <v>20210101</v>
      </c>
      <c r="D232">
        <v>2021</v>
      </c>
      <c r="E232">
        <v>52</v>
      </c>
      <c r="F232" t="s">
        <v>287</v>
      </c>
      <c r="G232">
        <v>266</v>
      </c>
      <c r="H232" t="s">
        <v>125</v>
      </c>
      <c r="I232" t="s">
        <v>126</v>
      </c>
      <c r="J232" t="s">
        <v>47</v>
      </c>
      <c r="K232" t="s">
        <v>48</v>
      </c>
      <c r="L232">
        <v>0</v>
      </c>
      <c r="M232" t="s">
        <v>49</v>
      </c>
      <c r="N232" t="s">
        <v>50</v>
      </c>
      <c r="O232">
        <v>0</v>
      </c>
      <c r="P232" t="s">
        <v>49</v>
      </c>
      <c r="Q232" t="s">
        <v>50</v>
      </c>
      <c r="R232" t="s">
        <v>51</v>
      </c>
      <c r="S232" t="s">
        <v>52</v>
      </c>
      <c r="T232" t="b">
        <v>1</v>
      </c>
      <c r="U232" t="s">
        <v>53</v>
      </c>
      <c r="V232" t="s">
        <v>54</v>
      </c>
      <c r="W232">
        <v>4</v>
      </c>
      <c r="X232" t="b">
        <v>0</v>
      </c>
      <c r="Y232" t="s">
        <v>55</v>
      </c>
      <c r="Z232" t="s">
        <v>56</v>
      </c>
      <c r="AA232" t="s">
        <v>57</v>
      </c>
      <c r="AB232">
        <v>0</v>
      </c>
      <c r="AC232" t="s">
        <v>58</v>
      </c>
      <c r="AD232">
        <v>8</v>
      </c>
      <c r="AE232" t="s">
        <v>59</v>
      </c>
      <c r="AF232">
        <v>8175534740</v>
      </c>
      <c r="AG232" t="b">
        <v>0</v>
      </c>
      <c r="AH232">
        <v>19</v>
      </c>
      <c r="AI232" t="s">
        <v>60</v>
      </c>
      <c r="AJ232">
        <v>1365293843</v>
      </c>
      <c r="AK232" t="b">
        <v>0</v>
      </c>
      <c r="AL232">
        <v>8175534740</v>
      </c>
      <c r="AM232" t="b">
        <v>0</v>
      </c>
      <c r="AN232">
        <v>0</v>
      </c>
      <c r="AO232" t="b">
        <v>0</v>
      </c>
      <c r="AQ232">
        <v>3932465184.5289998</v>
      </c>
      <c r="AR232">
        <v>3932465184.5289998</v>
      </c>
      <c r="AS232">
        <v>0</v>
      </c>
      <c r="AT232" t="b">
        <v>0</v>
      </c>
      <c r="AU232" t="b">
        <v>1</v>
      </c>
      <c r="BA232" t="str">
        <f t="shared" si="6"/>
        <v>Normal</v>
      </c>
      <c r="BG232" t="str">
        <f t="shared" si="7"/>
        <v>Normal</v>
      </c>
    </row>
    <row r="233" spans="1:59" x14ac:dyDescent="0.2">
      <c r="A233" t="s">
        <v>42</v>
      </c>
      <c r="B233" t="s">
        <v>43</v>
      </c>
      <c r="C233">
        <v>20210101</v>
      </c>
      <c r="D233">
        <v>2021</v>
      </c>
      <c r="E233">
        <v>52</v>
      </c>
      <c r="F233" t="s">
        <v>287</v>
      </c>
      <c r="G233">
        <v>276</v>
      </c>
      <c r="H233" t="s">
        <v>130</v>
      </c>
      <c r="I233" t="s">
        <v>131</v>
      </c>
      <c r="J233" t="s">
        <v>47</v>
      </c>
      <c r="K233" t="s">
        <v>48</v>
      </c>
      <c r="L233">
        <v>0</v>
      </c>
      <c r="M233" t="s">
        <v>49</v>
      </c>
      <c r="N233" t="s">
        <v>50</v>
      </c>
      <c r="O233">
        <v>0</v>
      </c>
      <c r="P233" t="s">
        <v>49</v>
      </c>
      <c r="Q233" t="s">
        <v>50</v>
      </c>
      <c r="R233" t="s">
        <v>51</v>
      </c>
      <c r="S233" t="s">
        <v>52</v>
      </c>
      <c r="T233" t="b">
        <v>1</v>
      </c>
      <c r="U233" t="s">
        <v>53</v>
      </c>
      <c r="V233" t="s">
        <v>54</v>
      </c>
      <c r="W233">
        <v>4</v>
      </c>
      <c r="X233" t="b">
        <v>0</v>
      </c>
      <c r="Y233" t="s">
        <v>55</v>
      </c>
      <c r="Z233" t="s">
        <v>56</v>
      </c>
      <c r="AA233" t="s">
        <v>57</v>
      </c>
      <c r="AB233">
        <v>0</v>
      </c>
      <c r="AC233" t="s">
        <v>58</v>
      </c>
      <c r="AD233">
        <v>8</v>
      </c>
      <c r="AE233" t="s">
        <v>59</v>
      </c>
      <c r="AF233">
        <v>541418242.579</v>
      </c>
      <c r="AG233" t="b">
        <v>1</v>
      </c>
      <c r="AH233">
        <v>-1</v>
      </c>
      <c r="AI233" t="s">
        <v>73</v>
      </c>
      <c r="AJ233">
        <v>0</v>
      </c>
      <c r="AK233" t="b">
        <v>0</v>
      </c>
      <c r="AL233">
        <v>541418242.579</v>
      </c>
      <c r="AM233" t="b">
        <v>1</v>
      </c>
      <c r="AN233">
        <v>0</v>
      </c>
      <c r="AO233" t="b">
        <v>0</v>
      </c>
      <c r="AP233">
        <v>0</v>
      </c>
      <c r="AQ233">
        <v>291531811.72899997</v>
      </c>
      <c r="AR233">
        <v>291531811.72899997</v>
      </c>
      <c r="AS233">
        <v>6</v>
      </c>
      <c r="AT233" t="b">
        <v>0</v>
      </c>
      <c r="AU233" t="b">
        <v>1</v>
      </c>
      <c r="BA233" t="str">
        <f t="shared" si="6"/>
        <v>Normal</v>
      </c>
      <c r="BG233" t="str">
        <f t="shared" si="7"/>
        <v>Normal</v>
      </c>
    </row>
    <row r="234" spans="1:59" x14ac:dyDescent="0.2">
      <c r="A234" t="s">
        <v>42</v>
      </c>
      <c r="B234" t="s">
        <v>43</v>
      </c>
      <c r="C234">
        <v>20210101</v>
      </c>
      <c r="D234">
        <v>2021</v>
      </c>
      <c r="E234">
        <v>52</v>
      </c>
      <c r="F234" t="s">
        <v>287</v>
      </c>
      <c r="G234">
        <v>288</v>
      </c>
      <c r="H234" t="s">
        <v>132</v>
      </c>
      <c r="I234" t="s">
        <v>133</v>
      </c>
      <c r="J234" t="s">
        <v>47</v>
      </c>
      <c r="K234" t="s">
        <v>48</v>
      </c>
      <c r="L234">
        <v>0</v>
      </c>
      <c r="M234" t="s">
        <v>49</v>
      </c>
      <c r="N234" t="s">
        <v>50</v>
      </c>
      <c r="O234">
        <v>0</v>
      </c>
      <c r="P234" t="s">
        <v>49</v>
      </c>
      <c r="Q234" t="s">
        <v>50</v>
      </c>
      <c r="R234" t="s">
        <v>51</v>
      </c>
      <c r="S234" t="s">
        <v>52</v>
      </c>
      <c r="T234" t="b">
        <v>1</v>
      </c>
      <c r="U234" t="s">
        <v>53</v>
      </c>
      <c r="V234" t="s">
        <v>54</v>
      </c>
      <c r="W234">
        <v>4</v>
      </c>
      <c r="X234" t="b">
        <v>0</v>
      </c>
      <c r="Y234" t="s">
        <v>55</v>
      </c>
      <c r="Z234" t="s">
        <v>56</v>
      </c>
      <c r="AA234" t="s">
        <v>57</v>
      </c>
      <c r="AB234">
        <v>0</v>
      </c>
      <c r="AC234" t="s">
        <v>58</v>
      </c>
      <c r="AD234">
        <v>8</v>
      </c>
      <c r="AE234" t="s">
        <v>59</v>
      </c>
      <c r="AF234">
        <v>7355362080</v>
      </c>
      <c r="AG234" t="b">
        <v>0</v>
      </c>
      <c r="AH234">
        <v>8</v>
      </c>
      <c r="AI234" t="s">
        <v>59</v>
      </c>
      <c r="AJ234">
        <v>7355362006</v>
      </c>
      <c r="AK234" t="b">
        <v>0</v>
      </c>
      <c r="AL234">
        <v>7355362086</v>
      </c>
      <c r="AM234" t="b">
        <v>0</v>
      </c>
      <c r="AN234">
        <v>0</v>
      </c>
      <c r="AO234" t="b">
        <v>0</v>
      </c>
      <c r="AQ234">
        <v>3772892183.5359998</v>
      </c>
      <c r="AR234">
        <v>3772892183.5359998</v>
      </c>
      <c r="AS234">
        <v>0</v>
      </c>
      <c r="AT234" t="b">
        <v>0</v>
      </c>
      <c r="AU234" t="b">
        <v>1</v>
      </c>
      <c r="BA234" t="str">
        <f t="shared" si="6"/>
        <v>Normal</v>
      </c>
      <c r="BG234" t="str">
        <f t="shared" si="7"/>
        <v>Normal</v>
      </c>
    </row>
    <row r="235" spans="1:59" x14ac:dyDescent="0.2">
      <c r="A235" t="s">
        <v>42</v>
      </c>
      <c r="B235" t="s">
        <v>43</v>
      </c>
      <c r="C235">
        <v>20210101</v>
      </c>
      <c r="D235">
        <v>2021</v>
      </c>
      <c r="E235">
        <v>52</v>
      </c>
      <c r="F235" t="s">
        <v>287</v>
      </c>
      <c r="G235">
        <v>300</v>
      </c>
      <c r="H235" t="s">
        <v>134</v>
      </c>
      <c r="I235" t="s">
        <v>135</v>
      </c>
      <c r="J235" t="s">
        <v>47</v>
      </c>
      <c r="K235" t="s">
        <v>48</v>
      </c>
      <c r="L235">
        <v>0</v>
      </c>
      <c r="M235" t="s">
        <v>49</v>
      </c>
      <c r="N235" t="s">
        <v>50</v>
      </c>
      <c r="O235">
        <v>0</v>
      </c>
      <c r="P235" t="s">
        <v>49</v>
      </c>
      <c r="Q235" t="s">
        <v>50</v>
      </c>
      <c r="R235" t="s">
        <v>51</v>
      </c>
      <c r="S235" t="s">
        <v>52</v>
      </c>
      <c r="T235" t="b">
        <v>1</v>
      </c>
      <c r="U235" t="s">
        <v>53</v>
      </c>
      <c r="V235" t="s">
        <v>54</v>
      </c>
      <c r="W235">
        <v>4</v>
      </c>
      <c r="X235" t="b">
        <v>0</v>
      </c>
      <c r="Y235" t="s">
        <v>55</v>
      </c>
      <c r="Z235" t="s">
        <v>56</v>
      </c>
      <c r="AA235" t="s">
        <v>57</v>
      </c>
      <c r="AB235">
        <v>0</v>
      </c>
      <c r="AC235" t="s">
        <v>58</v>
      </c>
      <c r="AD235">
        <v>8</v>
      </c>
      <c r="AE235" t="s">
        <v>59</v>
      </c>
      <c r="AF235">
        <v>56132512</v>
      </c>
      <c r="AG235" t="b">
        <v>0</v>
      </c>
      <c r="AH235">
        <v>8</v>
      </c>
      <c r="AI235" t="s">
        <v>59</v>
      </c>
      <c r="AJ235">
        <v>56132512</v>
      </c>
      <c r="AK235" t="b">
        <v>0</v>
      </c>
      <c r="AL235">
        <v>56132512</v>
      </c>
      <c r="AM235" t="b">
        <v>0</v>
      </c>
      <c r="AN235">
        <v>0</v>
      </c>
      <c r="AO235" t="b">
        <v>0</v>
      </c>
      <c r="AP235">
        <v>0</v>
      </c>
      <c r="AQ235">
        <v>24030497.745999999</v>
      </c>
      <c r="AR235">
        <v>24030497.745999999</v>
      </c>
      <c r="AS235">
        <v>0</v>
      </c>
      <c r="AT235" t="b">
        <v>0</v>
      </c>
      <c r="AU235" t="b">
        <v>1</v>
      </c>
      <c r="BA235" t="str">
        <f t="shared" si="6"/>
        <v>Normal</v>
      </c>
      <c r="BG235" t="str">
        <f t="shared" si="7"/>
        <v>Normal</v>
      </c>
    </row>
    <row r="236" spans="1:59" x14ac:dyDescent="0.2">
      <c r="A236" t="s">
        <v>42</v>
      </c>
      <c r="B236" t="s">
        <v>43</v>
      </c>
      <c r="C236">
        <v>20210101</v>
      </c>
      <c r="D236">
        <v>2021</v>
      </c>
      <c r="E236">
        <v>52</v>
      </c>
      <c r="F236" t="s">
        <v>287</v>
      </c>
      <c r="G236">
        <v>320</v>
      </c>
      <c r="H236" t="s">
        <v>136</v>
      </c>
      <c r="I236" t="s">
        <v>137</v>
      </c>
      <c r="J236" t="s">
        <v>47</v>
      </c>
      <c r="K236" t="s">
        <v>48</v>
      </c>
      <c r="L236">
        <v>0</v>
      </c>
      <c r="M236" t="s">
        <v>49</v>
      </c>
      <c r="N236" t="s">
        <v>50</v>
      </c>
      <c r="O236">
        <v>0</v>
      </c>
      <c r="P236" t="s">
        <v>49</v>
      </c>
      <c r="Q236" t="s">
        <v>50</v>
      </c>
      <c r="R236" t="s">
        <v>51</v>
      </c>
      <c r="S236" t="s">
        <v>52</v>
      </c>
      <c r="T236" t="b">
        <v>1</v>
      </c>
      <c r="U236" t="s">
        <v>53</v>
      </c>
      <c r="V236" t="s">
        <v>54</v>
      </c>
      <c r="W236">
        <v>4</v>
      </c>
      <c r="X236" t="b">
        <v>0</v>
      </c>
      <c r="Y236" t="s">
        <v>55</v>
      </c>
      <c r="Z236" t="s">
        <v>56</v>
      </c>
      <c r="AA236" t="s">
        <v>57</v>
      </c>
      <c r="AB236">
        <v>0</v>
      </c>
      <c r="AC236" t="s">
        <v>58</v>
      </c>
      <c r="AD236">
        <v>8</v>
      </c>
      <c r="AE236" t="s">
        <v>59</v>
      </c>
      <c r="AF236">
        <v>175098000</v>
      </c>
      <c r="AG236" t="b">
        <v>0</v>
      </c>
      <c r="AH236">
        <v>8</v>
      </c>
      <c r="AI236" t="s">
        <v>59</v>
      </c>
      <c r="AJ236">
        <v>175098000</v>
      </c>
      <c r="AK236" t="b">
        <v>0</v>
      </c>
      <c r="AL236">
        <v>175098000</v>
      </c>
      <c r="AM236" t="b">
        <v>0</v>
      </c>
      <c r="AN236">
        <v>0</v>
      </c>
      <c r="AO236" t="b">
        <v>0</v>
      </c>
      <c r="AP236">
        <v>0</v>
      </c>
      <c r="AQ236">
        <v>75408060</v>
      </c>
      <c r="AR236">
        <v>75408060</v>
      </c>
      <c r="AS236">
        <v>0</v>
      </c>
      <c r="AT236" t="b">
        <v>0</v>
      </c>
      <c r="AU236" t="b">
        <v>1</v>
      </c>
      <c r="BA236" t="str">
        <f t="shared" si="6"/>
        <v>Normal</v>
      </c>
      <c r="BG236" t="str">
        <f t="shared" si="7"/>
        <v>Normal</v>
      </c>
    </row>
    <row r="237" spans="1:59" x14ac:dyDescent="0.2">
      <c r="A237" t="s">
        <v>42</v>
      </c>
      <c r="B237" t="s">
        <v>43</v>
      </c>
      <c r="C237">
        <v>20210101</v>
      </c>
      <c r="D237">
        <v>2021</v>
      </c>
      <c r="E237">
        <v>52</v>
      </c>
      <c r="F237" t="s">
        <v>287</v>
      </c>
      <c r="G237">
        <v>328</v>
      </c>
      <c r="H237" t="s">
        <v>276</v>
      </c>
      <c r="I237" t="s">
        <v>277</v>
      </c>
      <c r="J237" t="s">
        <v>47</v>
      </c>
      <c r="K237" t="s">
        <v>48</v>
      </c>
      <c r="L237">
        <v>0</v>
      </c>
      <c r="M237" t="s">
        <v>49</v>
      </c>
      <c r="N237" t="s">
        <v>50</v>
      </c>
      <c r="O237">
        <v>0</v>
      </c>
      <c r="P237" t="s">
        <v>49</v>
      </c>
      <c r="Q237" t="s">
        <v>50</v>
      </c>
      <c r="R237" t="s">
        <v>51</v>
      </c>
      <c r="S237" t="s">
        <v>52</v>
      </c>
      <c r="T237" t="b">
        <v>1</v>
      </c>
      <c r="U237" t="s">
        <v>53</v>
      </c>
      <c r="V237" t="s">
        <v>54</v>
      </c>
      <c r="W237">
        <v>4</v>
      </c>
      <c r="X237" t="b">
        <v>0</v>
      </c>
      <c r="Y237" t="s">
        <v>55</v>
      </c>
      <c r="Z237" t="s">
        <v>56</v>
      </c>
      <c r="AA237" t="s">
        <v>57</v>
      </c>
      <c r="AB237">
        <v>0</v>
      </c>
      <c r="AC237" t="s">
        <v>58</v>
      </c>
      <c r="AD237">
        <v>8</v>
      </c>
      <c r="AE237" t="s">
        <v>59</v>
      </c>
      <c r="AF237">
        <v>13211834250</v>
      </c>
      <c r="AG237" t="b">
        <v>0</v>
      </c>
      <c r="AH237">
        <v>8</v>
      </c>
      <c r="AI237" t="s">
        <v>59</v>
      </c>
      <c r="AJ237">
        <v>13211834250</v>
      </c>
      <c r="AK237" t="b">
        <v>0</v>
      </c>
      <c r="AL237">
        <v>13211834250</v>
      </c>
      <c r="AM237" t="b">
        <v>0</v>
      </c>
      <c r="AN237">
        <v>0</v>
      </c>
      <c r="AO237" t="b">
        <v>0</v>
      </c>
      <c r="AQ237">
        <v>5950932070.4840002</v>
      </c>
      <c r="AR237">
        <v>5950932070.4840002</v>
      </c>
      <c r="AS237">
        <v>0</v>
      </c>
      <c r="AT237" t="b">
        <v>0</v>
      </c>
      <c r="AU237" t="b">
        <v>1</v>
      </c>
      <c r="BA237" t="str">
        <f t="shared" si="6"/>
        <v>Normal</v>
      </c>
      <c r="BG237" t="str">
        <f t="shared" si="7"/>
        <v>Normal</v>
      </c>
    </row>
    <row r="238" spans="1:59" x14ac:dyDescent="0.2">
      <c r="A238" t="s">
        <v>42</v>
      </c>
      <c r="B238" t="s">
        <v>43</v>
      </c>
      <c r="C238">
        <v>20210101</v>
      </c>
      <c r="D238">
        <v>2021</v>
      </c>
      <c r="E238">
        <v>52</v>
      </c>
      <c r="F238" t="s">
        <v>287</v>
      </c>
      <c r="G238">
        <v>348</v>
      </c>
      <c r="H238" t="s">
        <v>138</v>
      </c>
      <c r="I238" t="s">
        <v>139</v>
      </c>
      <c r="J238" t="s">
        <v>47</v>
      </c>
      <c r="K238" t="s">
        <v>48</v>
      </c>
      <c r="L238">
        <v>0</v>
      </c>
      <c r="M238" t="s">
        <v>49</v>
      </c>
      <c r="N238" t="s">
        <v>50</v>
      </c>
      <c r="O238">
        <v>0</v>
      </c>
      <c r="P238" t="s">
        <v>49</v>
      </c>
      <c r="Q238" t="s">
        <v>50</v>
      </c>
      <c r="R238" t="s">
        <v>51</v>
      </c>
      <c r="S238" t="s">
        <v>52</v>
      </c>
      <c r="T238" t="b">
        <v>1</v>
      </c>
      <c r="U238" t="s">
        <v>53</v>
      </c>
      <c r="V238" t="s">
        <v>54</v>
      </c>
      <c r="W238">
        <v>4</v>
      </c>
      <c r="X238" t="b">
        <v>0</v>
      </c>
      <c r="Y238" t="s">
        <v>55</v>
      </c>
      <c r="Z238" t="s">
        <v>56</v>
      </c>
      <c r="AA238" t="s">
        <v>57</v>
      </c>
      <c r="AB238">
        <v>0</v>
      </c>
      <c r="AC238" t="s">
        <v>58</v>
      </c>
      <c r="AD238">
        <v>8</v>
      </c>
      <c r="AE238" t="s">
        <v>59</v>
      </c>
      <c r="AF238">
        <v>306828337</v>
      </c>
      <c r="AG238" t="b">
        <v>0</v>
      </c>
      <c r="AH238">
        <v>8</v>
      </c>
      <c r="AI238" t="s">
        <v>59</v>
      </c>
      <c r="AJ238">
        <v>306828337</v>
      </c>
      <c r="AK238" t="b">
        <v>0</v>
      </c>
      <c r="AL238">
        <v>306828337</v>
      </c>
      <c r="AM238" t="b">
        <v>0</v>
      </c>
      <c r="AN238">
        <v>0</v>
      </c>
      <c r="AO238" t="b">
        <v>0</v>
      </c>
      <c r="AP238">
        <v>0</v>
      </c>
      <c r="AQ238">
        <v>170378481</v>
      </c>
      <c r="AR238">
        <v>170378481</v>
      </c>
      <c r="AS238">
        <v>0</v>
      </c>
      <c r="AT238" t="b">
        <v>0</v>
      </c>
      <c r="AU238" t="b">
        <v>1</v>
      </c>
      <c r="BA238" t="str">
        <f t="shared" si="6"/>
        <v>Normal</v>
      </c>
      <c r="BG238" t="str">
        <f t="shared" si="7"/>
        <v>Normal</v>
      </c>
    </row>
    <row r="239" spans="1:59" x14ac:dyDescent="0.2">
      <c r="A239" t="s">
        <v>42</v>
      </c>
      <c r="B239" t="s">
        <v>43</v>
      </c>
      <c r="C239">
        <v>20210101</v>
      </c>
      <c r="D239">
        <v>2021</v>
      </c>
      <c r="E239">
        <v>52</v>
      </c>
      <c r="F239" t="s">
        <v>287</v>
      </c>
      <c r="G239">
        <v>360</v>
      </c>
      <c r="H239" t="s">
        <v>140</v>
      </c>
      <c r="I239" t="s">
        <v>141</v>
      </c>
      <c r="J239" t="s">
        <v>47</v>
      </c>
      <c r="K239" t="s">
        <v>48</v>
      </c>
      <c r="L239">
        <v>0</v>
      </c>
      <c r="M239" t="s">
        <v>49</v>
      </c>
      <c r="N239" t="s">
        <v>50</v>
      </c>
      <c r="O239">
        <v>0</v>
      </c>
      <c r="P239" t="s">
        <v>49</v>
      </c>
      <c r="Q239" t="s">
        <v>50</v>
      </c>
      <c r="R239" t="s">
        <v>51</v>
      </c>
      <c r="S239" t="s">
        <v>52</v>
      </c>
      <c r="T239" t="b">
        <v>1</v>
      </c>
      <c r="U239" t="s">
        <v>53</v>
      </c>
      <c r="V239" t="s">
        <v>54</v>
      </c>
      <c r="W239">
        <v>4</v>
      </c>
      <c r="X239" t="b">
        <v>0</v>
      </c>
      <c r="Y239" t="s">
        <v>55</v>
      </c>
      <c r="Z239" t="s">
        <v>56</v>
      </c>
      <c r="AA239" t="s">
        <v>57</v>
      </c>
      <c r="AB239">
        <v>0</v>
      </c>
      <c r="AC239" t="s">
        <v>58</v>
      </c>
      <c r="AD239">
        <v>8</v>
      </c>
      <c r="AE239" t="s">
        <v>59</v>
      </c>
      <c r="AF239">
        <v>6016740304</v>
      </c>
      <c r="AG239" t="b">
        <v>0</v>
      </c>
      <c r="AH239">
        <v>8</v>
      </c>
      <c r="AI239" t="s">
        <v>59</v>
      </c>
      <c r="AJ239">
        <v>6016740304</v>
      </c>
      <c r="AK239" t="b">
        <v>0</v>
      </c>
      <c r="AL239">
        <v>6016740304</v>
      </c>
      <c r="AM239" t="b">
        <v>0</v>
      </c>
      <c r="AN239">
        <v>0</v>
      </c>
      <c r="AO239" t="b">
        <v>0</v>
      </c>
      <c r="AQ239">
        <v>2795919222.375</v>
      </c>
      <c r="AR239">
        <v>2795919222.375</v>
      </c>
      <c r="AS239">
        <v>0</v>
      </c>
      <c r="AT239" t="b">
        <v>0</v>
      </c>
      <c r="AU239" t="b">
        <v>1</v>
      </c>
      <c r="BA239" t="str">
        <f t="shared" si="6"/>
        <v>Normal</v>
      </c>
      <c r="BG239" t="str">
        <f t="shared" si="7"/>
        <v>Normal</v>
      </c>
    </row>
    <row r="240" spans="1:59" x14ac:dyDescent="0.2">
      <c r="A240" t="s">
        <v>42</v>
      </c>
      <c r="B240" t="s">
        <v>43</v>
      </c>
      <c r="C240">
        <v>20210101</v>
      </c>
      <c r="D240">
        <v>2021</v>
      </c>
      <c r="E240">
        <v>52</v>
      </c>
      <c r="F240" t="s">
        <v>287</v>
      </c>
      <c r="G240">
        <v>364</v>
      </c>
      <c r="H240" t="s">
        <v>142</v>
      </c>
      <c r="I240" t="s">
        <v>143</v>
      </c>
      <c r="J240" t="s">
        <v>47</v>
      </c>
      <c r="K240" t="s">
        <v>48</v>
      </c>
      <c r="L240">
        <v>0</v>
      </c>
      <c r="M240" t="s">
        <v>49</v>
      </c>
      <c r="N240" t="s">
        <v>50</v>
      </c>
      <c r="O240">
        <v>0</v>
      </c>
      <c r="P240" t="s">
        <v>49</v>
      </c>
      <c r="Q240" t="s">
        <v>50</v>
      </c>
      <c r="R240" t="s">
        <v>51</v>
      </c>
      <c r="S240" t="s">
        <v>52</v>
      </c>
      <c r="T240" t="b">
        <v>1</v>
      </c>
      <c r="U240" t="s">
        <v>53</v>
      </c>
      <c r="V240" t="s">
        <v>54</v>
      </c>
      <c r="W240">
        <v>4</v>
      </c>
      <c r="X240" t="b">
        <v>0</v>
      </c>
      <c r="Y240" t="s">
        <v>55</v>
      </c>
      <c r="Z240" t="s">
        <v>56</v>
      </c>
      <c r="AA240" t="s">
        <v>57</v>
      </c>
      <c r="AB240">
        <v>0</v>
      </c>
      <c r="AC240" t="s">
        <v>58</v>
      </c>
      <c r="AD240">
        <v>-1</v>
      </c>
      <c r="AE240" t="s">
        <v>73</v>
      </c>
      <c r="AF240">
        <v>0</v>
      </c>
      <c r="AG240" t="b">
        <v>0</v>
      </c>
      <c r="AH240">
        <v>-1</v>
      </c>
      <c r="AI240" t="s">
        <v>73</v>
      </c>
      <c r="AJ240">
        <v>0</v>
      </c>
      <c r="AK240" t="b">
        <v>0</v>
      </c>
      <c r="AM240" t="b">
        <v>0</v>
      </c>
      <c r="AN240">
        <v>0</v>
      </c>
      <c r="AO240" t="b">
        <v>0</v>
      </c>
      <c r="AQ240">
        <v>19069411299.41</v>
      </c>
      <c r="AR240">
        <v>19069411299.41</v>
      </c>
      <c r="AS240">
        <v>0</v>
      </c>
      <c r="AT240" t="b">
        <v>0</v>
      </c>
      <c r="AU240" t="b">
        <v>1</v>
      </c>
      <c r="BA240" t="str">
        <f t="shared" si="6"/>
        <v>Normal</v>
      </c>
      <c r="BG240" t="str">
        <f t="shared" si="7"/>
        <v>Normal</v>
      </c>
    </row>
    <row r="241" spans="1:59" x14ac:dyDescent="0.2">
      <c r="A241" t="s">
        <v>42</v>
      </c>
      <c r="B241" t="s">
        <v>43</v>
      </c>
      <c r="C241">
        <v>20210101</v>
      </c>
      <c r="D241">
        <v>2021</v>
      </c>
      <c r="E241">
        <v>52</v>
      </c>
      <c r="F241" t="s">
        <v>287</v>
      </c>
      <c r="G241">
        <v>372</v>
      </c>
      <c r="H241" t="s">
        <v>144</v>
      </c>
      <c r="I241" t="s">
        <v>145</v>
      </c>
      <c r="J241" t="s">
        <v>47</v>
      </c>
      <c r="K241" t="s">
        <v>48</v>
      </c>
      <c r="L241">
        <v>0</v>
      </c>
      <c r="M241" t="s">
        <v>49</v>
      </c>
      <c r="N241" t="s">
        <v>50</v>
      </c>
      <c r="O241">
        <v>0</v>
      </c>
      <c r="P241" t="s">
        <v>49</v>
      </c>
      <c r="Q241" t="s">
        <v>50</v>
      </c>
      <c r="R241" t="s">
        <v>51</v>
      </c>
      <c r="S241" t="s">
        <v>52</v>
      </c>
      <c r="T241" t="b">
        <v>1</v>
      </c>
      <c r="U241" t="s">
        <v>53</v>
      </c>
      <c r="V241" t="s">
        <v>54</v>
      </c>
      <c r="W241">
        <v>4</v>
      </c>
      <c r="X241" t="b">
        <v>0</v>
      </c>
      <c r="Y241" t="s">
        <v>55</v>
      </c>
      <c r="Z241" t="s">
        <v>56</v>
      </c>
      <c r="AA241" t="s">
        <v>57</v>
      </c>
      <c r="AB241">
        <v>0</v>
      </c>
      <c r="AC241" t="s">
        <v>58</v>
      </c>
      <c r="AD241">
        <v>8</v>
      </c>
      <c r="AE241" t="s">
        <v>59</v>
      </c>
      <c r="AF241">
        <v>123903596</v>
      </c>
      <c r="AG241" t="b">
        <v>0</v>
      </c>
      <c r="AH241">
        <v>8</v>
      </c>
      <c r="AI241" t="s">
        <v>59</v>
      </c>
      <c r="AJ241">
        <v>123903596</v>
      </c>
      <c r="AK241" t="b">
        <v>0</v>
      </c>
      <c r="AL241">
        <v>123903596</v>
      </c>
      <c r="AM241" t="b">
        <v>0</v>
      </c>
      <c r="AN241">
        <v>0</v>
      </c>
      <c r="AO241" t="b">
        <v>0</v>
      </c>
      <c r="AQ241">
        <v>56220122.424000002</v>
      </c>
      <c r="AR241">
        <v>56220122.424000002</v>
      </c>
      <c r="AS241">
        <v>0</v>
      </c>
      <c r="AT241" t="b">
        <v>0</v>
      </c>
      <c r="AU241" t="b">
        <v>1</v>
      </c>
      <c r="BA241" t="str">
        <f t="shared" si="6"/>
        <v>Normal</v>
      </c>
      <c r="BG241" t="str">
        <f t="shared" si="7"/>
        <v>Normal</v>
      </c>
    </row>
    <row r="242" spans="1:59" x14ac:dyDescent="0.2">
      <c r="A242" t="s">
        <v>42</v>
      </c>
      <c r="B242" t="s">
        <v>43</v>
      </c>
      <c r="C242">
        <v>20210101</v>
      </c>
      <c r="D242">
        <v>2021</v>
      </c>
      <c r="E242">
        <v>52</v>
      </c>
      <c r="F242" t="s">
        <v>287</v>
      </c>
      <c r="G242">
        <v>380</v>
      </c>
      <c r="H242" t="s">
        <v>148</v>
      </c>
      <c r="I242" t="s">
        <v>149</v>
      </c>
      <c r="J242" t="s">
        <v>47</v>
      </c>
      <c r="K242" t="s">
        <v>48</v>
      </c>
      <c r="L242">
        <v>0</v>
      </c>
      <c r="M242" t="s">
        <v>49</v>
      </c>
      <c r="N242" t="s">
        <v>50</v>
      </c>
      <c r="O242">
        <v>0</v>
      </c>
      <c r="P242" t="s">
        <v>49</v>
      </c>
      <c r="Q242" t="s">
        <v>50</v>
      </c>
      <c r="R242" t="s">
        <v>51</v>
      </c>
      <c r="S242" t="s">
        <v>52</v>
      </c>
      <c r="T242" t="b">
        <v>1</v>
      </c>
      <c r="U242" t="s">
        <v>53</v>
      </c>
      <c r="V242" t="s">
        <v>54</v>
      </c>
      <c r="W242">
        <v>4</v>
      </c>
      <c r="X242" t="b">
        <v>0</v>
      </c>
      <c r="Y242" t="s">
        <v>55</v>
      </c>
      <c r="Z242" t="s">
        <v>56</v>
      </c>
      <c r="AA242" t="s">
        <v>57</v>
      </c>
      <c r="AB242">
        <v>0</v>
      </c>
      <c r="AC242" t="s">
        <v>58</v>
      </c>
      <c r="AD242">
        <v>8</v>
      </c>
      <c r="AE242" t="s">
        <v>59</v>
      </c>
      <c r="AF242">
        <v>1212893333</v>
      </c>
      <c r="AG242" t="b">
        <v>0</v>
      </c>
      <c r="AH242">
        <v>8</v>
      </c>
      <c r="AI242" t="s">
        <v>59</v>
      </c>
      <c r="AJ242">
        <v>1212893333</v>
      </c>
      <c r="AK242" t="b">
        <v>0</v>
      </c>
      <c r="AL242">
        <v>1212893333</v>
      </c>
      <c r="AM242" t="b">
        <v>0</v>
      </c>
      <c r="AN242">
        <v>0</v>
      </c>
      <c r="AO242" t="b">
        <v>0</v>
      </c>
      <c r="AQ242">
        <v>464642688.69999999</v>
      </c>
      <c r="AR242">
        <v>464642688.69999999</v>
      </c>
      <c r="AS242">
        <v>0</v>
      </c>
      <c r="AT242" t="b">
        <v>0</v>
      </c>
      <c r="AU242" t="b">
        <v>1</v>
      </c>
      <c r="BA242" t="str">
        <f t="shared" si="6"/>
        <v>Normal</v>
      </c>
      <c r="BG242" t="str">
        <f t="shared" si="7"/>
        <v>Normal</v>
      </c>
    </row>
    <row r="243" spans="1:59" x14ac:dyDescent="0.2">
      <c r="A243" t="s">
        <v>42</v>
      </c>
      <c r="B243" t="s">
        <v>43</v>
      </c>
      <c r="C243">
        <v>20210101</v>
      </c>
      <c r="D243">
        <v>2021</v>
      </c>
      <c r="E243">
        <v>52</v>
      </c>
      <c r="F243" t="s">
        <v>287</v>
      </c>
      <c r="G243">
        <v>384</v>
      </c>
      <c r="H243" t="s">
        <v>150</v>
      </c>
      <c r="I243" t="s">
        <v>151</v>
      </c>
      <c r="J243" t="s">
        <v>47</v>
      </c>
      <c r="K243" t="s">
        <v>48</v>
      </c>
      <c r="L243">
        <v>0</v>
      </c>
      <c r="M243" t="s">
        <v>49</v>
      </c>
      <c r="N243" t="s">
        <v>50</v>
      </c>
      <c r="O243">
        <v>0</v>
      </c>
      <c r="P243" t="s">
        <v>49</v>
      </c>
      <c r="Q243" t="s">
        <v>50</v>
      </c>
      <c r="R243" t="s">
        <v>51</v>
      </c>
      <c r="S243" t="s">
        <v>52</v>
      </c>
      <c r="T243" t="b">
        <v>1</v>
      </c>
      <c r="U243" t="s">
        <v>53</v>
      </c>
      <c r="V243" t="s">
        <v>54</v>
      </c>
      <c r="W243">
        <v>4</v>
      </c>
      <c r="X243" t="b">
        <v>0</v>
      </c>
      <c r="Y243" t="s">
        <v>55</v>
      </c>
      <c r="Z243" t="s">
        <v>56</v>
      </c>
      <c r="AA243" t="s">
        <v>57</v>
      </c>
      <c r="AB243">
        <v>0</v>
      </c>
      <c r="AC243" t="s">
        <v>58</v>
      </c>
      <c r="AD243">
        <v>-1</v>
      </c>
      <c r="AE243" t="s">
        <v>73</v>
      </c>
      <c r="AF243">
        <v>0</v>
      </c>
      <c r="AG243" t="b">
        <v>0</v>
      </c>
      <c r="AH243">
        <v>-1</v>
      </c>
      <c r="AI243" t="s">
        <v>73</v>
      </c>
      <c r="AJ243">
        <v>0</v>
      </c>
      <c r="AK243" t="b">
        <v>0</v>
      </c>
      <c r="AM243" t="b">
        <v>0</v>
      </c>
      <c r="AN243">
        <v>0</v>
      </c>
      <c r="AO243" t="b">
        <v>0</v>
      </c>
      <c r="AQ243">
        <v>570017991.09000003</v>
      </c>
      <c r="AR243">
        <v>570017991.09000003</v>
      </c>
      <c r="AS243">
        <v>0</v>
      </c>
      <c r="AT243" t="b">
        <v>0</v>
      </c>
      <c r="AU243" t="b">
        <v>1</v>
      </c>
      <c r="BA243" t="str">
        <f t="shared" si="6"/>
        <v>Normal</v>
      </c>
      <c r="BG243" t="str">
        <f t="shared" si="7"/>
        <v>Normal</v>
      </c>
    </row>
    <row r="244" spans="1:59" x14ac:dyDescent="0.2">
      <c r="A244" t="s">
        <v>42</v>
      </c>
      <c r="B244" t="s">
        <v>43</v>
      </c>
      <c r="C244">
        <v>20210101</v>
      </c>
      <c r="D244">
        <v>2021</v>
      </c>
      <c r="E244">
        <v>52</v>
      </c>
      <c r="F244" t="s">
        <v>287</v>
      </c>
      <c r="G244">
        <v>392</v>
      </c>
      <c r="H244" t="s">
        <v>293</v>
      </c>
      <c r="I244" t="s">
        <v>294</v>
      </c>
      <c r="J244" t="s">
        <v>47</v>
      </c>
      <c r="K244" t="s">
        <v>48</v>
      </c>
      <c r="L244">
        <v>0</v>
      </c>
      <c r="M244" t="s">
        <v>49</v>
      </c>
      <c r="N244" t="s">
        <v>50</v>
      </c>
      <c r="O244">
        <v>0</v>
      </c>
      <c r="P244" t="s">
        <v>49</v>
      </c>
      <c r="Q244" t="s">
        <v>50</v>
      </c>
      <c r="R244" t="s">
        <v>51</v>
      </c>
      <c r="S244" t="s">
        <v>52</v>
      </c>
      <c r="T244" t="b">
        <v>1</v>
      </c>
      <c r="U244" t="s">
        <v>53</v>
      </c>
      <c r="V244" t="s">
        <v>54</v>
      </c>
      <c r="W244">
        <v>4</v>
      </c>
      <c r="X244" t="b">
        <v>0</v>
      </c>
      <c r="Y244" t="s">
        <v>55</v>
      </c>
      <c r="Z244" t="s">
        <v>56</v>
      </c>
      <c r="AA244" t="s">
        <v>57</v>
      </c>
      <c r="AB244">
        <v>0</v>
      </c>
      <c r="AC244" t="s">
        <v>58</v>
      </c>
      <c r="AD244">
        <v>8</v>
      </c>
      <c r="AE244" t="s">
        <v>59</v>
      </c>
      <c r="AF244">
        <v>199916</v>
      </c>
      <c r="AG244" t="b">
        <v>0</v>
      </c>
      <c r="AH244">
        <v>8</v>
      </c>
      <c r="AI244" t="s">
        <v>59</v>
      </c>
      <c r="AJ244">
        <v>199916</v>
      </c>
      <c r="AK244" t="b">
        <v>0</v>
      </c>
      <c r="AL244">
        <v>199916</v>
      </c>
      <c r="AM244" t="b">
        <v>0</v>
      </c>
      <c r="AN244">
        <v>0</v>
      </c>
      <c r="AO244" t="b">
        <v>0</v>
      </c>
      <c r="AP244">
        <v>0</v>
      </c>
      <c r="AQ244">
        <v>110164.124</v>
      </c>
      <c r="AR244">
        <v>110164.124</v>
      </c>
      <c r="AS244">
        <v>0</v>
      </c>
      <c r="AT244" t="b">
        <v>0</v>
      </c>
      <c r="AU244" t="b">
        <v>1</v>
      </c>
      <c r="BA244" t="str">
        <f t="shared" si="6"/>
        <v>Normal</v>
      </c>
      <c r="BG244" t="str">
        <f t="shared" si="7"/>
        <v>Normal</v>
      </c>
    </row>
    <row r="245" spans="1:59" x14ac:dyDescent="0.2">
      <c r="A245" t="s">
        <v>42</v>
      </c>
      <c r="B245" t="s">
        <v>43</v>
      </c>
      <c r="C245">
        <v>20210101</v>
      </c>
      <c r="D245">
        <v>2021</v>
      </c>
      <c r="E245">
        <v>52</v>
      </c>
      <c r="F245" t="s">
        <v>287</v>
      </c>
      <c r="G245">
        <v>398</v>
      </c>
      <c r="H245" t="s">
        <v>152</v>
      </c>
      <c r="I245" t="s">
        <v>153</v>
      </c>
      <c r="J245" t="s">
        <v>47</v>
      </c>
      <c r="K245" t="s">
        <v>48</v>
      </c>
      <c r="L245">
        <v>0</v>
      </c>
      <c r="M245" t="s">
        <v>49</v>
      </c>
      <c r="N245" t="s">
        <v>50</v>
      </c>
      <c r="O245">
        <v>0</v>
      </c>
      <c r="P245" t="s">
        <v>49</v>
      </c>
      <c r="Q245" t="s">
        <v>50</v>
      </c>
      <c r="R245" t="s">
        <v>51</v>
      </c>
      <c r="S245" t="s">
        <v>52</v>
      </c>
      <c r="T245" t="b">
        <v>1</v>
      </c>
      <c r="U245" t="s">
        <v>53</v>
      </c>
      <c r="V245" t="s">
        <v>54</v>
      </c>
      <c r="W245">
        <v>4</v>
      </c>
      <c r="X245" t="b">
        <v>0</v>
      </c>
      <c r="Y245" t="s">
        <v>55</v>
      </c>
      <c r="Z245" t="s">
        <v>56</v>
      </c>
      <c r="AA245" t="s">
        <v>57</v>
      </c>
      <c r="AB245">
        <v>0</v>
      </c>
      <c r="AC245" t="s">
        <v>58</v>
      </c>
      <c r="AD245">
        <v>8</v>
      </c>
      <c r="AE245" t="s">
        <v>59</v>
      </c>
      <c r="AF245">
        <v>65707726271</v>
      </c>
      <c r="AG245" t="b">
        <v>0</v>
      </c>
      <c r="AH245">
        <v>8</v>
      </c>
      <c r="AI245" t="s">
        <v>59</v>
      </c>
      <c r="AJ245">
        <v>65707726271</v>
      </c>
      <c r="AK245" t="b">
        <v>0</v>
      </c>
      <c r="AL245">
        <v>65707726271</v>
      </c>
      <c r="AM245" t="b">
        <v>0</v>
      </c>
      <c r="AN245">
        <v>0</v>
      </c>
      <c r="AO245" t="b">
        <v>0</v>
      </c>
      <c r="AQ245">
        <v>31089837286.130001</v>
      </c>
      <c r="AR245">
        <v>31089837286.130001</v>
      </c>
      <c r="AS245">
        <v>0</v>
      </c>
      <c r="AT245" t="b">
        <v>0</v>
      </c>
      <c r="AU245" t="b">
        <v>1</v>
      </c>
      <c r="BA245" t="str">
        <f t="shared" si="6"/>
        <v>Normal</v>
      </c>
      <c r="BG245" t="str">
        <f t="shared" si="7"/>
        <v>Normal</v>
      </c>
    </row>
    <row r="246" spans="1:59" x14ac:dyDescent="0.2">
      <c r="A246" t="s">
        <v>42</v>
      </c>
      <c r="B246" t="s">
        <v>43</v>
      </c>
      <c r="C246">
        <v>20210101</v>
      </c>
      <c r="D246">
        <v>2021</v>
      </c>
      <c r="E246">
        <v>52</v>
      </c>
      <c r="F246" t="s">
        <v>287</v>
      </c>
      <c r="G246">
        <v>404</v>
      </c>
      <c r="H246" t="s">
        <v>154</v>
      </c>
      <c r="I246" t="s">
        <v>155</v>
      </c>
      <c r="J246" t="s">
        <v>47</v>
      </c>
      <c r="K246" t="s">
        <v>48</v>
      </c>
      <c r="L246">
        <v>0</v>
      </c>
      <c r="M246" t="s">
        <v>49</v>
      </c>
      <c r="N246" t="s">
        <v>50</v>
      </c>
      <c r="O246">
        <v>0</v>
      </c>
      <c r="P246" t="s">
        <v>49</v>
      </c>
      <c r="Q246" t="s">
        <v>50</v>
      </c>
      <c r="R246" t="s">
        <v>51</v>
      </c>
      <c r="S246" t="s">
        <v>52</v>
      </c>
      <c r="T246" t="b">
        <v>1</v>
      </c>
      <c r="U246" t="s">
        <v>53</v>
      </c>
      <c r="V246" t="s">
        <v>54</v>
      </c>
      <c r="W246">
        <v>4</v>
      </c>
      <c r="X246" t="b">
        <v>0</v>
      </c>
      <c r="Y246" t="s">
        <v>55</v>
      </c>
      <c r="Z246" t="s">
        <v>56</v>
      </c>
      <c r="AA246" t="s">
        <v>57</v>
      </c>
      <c r="AB246">
        <v>0</v>
      </c>
      <c r="AC246" t="s">
        <v>58</v>
      </c>
      <c r="AD246">
        <v>8</v>
      </c>
      <c r="AE246" t="s">
        <v>59</v>
      </c>
      <c r="AF246">
        <v>12724</v>
      </c>
      <c r="AG246" t="b">
        <v>0</v>
      </c>
      <c r="AH246">
        <v>8</v>
      </c>
      <c r="AI246" t="s">
        <v>59</v>
      </c>
      <c r="AJ246">
        <v>12724</v>
      </c>
      <c r="AK246" t="b">
        <v>0</v>
      </c>
      <c r="AL246">
        <v>12724</v>
      </c>
      <c r="AM246" t="b">
        <v>0</v>
      </c>
      <c r="AN246">
        <v>0</v>
      </c>
      <c r="AO246" t="b">
        <v>0</v>
      </c>
      <c r="AP246">
        <v>0</v>
      </c>
      <c r="AQ246">
        <v>14548.335999999999</v>
      </c>
      <c r="AR246">
        <v>14548.335999999999</v>
      </c>
      <c r="AS246">
        <v>0</v>
      </c>
      <c r="AT246" t="b">
        <v>0</v>
      </c>
      <c r="AU246" t="b">
        <v>1</v>
      </c>
      <c r="BA246" t="str">
        <f t="shared" si="6"/>
        <v>Normal</v>
      </c>
      <c r="BG246" t="str">
        <f t="shared" si="7"/>
        <v>Normal</v>
      </c>
    </row>
    <row r="247" spans="1:59" x14ac:dyDescent="0.2">
      <c r="A247" t="s">
        <v>42</v>
      </c>
      <c r="B247" t="s">
        <v>43</v>
      </c>
      <c r="C247">
        <v>20210101</v>
      </c>
      <c r="D247">
        <v>2021</v>
      </c>
      <c r="E247">
        <v>52</v>
      </c>
      <c r="F247" t="s">
        <v>287</v>
      </c>
      <c r="G247">
        <v>410</v>
      </c>
      <c r="H247" t="s">
        <v>156</v>
      </c>
      <c r="I247" t="s">
        <v>157</v>
      </c>
      <c r="J247" t="s">
        <v>47</v>
      </c>
      <c r="K247" t="s">
        <v>48</v>
      </c>
      <c r="L247">
        <v>0</v>
      </c>
      <c r="M247" t="s">
        <v>49</v>
      </c>
      <c r="N247" t="s">
        <v>50</v>
      </c>
      <c r="O247">
        <v>0</v>
      </c>
      <c r="P247" t="s">
        <v>49</v>
      </c>
      <c r="Q247" t="s">
        <v>50</v>
      </c>
      <c r="R247" t="s">
        <v>51</v>
      </c>
      <c r="S247" t="s">
        <v>52</v>
      </c>
      <c r="T247" t="b">
        <v>1</v>
      </c>
      <c r="U247" t="s">
        <v>53</v>
      </c>
      <c r="V247" t="s">
        <v>54</v>
      </c>
      <c r="W247">
        <v>4</v>
      </c>
      <c r="X247" t="b">
        <v>0</v>
      </c>
      <c r="Y247" t="s">
        <v>55</v>
      </c>
      <c r="Z247" t="s">
        <v>56</v>
      </c>
      <c r="AA247" t="s">
        <v>57</v>
      </c>
      <c r="AB247">
        <v>0</v>
      </c>
      <c r="AC247" t="s">
        <v>58</v>
      </c>
      <c r="AD247">
        <v>8</v>
      </c>
      <c r="AE247" t="s">
        <v>59</v>
      </c>
      <c r="AF247">
        <v>1.744</v>
      </c>
      <c r="AG247" t="b">
        <v>0</v>
      </c>
      <c r="AH247">
        <v>8</v>
      </c>
      <c r="AI247" t="s">
        <v>59</v>
      </c>
      <c r="AJ247">
        <v>1.744</v>
      </c>
      <c r="AK247" t="b">
        <v>0</v>
      </c>
      <c r="AL247">
        <v>1.744</v>
      </c>
      <c r="AM247" t="b">
        <v>0</v>
      </c>
      <c r="AN247">
        <v>0</v>
      </c>
      <c r="AO247" t="b">
        <v>0</v>
      </c>
      <c r="AQ247">
        <v>9</v>
      </c>
      <c r="AR247">
        <v>9</v>
      </c>
      <c r="AS247">
        <v>0</v>
      </c>
      <c r="AT247" t="b">
        <v>0</v>
      </c>
      <c r="AU247" t="b">
        <v>1</v>
      </c>
      <c r="BA247" t="str">
        <f t="shared" si="6"/>
        <v>Normal</v>
      </c>
      <c r="BG247" t="str">
        <f t="shared" si="7"/>
        <v>Normal</v>
      </c>
    </row>
    <row r="248" spans="1:59" x14ac:dyDescent="0.2">
      <c r="A248" t="s">
        <v>42</v>
      </c>
      <c r="B248" t="s">
        <v>43</v>
      </c>
      <c r="C248">
        <v>20210101</v>
      </c>
      <c r="D248">
        <v>2021</v>
      </c>
      <c r="E248">
        <v>52</v>
      </c>
      <c r="F248" t="s">
        <v>287</v>
      </c>
      <c r="G248">
        <v>414</v>
      </c>
      <c r="H248" t="s">
        <v>158</v>
      </c>
      <c r="I248" t="s">
        <v>159</v>
      </c>
      <c r="J248" t="s">
        <v>47</v>
      </c>
      <c r="K248" t="s">
        <v>48</v>
      </c>
      <c r="L248">
        <v>0</v>
      </c>
      <c r="M248" t="s">
        <v>49</v>
      </c>
      <c r="N248" t="s">
        <v>50</v>
      </c>
      <c r="O248">
        <v>0</v>
      </c>
      <c r="P248" t="s">
        <v>49</v>
      </c>
      <c r="Q248" t="s">
        <v>50</v>
      </c>
      <c r="R248" t="s">
        <v>51</v>
      </c>
      <c r="S248" t="s">
        <v>52</v>
      </c>
      <c r="T248" t="b">
        <v>1</v>
      </c>
      <c r="U248" t="s">
        <v>53</v>
      </c>
      <c r="V248" t="s">
        <v>54</v>
      </c>
      <c r="W248">
        <v>4</v>
      </c>
      <c r="X248" t="b">
        <v>0</v>
      </c>
      <c r="Y248" t="s">
        <v>55</v>
      </c>
      <c r="Z248" t="s">
        <v>56</v>
      </c>
      <c r="AA248" t="s">
        <v>57</v>
      </c>
      <c r="AB248">
        <v>0</v>
      </c>
      <c r="AC248" t="s">
        <v>58</v>
      </c>
      <c r="AD248">
        <v>-1</v>
      </c>
      <c r="AE248" t="s">
        <v>73</v>
      </c>
      <c r="AF248">
        <v>0</v>
      </c>
      <c r="AG248" t="b">
        <v>0</v>
      </c>
      <c r="AH248">
        <v>-1</v>
      </c>
      <c r="AI248" t="s">
        <v>73</v>
      </c>
      <c r="AJ248">
        <v>0</v>
      </c>
      <c r="AK248" t="b">
        <v>0</v>
      </c>
      <c r="AM248" t="b">
        <v>0</v>
      </c>
      <c r="AN248">
        <v>0</v>
      </c>
      <c r="AO248" t="b">
        <v>0</v>
      </c>
      <c r="AQ248">
        <v>41770746523</v>
      </c>
      <c r="AR248">
        <v>41770746523</v>
      </c>
      <c r="AS248">
        <v>0</v>
      </c>
      <c r="AT248" t="b">
        <v>0</v>
      </c>
      <c r="AU248" t="b">
        <v>1</v>
      </c>
      <c r="BA248" t="str">
        <f t="shared" si="6"/>
        <v>Normal</v>
      </c>
      <c r="BG248" t="str">
        <f t="shared" si="7"/>
        <v>Normal</v>
      </c>
    </row>
    <row r="249" spans="1:59" x14ac:dyDescent="0.2">
      <c r="A249" t="s">
        <v>42</v>
      </c>
      <c r="B249" t="s">
        <v>43</v>
      </c>
      <c r="C249">
        <v>20210101</v>
      </c>
      <c r="D249">
        <v>2021</v>
      </c>
      <c r="E249">
        <v>52</v>
      </c>
      <c r="F249" t="s">
        <v>287</v>
      </c>
      <c r="G249">
        <v>417</v>
      </c>
      <c r="H249" t="s">
        <v>160</v>
      </c>
      <c r="I249" t="s">
        <v>161</v>
      </c>
      <c r="J249" t="s">
        <v>47</v>
      </c>
      <c r="K249" t="s">
        <v>48</v>
      </c>
      <c r="L249">
        <v>0</v>
      </c>
      <c r="M249" t="s">
        <v>49</v>
      </c>
      <c r="N249" t="s">
        <v>50</v>
      </c>
      <c r="O249">
        <v>0</v>
      </c>
      <c r="P249" t="s">
        <v>49</v>
      </c>
      <c r="Q249" t="s">
        <v>50</v>
      </c>
      <c r="R249" t="s">
        <v>51</v>
      </c>
      <c r="S249" t="s">
        <v>52</v>
      </c>
      <c r="T249" t="b">
        <v>1</v>
      </c>
      <c r="U249" t="s">
        <v>53</v>
      </c>
      <c r="V249" t="s">
        <v>54</v>
      </c>
      <c r="W249">
        <v>4</v>
      </c>
      <c r="X249" t="b">
        <v>0</v>
      </c>
      <c r="Y249" t="s">
        <v>55</v>
      </c>
      <c r="Z249" t="s">
        <v>56</v>
      </c>
      <c r="AA249" t="s">
        <v>57</v>
      </c>
      <c r="AB249">
        <v>0</v>
      </c>
      <c r="AC249" t="s">
        <v>58</v>
      </c>
      <c r="AD249">
        <v>8</v>
      </c>
      <c r="AE249" t="s">
        <v>59</v>
      </c>
      <c r="AF249">
        <v>5939200</v>
      </c>
      <c r="AG249" t="b">
        <v>0</v>
      </c>
      <c r="AH249">
        <v>8</v>
      </c>
      <c r="AI249" t="s">
        <v>59</v>
      </c>
      <c r="AJ249">
        <v>5939200</v>
      </c>
      <c r="AK249" t="b">
        <v>0</v>
      </c>
      <c r="AL249">
        <v>5939200</v>
      </c>
      <c r="AM249" t="b">
        <v>0</v>
      </c>
      <c r="AN249">
        <v>0</v>
      </c>
      <c r="AO249" t="b">
        <v>0</v>
      </c>
      <c r="AQ249">
        <v>1006646</v>
      </c>
      <c r="AR249">
        <v>1006646</v>
      </c>
      <c r="AS249">
        <v>0</v>
      </c>
      <c r="AT249" t="b">
        <v>0</v>
      </c>
      <c r="AU249" t="b">
        <v>1</v>
      </c>
      <c r="BA249" t="str">
        <f t="shared" si="6"/>
        <v>Normal</v>
      </c>
      <c r="BG249" t="str">
        <f t="shared" si="7"/>
        <v>Normal</v>
      </c>
    </row>
    <row r="250" spans="1:59" x14ac:dyDescent="0.2">
      <c r="A250" t="s">
        <v>42</v>
      </c>
      <c r="B250" t="s">
        <v>43</v>
      </c>
      <c r="C250">
        <v>20210101</v>
      </c>
      <c r="D250">
        <v>2021</v>
      </c>
      <c r="E250">
        <v>52</v>
      </c>
      <c r="F250" t="s">
        <v>287</v>
      </c>
      <c r="G250">
        <v>418</v>
      </c>
      <c r="H250" t="s">
        <v>162</v>
      </c>
      <c r="I250" t="s">
        <v>163</v>
      </c>
      <c r="J250" t="s">
        <v>47</v>
      </c>
      <c r="K250" t="s">
        <v>48</v>
      </c>
      <c r="L250">
        <v>0</v>
      </c>
      <c r="M250" t="s">
        <v>49</v>
      </c>
      <c r="N250" t="s">
        <v>50</v>
      </c>
      <c r="O250">
        <v>0</v>
      </c>
      <c r="P250" t="s">
        <v>49</v>
      </c>
      <c r="Q250" t="s">
        <v>50</v>
      </c>
      <c r="R250" t="s">
        <v>51</v>
      </c>
      <c r="S250" t="s">
        <v>52</v>
      </c>
      <c r="T250" t="b">
        <v>1</v>
      </c>
      <c r="U250" t="s">
        <v>53</v>
      </c>
      <c r="V250" t="s">
        <v>54</v>
      </c>
      <c r="W250">
        <v>4</v>
      </c>
      <c r="X250" t="b">
        <v>0</v>
      </c>
      <c r="Y250" t="s">
        <v>55</v>
      </c>
      <c r="Z250" t="s">
        <v>56</v>
      </c>
      <c r="AA250" t="s">
        <v>57</v>
      </c>
      <c r="AB250">
        <v>0</v>
      </c>
      <c r="AC250" t="s">
        <v>58</v>
      </c>
      <c r="AD250">
        <v>8</v>
      </c>
      <c r="AE250" t="s">
        <v>59</v>
      </c>
      <c r="AF250">
        <v>1000</v>
      </c>
      <c r="AG250" t="b">
        <v>0</v>
      </c>
      <c r="AH250">
        <v>8</v>
      </c>
      <c r="AI250" t="s">
        <v>59</v>
      </c>
      <c r="AJ250">
        <v>1000</v>
      </c>
      <c r="AK250" t="b">
        <v>0</v>
      </c>
      <c r="AL250">
        <v>1000</v>
      </c>
      <c r="AM250" t="b">
        <v>0</v>
      </c>
      <c r="AN250">
        <v>0</v>
      </c>
      <c r="AO250" t="b">
        <v>0</v>
      </c>
      <c r="AP250">
        <v>0</v>
      </c>
      <c r="AQ250">
        <v>50</v>
      </c>
      <c r="AR250">
        <v>50</v>
      </c>
      <c r="AS250">
        <v>0</v>
      </c>
      <c r="AT250" t="b">
        <v>0</v>
      </c>
      <c r="AU250" t="b">
        <v>1</v>
      </c>
      <c r="BA250" t="str">
        <f t="shared" si="6"/>
        <v>Normal</v>
      </c>
      <c r="BG250" t="str">
        <f t="shared" si="7"/>
        <v>Normal</v>
      </c>
    </row>
    <row r="251" spans="1:59" x14ac:dyDescent="0.2">
      <c r="A251" t="s">
        <v>42</v>
      </c>
      <c r="B251" t="s">
        <v>43</v>
      </c>
      <c r="C251">
        <v>20210101</v>
      </c>
      <c r="D251">
        <v>2021</v>
      </c>
      <c r="E251">
        <v>52</v>
      </c>
      <c r="F251" t="s">
        <v>287</v>
      </c>
      <c r="G251">
        <v>426</v>
      </c>
      <c r="H251" t="s">
        <v>295</v>
      </c>
      <c r="I251" t="s">
        <v>296</v>
      </c>
      <c r="J251" t="s">
        <v>47</v>
      </c>
      <c r="K251" t="s">
        <v>48</v>
      </c>
      <c r="L251">
        <v>0</v>
      </c>
      <c r="M251" t="s">
        <v>49</v>
      </c>
      <c r="N251" t="s">
        <v>50</v>
      </c>
      <c r="O251">
        <v>0</v>
      </c>
      <c r="P251" t="s">
        <v>49</v>
      </c>
      <c r="Q251" t="s">
        <v>50</v>
      </c>
      <c r="R251" t="s">
        <v>51</v>
      </c>
      <c r="S251" t="s">
        <v>52</v>
      </c>
      <c r="T251" t="b">
        <v>1</v>
      </c>
      <c r="U251" t="s">
        <v>53</v>
      </c>
      <c r="V251" t="s">
        <v>54</v>
      </c>
      <c r="W251">
        <v>4</v>
      </c>
      <c r="X251" t="b">
        <v>0</v>
      </c>
      <c r="Y251" t="s">
        <v>55</v>
      </c>
      <c r="Z251" t="s">
        <v>56</v>
      </c>
      <c r="AA251" t="s">
        <v>57</v>
      </c>
      <c r="AB251">
        <v>0</v>
      </c>
      <c r="AC251" t="s">
        <v>58</v>
      </c>
      <c r="AD251">
        <v>-1</v>
      </c>
      <c r="AE251" t="s">
        <v>73</v>
      </c>
      <c r="AF251">
        <v>0</v>
      </c>
      <c r="AG251" t="b">
        <v>0</v>
      </c>
      <c r="AH251">
        <v>-1</v>
      </c>
      <c r="AI251" t="s">
        <v>73</v>
      </c>
      <c r="AJ251">
        <v>0</v>
      </c>
      <c r="AK251" t="b">
        <v>0</v>
      </c>
      <c r="AM251" t="b">
        <v>0</v>
      </c>
      <c r="AN251">
        <v>3</v>
      </c>
      <c r="AO251" t="b">
        <v>0</v>
      </c>
      <c r="AQ251">
        <v>338.21600000000001</v>
      </c>
      <c r="AR251">
        <v>338.21600000000001</v>
      </c>
      <c r="AS251">
        <v>0</v>
      </c>
      <c r="AT251" t="b">
        <v>0</v>
      </c>
      <c r="AU251" t="b">
        <v>1</v>
      </c>
      <c r="BA251" t="str">
        <f t="shared" si="6"/>
        <v>Normal</v>
      </c>
      <c r="BG251" t="str">
        <f t="shared" si="7"/>
        <v>Normal</v>
      </c>
    </row>
    <row r="252" spans="1:59" x14ac:dyDescent="0.2">
      <c r="A252" t="s">
        <v>42</v>
      </c>
      <c r="B252" t="s">
        <v>43</v>
      </c>
      <c r="C252">
        <v>20210101</v>
      </c>
      <c r="D252">
        <v>2021</v>
      </c>
      <c r="E252">
        <v>52</v>
      </c>
      <c r="F252" t="s">
        <v>287</v>
      </c>
      <c r="G252">
        <v>428</v>
      </c>
      <c r="H252" t="s">
        <v>166</v>
      </c>
      <c r="I252" t="s">
        <v>167</v>
      </c>
      <c r="J252" t="s">
        <v>47</v>
      </c>
      <c r="K252" t="s">
        <v>48</v>
      </c>
      <c r="L252">
        <v>0</v>
      </c>
      <c r="M252" t="s">
        <v>49</v>
      </c>
      <c r="N252" t="s">
        <v>50</v>
      </c>
      <c r="O252">
        <v>0</v>
      </c>
      <c r="P252" t="s">
        <v>49</v>
      </c>
      <c r="Q252" t="s">
        <v>50</v>
      </c>
      <c r="R252" t="s">
        <v>51</v>
      </c>
      <c r="S252" t="s">
        <v>52</v>
      </c>
      <c r="T252" t="b">
        <v>1</v>
      </c>
      <c r="U252" t="s">
        <v>53</v>
      </c>
      <c r="V252" t="s">
        <v>54</v>
      </c>
      <c r="W252">
        <v>4</v>
      </c>
      <c r="X252" t="b">
        <v>0</v>
      </c>
      <c r="Y252" t="s">
        <v>55</v>
      </c>
      <c r="Z252" t="s">
        <v>56</v>
      </c>
      <c r="AA252" t="s">
        <v>57</v>
      </c>
      <c r="AB252">
        <v>0</v>
      </c>
      <c r="AC252" t="s">
        <v>58</v>
      </c>
      <c r="AD252">
        <v>8</v>
      </c>
      <c r="AE252" t="s">
        <v>59</v>
      </c>
      <c r="AF252">
        <v>7207674</v>
      </c>
      <c r="AG252" t="b">
        <v>0</v>
      </c>
      <c r="AH252">
        <v>8</v>
      </c>
      <c r="AI252" t="s">
        <v>59</v>
      </c>
      <c r="AJ252">
        <v>7207674</v>
      </c>
      <c r="AK252" t="b">
        <v>0</v>
      </c>
      <c r="AL252">
        <v>7207674</v>
      </c>
      <c r="AM252" t="b">
        <v>0</v>
      </c>
      <c r="AN252">
        <v>0</v>
      </c>
      <c r="AO252" t="b">
        <v>0</v>
      </c>
      <c r="AQ252">
        <v>2676439.6060000001</v>
      </c>
      <c r="AR252">
        <v>2676439.6060000001</v>
      </c>
      <c r="AS252">
        <v>0</v>
      </c>
      <c r="AT252" t="b">
        <v>0</v>
      </c>
      <c r="AU252" t="b">
        <v>1</v>
      </c>
      <c r="BA252" t="str">
        <f t="shared" si="6"/>
        <v>Normal</v>
      </c>
      <c r="BG252" t="str">
        <f t="shared" si="7"/>
        <v>Normal</v>
      </c>
    </row>
    <row r="253" spans="1:59" x14ac:dyDescent="0.2">
      <c r="A253" t="s">
        <v>42</v>
      </c>
      <c r="B253" t="s">
        <v>43</v>
      </c>
      <c r="C253">
        <v>20210101</v>
      </c>
      <c r="D253">
        <v>2021</v>
      </c>
      <c r="E253">
        <v>52</v>
      </c>
      <c r="F253" t="s">
        <v>287</v>
      </c>
      <c r="G253">
        <v>430</v>
      </c>
      <c r="H253" t="s">
        <v>297</v>
      </c>
      <c r="I253" t="s">
        <v>298</v>
      </c>
      <c r="J253" t="s">
        <v>47</v>
      </c>
      <c r="K253" t="s">
        <v>48</v>
      </c>
      <c r="L253">
        <v>0</v>
      </c>
      <c r="M253" t="s">
        <v>49</v>
      </c>
      <c r="N253" t="s">
        <v>50</v>
      </c>
      <c r="O253">
        <v>0</v>
      </c>
      <c r="P253" t="s">
        <v>49</v>
      </c>
      <c r="Q253" t="s">
        <v>50</v>
      </c>
      <c r="R253" t="s">
        <v>51</v>
      </c>
      <c r="S253" t="s">
        <v>52</v>
      </c>
      <c r="T253" t="b">
        <v>1</v>
      </c>
      <c r="U253" t="s">
        <v>53</v>
      </c>
      <c r="V253" t="s">
        <v>54</v>
      </c>
      <c r="W253">
        <v>4</v>
      </c>
      <c r="X253" t="b">
        <v>0</v>
      </c>
      <c r="Y253" t="s">
        <v>55</v>
      </c>
      <c r="Z253" t="s">
        <v>56</v>
      </c>
      <c r="AA253" t="s">
        <v>57</v>
      </c>
      <c r="AB253">
        <v>0</v>
      </c>
      <c r="AC253" t="s">
        <v>58</v>
      </c>
      <c r="AD253">
        <v>8</v>
      </c>
      <c r="AE253" t="s">
        <v>59</v>
      </c>
      <c r="AF253">
        <v>539994</v>
      </c>
      <c r="AG253" t="b">
        <v>0</v>
      </c>
      <c r="AH253">
        <v>8</v>
      </c>
      <c r="AI253" t="s">
        <v>59</v>
      </c>
      <c r="AJ253">
        <v>539994</v>
      </c>
      <c r="AK253" t="b">
        <v>0</v>
      </c>
      <c r="AL253">
        <v>539994</v>
      </c>
      <c r="AM253" t="b">
        <v>0</v>
      </c>
      <c r="AN253">
        <v>0</v>
      </c>
      <c r="AO253" t="b">
        <v>0</v>
      </c>
      <c r="AQ253">
        <v>4466000</v>
      </c>
      <c r="AR253">
        <v>4466000</v>
      </c>
      <c r="AS253">
        <v>0</v>
      </c>
      <c r="AT253" t="b">
        <v>0</v>
      </c>
      <c r="AU253" t="b">
        <v>1</v>
      </c>
      <c r="BA253" t="str">
        <f t="shared" si="6"/>
        <v>Normal</v>
      </c>
      <c r="BG253" t="str">
        <f t="shared" si="7"/>
        <v>Normal</v>
      </c>
    </row>
    <row r="254" spans="1:59" x14ac:dyDescent="0.2">
      <c r="A254" t="s">
        <v>42</v>
      </c>
      <c r="B254" t="s">
        <v>43</v>
      </c>
      <c r="C254">
        <v>20210101</v>
      </c>
      <c r="D254">
        <v>2021</v>
      </c>
      <c r="E254">
        <v>52</v>
      </c>
      <c r="F254" t="s">
        <v>287</v>
      </c>
      <c r="G254">
        <v>440</v>
      </c>
      <c r="H254" t="s">
        <v>171</v>
      </c>
      <c r="I254" t="s">
        <v>172</v>
      </c>
      <c r="J254" t="s">
        <v>47</v>
      </c>
      <c r="K254" t="s">
        <v>48</v>
      </c>
      <c r="L254">
        <v>0</v>
      </c>
      <c r="M254" t="s">
        <v>49</v>
      </c>
      <c r="N254" t="s">
        <v>50</v>
      </c>
      <c r="O254">
        <v>0</v>
      </c>
      <c r="P254" t="s">
        <v>49</v>
      </c>
      <c r="Q254" t="s">
        <v>50</v>
      </c>
      <c r="R254" t="s">
        <v>51</v>
      </c>
      <c r="S254" t="s">
        <v>52</v>
      </c>
      <c r="T254" t="b">
        <v>1</v>
      </c>
      <c r="U254" t="s">
        <v>53</v>
      </c>
      <c r="V254" t="s">
        <v>54</v>
      </c>
      <c r="W254">
        <v>4</v>
      </c>
      <c r="X254" t="b">
        <v>0</v>
      </c>
      <c r="Y254" t="s">
        <v>55</v>
      </c>
      <c r="Z254" t="s">
        <v>56</v>
      </c>
      <c r="AA254" t="s">
        <v>57</v>
      </c>
      <c r="AB254">
        <v>0</v>
      </c>
      <c r="AC254" t="s">
        <v>58</v>
      </c>
      <c r="AD254">
        <v>8</v>
      </c>
      <c r="AE254" t="s">
        <v>59</v>
      </c>
      <c r="AF254">
        <v>20139810</v>
      </c>
      <c r="AG254" t="b">
        <v>0</v>
      </c>
      <c r="AH254">
        <v>8</v>
      </c>
      <c r="AI254" t="s">
        <v>59</v>
      </c>
      <c r="AJ254">
        <v>20139810</v>
      </c>
      <c r="AK254" t="b">
        <v>0</v>
      </c>
      <c r="AL254">
        <v>20139810</v>
      </c>
      <c r="AM254" t="b">
        <v>0</v>
      </c>
      <c r="AN254">
        <v>0</v>
      </c>
      <c r="AO254" t="b">
        <v>0</v>
      </c>
      <c r="AP254">
        <v>0</v>
      </c>
      <c r="AQ254">
        <v>10685884</v>
      </c>
      <c r="AR254">
        <v>10685884</v>
      </c>
      <c r="AS254">
        <v>0</v>
      </c>
      <c r="AT254" t="b">
        <v>0</v>
      </c>
      <c r="AU254" t="b">
        <v>1</v>
      </c>
      <c r="BA254" t="str">
        <f t="shared" si="6"/>
        <v>Normal</v>
      </c>
      <c r="BG254" t="str">
        <f t="shared" si="7"/>
        <v>Normal</v>
      </c>
    </row>
    <row r="255" spans="1:59" x14ac:dyDescent="0.2">
      <c r="A255" t="s">
        <v>42</v>
      </c>
      <c r="B255" t="s">
        <v>43</v>
      </c>
      <c r="C255">
        <v>20210101</v>
      </c>
      <c r="D255">
        <v>2021</v>
      </c>
      <c r="E255">
        <v>52</v>
      </c>
      <c r="F255" t="s">
        <v>287</v>
      </c>
      <c r="G255">
        <v>442</v>
      </c>
      <c r="H255" t="s">
        <v>173</v>
      </c>
      <c r="I255" t="s">
        <v>174</v>
      </c>
      <c r="J255" t="s">
        <v>47</v>
      </c>
      <c r="K255" t="s">
        <v>48</v>
      </c>
      <c r="L255">
        <v>0</v>
      </c>
      <c r="M255" t="s">
        <v>49</v>
      </c>
      <c r="N255" t="s">
        <v>50</v>
      </c>
      <c r="O255">
        <v>0</v>
      </c>
      <c r="P255" t="s">
        <v>49</v>
      </c>
      <c r="Q255" t="s">
        <v>50</v>
      </c>
      <c r="R255" t="s">
        <v>51</v>
      </c>
      <c r="S255" t="s">
        <v>52</v>
      </c>
      <c r="T255" t="b">
        <v>1</v>
      </c>
      <c r="U255" t="s">
        <v>53</v>
      </c>
      <c r="V255" t="s">
        <v>54</v>
      </c>
      <c r="W255">
        <v>4</v>
      </c>
      <c r="X255" t="b">
        <v>0</v>
      </c>
      <c r="Y255" t="s">
        <v>55</v>
      </c>
      <c r="Z255" t="s">
        <v>56</v>
      </c>
      <c r="AA255" t="s">
        <v>57</v>
      </c>
      <c r="AB255">
        <v>0</v>
      </c>
      <c r="AC255" t="s">
        <v>58</v>
      </c>
      <c r="AD255">
        <v>8</v>
      </c>
      <c r="AE255" t="s">
        <v>59</v>
      </c>
      <c r="AF255">
        <v>1</v>
      </c>
      <c r="AG255" t="b">
        <v>0</v>
      </c>
      <c r="AH255">
        <v>8</v>
      </c>
      <c r="AI255" t="s">
        <v>59</v>
      </c>
      <c r="AJ255">
        <v>1</v>
      </c>
      <c r="AK255" t="b">
        <v>0</v>
      </c>
      <c r="AL255">
        <v>1</v>
      </c>
      <c r="AM255" t="b">
        <v>0</v>
      </c>
      <c r="AN255">
        <v>0</v>
      </c>
      <c r="AO255" t="b">
        <v>0</v>
      </c>
      <c r="AP255">
        <v>0</v>
      </c>
      <c r="AQ255">
        <v>26.706</v>
      </c>
      <c r="AR255">
        <v>26.706</v>
      </c>
      <c r="AS255">
        <v>0</v>
      </c>
      <c r="AT255" t="b">
        <v>0</v>
      </c>
      <c r="AU255" t="b">
        <v>1</v>
      </c>
      <c r="BA255" t="str">
        <f t="shared" si="6"/>
        <v>Normal</v>
      </c>
      <c r="BG255" t="str">
        <f t="shared" si="7"/>
        <v>Normal</v>
      </c>
    </row>
    <row r="256" spans="1:59" x14ac:dyDescent="0.2">
      <c r="A256" t="s">
        <v>42</v>
      </c>
      <c r="B256" t="s">
        <v>43</v>
      </c>
      <c r="C256">
        <v>20210101</v>
      </c>
      <c r="D256">
        <v>2021</v>
      </c>
      <c r="E256">
        <v>52</v>
      </c>
      <c r="F256" t="s">
        <v>287</v>
      </c>
      <c r="G256">
        <v>458</v>
      </c>
      <c r="H256" t="s">
        <v>177</v>
      </c>
      <c r="I256" t="s">
        <v>178</v>
      </c>
      <c r="J256" t="s">
        <v>47</v>
      </c>
      <c r="K256" t="s">
        <v>48</v>
      </c>
      <c r="L256">
        <v>0</v>
      </c>
      <c r="M256" t="s">
        <v>49</v>
      </c>
      <c r="N256" t="s">
        <v>50</v>
      </c>
      <c r="O256">
        <v>0</v>
      </c>
      <c r="P256" t="s">
        <v>49</v>
      </c>
      <c r="Q256" t="s">
        <v>50</v>
      </c>
      <c r="R256" t="s">
        <v>51</v>
      </c>
      <c r="S256" t="s">
        <v>52</v>
      </c>
      <c r="T256" t="b">
        <v>1</v>
      </c>
      <c r="U256" t="s">
        <v>53</v>
      </c>
      <c r="V256" t="s">
        <v>54</v>
      </c>
      <c r="W256">
        <v>4</v>
      </c>
      <c r="X256" t="b">
        <v>0</v>
      </c>
      <c r="Y256" t="s">
        <v>55</v>
      </c>
      <c r="Z256" t="s">
        <v>56</v>
      </c>
      <c r="AA256" t="s">
        <v>57</v>
      </c>
      <c r="AB256">
        <v>0</v>
      </c>
      <c r="AC256" t="s">
        <v>58</v>
      </c>
      <c r="AD256">
        <v>8</v>
      </c>
      <c r="AE256" t="s">
        <v>59</v>
      </c>
      <c r="AF256">
        <v>10303318870</v>
      </c>
      <c r="AG256" t="b">
        <v>0</v>
      </c>
      <c r="AH256">
        <v>8</v>
      </c>
      <c r="AI256" t="s">
        <v>59</v>
      </c>
      <c r="AJ256">
        <v>10303318870</v>
      </c>
      <c r="AK256" t="b">
        <v>0</v>
      </c>
      <c r="AL256">
        <v>10303318870</v>
      </c>
      <c r="AM256" t="b">
        <v>0</v>
      </c>
      <c r="AN256">
        <v>0</v>
      </c>
      <c r="AO256" t="b">
        <v>0</v>
      </c>
      <c r="AP256">
        <v>0</v>
      </c>
      <c r="AQ256">
        <v>5235448093.7810001</v>
      </c>
      <c r="AR256">
        <v>5235448093.7810001</v>
      </c>
      <c r="AS256">
        <v>0</v>
      </c>
      <c r="AT256" t="b">
        <v>0</v>
      </c>
      <c r="AU256" t="b">
        <v>1</v>
      </c>
      <c r="BA256" t="str">
        <f t="shared" si="6"/>
        <v>Normal</v>
      </c>
      <c r="BG256" t="str">
        <f t="shared" si="7"/>
        <v>Normal</v>
      </c>
    </row>
    <row r="257" spans="1:59" x14ac:dyDescent="0.2">
      <c r="A257" t="s">
        <v>42</v>
      </c>
      <c r="B257" t="s">
        <v>43</v>
      </c>
      <c r="C257">
        <v>20210101</v>
      </c>
      <c r="D257">
        <v>2021</v>
      </c>
      <c r="E257">
        <v>52</v>
      </c>
      <c r="F257" t="s">
        <v>287</v>
      </c>
      <c r="G257">
        <v>470</v>
      </c>
      <c r="H257" t="s">
        <v>179</v>
      </c>
      <c r="I257" t="s">
        <v>180</v>
      </c>
      <c r="J257" t="s">
        <v>47</v>
      </c>
      <c r="K257" t="s">
        <v>48</v>
      </c>
      <c r="L257">
        <v>0</v>
      </c>
      <c r="M257" t="s">
        <v>49</v>
      </c>
      <c r="N257" t="s">
        <v>50</v>
      </c>
      <c r="O257">
        <v>0</v>
      </c>
      <c r="P257" t="s">
        <v>49</v>
      </c>
      <c r="Q257" t="s">
        <v>50</v>
      </c>
      <c r="R257" t="s">
        <v>51</v>
      </c>
      <c r="S257" t="s">
        <v>52</v>
      </c>
      <c r="T257" t="b">
        <v>1</v>
      </c>
      <c r="U257" t="s">
        <v>53</v>
      </c>
      <c r="V257" t="s">
        <v>54</v>
      </c>
      <c r="W257">
        <v>4</v>
      </c>
      <c r="X257" t="b">
        <v>0</v>
      </c>
      <c r="Y257" t="s">
        <v>55</v>
      </c>
      <c r="Z257" t="s">
        <v>56</v>
      </c>
      <c r="AA257" t="s">
        <v>57</v>
      </c>
      <c r="AB257">
        <v>0</v>
      </c>
      <c r="AC257" t="s">
        <v>58</v>
      </c>
      <c r="AD257">
        <v>8</v>
      </c>
      <c r="AE257" t="s">
        <v>59</v>
      </c>
      <c r="AF257">
        <v>42</v>
      </c>
      <c r="AG257" t="b">
        <v>0</v>
      </c>
      <c r="AH257">
        <v>8</v>
      </c>
      <c r="AI257" t="s">
        <v>59</v>
      </c>
      <c r="AJ257">
        <v>42</v>
      </c>
      <c r="AK257" t="b">
        <v>0</v>
      </c>
      <c r="AL257">
        <v>42</v>
      </c>
      <c r="AM257" t="b">
        <v>0</v>
      </c>
      <c r="AN257">
        <v>0</v>
      </c>
      <c r="AO257" t="b">
        <v>0</v>
      </c>
      <c r="AQ257">
        <v>49.674999999999997</v>
      </c>
      <c r="AR257">
        <v>49.674999999999997</v>
      </c>
      <c r="AS257">
        <v>0</v>
      </c>
      <c r="AT257" t="b">
        <v>0</v>
      </c>
      <c r="AU257" t="b">
        <v>1</v>
      </c>
      <c r="BA257" t="str">
        <f t="shared" si="6"/>
        <v>Normal</v>
      </c>
      <c r="BG257" t="str">
        <f t="shared" si="7"/>
        <v>Normal</v>
      </c>
    </row>
    <row r="258" spans="1:59" x14ac:dyDescent="0.2">
      <c r="A258" t="s">
        <v>42</v>
      </c>
      <c r="B258" t="s">
        <v>43</v>
      </c>
      <c r="C258">
        <v>20210101</v>
      </c>
      <c r="D258">
        <v>2021</v>
      </c>
      <c r="E258">
        <v>52</v>
      </c>
      <c r="F258" t="s">
        <v>287</v>
      </c>
      <c r="G258">
        <v>484</v>
      </c>
      <c r="H258" t="s">
        <v>181</v>
      </c>
      <c r="I258" t="s">
        <v>182</v>
      </c>
      <c r="J258" t="s">
        <v>47</v>
      </c>
      <c r="K258" t="s">
        <v>48</v>
      </c>
      <c r="L258">
        <v>0</v>
      </c>
      <c r="M258" t="s">
        <v>49</v>
      </c>
      <c r="N258" t="s">
        <v>50</v>
      </c>
      <c r="O258">
        <v>0</v>
      </c>
      <c r="P258" t="s">
        <v>49</v>
      </c>
      <c r="Q258" t="s">
        <v>50</v>
      </c>
      <c r="R258" t="s">
        <v>51</v>
      </c>
      <c r="S258" t="s">
        <v>52</v>
      </c>
      <c r="T258" t="b">
        <v>1</v>
      </c>
      <c r="U258" t="s">
        <v>53</v>
      </c>
      <c r="V258" t="s">
        <v>54</v>
      </c>
      <c r="W258">
        <v>4</v>
      </c>
      <c r="X258" t="b">
        <v>0</v>
      </c>
      <c r="Y258" t="s">
        <v>55</v>
      </c>
      <c r="Z258" t="s">
        <v>56</v>
      </c>
      <c r="AA258" t="s">
        <v>57</v>
      </c>
      <c r="AB258">
        <v>0</v>
      </c>
      <c r="AC258" t="s">
        <v>58</v>
      </c>
      <c r="AD258">
        <v>8</v>
      </c>
      <c r="AE258" t="s">
        <v>59</v>
      </c>
      <c r="AF258">
        <v>50979735739.510002</v>
      </c>
      <c r="AG258" t="b">
        <v>1</v>
      </c>
      <c r="AH258">
        <v>-1</v>
      </c>
      <c r="AI258" t="s">
        <v>73</v>
      </c>
      <c r="AJ258">
        <v>0</v>
      </c>
      <c r="AK258" t="b">
        <v>0</v>
      </c>
      <c r="AL258">
        <v>50979735739.510002</v>
      </c>
      <c r="AM258" t="b">
        <v>1</v>
      </c>
      <c r="AN258">
        <v>0</v>
      </c>
      <c r="AO258" t="b">
        <v>0</v>
      </c>
      <c r="AQ258">
        <v>24130558561</v>
      </c>
      <c r="AR258">
        <v>24130558561</v>
      </c>
      <c r="AS258">
        <v>6</v>
      </c>
      <c r="AT258" t="b">
        <v>0</v>
      </c>
      <c r="AU258" t="b">
        <v>1</v>
      </c>
      <c r="BA258" t="str">
        <f t="shared" si="6"/>
        <v>Normal</v>
      </c>
      <c r="BG258" t="str">
        <f t="shared" si="7"/>
        <v>Normal</v>
      </c>
    </row>
    <row r="259" spans="1:59" x14ac:dyDescent="0.2">
      <c r="A259" t="s">
        <v>42</v>
      </c>
      <c r="B259" t="s">
        <v>43</v>
      </c>
      <c r="C259">
        <v>20210101</v>
      </c>
      <c r="D259">
        <v>2021</v>
      </c>
      <c r="E259">
        <v>52</v>
      </c>
      <c r="F259" t="s">
        <v>287</v>
      </c>
      <c r="G259">
        <v>496</v>
      </c>
      <c r="H259" t="s">
        <v>183</v>
      </c>
      <c r="I259" t="s">
        <v>184</v>
      </c>
      <c r="J259" t="s">
        <v>47</v>
      </c>
      <c r="K259" t="s">
        <v>48</v>
      </c>
      <c r="L259">
        <v>0</v>
      </c>
      <c r="M259" t="s">
        <v>49</v>
      </c>
      <c r="N259" t="s">
        <v>50</v>
      </c>
      <c r="O259">
        <v>0</v>
      </c>
      <c r="P259" t="s">
        <v>49</v>
      </c>
      <c r="Q259" t="s">
        <v>50</v>
      </c>
      <c r="R259" t="s">
        <v>51</v>
      </c>
      <c r="S259" t="s">
        <v>52</v>
      </c>
      <c r="T259" t="b">
        <v>1</v>
      </c>
      <c r="U259" t="s">
        <v>53</v>
      </c>
      <c r="V259" t="s">
        <v>54</v>
      </c>
      <c r="W259">
        <v>4</v>
      </c>
      <c r="X259" t="b">
        <v>0</v>
      </c>
      <c r="Y259" t="s">
        <v>55</v>
      </c>
      <c r="Z259" t="s">
        <v>56</v>
      </c>
      <c r="AA259" t="s">
        <v>57</v>
      </c>
      <c r="AB259">
        <v>0</v>
      </c>
      <c r="AC259" t="s">
        <v>58</v>
      </c>
      <c r="AD259">
        <v>8</v>
      </c>
      <c r="AE259" t="s">
        <v>59</v>
      </c>
      <c r="AF259">
        <v>590635790</v>
      </c>
      <c r="AG259" t="b">
        <v>0</v>
      </c>
      <c r="AH259">
        <v>19</v>
      </c>
      <c r="AI259" t="s">
        <v>60</v>
      </c>
      <c r="AJ259">
        <v>4348922</v>
      </c>
      <c r="AK259" t="b">
        <v>0</v>
      </c>
      <c r="AL259">
        <v>590635790</v>
      </c>
      <c r="AM259" t="b">
        <v>0</v>
      </c>
      <c r="AN259">
        <v>0</v>
      </c>
      <c r="AO259" t="b">
        <v>0</v>
      </c>
      <c r="AP259">
        <v>0</v>
      </c>
      <c r="AQ259">
        <v>273353427</v>
      </c>
      <c r="AR259">
        <v>273353427</v>
      </c>
      <c r="AS259">
        <v>0</v>
      </c>
      <c r="AT259" t="b">
        <v>0</v>
      </c>
      <c r="AU259" t="b">
        <v>1</v>
      </c>
      <c r="BA259" t="str">
        <f t="shared" ref="BA259:BA322" si="8">IF(OR(AJ259&lt;AY259,AJ833&gt;AZ259),"Outlier","Normal")</f>
        <v>Normal</v>
      </c>
      <c r="BG259" t="str">
        <f t="shared" ref="BG259:BG322" si="9">IF(OR(AQ259&lt;BE259,AQ833&gt;BF259),"Outlier","Normal")</f>
        <v>Normal</v>
      </c>
    </row>
    <row r="260" spans="1:59" x14ac:dyDescent="0.2">
      <c r="A260" t="s">
        <v>42</v>
      </c>
      <c r="B260" t="s">
        <v>43</v>
      </c>
      <c r="C260">
        <v>20210101</v>
      </c>
      <c r="D260">
        <v>2021</v>
      </c>
      <c r="E260">
        <v>52</v>
      </c>
      <c r="F260" t="s">
        <v>287</v>
      </c>
      <c r="G260">
        <v>498</v>
      </c>
      <c r="H260" t="s">
        <v>185</v>
      </c>
      <c r="I260" t="s">
        <v>186</v>
      </c>
      <c r="J260" t="s">
        <v>47</v>
      </c>
      <c r="K260" t="s">
        <v>48</v>
      </c>
      <c r="L260">
        <v>0</v>
      </c>
      <c r="M260" t="s">
        <v>49</v>
      </c>
      <c r="N260" t="s">
        <v>50</v>
      </c>
      <c r="O260">
        <v>0</v>
      </c>
      <c r="P260" t="s">
        <v>49</v>
      </c>
      <c r="Q260" t="s">
        <v>50</v>
      </c>
      <c r="R260" t="s">
        <v>51</v>
      </c>
      <c r="S260" t="s">
        <v>52</v>
      </c>
      <c r="T260" t="b">
        <v>1</v>
      </c>
      <c r="U260" t="s">
        <v>53</v>
      </c>
      <c r="V260" t="s">
        <v>54</v>
      </c>
      <c r="W260">
        <v>4</v>
      </c>
      <c r="X260" t="b">
        <v>0</v>
      </c>
      <c r="Y260" t="s">
        <v>55</v>
      </c>
      <c r="Z260" t="s">
        <v>56</v>
      </c>
      <c r="AA260" t="s">
        <v>57</v>
      </c>
      <c r="AB260">
        <v>0</v>
      </c>
      <c r="AC260" t="s">
        <v>58</v>
      </c>
      <c r="AD260">
        <v>8</v>
      </c>
      <c r="AE260" t="s">
        <v>59</v>
      </c>
      <c r="AF260">
        <v>4724810</v>
      </c>
      <c r="AG260" t="b">
        <v>0</v>
      </c>
      <c r="AH260">
        <v>8</v>
      </c>
      <c r="AI260" t="s">
        <v>59</v>
      </c>
      <c r="AJ260">
        <v>4724810</v>
      </c>
      <c r="AK260" t="b">
        <v>0</v>
      </c>
      <c r="AL260">
        <v>4724810</v>
      </c>
      <c r="AM260" t="b">
        <v>0</v>
      </c>
      <c r="AN260">
        <v>0</v>
      </c>
      <c r="AO260" t="b">
        <v>0</v>
      </c>
      <c r="AP260">
        <v>0</v>
      </c>
      <c r="AQ260">
        <v>1477035</v>
      </c>
      <c r="AR260">
        <v>1477035</v>
      </c>
      <c r="AS260">
        <v>0</v>
      </c>
      <c r="AT260" t="b">
        <v>0</v>
      </c>
      <c r="AU260" t="b">
        <v>1</v>
      </c>
      <c r="BA260" t="str">
        <f t="shared" si="8"/>
        <v>Normal</v>
      </c>
      <c r="BG260" t="str">
        <f t="shared" si="9"/>
        <v>Normal</v>
      </c>
    </row>
    <row r="261" spans="1:59" x14ac:dyDescent="0.2">
      <c r="A261" t="s">
        <v>42</v>
      </c>
      <c r="B261" t="s">
        <v>43</v>
      </c>
      <c r="C261">
        <v>20210101</v>
      </c>
      <c r="D261">
        <v>2021</v>
      </c>
      <c r="E261">
        <v>52</v>
      </c>
      <c r="F261" t="s">
        <v>287</v>
      </c>
      <c r="G261">
        <v>512</v>
      </c>
      <c r="H261" t="s">
        <v>187</v>
      </c>
      <c r="I261" t="s">
        <v>188</v>
      </c>
      <c r="J261" t="s">
        <v>47</v>
      </c>
      <c r="K261" t="s">
        <v>48</v>
      </c>
      <c r="L261">
        <v>0</v>
      </c>
      <c r="M261" t="s">
        <v>49</v>
      </c>
      <c r="N261" t="s">
        <v>50</v>
      </c>
      <c r="O261">
        <v>0</v>
      </c>
      <c r="P261" t="s">
        <v>49</v>
      </c>
      <c r="Q261" t="s">
        <v>50</v>
      </c>
      <c r="R261" t="s">
        <v>51</v>
      </c>
      <c r="S261" t="s">
        <v>52</v>
      </c>
      <c r="T261" t="b">
        <v>1</v>
      </c>
      <c r="U261" t="s">
        <v>53</v>
      </c>
      <c r="V261" t="s">
        <v>54</v>
      </c>
      <c r="W261">
        <v>4</v>
      </c>
      <c r="X261" t="b">
        <v>0</v>
      </c>
      <c r="Y261" t="s">
        <v>55</v>
      </c>
      <c r="Z261" t="s">
        <v>56</v>
      </c>
      <c r="AA261" t="s">
        <v>57</v>
      </c>
      <c r="AB261">
        <v>0</v>
      </c>
      <c r="AC261" t="s">
        <v>58</v>
      </c>
      <c r="AD261">
        <v>8</v>
      </c>
      <c r="AE261" t="s">
        <v>59</v>
      </c>
      <c r="AF261">
        <v>39477367584.549004</v>
      </c>
      <c r="AG261" t="b">
        <v>1</v>
      </c>
      <c r="AH261">
        <v>-1</v>
      </c>
      <c r="AI261" t="s">
        <v>73</v>
      </c>
      <c r="AJ261">
        <v>0</v>
      </c>
      <c r="AK261" t="b">
        <v>0</v>
      </c>
      <c r="AL261">
        <v>39477367584.549004</v>
      </c>
      <c r="AM261" t="b">
        <v>1</v>
      </c>
      <c r="AN261">
        <v>0</v>
      </c>
      <c r="AO261" t="b">
        <v>0</v>
      </c>
      <c r="AQ261">
        <v>18686070386.881001</v>
      </c>
      <c r="AR261">
        <v>18686070386.881001</v>
      </c>
      <c r="AS261">
        <v>6</v>
      </c>
      <c r="AT261" t="b">
        <v>0</v>
      </c>
      <c r="AU261" t="b">
        <v>1</v>
      </c>
      <c r="BA261" t="str">
        <f t="shared" si="8"/>
        <v>Normal</v>
      </c>
      <c r="BG261" t="str">
        <f t="shared" si="9"/>
        <v>Normal</v>
      </c>
    </row>
    <row r="262" spans="1:59" x14ac:dyDescent="0.2">
      <c r="A262" t="s">
        <v>42</v>
      </c>
      <c r="B262" t="s">
        <v>43</v>
      </c>
      <c r="C262">
        <v>20210101</v>
      </c>
      <c r="D262">
        <v>2021</v>
      </c>
      <c r="E262">
        <v>52</v>
      </c>
      <c r="F262" t="s">
        <v>287</v>
      </c>
      <c r="G262">
        <v>516</v>
      </c>
      <c r="H262" t="s">
        <v>189</v>
      </c>
      <c r="I262" t="s">
        <v>190</v>
      </c>
      <c r="J262" t="s">
        <v>47</v>
      </c>
      <c r="K262" t="s">
        <v>48</v>
      </c>
      <c r="L262">
        <v>0</v>
      </c>
      <c r="M262" t="s">
        <v>49</v>
      </c>
      <c r="N262" t="s">
        <v>50</v>
      </c>
      <c r="O262">
        <v>0</v>
      </c>
      <c r="P262" t="s">
        <v>49</v>
      </c>
      <c r="Q262" t="s">
        <v>50</v>
      </c>
      <c r="R262" t="s">
        <v>51</v>
      </c>
      <c r="S262" t="s">
        <v>52</v>
      </c>
      <c r="T262" t="b">
        <v>1</v>
      </c>
      <c r="U262" t="s">
        <v>53</v>
      </c>
      <c r="V262" t="s">
        <v>54</v>
      </c>
      <c r="W262">
        <v>4</v>
      </c>
      <c r="X262" t="b">
        <v>0</v>
      </c>
      <c r="Y262" t="s">
        <v>55</v>
      </c>
      <c r="Z262" t="s">
        <v>56</v>
      </c>
      <c r="AA262" t="s">
        <v>57</v>
      </c>
      <c r="AB262">
        <v>0</v>
      </c>
      <c r="AC262" t="s">
        <v>58</v>
      </c>
      <c r="AD262">
        <v>-1</v>
      </c>
      <c r="AE262" t="s">
        <v>73</v>
      </c>
      <c r="AF262">
        <v>0</v>
      </c>
      <c r="AG262" t="b">
        <v>0</v>
      </c>
      <c r="AH262">
        <v>-1</v>
      </c>
      <c r="AI262" t="s">
        <v>73</v>
      </c>
      <c r="AJ262">
        <v>0</v>
      </c>
      <c r="AK262" t="b">
        <v>0</v>
      </c>
      <c r="AM262" t="b">
        <v>0</v>
      </c>
      <c r="AN262">
        <v>0</v>
      </c>
      <c r="AO262" t="b">
        <v>0</v>
      </c>
      <c r="AQ262">
        <v>241878.802</v>
      </c>
      <c r="AR262">
        <v>241878.802</v>
      </c>
      <c r="AS262">
        <v>0</v>
      </c>
      <c r="AT262" t="b">
        <v>0</v>
      </c>
      <c r="AU262" t="b">
        <v>1</v>
      </c>
      <c r="BA262" t="str">
        <f t="shared" si="8"/>
        <v>Normal</v>
      </c>
      <c r="BG262" t="str">
        <f t="shared" si="9"/>
        <v>Normal</v>
      </c>
    </row>
    <row r="263" spans="1:59" x14ac:dyDescent="0.2">
      <c r="A263" t="s">
        <v>42</v>
      </c>
      <c r="B263" t="s">
        <v>43</v>
      </c>
      <c r="C263">
        <v>20210101</v>
      </c>
      <c r="D263">
        <v>2021</v>
      </c>
      <c r="E263">
        <v>52</v>
      </c>
      <c r="F263" t="s">
        <v>287</v>
      </c>
      <c r="G263">
        <v>528</v>
      </c>
      <c r="H263" t="s">
        <v>191</v>
      </c>
      <c r="I263" t="s">
        <v>192</v>
      </c>
      <c r="J263" t="s">
        <v>47</v>
      </c>
      <c r="K263" t="s">
        <v>48</v>
      </c>
      <c r="L263">
        <v>0</v>
      </c>
      <c r="M263" t="s">
        <v>49</v>
      </c>
      <c r="N263" t="s">
        <v>50</v>
      </c>
      <c r="O263">
        <v>0</v>
      </c>
      <c r="P263" t="s">
        <v>49</v>
      </c>
      <c r="Q263" t="s">
        <v>50</v>
      </c>
      <c r="R263" t="s">
        <v>51</v>
      </c>
      <c r="S263" t="s">
        <v>52</v>
      </c>
      <c r="T263" t="b">
        <v>1</v>
      </c>
      <c r="U263" t="s">
        <v>53</v>
      </c>
      <c r="V263" t="s">
        <v>54</v>
      </c>
      <c r="W263">
        <v>4</v>
      </c>
      <c r="X263" t="b">
        <v>0</v>
      </c>
      <c r="Y263" t="s">
        <v>55</v>
      </c>
      <c r="Z263" t="s">
        <v>56</v>
      </c>
      <c r="AA263" t="s">
        <v>57</v>
      </c>
      <c r="AB263">
        <v>0</v>
      </c>
      <c r="AC263" t="s">
        <v>58</v>
      </c>
      <c r="AD263">
        <v>8</v>
      </c>
      <c r="AE263" t="s">
        <v>59</v>
      </c>
      <c r="AF263">
        <v>379109264</v>
      </c>
      <c r="AG263" t="b">
        <v>0</v>
      </c>
      <c r="AH263">
        <v>8</v>
      </c>
      <c r="AI263" t="s">
        <v>59</v>
      </c>
      <c r="AJ263">
        <v>379109264</v>
      </c>
      <c r="AK263" t="b">
        <v>0</v>
      </c>
      <c r="AL263">
        <v>379109264</v>
      </c>
      <c r="AM263" t="b">
        <v>0</v>
      </c>
      <c r="AN263">
        <v>0</v>
      </c>
      <c r="AO263" t="b">
        <v>0</v>
      </c>
      <c r="AP263">
        <v>0</v>
      </c>
      <c r="AQ263">
        <v>189906152.632</v>
      </c>
      <c r="AR263">
        <v>189906152.632</v>
      </c>
      <c r="AS263">
        <v>0</v>
      </c>
      <c r="AT263" t="b">
        <v>0</v>
      </c>
      <c r="AU263" t="b">
        <v>1</v>
      </c>
      <c r="BA263" t="str">
        <f t="shared" si="8"/>
        <v>Normal</v>
      </c>
      <c r="BG263" t="str">
        <f t="shared" si="9"/>
        <v>Normal</v>
      </c>
    </row>
    <row r="264" spans="1:59" x14ac:dyDescent="0.2">
      <c r="A264" t="s">
        <v>42</v>
      </c>
      <c r="B264" t="s">
        <v>43</v>
      </c>
      <c r="C264">
        <v>20210101</v>
      </c>
      <c r="D264">
        <v>2021</v>
      </c>
      <c r="E264">
        <v>52</v>
      </c>
      <c r="F264" t="s">
        <v>287</v>
      </c>
      <c r="G264">
        <v>533</v>
      </c>
      <c r="H264" t="s">
        <v>193</v>
      </c>
      <c r="I264" t="s">
        <v>194</v>
      </c>
      <c r="J264" t="s">
        <v>47</v>
      </c>
      <c r="K264" t="s">
        <v>48</v>
      </c>
      <c r="L264">
        <v>0</v>
      </c>
      <c r="M264" t="s">
        <v>49</v>
      </c>
      <c r="N264" t="s">
        <v>50</v>
      </c>
      <c r="O264">
        <v>0</v>
      </c>
      <c r="P264" t="s">
        <v>49</v>
      </c>
      <c r="Q264" t="s">
        <v>50</v>
      </c>
      <c r="R264" t="s">
        <v>104</v>
      </c>
      <c r="S264" t="s">
        <v>52</v>
      </c>
      <c r="T264" t="b">
        <v>1</v>
      </c>
      <c r="U264" t="s">
        <v>53</v>
      </c>
      <c r="V264" t="s">
        <v>54</v>
      </c>
      <c r="W264">
        <v>4</v>
      </c>
      <c r="X264" t="b">
        <v>0</v>
      </c>
      <c r="Y264" t="s">
        <v>55</v>
      </c>
      <c r="Z264" t="s">
        <v>56</v>
      </c>
      <c r="AA264" t="s">
        <v>57</v>
      </c>
      <c r="AB264">
        <v>0</v>
      </c>
      <c r="AC264" t="s">
        <v>58</v>
      </c>
      <c r="AD264">
        <v>8</v>
      </c>
      <c r="AE264" t="s">
        <v>59</v>
      </c>
      <c r="AF264">
        <v>71</v>
      </c>
      <c r="AG264" t="b">
        <v>0</v>
      </c>
      <c r="AH264">
        <v>8</v>
      </c>
      <c r="AI264" t="s">
        <v>59</v>
      </c>
      <c r="AJ264">
        <v>71</v>
      </c>
      <c r="AK264" t="b">
        <v>0</v>
      </c>
      <c r="AL264">
        <v>71</v>
      </c>
      <c r="AM264" t="b">
        <v>0</v>
      </c>
      <c r="AN264">
        <v>0</v>
      </c>
      <c r="AO264" t="b">
        <v>0</v>
      </c>
      <c r="AP264">
        <v>0</v>
      </c>
      <c r="AQ264">
        <v>48.603000000000002</v>
      </c>
      <c r="AR264">
        <v>48.603000000000002</v>
      </c>
      <c r="AS264">
        <v>0</v>
      </c>
      <c r="AT264" t="b">
        <v>0</v>
      </c>
      <c r="AU264" t="b">
        <v>1</v>
      </c>
      <c r="BA264" t="str">
        <f t="shared" si="8"/>
        <v>Normal</v>
      </c>
      <c r="BG264" t="str">
        <f t="shared" si="9"/>
        <v>Normal</v>
      </c>
    </row>
    <row r="265" spans="1:59" x14ac:dyDescent="0.2">
      <c r="A265" t="s">
        <v>42</v>
      </c>
      <c r="B265" t="s">
        <v>43</v>
      </c>
      <c r="C265">
        <v>20210101</v>
      </c>
      <c r="D265">
        <v>2021</v>
      </c>
      <c r="E265">
        <v>52</v>
      </c>
      <c r="F265" t="s">
        <v>287</v>
      </c>
      <c r="G265">
        <v>554</v>
      </c>
      <c r="H265" t="s">
        <v>195</v>
      </c>
      <c r="I265" t="s">
        <v>196</v>
      </c>
      <c r="J265" t="s">
        <v>47</v>
      </c>
      <c r="K265" t="s">
        <v>48</v>
      </c>
      <c r="L265">
        <v>0</v>
      </c>
      <c r="M265" t="s">
        <v>49</v>
      </c>
      <c r="N265" t="s">
        <v>50</v>
      </c>
      <c r="O265">
        <v>0</v>
      </c>
      <c r="P265" t="s">
        <v>49</v>
      </c>
      <c r="Q265" t="s">
        <v>50</v>
      </c>
      <c r="R265" t="s">
        <v>51</v>
      </c>
      <c r="S265" t="s">
        <v>52</v>
      </c>
      <c r="T265" t="b">
        <v>1</v>
      </c>
      <c r="U265" t="s">
        <v>53</v>
      </c>
      <c r="V265" t="s">
        <v>54</v>
      </c>
      <c r="W265">
        <v>4</v>
      </c>
      <c r="X265" t="b">
        <v>0</v>
      </c>
      <c r="Y265" t="s">
        <v>55</v>
      </c>
      <c r="Z265" t="s">
        <v>56</v>
      </c>
      <c r="AA265" t="s">
        <v>57</v>
      </c>
      <c r="AB265">
        <v>0</v>
      </c>
      <c r="AC265" t="s">
        <v>58</v>
      </c>
      <c r="AD265">
        <v>8</v>
      </c>
      <c r="AE265" t="s">
        <v>59</v>
      </c>
      <c r="AF265">
        <v>655035000</v>
      </c>
      <c r="AG265" t="b">
        <v>0</v>
      </c>
      <c r="AH265">
        <v>21</v>
      </c>
      <c r="AI265" t="s">
        <v>170</v>
      </c>
      <c r="AJ265">
        <v>655035</v>
      </c>
      <c r="AK265" t="b">
        <v>0</v>
      </c>
      <c r="AL265">
        <v>655035000</v>
      </c>
      <c r="AM265" t="b">
        <v>0</v>
      </c>
      <c r="AN265">
        <v>666310600</v>
      </c>
      <c r="AO265" t="b">
        <v>0</v>
      </c>
      <c r="AQ265">
        <v>326152420.523</v>
      </c>
      <c r="AR265">
        <v>326152420.523</v>
      </c>
      <c r="AS265">
        <v>0</v>
      </c>
      <c r="AT265" t="b">
        <v>0</v>
      </c>
      <c r="AU265" t="b">
        <v>1</v>
      </c>
      <c r="BA265" t="str">
        <f t="shared" si="8"/>
        <v>Normal</v>
      </c>
      <c r="BG265" t="str">
        <f t="shared" si="9"/>
        <v>Normal</v>
      </c>
    </row>
    <row r="266" spans="1:59" x14ac:dyDescent="0.2">
      <c r="A266" t="s">
        <v>42</v>
      </c>
      <c r="B266" t="s">
        <v>43</v>
      </c>
      <c r="C266">
        <v>20210101</v>
      </c>
      <c r="D266">
        <v>2021</v>
      </c>
      <c r="E266">
        <v>52</v>
      </c>
      <c r="F266" t="s">
        <v>287</v>
      </c>
      <c r="G266">
        <v>566</v>
      </c>
      <c r="H266" t="s">
        <v>197</v>
      </c>
      <c r="I266" t="s">
        <v>198</v>
      </c>
      <c r="J266" t="s">
        <v>47</v>
      </c>
      <c r="K266" t="s">
        <v>48</v>
      </c>
      <c r="L266">
        <v>0</v>
      </c>
      <c r="M266" t="s">
        <v>49</v>
      </c>
      <c r="N266" t="s">
        <v>50</v>
      </c>
      <c r="O266">
        <v>0</v>
      </c>
      <c r="P266" t="s">
        <v>49</v>
      </c>
      <c r="Q266" t="s">
        <v>50</v>
      </c>
      <c r="R266" t="s">
        <v>104</v>
      </c>
      <c r="S266" t="s">
        <v>52</v>
      </c>
      <c r="T266" t="b">
        <v>1</v>
      </c>
      <c r="U266" t="s">
        <v>53</v>
      </c>
      <c r="V266" t="s">
        <v>54</v>
      </c>
      <c r="W266">
        <v>4</v>
      </c>
      <c r="X266" t="b">
        <v>0</v>
      </c>
      <c r="Y266" t="s">
        <v>55</v>
      </c>
      <c r="Z266" t="s">
        <v>56</v>
      </c>
      <c r="AA266" t="s">
        <v>57</v>
      </c>
      <c r="AB266">
        <v>0</v>
      </c>
      <c r="AC266" t="s">
        <v>58</v>
      </c>
      <c r="AD266">
        <v>-1</v>
      </c>
      <c r="AE266" t="s">
        <v>73</v>
      </c>
      <c r="AF266">
        <v>0</v>
      </c>
      <c r="AG266" t="b">
        <v>0</v>
      </c>
      <c r="AH266">
        <v>-1</v>
      </c>
      <c r="AI266" t="s">
        <v>73</v>
      </c>
      <c r="AJ266">
        <v>0</v>
      </c>
      <c r="AK266" t="b">
        <v>0</v>
      </c>
      <c r="AL266">
        <v>0</v>
      </c>
      <c r="AM266" t="b">
        <v>0</v>
      </c>
      <c r="AN266">
        <v>0</v>
      </c>
      <c r="AO266" t="b">
        <v>0</v>
      </c>
      <c r="AP266">
        <v>0</v>
      </c>
      <c r="AQ266">
        <v>35998144403.307999</v>
      </c>
      <c r="AR266">
        <v>35998144403.307999</v>
      </c>
      <c r="AS266">
        <v>0</v>
      </c>
      <c r="AT266" t="b">
        <v>0</v>
      </c>
      <c r="AU266" t="b">
        <v>1</v>
      </c>
      <c r="BA266" t="str">
        <f t="shared" si="8"/>
        <v>Normal</v>
      </c>
      <c r="BG266" t="str">
        <f t="shared" si="9"/>
        <v>Normal</v>
      </c>
    </row>
    <row r="267" spans="1:59" x14ac:dyDescent="0.2">
      <c r="A267" t="s">
        <v>42</v>
      </c>
      <c r="B267" t="s">
        <v>43</v>
      </c>
      <c r="C267">
        <v>20210101</v>
      </c>
      <c r="D267">
        <v>2021</v>
      </c>
      <c r="E267">
        <v>52</v>
      </c>
      <c r="F267" t="s">
        <v>287</v>
      </c>
      <c r="G267">
        <v>579</v>
      </c>
      <c r="H267" t="s">
        <v>199</v>
      </c>
      <c r="I267" t="s">
        <v>200</v>
      </c>
      <c r="J267" t="s">
        <v>47</v>
      </c>
      <c r="K267" t="s">
        <v>48</v>
      </c>
      <c r="L267">
        <v>0</v>
      </c>
      <c r="M267" t="s">
        <v>49</v>
      </c>
      <c r="N267" t="s">
        <v>50</v>
      </c>
      <c r="O267">
        <v>0</v>
      </c>
      <c r="P267" t="s">
        <v>49</v>
      </c>
      <c r="Q267" t="s">
        <v>50</v>
      </c>
      <c r="R267" t="s">
        <v>51</v>
      </c>
      <c r="S267" t="s">
        <v>52</v>
      </c>
      <c r="T267" t="b">
        <v>1</v>
      </c>
      <c r="U267" t="s">
        <v>53</v>
      </c>
      <c r="V267" t="s">
        <v>54</v>
      </c>
      <c r="W267">
        <v>4</v>
      </c>
      <c r="X267" t="b">
        <v>0</v>
      </c>
      <c r="Y267" t="s">
        <v>55</v>
      </c>
      <c r="Z267" t="s">
        <v>56</v>
      </c>
      <c r="AA267" t="s">
        <v>57</v>
      </c>
      <c r="AB267">
        <v>0</v>
      </c>
      <c r="AC267" t="s">
        <v>58</v>
      </c>
      <c r="AD267">
        <v>8</v>
      </c>
      <c r="AE267" t="s">
        <v>59</v>
      </c>
      <c r="AF267">
        <v>79998015400</v>
      </c>
      <c r="AG267" t="b">
        <v>0</v>
      </c>
      <c r="AH267">
        <v>-1</v>
      </c>
      <c r="AI267" t="s">
        <v>73</v>
      </c>
      <c r="AJ267">
        <v>0</v>
      </c>
      <c r="AK267" t="b">
        <v>0</v>
      </c>
      <c r="AL267">
        <v>79998015400</v>
      </c>
      <c r="AM267" t="b">
        <v>0</v>
      </c>
      <c r="AN267">
        <v>0</v>
      </c>
      <c r="AO267" t="b">
        <v>0</v>
      </c>
      <c r="AQ267">
        <v>41896621057.973999</v>
      </c>
      <c r="AR267">
        <v>41896621057.973999</v>
      </c>
      <c r="AS267">
        <v>0</v>
      </c>
      <c r="AT267" t="b">
        <v>0</v>
      </c>
      <c r="AU267" t="b">
        <v>1</v>
      </c>
      <c r="BA267" t="str">
        <f t="shared" si="8"/>
        <v>Normal</v>
      </c>
      <c r="BG267" t="str">
        <f t="shared" si="9"/>
        <v>Normal</v>
      </c>
    </row>
    <row r="268" spans="1:59" x14ac:dyDescent="0.2">
      <c r="A268" t="s">
        <v>42</v>
      </c>
      <c r="B268" t="s">
        <v>43</v>
      </c>
      <c r="C268">
        <v>20210101</v>
      </c>
      <c r="D268">
        <v>2021</v>
      </c>
      <c r="E268">
        <v>52</v>
      </c>
      <c r="F268" t="s">
        <v>287</v>
      </c>
      <c r="G268">
        <v>586</v>
      </c>
      <c r="H268" t="s">
        <v>201</v>
      </c>
      <c r="I268" t="s">
        <v>202</v>
      </c>
      <c r="J268" t="s">
        <v>47</v>
      </c>
      <c r="K268" t="s">
        <v>48</v>
      </c>
      <c r="L268">
        <v>0</v>
      </c>
      <c r="M268" t="s">
        <v>49</v>
      </c>
      <c r="N268" t="s">
        <v>50</v>
      </c>
      <c r="O268">
        <v>0</v>
      </c>
      <c r="P268" t="s">
        <v>49</v>
      </c>
      <c r="Q268" t="s">
        <v>50</v>
      </c>
      <c r="R268" t="s">
        <v>51</v>
      </c>
      <c r="S268" t="s">
        <v>52</v>
      </c>
      <c r="T268" t="b">
        <v>1</v>
      </c>
      <c r="U268" t="s">
        <v>53</v>
      </c>
      <c r="V268" t="s">
        <v>54</v>
      </c>
      <c r="W268">
        <v>4</v>
      </c>
      <c r="X268" t="b">
        <v>0</v>
      </c>
      <c r="Y268" t="s">
        <v>55</v>
      </c>
      <c r="Z268" t="s">
        <v>56</v>
      </c>
      <c r="AA268" t="s">
        <v>57</v>
      </c>
      <c r="AB268">
        <v>0</v>
      </c>
      <c r="AC268" t="s">
        <v>58</v>
      </c>
      <c r="AD268">
        <v>8</v>
      </c>
      <c r="AE268" t="s">
        <v>59</v>
      </c>
      <c r="AF268">
        <v>336436000</v>
      </c>
      <c r="AG268" t="b">
        <v>0</v>
      </c>
      <c r="AH268">
        <v>21</v>
      </c>
      <c r="AI268" t="s">
        <v>170</v>
      </c>
      <c r="AJ268">
        <v>336436</v>
      </c>
      <c r="AK268" t="b">
        <v>0</v>
      </c>
      <c r="AL268">
        <v>336436000</v>
      </c>
      <c r="AM268" t="b">
        <v>0</v>
      </c>
      <c r="AN268">
        <v>0</v>
      </c>
      <c r="AO268" t="b">
        <v>0</v>
      </c>
      <c r="AP268">
        <v>0</v>
      </c>
      <c r="AQ268">
        <v>171430759.44800001</v>
      </c>
      <c r="AR268">
        <v>171430759.44800001</v>
      </c>
      <c r="AS268">
        <v>0</v>
      </c>
      <c r="AT268" t="b">
        <v>0</v>
      </c>
      <c r="AU268" t="b">
        <v>1</v>
      </c>
      <c r="BA268" t="str">
        <f t="shared" si="8"/>
        <v>Normal</v>
      </c>
      <c r="BG268" t="str">
        <f t="shared" si="9"/>
        <v>Normal</v>
      </c>
    </row>
    <row r="269" spans="1:59" x14ac:dyDescent="0.2">
      <c r="A269" t="s">
        <v>42</v>
      </c>
      <c r="B269" t="s">
        <v>43</v>
      </c>
      <c r="C269">
        <v>20210101</v>
      </c>
      <c r="D269">
        <v>2021</v>
      </c>
      <c r="E269">
        <v>52</v>
      </c>
      <c r="F269" t="s">
        <v>287</v>
      </c>
      <c r="G269">
        <v>598</v>
      </c>
      <c r="H269" t="s">
        <v>203</v>
      </c>
      <c r="I269" t="s">
        <v>204</v>
      </c>
      <c r="J269" t="s">
        <v>47</v>
      </c>
      <c r="K269" t="s">
        <v>48</v>
      </c>
      <c r="L269">
        <v>0</v>
      </c>
      <c r="M269" t="s">
        <v>49</v>
      </c>
      <c r="N269" t="s">
        <v>50</v>
      </c>
      <c r="O269">
        <v>0</v>
      </c>
      <c r="P269" t="s">
        <v>49</v>
      </c>
      <c r="Q269" t="s">
        <v>50</v>
      </c>
      <c r="R269" t="s">
        <v>51</v>
      </c>
      <c r="S269" t="s">
        <v>52</v>
      </c>
      <c r="T269" t="b">
        <v>1</v>
      </c>
      <c r="U269" t="s">
        <v>53</v>
      </c>
      <c r="V269" t="s">
        <v>54</v>
      </c>
      <c r="W269">
        <v>4</v>
      </c>
      <c r="X269" t="b">
        <v>0</v>
      </c>
      <c r="Y269" t="s">
        <v>55</v>
      </c>
      <c r="Z269" t="s">
        <v>56</v>
      </c>
      <c r="AA269" t="s">
        <v>57</v>
      </c>
      <c r="AB269">
        <v>0</v>
      </c>
      <c r="AC269" t="s">
        <v>58</v>
      </c>
      <c r="AD269">
        <v>8</v>
      </c>
      <c r="AE269" t="s">
        <v>59</v>
      </c>
      <c r="AF269">
        <v>60445530</v>
      </c>
      <c r="AG269" t="b">
        <v>0</v>
      </c>
      <c r="AH269">
        <v>7</v>
      </c>
      <c r="AI269" t="s">
        <v>67</v>
      </c>
      <c r="AJ269">
        <v>60445530</v>
      </c>
      <c r="AK269" t="b">
        <v>0</v>
      </c>
      <c r="AL269">
        <v>60445530</v>
      </c>
      <c r="AM269" t="b">
        <v>0</v>
      </c>
      <c r="AN269">
        <v>0</v>
      </c>
      <c r="AO269" t="b">
        <v>0</v>
      </c>
      <c r="AQ269">
        <v>799943803.64600003</v>
      </c>
      <c r="AR269">
        <v>799943803.64600003</v>
      </c>
      <c r="AS269">
        <v>0</v>
      </c>
      <c r="AT269" t="b">
        <v>0</v>
      </c>
      <c r="AU269" t="b">
        <v>1</v>
      </c>
      <c r="BA269" t="str">
        <f t="shared" si="8"/>
        <v>Normal</v>
      </c>
      <c r="BG269" t="str">
        <f t="shared" si="9"/>
        <v>Normal</v>
      </c>
    </row>
    <row r="270" spans="1:59" x14ac:dyDescent="0.2">
      <c r="A270" t="s">
        <v>42</v>
      </c>
      <c r="B270" t="s">
        <v>43</v>
      </c>
      <c r="C270">
        <v>20210101</v>
      </c>
      <c r="D270">
        <v>2021</v>
      </c>
      <c r="E270">
        <v>52</v>
      </c>
      <c r="F270" t="s">
        <v>287</v>
      </c>
      <c r="G270">
        <v>604</v>
      </c>
      <c r="H270" t="s">
        <v>205</v>
      </c>
      <c r="I270" t="s">
        <v>206</v>
      </c>
      <c r="J270" t="s">
        <v>47</v>
      </c>
      <c r="K270" t="s">
        <v>48</v>
      </c>
      <c r="L270">
        <v>0</v>
      </c>
      <c r="M270" t="s">
        <v>49</v>
      </c>
      <c r="N270" t="s">
        <v>50</v>
      </c>
      <c r="O270">
        <v>0</v>
      </c>
      <c r="P270" t="s">
        <v>49</v>
      </c>
      <c r="Q270" t="s">
        <v>50</v>
      </c>
      <c r="R270" t="s">
        <v>51</v>
      </c>
      <c r="S270" t="s">
        <v>52</v>
      </c>
      <c r="T270" t="b">
        <v>1</v>
      </c>
      <c r="U270" t="s">
        <v>53</v>
      </c>
      <c r="V270" t="s">
        <v>54</v>
      </c>
      <c r="W270">
        <v>4</v>
      </c>
      <c r="X270" t="b">
        <v>0</v>
      </c>
      <c r="Y270" t="s">
        <v>55</v>
      </c>
      <c r="Z270" t="s">
        <v>56</v>
      </c>
      <c r="AA270" t="s">
        <v>57</v>
      </c>
      <c r="AB270">
        <v>0</v>
      </c>
      <c r="AC270" t="s">
        <v>58</v>
      </c>
      <c r="AD270">
        <v>8</v>
      </c>
      <c r="AE270" t="s">
        <v>59</v>
      </c>
      <c r="AF270">
        <v>620806775</v>
      </c>
      <c r="AG270" t="b">
        <v>0</v>
      </c>
      <c r="AH270">
        <v>12</v>
      </c>
      <c r="AI270" t="s">
        <v>70</v>
      </c>
      <c r="AJ270">
        <v>683655.17</v>
      </c>
      <c r="AK270" t="b">
        <v>0</v>
      </c>
      <c r="AL270">
        <v>620806775</v>
      </c>
      <c r="AM270" t="b">
        <v>0</v>
      </c>
      <c r="AN270">
        <v>0</v>
      </c>
      <c r="AO270" t="b">
        <v>0</v>
      </c>
      <c r="AP270">
        <v>0</v>
      </c>
      <c r="AQ270">
        <v>289657421.82999998</v>
      </c>
      <c r="AR270">
        <v>289657421.82999998</v>
      </c>
      <c r="AS270">
        <v>0</v>
      </c>
      <c r="AT270" t="b">
        <v>0</v>
      </c>
      <c r="AU270" t="b">
        <v>1</v>
      </c>
      <c r="BA270" t="str">
        <f t="shared" si="8"/>
        <v>Normal</v>
      </c>
      <c r="BG270" t="str">
        <f t="shared" si="9"/>
        <v>Normal</v>
      </c>
    </row>
    <row r="271" spans="1:59" x14ac:dyDescent="0.2">
      <c r="A271" t="s">
        <v>42</v>
      </c>
      <c r="B271" t="s">
        <v>43</v>
      </c>
      <c r="C271">
        <v>20210101</v>
      </c>
      <c r="D271">
        <v>2021</v>
      </c>
      <c r="E271">
        <v>52</v>
      </c>
      <c r="F271" t="s">
        <v>287</v>
      </c>
      <c r="G271">
        <v>608</v>
      </c>
      <c r="H271" t="s">
        <v>207</v>
      </c>
      <c r="I271" t="s">
        <v>208</v>
      </c>
      <c r="J271" t="s">
        <v>47</v>
      </c>
      <c r="K271" t="s">
        <v>48</v>
      </c>
      <c r="L271">
        <v>0</v>
      </c>
      <c r="M271" t="s">
        <v>49</v>
      </c>
      <c r="N271" t="s">
        <v>50</v>
      </c>
      <c r="O271">
        <v>0</v>
      </c>
      <c r="P271" t="s">
        <v>49</v>
      </c>
      <c r="Q271" t="s">
        <v>50</v>
      </c>
      <c r="R271" t="s">
        <v>51</v>
      </c>
      <c r="S271" t="s">
        <v>52</v>
      </c>
      <c r="T271" t="b">
        <v>1</v>
      </c>
      <c r="U271" t="s">
        <v>53</v>
      </c>
      <c r="V271" t="s">
        <v>54</v>
      </c>
      <c r="W271">
        <v>4</v>
      </c>
      <c r="X271" t="b">
        <v>0</v>
      </c>
      <c r="Y271" t="s">
        <v>55</v>
      </c>
      <c r="Z271" t="s">
        <v>56</v>
      </c>
      <c r="AA271" t="s">
        <v>57</v>
      </c>
      <c r="AB271">
        <v>0</v>
      </c>
      <c r="AC271" t="s">
        <v>58</v>
      </c>
      <c r="AD271">
        <v>8</v>
      </c>
      <c r="AE271" t="s">
        <v>59</v>
      </c>
      <c r="AF271">
        <v>590268908.13</v>
      </c>
      <c r="AG271" t="b">
        <v>0</v>
      </c>
      <c r="AH271">
        <v>19</v>
      </c>
      <c r="AI271" t="s">
        <v>60</v>
      </c>
      <c r="AJ271">
        <v>3712383.07</v>
      </c>
      <c r="AK271" t="b">
        <v>0</v>
      </c>
      <c r="AM271" t="b">
        <v>0</v>
      </c>
      <c r="AN271">
        <v>447611450</v>
      </c>
      <c r="AO271" t="b">
        <v>0</v>
      </c>
      <c r="AQ271">
        <v>216318265</v>
      </c>
      <c r="AR271">
        <v>216318265</v>
      </c>
      <c r="AS271">
        <v>0</v>
      </c>
      <c r="AT271" t="b">
        <v>0</v>
      </c>
      <c r="AU271" t="b">
        <v>1</v>
      </c>
      <c r="BA271" t="str">
        <f t="shared" si="8"/>
        <v>Normal</v>
      </c>
      <c r="BG271" t="str">
        <f t="shared" si="9"/>
        <v>Normal</v>
      </c>
    </row>
    <row r="272" spans="1:59" x14ac:dyDescent="0.2">
      <c r="A272" t="s">
        <v>42</v>
      </c>
      <c r="B272" t="s">
        <v>43</v>
      </c>
      <c r="C272">
        <v>20210101</v>
      </c>
      <c r="D272">
        <v>2021</v>
      </c>
      <c r="E272">
        <v>52</v>
      </c>
      <c r="F272" t="s">
        <v>287</v>
      </c>
      <c r="G272">
        <v>616</v>
      </c>
      <c r="H272" t="s">
        <v>209</v>
      </c>
      <c r="I272" t="s">
        <v>210</v>
      </c>
      <c r="J272" t="s">
        <v>47</v>
      </c>
      <c r="K272" t="s">
        <v>48</v>
      </c>
      <c r="L272">
        <v>0</v>
      </c>
      <c r="M272" t="s">
        <v>49</v>
      </c>
      <c r="N272" t="s">
        <v>50</v>
      </c>
      <c r="O272">
        <v>0</v>
      </c>
      <c r="P272" t="s">
        <v>49</v>
      </c>
      <c r="Q272" t="s">
        <v>50</v>
      </c>
      <c r="R272" t="s">
        <v>51</v>
      </c>
      <c r="S272" t="s">
        <v>52</v>
      </c>
      <c r="T272" t="b">
        <v>1</v>
      </c>
      <c r="U272" t="s">
        <v>53</v>
      </c>
      <c r="V272" t="s">
        <v>54</v>
      </c>
      <c r="W272">
        <v>4</v>
      </c>
      <c r="X272" t="b">
        <v>0</v>
      </c>
      <c r="Y272" t="s">
        <v>55</v>
      </c>
      <c r="Z272" t="s">
        <v>56</v>
      </c>
      <c r="AA272" t="s">
        <v>57</v>
      </c>
      <c r="AB272">
        <v>0</v>
      </c>
      <c r="AC272" t="s">
        <v>58</v>
      </c>
      <c r="AD272">
        <v>8</v>
      </c>
      <c r="AE272" t="s">
        <v>59</v>
      </c>
      <c r="AF272">
        <v>180643397.10499999</v>
      </c>
      <c r="AG272" t="b">
        <v>1</v>
      </c>
      <c r="AH272">
        <v>-1</v>
      </c>
      <c r="AI272" t="s">
        <v>73</v>
      </c>
      <c r="AJ272">
        <v>0</v>
      </c>
      <c r="AK272" t="b">
        <v>0</v>
      </c>
      <c r="AL272">
        <v>180643397.10499999</v>
      </c>
      <c r="AM272" t="b">
        <v>1</v>
      </c>
      <c r="AN272">
        <v>0</v>
      </c>
      <c r="AO272" t="b">
        <v>0</v>
      </c>
      <c r="AP272">
        <v>0</v>
      </c>
      <c r="AQ272">
        <v>94205665</v>
      </c>
      <c r="AR272">
        <v>94205665</v>
      </c>
      <c r="AS272">
        <v>6</v>
      </c>
      <c r="AT272" t="b">
        <v>0</v>
      </c>
      <c r="AU272" t="b">
        <v>1</v>
      </c>
      <c r="BA272" t="str">
        <f t="shared" si="8"/>
        <v>Normal</v>
      </c>
      <c r="BG272" t="str">
        <f t="shared" si="9"/>
        <v>Normal</v>
      </c>
    </row>
    <row r="273" spans="1:59" x14ac:dyDescent="0.2">
      <c r="A273" t="s">
        <v>42</v>
      </c>
      <c r="B273" t="s">
        <v>43</v>
      </c>
      <c r="C273">
        <v>20210101</v>
      </c>
      <c r="D273">
        <v>2021</v>
      </c>
      <c r="E273">
        <v>52</v>
      </c>
      <c r="F273" t="s">
        <v>287</v>
      </c>
      <c r="G273">
        <v>626</v>
      </c>
      <c r="H273" t="s">
        <v>213</v>
      </c>
      <c r="I273" t="s">
        <v>214</v>
      </c>
      <c r="J273" t="s">
        <v>47</v>
      </c>
      <c r="K273" t="s">
        <v>48</v>
      </c>
      <c r="L273">
        <v>0</v>
      </c>
      <c r="M273" t="s">
        <v>49</v>
      </c>
      <c r="N273" t="s">
        <v>50</v>
      </c>
      <c r="O273">
        <v>0</v>
      </c>
      <c r="P273" t="s">
        <v>49</v>
      </c>
      <c r="Q273" t="s">
        <v>50</v>
      </c>
      <c r="R273" t="s">
        <v>51</v>
      </c>
      <c r="S273" t="s">
        <v>52</v>
      </c>
      <c r="T273" t="b">
        <v>1</v>
      </c>
      <c r="U273" t="s">
        <v>53</v>
      </c>
      <c r="V273" t="s">
        <v>54</v>
      </c>
      <c r="W273">
        <v>4</v>
      </c>
      <c r="X273" t="b">
        <v>0</v>
      </c>
      <c r="Y273" t="s">
        <v>55</v>
      </c>
      <c r="Z273" t="s">
        <v>56</v>
      </c>
      <c r="AA273" t="s">
        <v>57</v>
      </c>
      <c r="AB273">
        <v>0</v>
      </c>
      <c r="AC273" t="s">
        <v>58</v>
      </c>
      <c r="AD273">
        <v>8</v>
      </c>
      <c r="AE273" t="s">
        <v>59</v>
      </c>
      <c r="AF273">
        <v>494719577.11400002</v>
      </c>
      <c r="AG273" t="b">
        <v>1</v>
      </c>
      <c r="AH273">
        <v>-1</v>
      </c>
      <c r="AI273" t="s">
        <v>73</v>
      </c>
      <c r="AJ273">
        <v>0</v>
      </c>
      <c r="AK273" t="b">
        <v>0</v>
      </c>
      <c r="AL273">
        <v>494719577.11400002</v>
      </c>
      <c r="AM273" t="b">
        <v>1</v>
      </c>
      <c r="AN273">
        <v>0</v>
      </c>
      <c r="AO273" t="b">
        <v>0</v>
      </c>
      <c r="AQ273">
        <v>307925437.69</v>
      </c>
      <c r="AR273">
        <v>307925437.69</v>
      </c>
      <c r="AS273">
        <v>6</v>
      </c>
      <c r="AT273" t="b">
        <v>0</v>
      </c>
      <c r="AU273" t="b">
        <v>1</v>
      </c>
      <c r="BA273" t="str">
        <f t="shared" si="8"/>
        <v>Normal</v>
      </c>
      <c r="BG273" t="str">
        <f t="shared" si="9"/>
        <v>Normal</v>
      </c>
    </row>
    <row r="274" spans="1:59" x14ac:dyDescent="0.2">
      <c r="A274" t="s">
        <v>42</v>
      </c>
      <c r="B274" t="s">
        <v>43</v>
      </c>
      <c r="C274">
        <v>20210101</v>
      </c>
      <c r="D274">
        <v>2021</v>
      </c>
      <c r="E274">
        <v>52</v>
      </c>
      <c r="F274" t="s">
        <v>287</v>
      </c>
      <c r="G274">
        <v>634</v>
      </c>
      <c r="H274" t="s">
        <v>216</v>
      </c>
      <c r="I274" t="s">
        <v>217</v>
      </c>
      <c r="J274" t="s">
        <v>47</v>
      </c>
      <c r="K274" t="s">
        <v>48</v>
      </c>
      <c r="L274">
        <v>0</v>
      </c>
      <c r="M274" t="s">
        <v>49</v>
      </c>
      <c r="N274" t="s">
        <v>50</v>
      </c>
      <c r="O274">
        <v>0</v>
      </c>
      <c r="P274" t="s">
        <v>49</v>
      </c>
      <c r="Q274" t="s">
        <v>50</v>
      </c>
      <c r="R274" t="s">
        <v>51</v>
      </c>
      <c r="S274" t="s">
        <v>52</v>
      </c>
      <c r="T274" t="b">
        <v>1</v>
      </c>
      <c r="U274" t="s">
        <v>53</v>
      </c>
      <c r="V274" t="s">
        <v>54</v>
      </c>
      <c r="W274">
        <v>4</v>
      </c>
      <c r="X274" t="b">
        <v>0</v>
      </c>
      <c r="Y274" t="s">
        <v>55</v>
      </c>
      <c r="Z274" t="s">
        <v>56</v>
      </c>
      <c r="AA274" t="s">
        <v>57</v>
      </c>
      <c r="AB274">
        <v>0</v>
      </c>
      <c r="AC274" t="s">
        <v>58</v>
      </c>
      <c r="AD274">
        <v>-1</v>
      </c>
      <c r="AE274" t="s">
        <v>73</v>
      </c>
      <c r="AF274">
        <v>0</v>
      </c>
      <c r="AG274" t="b">
        <v>0</v>
      </c>
      <c r="AH274">
        <v>-1</v>
      </c>
      <c r="AI274" t="s">
        <v>73</v>
      </c>
      <c r="AJ274">
        <v>0</v>
      </c>
      <c r="AK274" t="b">
        <v>0</v>
      </c>
      <c r="AL274">
        <v>0</v>
      </c>
      <c r="AM274" t="b">
        <v>0</v>
      </c>
      <c r="AN274">
        <v>0</v>
      </c>
      <c r="AO274" t="b">
        <v>0</v>
      </c>
      <c r="AP274">
        <v>0</v>
      </c>
      <c r="AQ274">
        <v>12357415706.683001</v>
      </c>
      <c r="AR274">
        <v>12357415706.683001</v>
      </c>
      <c r="AS274">
        <v>0</v>
      </c>
      <c r="AT274" t="b">
        <v>0</v>
      </c>
      <c r="AU274" t="b">
        <v>1</v>
      </c>
      <c r="BA274" t="str">
        <f t="shared" si="8"/>
        <v>Normal</v>
      </c>
      <c r="BG274" t="str">
        <f t="shared" si="9"/>
        <v>Normal</v>
      </c>
    </row>
    <row r="275" spans="1:59" x14ac:dyDescent="0.2">
      <c r="A275" t="s">
        <v>42</v>
      </c>
      <c r="B275" t="s">
        <v>43</v>
      </c>
      <c r="C275">
        <v>20210101</v>
      </c>
      <c r="D275">
        <v>2021</v>
      </c>
      <c r="E275">
        <v>52</v>
      </c>
      <c r="F275" t="s">
        <v>287</v>
      </c>
      <c r="G275">
        <v>642</v>
      </c>
      <c r="H275" t="s">
        <v>218</v>
      </c>
      <c r="I275" t="s">
        <v>219</v>
      </c>
      <c r="J275" t="s">
        <v>47</v>
      </c>
      <c r="K275" t="s">
        <v>48</v>
      </c>
      <c r="L275">
        <v>0</v>
      </c>
      <c r="M275" t="s">
        <v>49</v>
      </c>
      <c r="N275" t="s">
        <v>50</v>
      </c>
      <c r="O275">
        <v>0</v>
      </c>
      <c r="P275" t="s">
        <v>49</v>
      </c>
      <c r="Q275" t="s">
        <v>50</v>
      </c>
      <c r="R275" t="s">
        <v>51</v>
      </c>
      <c r="S275" t="s">
        <v>52</v>
      </c>
      <c r="T275" t="b">
        <v>1</v>
      </c>
      <c r="U275" t="s">
        <v>53</v>
      </c>
      <c r="V275" t="s">
        <v>54</v>
      </c>
      <c r="W275">
        <v>4</v>
      </c>
      <c r="X275" t="b">
        <v>0</v>
      </c>
      <c r="Y275" t="s">
        <v>55</v>
      </c>
      <c r="Z275" t="s">
        <v>56</v>
      </c>
      <c r="AA275" t="s">
        <v>57</v>
      </c>
      <c r="AB275">
        <v>0</v>
      </c>
      <c r="AC275" t="s">
        <v>58</v>
      </c>
      <c r="AD275">
        <v>8</v>
      </c>
      <c r="AE275" t="s">
        <v>59</v>
      </c>
      <c r="AF275">
        <v>34550346.870999999</v>
      </c>
      <c r="AG275" t="b">
        <v>1</v>
      </c>
      <c r="AH275">
        <v>-1</v>
      </c>
      <c r="AI275" t="s">
        <v>73</v>
      </c>
      <c r="AJ275">
        <v>0</v>
      </c>
      <c r="AK275" t="b">
        <v>0</v>
      </c>
      <c r="AL275">
        <v>34550346.870999999</v>
      </c>
      <c r="AM275" t="b">
        <v>1</v>
      </c>
      <c r="AN275">
        <v>0</v>
      </c>
      <c r="AO275" t="b">
        <v>0</v>
      </c>
      <c r="AP275">
        <v>0</v>
      </c>
      <c r="AQ275">
        <v>19150981.719999999</v>
      </c>
      <c r="AR275">
        <v>19150981.719999999</v>
      </c>
      <c r="AS275">
        <v>6</v>
      </c>
      <c r="AT275" t="b">
        <v>0</v>
      </c>
      <c r="AU275" t="b">
        <v>1</v>
      </c>
      <c r="BA275" t="str">
        <f t="shared" si="8"/>
        <v>Normal</v>
      </c>
      <c r="BG275" t="str">
        <f t="shared" si="9"/>
        <v>Normal</v>
      </c>
    </row>
    <row r="276" spans="1:59" x14ac:dyDescent="0.2">
      <c r="A276" t="s">
        <v>42</v>
      </c>
      <c r="B276" t="s">
        <v>43</v>
      </c>
      <c r="C276">
        <v>20210101</v>
      </c>
      <c r="D276">
        <v>2021</v>
      </c>
      <c r="E276">
        <v>52</v>
      </c>
      <c r="F276" t="s">
        <v>287</v>
      </c>
      <c r="G276">
        <v>643</v>
      </c>
      <c r="H276" t="s">
        <v>220</v>
      </c>
      <c r="I276" t="s">
        <v>221</v>
      </c>
      <c r="J276" t="s">
        <v>47</v>
      </c>
      <c r="K276" t="s">
        <v>48</v>
      </c>
      <c r="L276">
        <v>0</v>
      </c>
      <c r="M276" t="s">
        <v>49</v>
      </c>
      <c r="N276" t="s">
        <v>50</v>
      </c>
      <c r="O276">
        <v>0</v>
      </c>
      <c r="P276" t="s">
        <v>49</v>
      </c>
      <c r="Q276" t="s">
        <v>50</v>
      </c>
      <c r="R276" t="s">
        <v>51</v>
      </c>
      <c r="S276" t="s">
        <v>52</v>
      </c>
      <c r="T276" t="b">
        <v>1</v>
      </c>
      <c r="U276" t="s">
        <v>53</v>
      </c>
      <c r="V276" t="s">
        <v>54</v>
      </c>
      <c r="W276">
        <v>4</v>
      </c>
      <c r="X276" t="b">
        <v>0</v>
      </c>
      <c r="Y276" t="s">
        <v>55</v>
      </c>
      <c r="Z276" t="s">
        <v>56</v>
      </c>
      <c r="AA276" t="s">
        <v>57</v>
      </c>
      <c r="AB276">
        <v>0</v>
      </c>
      <c r="AC276" t="s">
        <v>58</v>
      </c>
      <c r="AD276">
        <v>8</v>
      </c>
      <c r="AE276" t="s">
        <v>59</v>
      </c>
      <c r="AF276">
        <v>231585166022.98999</v>
      </c>
      <c r="AG276" t="b">
        <v>0</v>
      </c>
      <c r="AH276">
        <v>8</v>
      </c>
      <c r="AI276" t="s">
        <v>59</v>
      </c>
      <c r="AJ276">
        <v>231585166022.98999</v>
      </c>
      <c r="AK276" t="b">
        <v>0</v>
      </c>
      <c r="AL276">
        <v>231585166022.98999</v>
      </c>
      <c r="AM276" t="b">
        <v>0</v>
      </c>
      <c r="AN276">
        <v>0</v>
      </c>
      <c r="AO276" t="b">
        <v>0</v>
      </c>
      <c r="AP276">
        <v>0</v>
      </c>
      <c r="AQ276">
        <v>110968246741.89999</v>
      </c>
      <c r="AR276">
        <v>110968246741.89999</v>
      </c>
      <c r="AS276">
        <v>0</v>
      </c>
      <c r="AT276" t="b">
        <v>0</v>
      </c>
      <c r="AU276" t="b">
        <v>1</v>
      </c>
      <c r="BA276" t="str">
        <f t="shared" si="8"/>
        <v>Normal</v>
      </c>
      <c r="BG276" t="str">
        <f t="shared" si="9"/>
        <v>Normal</v>
      </c>
    </row>
    <row r="277" spans="1:59" x14ac:dyDescent="0.2">
      <c r="A277" t="s">
        <v>42</v>
      </c>
      <c r="B277" t="s">
        <v>43</v>
      </c>
      <c r="C277">
        <v>20210101</v>
      </c>
      <c r="D277">
        <v>2021</v>
      </c>
      <c r="E277">
        <v>52</v>
      </c>
      <c r="F277" t="s">
        <v>287</v>
      </c>
      <c r="G277">
        <v>646</v>
      </c>
      <c r="H277" t="s">
        <v>222</v>
      </c>
      <c r="I277" t="s">
        <v>223</v>
      </c>
      <c r="J277" t="s">
        <v>47</v>
      </c>
      <c r="K277" t="s">
        <v>48</v>
      </c>
      <c r="L277">
        <v>0</v>
      </c>
      <c r="M277" t="s">
        <v>49</v>
      </c>
      <c r="N277" t="s">
        <v>50</v>
      </c>
      <c r="O277">
        <v>0</v>
      </c>
      <c r="P277" t="s">
        <v>49</v>
      </c>
      <c r="Q277" t="s">
        <v>50</v>
      </c>
      <c r="R277" t="s">
        <v>104</v>
      </c>
      <c r="S277" t="s">
        <v>52</v>
      </c>
      <c r="T277" t="b">
        <v>1</v>
      </c>
      <c r="U277" t="s">
        <v>53</v>
      </c>
      <c r="V277" t="s">
        <v>54</v>
      </c>
      <c r="W277">
        <v>4</v>
      </c>
      <c r="X277" t="b">
        <v>0</v>
      </c>
      <c r="Y277" t="s">
        <v>55</v>
      </c>
      <c r="Z277" t="s">
        <v>56</v>
      </c>
      <c r="AA277" t="s">
        <v>57</v>
      </c>
      <c r="AB277">
        <v>0</v>
      </c>
      <c r="AC277" t="s">
        <v>58</v>
      </c>
      <c r="AD277">
        <v>8</v>
      </c>
      <c r="AE277" t="s">
        <v>59</v>
      </c>
      <c r="AF277">
        <v>5800</v>
      </c>
      <c r="AG277" t="b">
        <v>0</v>
      </c>
      <c r="AH277">
        <v>8</v>
      </c>
      <c r="AI277" t="s">
        <v>59</v>
      </c>
      <c r="AJ277">
        <v>5800</v>
      </c>
      <c r="AK277" t="b">
        <v>0</v>
      </c>
      <c r="AL277">
        <v>5800</v>
      </c>
      <c r="AM277" t="b">
        <v>0</v>
      </c>
      <c r="AN277">
        <v>0</v>
      </c>
      <c r="AO277" t="b">
        <v>0</v>
      </c>
      <c r="AQ277">
        <v>4451.68</v>
      </c>
      <c r="AR277">
        <v>4451.68</v>
      </c>
      <c r="AS277">
        <v>0</v>
      </c>
      <c r="AT277" t="b">
        <v>0</v>
      </c>
      <c r="AU277" t="b">
        <v>1</v>
      </c>
      <c r="BA277" t="str">
        <f t="shared" si="8"/>
        <v>Normal</v>
      </c>
      <c r="BG277" t="str">
        <f t="shared" si="9"/>
        <v>Normal</v>
      </c>
    </row>
    <row r="278" spans="1:59" x14ac:dyDescent="0.2">
      <c r="A278" t="s">
        <v>42</v>
      </c>
      <c r="B278" t="s">
        <v>43</v>
      </c>
      <c r="C278">
        <v>20210101</v>
      </c>
      <c r="D278">
        <v>2021</v>
      </c>
      <c r="E278">
        <v>52</v>
      </c>
      <c r="F278" t="s">
        <v>287</v>
      </c>
      <c r="G278">
        <v>682</v>
      </c>
      <c r="H278" t="s">
        <v>224</v>
      </c>
      <c r="I278" t="s">
        <v>225</v>
      </c>
      <c r="J278" t="s">
        <v>47</v>
      </c>
      <c r="K278" t="s">
        <v>48</v>
      </c>
      <c r="L278">
        <v>0</v>
      </c>
      <c r="M278" t="s">
        <v>49</v>
      </c>
      <c r="N278" t="s">
        <v>50</v>
      </c>
      <c r="O278">
        <v>0</v>
      </c>
      <c r="P278" t="s">
        <v>49</v>
      </c>
      <c r="Q278" t="s">
        <v>50</v>
      </c>
      <c r="R278" t="s">
        <v>51</v>
      </c>
      <c r="S278" t="s">
        <v>52</v>
      </c>
      <c r="T278" t="b">
        <v>1</v>
      </c>
      <c r="U278" t="s">
        <v>53</v>
      </c>
      <c r="V278" t="s">
        <v>54</v>
      </c>
      <c r="W278">
        <v>4</v>
      </c>
      <c r="X278" t="b">
        <v>0</v>
      </c>
      <c r="Y278" t="s">
        <v>55</v>
      </c>
      <c r="Z278" t="s">
        <v>56</v>
      </c>
      <c r="AA278" t="s">
        <v>57</v>
      </c>
      <c r="AB278">
        <v>0</v>
      </c>
      <c r="AC278" t="s">
        <v>58</v>
      </c>
      <c r="AD278">
        <v>8</v>
      </c>
      <c r="AE278" t="s">
        <v>59</v>
      </c>
      <c r="AF278">
        <v>309427500000</v>
      </c>
      <c r="AG278" t="b">
        <v>0</v>
      </c>
      <c r="AH278">
        <v>8</v>
      </c>
      <c r="AI278" t="s">
        <v>59</v>
      </c>
      <c r="AJ278">
        <v>309427500000</v>
      </c>
      <c r="AK278" t="b">
        <v>0</v>
      </c>
      <c r="AL278">
        <v>309427500000</v>
      </c>
      <c r="AM278" t="b">
        <v>0</v>
      </c>
      <c r="AN278">
        <v>0</v>
      </c>
      <c r="AO278" t="b">
        <v>0</v>
      </c>
      <c r="AQ278">
        <v>161020161386.229</v>
      </c>
      <c r="AR278">
        <v>161020161386.229</v>
      </c>
      <c r="AS278">
        <v>0</v>
      </c>
      <c r="AT278" t="b">
        <v>0</v>
      </c>
      <c r="AU278" t="b">
        <v>1</v>
      </c>
      <c r="BA278" t="str">
        <f t="shared" si="8"/>
        <v>Normal</v>
      </c>
      <c r="BG278" t="str">
        <f t="shared" si="9"/>
        <v>Normal</v>
      </c>
    </row>
    <row r="279" spans="1:59" x14ac:dyDescent="0.2">
      <c r="A279" t="s">
        <v>42</v>
      </c>
      <c r="B279" t="s">
        <v>43</v>
      </c>
      <c r="C279">
        <v>20210101</v>
      </c>
      <c r="D279">
        <v>2021</v>
      </c>
      <c r="E279">
        <v>52</v>
      </c>
      <c r="F279" t="s">
        <v>287</v>
      </c>
      <c r="G279">
        <v>686</v>
      </c>
      <c r="H279" t="s">
        <v>226</v>
      </c>
      <c r="I279" t="s">
        <v>227</v>
      </c>
      <c r="J279" t="s">
        <v>47</v>
      </c>
      <c r="K279" t="s">
        <v>48</v>
      </c>
      <c r="L279">
        <v>0</v>
      </c>
      <c r="M279" t="s">
        <v>49</v>
      </c>
      <c r="N279" t="s">
        <v>50</v>
      </c>
      <c r="O279">
        <v>0</v>
      </c>
      <c r="P279" t="s">
        <v>49</v>
      </c>
      <c r="Q279" t="s">
        <v>50</v>
      </c>
      <c r="R279" t="s">
        <v>51</v>
      </c>
      <c r="S279" t="s">
        <v>52</v>
      </c>
      <c r="T279" t="b">
        <v>1</v>
      </c>
      <c r="U279" t="s">
        <v>53</v>
      </c>
      <c r="V279" t="s">
        <v>54</v>
      </c>
      <c r="W279">
        <v>4</v>
      </c>
      <c r="X279" t="b">
        <v>0</v>
      </c>
      <c r="Y279" t="s">
        <v>55</v>
      </c>
      <c r="Z279" t="s">
        <v>56</v>
      </c>
      <c r="AA279" t="s">
        <v>57</v>
      </c>
      <c r="AB279">
        <v>0</v>
      </c>
      <c r="AC279" t="s">
        <v>58</v>
      </c>
      <c r="AD279">
        <v>8</v>
      </c>
      <c r="AE279" t="s">
        <v>59</v>
      </c>
      <c r="AF279">
        <v>73045241</v>
      </c>
      <c r="AG279" t="b">
        <v>0</v>
      </c>
      <c r="AH279">
        <v>8</v>
      </c>
      <c r="AI279" t="s">
        <v>59</v>
      </c>
      <c r="AJ279">
        <v>73045241</v>
      </c>
      <c r="AK279" t="b">
        <v>0</v>
      </c>
      <c r="AL279">
        <v>73045241</v>
      </c>
      <c r="AM279" t="b">
        <v>0</v>
      </c>
      <c r="AN279">
        <v>0</v>
      </c>
      <c r="AO279" t="b">
        <v>0</v>
      </c>
      <c r="AP279">
        <v>0</v>
      </c>
      <c r="AQ279">
        <v>19867416.454999998</v>
      </c>
      <c r="AR279">
        <v>19867416.454999998</v>
      </c>
      <c r="AS279">
        <v>0</v>
      </c>
      <c r="AT279" t="b">
        <v>0</v>
      </c>
      <c r="AU279" t="b">
        <v>1</v>
      </c>
      <c r="BA279" t="str">
        <f t="shared" si="8"/>
        <v>Normal</v>
      </c>
      <c r="BG279" t="str">
        <f t="shared" si="9"/>
        <v>Normal</v>
      </c>
    </row>
    <row r="280" spans="1:59" x14ac:dyDescent="0.2">
      <c r="A280" t="s">
        <v>42</v>
      </c>
      <c r="B280" t="s">
        <v>43</v>
      </c>
      <c r="C280">
        <v>20210101</v>
      </c>
      <c r="D280">
        <v>2021</v>
      </c>
      <c r="E280">
        <v>52</v>
      </c>
      <c r="F280" t="s">
        <v>287</v>
      </c>
      <c r="G280">
        <v>688</v>
      </c>
      <c r="H280" t="s">
        <v>228</v>
      </c>
      <c r="I280" t="s">
        <v>229</v>
      </c>
      <c r="J280" t="s">
        <v>47</v>
      </c>
      <c r="K280" t="s">
        <v>48</v>
      </c>
      <c r="L280">
        <v>0</v>
      </c>
      <c r="M280" t="s">
        <v>49</v>
      </c>
      <c r="N280" t="s">
        <v>50</v>
      </c>
      <c r="O280">
        <v>0</v>
      </c>
      <c r="P280" t="s">
        <v>49</v>
      </c>
      <c r="Q280" t="s">
        <v>50</v>
      </c>
      <c r="R280" t="s">
        <v>51</v>
      </c>
      <c r="S280" t="s">
        <v>52</v>
      </c>
      <c r="T280" t="b">
        <v>1</v>
      </c>
      <c r="U280" t="s">
        <v>53</v>
      </c>
      <c r="V280" t="s">
        <v>54</v>
      </c>
      <c r="W280">
        <v>4</v>
      </c>
      <c r="X280" t="b">
        <v>0</v>
      </c>
      <c r="Y280" t="s">
        <v>55</v>
      </c>
      <c r="Z280" t="s">
        <v>56</v>
      </c>
      <c r="AA280" t="s">
        <v>57</v>
      </c>
      <c r="AB280">
        <v>0</v>
      </c>
      <c r="AC280" t="s">
        <v>58</v>
      </c>
      <c r="AD280">
        <v>8</v>
      </c>
      <c r="AE280" t="s">
        <v>59</v>
      </c>
      <c r="AF280">
        <v>354976</v>
      </c>
      <c r="AG280" t="b">
        <v>0</v>
      </c>
      <c r="AH280">
        <v>8</v>
      </c>
      <c r="AI280" t="s">
        <v>59</v>
      </c>
      <c r="AJ280">
        <v>354976</v>
      </c>
      <c r="AK280" t="b">
        <v>0</v>
      </c>
      <c r="AL280">
        <v>354976</v>
      </c>
      <c r="AM280" t="b">
        <v>0</v>
      </c>
      <c r="AN280">
        <v>0</v>
      </c>
      <c r="AO280" t="b">
        <v>0</v>
      </c>
      <c r="AP280">
        <v>224850</v>
      </c>
      <c r="AQ280">
        <v>223508</v>
      </c>
      <c r="AR280">
        <v>223508</v>
      </c>
      <c r="AS280">
        <v>0</v>
      </c>
      <c r="AT280" t="b">
        <v>0</v>
      </c>
      <c r="AU280" t="b">
        <v>1</v>
      </c>
      <c r="BA280" t="str">
        <f t="shared" si="8"/>
        <v>Normal</v>
      </c>
      <c r="BG280" t="str">
        <f t="shared" si="9"/>
        <v>Normal</v>
      </c>
    </row>
    <row r="281" spans="1:59" x14ac:dyDescent="0.2">
      <c r="A281" t="s">
        <v>42</v>
      </c>
      <c r="B281" t="s">
        <v>43</v>
      </c>
      <c r="C281">
        <v>20210101</v>
      </c>
      <c r="D281">
        <v>2021</v>
      </c>
      <c r="E281">
        <v>52</v>
      </c>
      <c r="F281" t="s">
        <v>287</v>
      </c>
      <c r="G281">
        <v>702</v>
      </c>
      <c r="H281" t="s">
        <v>230</v>
      </c>
      <c r="I281" t="s">
        <v>231</v>
      </c>
      <c r="J281" t="s">
        <v>47</v>
      </c>
      <c r="K281" t="s">
        <v>48</v>
      </c>
      <c r="L281">
        <v>0</v>
      </c>
      <c r="M281" t="s">
        <v>49</v>
      </c>
      <c r="N281" t="s">
        <v>50</v>
      </c>
      <c r="O281">
        <v>0</v>
      </c>
      <c r="P281" t="s">
        <v>49</v>
      </c>
      <c r="Q281" t="s">
        <v>50</v>
      </c>
      <c r="R281" t="s">
        <v>51</v>
      </c>
      <c r="S281" t="s">
        <v>52</v>
      </c>
      <c r="T281" t="b">
        <v>1</v>
      </c>
      <c r="U281" t="s">
        <v>53</v>
      </c>
      <c r="V281" t="s">
        <v>54</v>
      </c>
      <c r="W281">
        <v>4</v>
      </c>
      <c r="X281" t="b">
        <v>0</v>
      </c>
      <c r="Y281" t="s">
        <v>55</v>
      </c>
      <c r="Z281" t="s">
        <v>56</v>
      </c>
      <c r="AA281" t="s">
        <v>57</v>
      </c>
      <c r="AB281">
        <v>0</v>
      </c>
      <c r="AC281" t="s">
        <v>58</v>
      </c>
      <c r="AD281">
        <v>-1</v>
      </c>
      <c r="AE281" t="s">
        <v>73</v>
      </c>
      <c r="AF281">
        <v>0</v>
      </c>
      <c r="AG281" t="b">
        <v>0</v>
      </c>
      <c r="AH281">
        <v>-1</v>
      </c>
      <c r="AI281" t="s">
        <v>73</v>
      </c>
      <c r="AJ281">
        <v>0</v>
      </c>
      <c r="AK281" t="b">
        <v>0</v>
      </c>
      <c r="AM281" t="b">
        <v>0</v>
      </c>
      <c r="AN281">
        <v>0</v>
      </c>
      <c r="AO281" t="b">
        <v>0</v>
      </c>
      <c r="AQ281">
        <v>169926880.741</v>
      </c>
      <c r="AR281">
        <v>169926880.741</v>
      </c>
      <c r="AS281">
        <v>0</v>
      </c>
      <c r="AT281" t="b">
        <v>0</v>
      </c>
      <c r="AU281" t="b">
        <v>1</v>
      </c>
      <c r="BA281" t="str">
        <f t="shared" si="8"/>
        <v>Normal</v>
      </c>
      <c r="BG281" t="str">
        <f t="shared" si="9"/>
        <v>Normal</v>
      </c>
    </row>
    <row r="282" spans="1:59" x14ac:dyDescent="0.2">
      <c r="A282" t="s">
        <v>42</v>
      </c>
      <c r="B282" t="s">
        <v>43</v>
      </c>
      <c r="C282">
        <v>20210101</v>
      </c>
      <c r="D282">
        <v>2021</v>
      </c>
      <c r="E282">
        <v>52</v>
      </c>
      <c r="F282" t="s">
        <v>287</v>
      </c>
      <c r="G282">
        <v>703</v>
      </c>
      <c r="H282" t="s">
        <v>232</v>
      </c>
      <c r="I282" t="s">
        <v>233</v>
      </c>
      <c r="J282" t="s">
        <v>47</v>
      </c>
      <c r="K282" t="s">
        <v>48</v>
      </c>
      <c r="L282">
        <v>0</v>
      </c>
      <c r="M282" t="s">
        <v>49</v>
      </c>
      <c r="N282" t="s">
        <v>50</v>
      </c>
      <c r="O282">
        <v>0</v>
      </c>
      <c r="P282" t="s">
        <v>49</v>
      </c>
      <c r="Q282" t="s">
        <v>50</v>
      </c>
      <c r="R282" t="s">
        <v>51</v>
      </c>
      <c r="S282" t="s">
        <v>52</v>
      </c>
      <c r="T282" t="b">
        <v>1</v>
      </c>
      <c r="U282" t="s">
        <v>53</v>
      </c>
      <c r="V282" t="s">
        <v>54</v>
      </c>
      <c r="W282">
        <v>4</v>
      </c>
      <c r="X282" t="b">
        <v>0</v>
      </c>
      <c r="Y282" t="s">
        <v>55</v>
      </c>
      <c r="Z282" t="s">
        <v>56</v>
      </c>
      <c r="AA282" t="s">
        <v>57</v>
      </c>
      <c r="AB282">
        <v>0</v>
      </c>
      <c r="AC282" t="s">
        <v>58</v>
      </c>
      <c r="AD282">
        <v>8</v>
      </c>
      <c r="AE282" t="s">
        <v>59</v>
      </c>
      <c r="AF282">
        <v>4767226</v>
      </c>
      <c r="AG282" t="b">
        <v>0</v>
      </c>
      <c r="AH282">
        <v>8</v>
      </c>
      <c r="AI282" t="s">
        <v>59</v>
      </c>
      <c r="AJ282">
        <v>4767226</v>
      </c>
      <c r="AK282" t="b">
        <v>0</v>
      </c>
      <c r="AL282">
        <v>4767226</v>
      </c>
      <c r="AM282" t="b">
        <v>0</v>
      </c>
      <c r="AN282">
        <v>0</v>
      </c>
      <c r="AO282" t="b">
        <v>0</v>
      </c>
      <c r="AQ282">
        <v>2447857.2999999998</v>
      </c>
      <c r="AR282">
        <v>2447857.2999999998</v>
      </c>
      <c r="AS282">
        <v>0</v>
      </c>
      <c r="AT282" t="b">
        <v>0</v>
      </c>
      <c r="AU282" t="b">
        <v>1</v>
      </c>
      <c r="BA282" t="str">
        <f t="shared" si="8"/>
        <v>Normal</v>
      </c>
      <c r="BG282" t="str">
        <f t="shared" si="9"/>
        <v>Normal</v>
      </c>
    </row>
    <row r="283" spans="1:59" x14ac:dyDescent="0.2">
      <c r="A283" t="s">
        <v>42</v>
      </c>
      <c r="B283" t="s">
        <v>43</v>
      </c>
      <c r="C283">
        <v>20210101</v>
      </c>
      <c r="D283">
        <v>2021</v>
      </c>
      <c r="E283">
        <v>52</v>
      </c>
      <c r="F283" t="s">
        <v>287</v>
      </c>
      <c r="G283">
        <v>704</v>
      </c>
      <c r="H283" t="s">
        <v>234</v>
      </c>
      <c r="I283" t="s">
        <v>235</v>
      </c>
      <c r="J283" t="s">
        <v>47</v>
      </c>
      <c r="K283" t="s">
        <v>48</v>
      </c>
      <c r="L283">
        <v>0</v>
      </c>
      <c r="M283" t="s">
        <v>49</v>
      </c>
      <c r="N283" t="s">
        <v>50</v>
      </c>
      <c r="O283">
        <v>0</v>
      </c>
      <c r="P283" t="s">
        <v>49</v>
      </c>
      <c r="Q283" t="s">
        <v>50</v>
      </c>
      <c r="R283" t="s">
        <v>51</v>
      </c>
      <c r="S283" t="s">
        <v>52</v>
      </c>
      <c r="T283" t="b">
        <v>1</v>
      </c>
      <c r="U283" t="s">
        <v>53</v>
      </c>
      <c r="V283" t="s">
        <v>54</v>
      </c>
      <c r="W283">
        <v>4</v>
      </c>
      <c r="X283" t="b">
        <v>0</v>
      </c>
      <c r="Y283" t="s">
        <v>55</v>
      </c>
      <c r="Z283" t="s">
        <v>56</v>
      </c>
      <c r="AA283" t="s">
        <v>57</v>
      </c>
      <c r="AB283">
        <v>0</v>
      </c>
      <c r="AC283" t="s">
        <v>58</v>
      </c>
      <c r="AD283">
        <v>8</v>
      </c>
      <c r="AE283" t="s">
        <v>59</v>
      </c>
      <c r="AF283">
        <v>2960538200</v>
      </c>
      <c r="AG283" t="b">
        <v>0</v>
      </c>
      <c r="AH283">
        <v>21</v>
      </c>
      <c r="AI283" t="s">
        <v>170</v>
      </c>
      <c r="AJ283">
        <v>2960538.2</v>
      </c>
      <c r="AK283" t="b">
        <v>0</v>
      </c>
      <c r="AL283">
        <v>2960538200</v>
      </c>
      <c r="AM283" t="b">
        <v>0</v>
      </c>
      <c r="AN283">
        <v>0</v>
      </c>
      <c r="AO283" t="b">
        <v>0</v>
      </c>
      <c r="AP283">
        <v>0</v>
      </c>
      <c r="AQ283">
        <v>1672281198.9200001</v>
      </c>
      <c r="AR283">
        <v>1672281198.9200001</v>
      </c>
      <c r="AS283">
        <v>0</v>
      </c>
      <c r="AT283" t="b">
        <v>0</v>
      </c>
      <c r="AU283" t="b">
        <v>1</v>
      </c>
      <c r="BA283" t="str">
        <f t="shared" si="8"/>
        <v>Normal</v>
      </c>
      <c r="BG283" t="str">
        <f t="shared" si="9"/>
        <v>Normal</v>
      </c>
    </row>
    <row r="284" spans="1:59" x14ac:dyDescent="0.2">
      <c r="A284" t="s">
        <v>42</v>
      </c>
      <c r="B284" t="s">
        <v>43</v>
      </c>
      <c r="C284">
        <v>20210101</v>
      </c>
      <c r="D284">
        <v>2021</v>
      </c>
      <c r="E284">
        <v>52</v>
      </c>
      <c r="F284" t="s">
        <v>287</v>
      </c>
      <c r="G284">
        <v>705</v>
      </c>
      <c r="H284" t="s">
        <v>236</v>
      </c>
      <c r="I284" t="s">
        <v>237</v>
      </c>
      <c r="J284" t="s">
        <v>47</v>
      </c>
      <c r="K284" t="s">
        <v>48</v>
      </c>
      <c r="L284">
        <v>0</v>
      </c>
      <c r="M284" t="s">
        <v>49</v>
      </c>
      <c r="N284" t="s">
        <v>50</v>
      </c>
      <c r="O284">
        <v>0</v>
      </c>
      <c r="P284" t="s">
        <v>49</v>
      </c>
      <c r="Q284" t="s">
        <v>50</v>
      </c>
      <c r="R284" t="s">
        <v>51</v>
      </c>
      <c r="S284" t="s">
        <v>52</v>
      </c>
      <c r="T284" t="b">
        <v>1</v>
      </c>
      <c r="U284" t="s">
        <v>53</v>
      </c>
      <c r="V284" t="s">
        <v>54</v>
      </c>
      <c r="W284">
        <v>4</v>
      </c>
      <c r="X284" t="b">
        <v>0</v>
      </c>
      <c r="Y284" t="s">
        <v>55</v>
      </c>
      <c r="Z284" t="s">
        <v>56</v>
      </c>
      <c r="AA284" t="s">
        <v>57</v>
      </c>
      <c r="AB284">
        <v>0</v>
      </c>
      <c r="AC284" t="s">
        <v>58</v>
      </c>
      <c r="AD284">
        <v>8</v>
      </c>
      <c r="AE284" t="s">
        <v>59</v>
      </c>
      <c r="AF284">
        <v>1254.3</v>
      </c>
      <c r="AG284" t="b">
        <v>0</v>
      </c>
      <c r="AH284">
        <v>8</v>
      </c>
      <c r="AI284" t="s">
        <v>59</v>
      </c>
      <c r="AJ284">
        <v>1254.3</v>
      </c>
      <c r="AK284" t="b">
        <v>0</v>
      </c>
      <c r="AL284">
        <v>1254.3</v>
      </c>
      <c r="AM284" t="b">
        <v>0</v>
      </c>
      <c r="AN284">
        <v>0</v>
      </c>
      <c r="AO284" t="b">
        <v>0</v>
      </c>
      <c r="AP284">
        <v>0</v>
      </c>
      <c r="AQ284">
        <v>38237.544999999998</v>
      </c>
      <c r="AR284">
        <v>38237.544999999998</v>
      </c>
      <c r="AS284">
        <v>0</v>
      </c>
      <c r="AT284" t="b">
        <v>0</v>
      </c>
      <c r="AU284" t="b">
        <v>1</v>
      </c>
      <c r="BA284" t="str">
        <f t="shared" si="8"/>
        <v>Normal</v>
      </c>
      <c r="BG284" t="str">
        <f t="shared" si="9"/>
        <v>Normal</v>
      </c>
    </row>
    <row r="285" spans="1:59" x14ac:dyDescent="0.2">
      <c r="A285" t="s">
        <v>42</v>
      </c>
      <c r="B285" t="s">
        <v>43</v>
      </c>
      <c r="C285">
        <v>20210101</v>
      </c>
      <c r="D285">
        <v>2021</v>
      </c>
      <c r="E285">
        <v>52</v>
      </c>
      <c r="F285" t="s">
        <v>287</v>
      </c>
      <c r="G285">
        <v>710</v>
      </c>
      <c r="H285" t="s">
        <v>238</v>
      </c>
      <c r="I285" t="s">
        <v>239</v>
      </c>
      <c r="J285" t="s">
        <v>47</v>
      </c>
      <c r="K285" t="s">
        <v>48</v>
      </c>
      <c r="L285">
        <v>0</v>
      </c>
      <c r="M285" t="s">
        <v>49</v>
      </c>
      <c r="N285" t="s">
        <v>50</v>
      </c>
      <c r="O285">
        <v>0</v>
      </c>
      <c r="P285" t="s">
        <v>49</v>
      </c>
      <c r="Q285" t="s">
        <v>50</v>
      </c>
      <c r="R285" t="s">
        <v>51</v>
      </c>
      <c r="S285" t="s">
        <v>52</v>
      </c>
      <c r="T285" t="b">
        <v>1</v>
      </c>
      <c r="U285" t="s">
        <v>53</v>
      </c>
      <c r="V285" t="s">
        <v>54</v>
      </c>
      <c r="W285">
        <v>4</v>
      </c>
      <c r="X285" t="b">
        <v>0</v>
      </c>
      <c r="Y285" t="s">
        <v>55</v>
      </c>
      <c r="Z285" t="s">
        <v>56</v>
      </c>
      <c r="AA285" t="s">
        <v>57</v>
      </c>
      <c r="AB285">
        <v>0</v>
      </c>
      <c r="AC285" t="s">
        <v>58</v>
      </c>
      <c r="AD285">
        <v>8</v>
      </c>
      <c r="AE285" t="s">
        <v>59</v>
      </c>
      <c r="AF285">
        <v>3455806650.3439999</v>
      </c>
      <c r="AG285" t="b">
        <v>1</v>
      </c>
      <c r="AH285">
        <v>-1</v>
      </c>
      <c r="AI285" t="s">
        <v>73</v>
      </c>
      <c r="AJ285">
        <v>0</v>
      </c>
      <c r="AK285" t="b">
        <v>0</v>
      </c>
      <c r="AL285">
        <v>3455806650.3439999</v>
      </c>
      <c r="AM285" t="b">
        <v>1</v>
      </c>
      <c r="AN285">
        <v>0</v>
      </c>
      <c r="AO285" t="b">
        <v>0</v>
      </c>
      <c r="AP285">
        <v>0</v>
      </c>
      <c r="AQ285">
        <v>1478499242.7479999</v>
      </c>
      <c r="AR285">
        <v>1478499242.7479999</v>
      </c>
      <c r="AS285">
        <v>6</v>
      </c>
      <c r="AT285" t="b">
        <v>0</v>
      </c>
      <c r="AU285" t="b">
        <v>1</v>
      </c>
      <c r="BA285" t="str">
        <f t="shared" si="8"/>
        <v>Normal</v>
      </c>
      <c r="BG285" t="str">
        <f t="shared" si="9"/>
        <v>Normal</v>
      </c>
    </row>
    <row r="286" spans="1:59" x14ac:dyDescent="0.2">
      <c r="A286" t="s">
        <v>42</v>
      </c>
      <c r="B286" t="s">
        <v>43</v>
      </c>
      <c r="C286">
        <v>20210101</v>
      </c>
      <c r="D286">
        <v>2021</v>
      </c>
      <c r="E286">
        <v>52</v>
      </c>
      <c r="F286" t="s">
        <v>287</v>
      </c>
      <c r="G286">
        <v>724</v>
      </c>
      <c r="H286" t="s">
        <v>240</v>
      </c>
      <c r="I286" t="s">
        <v>241</v>
      </c>
      <c r="J286" t="s">
        <v>47</v>
      </c>
      <c r="K286" t="s">
        <v>48</v>
      </c>
      <c r="L286">
        <v>0</v>
      </c>
      <c r="M286" t="s">
        <v>49</v>
      </c>
      <c r="N286" t="s">
        <v>50</v>
      </c>
      <c r="O286">
        <v>0</v>
      </c>
      <c r="P286" t="s">
        <v>49</v>
      </c>
      <c r="Q286" t="s">
        <v>50</v>
      </c>
      <c r="R286" t="s">
        <v>51</v>
      </c>
      <c r="S286" t="s">
        <v>52</v>
      </c>
      <c r="T286" t="b">
        <v>1</v>
      </c>
      <c r="U286" t="s">
        <v>53</v>
      </c>
      <c r="V286" t="s">
        <v>54</v>
      </c>
      <c r="W286">
        <v>4</v>
      </c>
      <c r="X286" t="b">
        <v>0</v>
      </c>
      <c r="Y286" t="s">
        <v>55</v>
      </c>
      <c r="Z286" t="s">
        <v>56</v>
      </c>
      <c r="AA286" t="s">
        <v>57</v>
      </c>
      <c r="AB286">
        <v>0</v>
      </c>
      <c r="AC286" t="s">
        <v>58</v>
      </c>
      <c r="AD286">
        <v>-1</v>
      </c>
      <c r="AE286" t="s">
        <v>73</v>
      </c>
      <c r="AF286">
        <v>0</v>
      </c>
      <c r="AG286" t="b">
        <v>1</v>
      </c>
      <c r="AH286">
        <v>-1</v>
      </c>
      <c r="AI286" t="s">
        <v>73</v>
      </c>
      <c r="AJ286">
        <v>0</v>
      </c>
      <c r="AK286" t="b">
        <v>0</v>
      </c>
      <c r="AL286">
        <v>0</v>
      </c>
      <c r="AM286" t="b">
        <v>1</v>
      </c>
      <c r="AN286">
        <v>0</v>
      </c>
      <c r="AO286" t="b">
        <v>0</v>
      </c>
      <c r="AP286">
        <v>0</v>
      </c>
      <c r="AQ286">
        <v>612342808.30799997</v>
      </c>
      <c r="AR286">
        <v>612342808.30799997</v>
      </c>
      <c r="AS286">
        <v>6</v>
      </c>
      <c r="AT286" t="b">
        <v>0</v>
      </c>
      <c r="AU286" t="b">
        <v>1</v>
      </c>
      <c r="BA286" t="str">
        <f t="shared" si="8"/>
        <v>Normal</v>
      </c>
      <c r="BG286" t="str">
        <f t="shared" si="9"/>
        <v>Normal</v>
      </c>
    </row>
    <row r="287" spans="1:59" x14ac:dyDescent="0.2">
      <c r="A287" t="s">
        <v>42</v>
      </c>
      <c r="B287" t="s">
        <v>43</v>
      </c>
      <c r="C287">
        <v>20210101</v>
      </c>
      <c r="D287">
        <v>2021</v>
      </c>
      <c r="E287">
        <v>52</v>
      </c>
      <c r="F287" t="s">
        <v>287</v>
      </c>
      <c r="G287">
        <v>748</v>
      </c>
      <c r="H287" t="s">
        <v>242</v>
      </c>
      <c r="I287" t="s">
        <v>243</v>
      </c>
      <c r="J287" t="s">
        <v>47</v>
      </c>
      <c r="K287" t="s">
        <v>48</v>
      </c>
      <c r="L287">
        <v>0</v>
      </c>
      <c r="M287" t="s">
        <v>49</v>
      </c>
      <c r="N287" t="s">
        <v>50</v>
      </c>
      <c r="O287">
        <v>0</v>
      </c>
      <c r="P287" t="s">
        <v>49</v>
      </c>
      <c r="Q287" t="s">
        <v>50</v>
      </c>
      <c r="R287" t="s">
        <v>51</v>
      </c>
      <c r="S287" t="s">
        <v>52</v>
      </c>
      <c r="T287" t="b">
        <v>1</v>
      </c>
      <c r="U287" t="s">
        <v>53</v>
      </c>
      <c r="V287" t="s">
        <v>54</v>
      </c>
      <c r="W287">
        <v>4</v>
      </c>
      <c r="X287" t="b">
        <v>0</v>
      </c>
      <c r="Y287" t="s">
        <v>55</v>
      </c>
      <c r="Z287" t="s">
        <v>56</v>
      </c>
      <c r="AA287" t="s">
        <v>57</v>
      </c>
      <c r="AB287">
        <v>0</v>
      </c>
      <c r="AC287" t="s">
        <v>58</v>
      </c>
      <c r="AD287">
        <v>8</v>
      </c>
      <c r="AE287" t="s">
        <v>59</v>
      </c>
      <c r="AF287">
        <v>120</v>
      </c>
      <c r="AG287" t="b">
        <v>0</v>
      </c>
      <c r="AH287">
        <v>8</v>
      </c>
      <c r="AI287" t="s">
        <v>59</v>
      </c>
      <c r="AJ287">
        <v>120</v>
      </c>
      <c r="AK287" t="b">
        <v>0</v>
      </c>
      <c r="AL287">
        <v>120</v>
      </c>
      <c r="AM287" t="b">
        <v>0</v>
      </c>
      <c r="AN287">
        <v>0</v>
      </c>
      <c r="AO287" t="b">
        <v>0</v>
      </c>
      <c r="AP287">
        <v>0</v>
      </c>
      <c r="AQ287">
        <v>13.87</v>
      </c>
      <c r="AR287">
        <v>13.87</v>
      </c>
      <c r="AS287">
        <v>0</v>
      </c>
      <c r="AT287" t="b">
        <v>0</v>
      </c>
      <c r="AU287" t="b">
        <v>1</v>
      </c>
      <c r="BA287" t="str">
        <f t="shared" si="8"/>
        <v>Normal</v>
      </c>
      <c r="BG287" t="str">
        <f t="shared" si="9"/>
        <v>Normal</v>
      </c>
    </row>
    <row r="288" spans="1:59" x14ac:dyDescent="0.2">
      <c r="A288" t="s">
        <v>42</v>
      </c>
      <c r="B288" t="s">
        <v>43</v>
      </c>
      <c r="C288">
        <v>20210101</v>
      </c>
      <c r="D288">
        <v>2021</v>
      </c>
      <c r="E288">
        <v>52</v>
      </c>
      <c r="F288" t="s">
        <v>287</v>
      </c>
      <c r="G288">
        <v>752</v>
      </c>
      <c r="H288" t="s">
        <v>244</v>
      </c>
      <c r="I288" t="s">
        <v>245</v>
      </c>
      <c r="J288" t="s">
        <v>47</v>
      </c>
      <c r="K288" t="s">
        <v>48</v>
      </c>
      <c r="L288">
        <v>0</v>
      </c>
      <c r="M288" t="s">
        <v>49</v>
      </c>
      <c r="N288" t="s">
        <v>50</v>
      </c>
      <c r="O288">
        <v>0</v>
      </c>
      <c r="P288" t="s">
        <v>49</v>
      </c>
      <c r="Q288" t="s">
        <v>50</v>
      </c>
      <c r="R288" t="s">
        <v>51</v>
      </c>
      <c r="S288" t="s">
        <v>52</v>
      </c>
      <c r="T288" t="b">
        <v>1</v>
      </c>
      <c r="U288" t="s">
        <v>53</v>
      </c>
      <c r="V288" t="s">
        <v>54</v>
      </c>
      <c r="W288">
        <v>4</v>
      </c>
      <c r="X288" t="b">
        <v>0</v>
      </c>
      <c r="Y288" t="s">
        <v>55</v>
      </c>
      <c r="Z288" t="s">
        <v>56</v>
      </c>
      <c r="AA288" t="s">
        <v>57</v>
      </c>
      <c r="AB288">
        <v>0</v>
      </c>
      <c r="AC288" t="s">
        <v>58</v>
      </c>
      <c r="AD288">
        <v>8</v>
      </c>
      <c r="AE288" t="s">
        <v>59</v>
      </c>
      <c r="AF288">
        <v>497649854.37800002</v>
      </c>
      <c r="AG288" t="b">
        <v>1</v>
      </c>
      <c r="AH288">
        <v>-1</v>
      </c>
      <c r="AI288" t="s">
        <v>73</v>
      </c>
      <c r="AJ288">
        <v>0</v>
      </c>
      <c r="AK288" t="b">
        <v>0</v>
      </c>
      <c r="AL288">
        <v>497649854.37800002</v>
      </c>
      <c r="AM288" t="b">
        <v>1</v>
      </c>
      <c r="AN288">
        <v>0</v>
      </c>
      <c r="AO288" t="b">
        <v>0</v>
      </c>
      <c r="AQ288">
        <v>227959394.398</v>
      </c>
      <c r="AR288">
        <v>227959394.398</v>
      </c>
      <c r="AS288">
        <v>6</v>
      </c>
      <c r="AT288" t="b">
        <v>0</v>
      </c>
      <c r="AU288" t="b">
        <v>1</v>
      </c>
      <c r="BA288" t="str">
        <f t="shared" si="8"/>
        <v>Normal</v>
      </c>
      <c r="BG288" t="str">
        <f t="shared" si="9"/>
        <v>Normal</v>
      </c>
    </row>
    <row r="289" spans="1:59" x14ac:dyDescent="0.2">
      <c r="A289" t="s">
        <v>42</v>
      </c>
      <c r="B289" t="s">
        <v>43</v>
      </c>
      <c r="C289">
        <v>20210101</v>
      </c>
      <c r="D289">
        <v>2021</v>
      </c>
      <c r="E289">
        <v>52</v>
      </c>
      <c r="F289" t="s">
        <v>287</v>
      </c>
      <c r="G289">
        <v>757</v>
      </c>
      <c r="H289" t="s">
        <v>246</v>
      </c>
      <c r="I289" t="s">
        <v>247</v>
      </c>
      <c r="J289" t="s">
        <v>47</v>
      </c>
      <c r="K289" t="s">
        <v>48</v>
      </c>
      <c r="L289">
        <v>0</v>
      </c>
      <c r="M289" t="s">
        <v>49</v>
      </c>
      <c r="N289" t="s">
        <v>50</v>
      </c>
      <c r="O289">
        <v>0</v>
      </c>
      <c r="P289" t="s">
        <v>49</v>
      </c>
      <c r="Q289" t="s">
        <v>50</v>
      </c>
      <c r="R289" t="s">
        <v>51</v>
      </c>
      <c r="S289" t="s">
        <v>52</v>
      </c>
      <c r="T289" t="b">
        <v>1</v>
      </c>
      <c r="U289" t="s">
        <v>53</v>
      </c>
      <c r="V289" t="s">
        <v>54</v>
      </c>
      <c r="W289">
        <v>4</v>
      </c>
      <c r="X289" t="b">
        <v>0</v>
      </c>
      <c r="Y289" t="s">
        <v>55</v>
      </c>
      <c r="Z289" t="s">
        <v>56</v>
      </c>
      <c r="AA289" t="s">
        <v>57</v>
      </c>
      <c r="AB289">
        <v>0</v>
      </c>
      <c r="AC289" t="s">
        <v>58</v>
      </c>
      <c r="AD289">
        <v>8</v>
      </c>
      <c r="AE289" t="s">
        <v>59</v>
      </c>
      <c r="AF289">
        <v>55</v>
      </c>
      <c r="AG289" t="b">
        <v>0</v>
      </c>
      <c r="AH289">
        <v>7</v>
      </c>
      <c r="AI289" t="s">
        <v>67</v>
      </c>
      <c r="AJ289">
        <v>55</v>
      </c>
      <c r="AK289" t="b">
        <v>0</v>
      </c>
      <c r="AL289">
        <v>55</v>
      </c>
      <c r="AM289" t="b">
        <v>0</v>
      </c>
      <c r="AN289">
        <v>0</v>
      </c>
      <c r="AO289" t="b">
        <v>0</v>
      </c>
      <c r="AP289">
        <v>0</v>
      </c>
      <c r="AQ289">
        <v>1033.9749999999999</v>
      </c>
      <c r="AR289">
        <v>1033.9749999999999</v>
      </c>
      <c r="AS289">
        <v>0</v>
      </c>
      <c r="AT289" t="b">
        <v>0</v>
      </c>
      <c r="AU289" t="b">
        <v>1</v>
      </c>
      <c r="BA289" t="str">
        <f t="shared" si="8"/>
        <v>Normal</v>
      </c>
      <c r="BG289" t="str">
        <f t="shared" si="9"/>
        <v>Normal</v>
      </c>
    </row>
    <row r="290" spans="1:59" x14ac:dyDescent="0.2">
      <c r="A290" t="s">
        <v>42</v>
      </c>
      <c r="B290" t="s">
        <v>43</v>
      </c>
      <c r="C290">
        <v>20210101</v>
      </c>
      <c r="D290">
        <v>2021</v>
      </c>
      <c r="E290">
        <v>52</v>
      </c>
      <c r="F290" t="s">
        <v>287</v>
      </c>
      <c r="G290">
        <v>764</v>
      </c>
      <c r="H290" t="s">
        <v>248</v>
      </c>
      <c r="I290" t="s">
        <v>249</v>
      </c>
      <c r="J290" t="s">
        <v>47</v>
      </c>
      <c r="K290" t="s">
        <v>48</v>
      </c>
      <c r="L290">
        <v>0</v>
      </c>
      <c r="M290" t="s">
        <v>49</v>
      </c>
      <c r="N290" t="s">
        <v>50</v>
      </c>
      <c r="O290">
        <v>0</v>
      </c>
      <c r="P290" t="s">
        <v>49</v>
      </c>
      <c r="Q290" t="s">
        <v>50</v>
      </c>
      <c r="R290" t="s">
        <v>51</v>
      </c>
      <c r="S290" t="s">
        <v>52</v>
      </c>
      <c r="T290" t="b">
        <v>1</v>
      </c>
      <c r="U290" t="s">
        <v>53</v>
      </c>
      <c r="V290" t="s">
        <v>54</v>
      </c>
      <c r="W290">
        <v>4</v>
      </c>
      <c r="X290" t="b">
        <v>0</v>
      </c>
      <c r="Y290" t="s">
        <v>55</v>
      </c>
      <c r="Z290" t="s">
        <v>56</v>
      </c>
      <c r="AA290" t="s">
        <v>57</v>
      </c>
      <c r="AB290">
        <v>0</v>
      </c>
      <c r="AC290" t="s">
        <v>58</v>
      </c>
      <c r="AD290">
        <v>8</v>
      </c>
      <c r="AE290" t="s">
        <v>59</v>
      </c>
      <c r="AF290">
        <v>860019040</v>
      </c>
      <c r="AG290" t="b">
        <v>0</v>
      </c>
      <c r="AH290">
        <v>7</v>
      </c>
      <c r="AI290" t="s">
        <v>67</v>
      </c>
      <c r="AJ290">
        <v>1196239147</v>
      </c>
      <c r="AK290" t="b">
        <v>0</v>
      </c>
      <c r="AL290">
        <v>860019040</v>
      </c>
      <c r="AM290" t="b">
        <v>0</v>
      </c>
      <c r="AN290">
        <v>0</v>
      </c>
      <c r="AO290" t="b">
        <v>0</v>
      </c>
      <c r="AQ290">
        <v>424444023.68199998</v>
      </c>
      <c r="AR290">
        <v>424444023.68199998</v>
      </c>
      <c r="AS290">
        <v>0</v>
      </c>
      <c r="AT290" t="b">
        <v>0</v>
      </c>
      <c r="AU290" t="b">
        <v>1</v>
      </c>
      <c r="BA290" t="str">
        <f t="shared" si="8"/>
        <v>Normal</v>
      </c>
      <c r="BG290" t="str">
        <f t="shared" si="9"/>
        <v>Normal</v>
      </c>
    </row>
    <row r="291" spans="1:59" x14ac:dyDescent="0.2">
      <c r="A291" t="s">
        <v>42</v>
      </c>
      <c r="B291" t="s">
        <v>43</v>
      </c>
      <c r="C291">
        <v>20210101</v>
      </c>
      <c r="D291">
        <v>2021</v>
      </c>
      <c r="E291">
        <v>52</v>
      </c>
      <c r="F291" t="s">
        <v>287</v>
      </c>
      <c r="G291">
        <v>780</v>
      </c>
      <c r="H291" t="s">
        <v>252</v>
      </c>
      <c r="I291" t="s">
        <v>253</v>
      </c>
      <c r="J291" t="s">
        <v>47</v>
      </c>
      <c r="K291" t="s">
        <v>48</v>
      </c>
      <c r="L291">
        <v>0</v>
      </c>
      <c r="M291" t="s">
        <v>49</v>
      </c>
      <c r="N291" t="s">
        <v>50</v>
      </c>
      <c r="O291">
        <v>0</v>
      </c>
      <c r="P291" t="s">
        <v>49</v>
      </c>
      <c r="Q291" t="s">
        <v>50</v>
      </c>
      <c r="R291" t="s">
        <v>104</v>
      </c>
      <c r="S291" t="s">
        <v>52</v>
      </c>
      <c r="T291" t="b">
        <v>1</v>
      </c>
      <c r="U291" t="s">
        <v>53</v>
      </c>
      <c r="V291" t="s">
        <v>54</v>
      </c>
      <c r="W291">
        <v>4</v>
      </c>
      <c r="X291" t="b">
        <v>0</v>
      </c>
      <c r="Y291" t="s">
        <v>55</v>
      </c>
      <c r="Z291" t="s">
        <v>56</v>
      </c>
      <c r="AA291" t="s">
        <v>57</v>
      </c>
      <c r="AB291">
        <v>0</v>
      </c>
      <c r="AC291" t="s">
        <v>58</v>
      </c>
      <c r="AD291">
        <v>-1</v>
      </c>
      <c r="AE291" t="s">
        <v>73</v>
      </c>
      <c r="AF291">
        <v>0</v>
      </c>
      <c r="AG291" t="b">
        <v>0</v>
      </c>
      <c r="AH291">
        <v>-1</v>
      </c>
      <c r="AI291" t="s">
        <v>73</v>
      </c>
      <c r="AJ291">
        <v>0</v>
      </c>
      <c r="AK291" t="b">
        <v>0</v>
      </c>
      <c r="AL291">
        <v>0</v>
      </c>
      <c r="AM291" t="b">
        <v>0</v>
      </c>
      <c r="AN291">
        <v>0</v>
      </c>
      <c r="AO291" t="b">
        <v>0</v>
      </c>
      <c r="AP291">
        <v>0</v>
      </c>
      <c r="AQ291">
        <v>1181693766.7490001</v>
      </c>
      <c r="AR291">
        <v>1181693766.7490001</v>
      </c>
      <c r="AS291">
        <v>0</v>
      </c>
      <c r="AT291" t="b">
        <v>0</v>
      </c>
      <c r="AU291" t="b">
        <v>1</v>
      </c>
      <c r="BA291" t="str">
        <f t="shared" si="8"/>
        <v>Normal</v>
      </c>
      <c r="BG291" t="str">
        <f t="shared" si="9"/>
        <v>Normal</v>
      </c>
    </row>
    <row r="292" spans="1:59" x14ac:dyDescent="0.2">
      <c r="A292" t="s">
        <v>42</v>
      </c>
      <c r="B292" t="s">
        <v>43</v>
      </c>
      <c r="C292">
        <v>20210101</v>
      </c>
      <c r="D292">
        <v>2021</v>
      </c>
      <c r="E292">
        <v>52</v>
      </c>
      <c r="F292" t="s">
        <v>287</v>
      </c>
      <c r="G292">
        <v>784</v>
      </c>
      <c r="H292" t="s">
        <v>254</v>
      </c>
      <c r="I292" t="s">
        <v>255</v>
      </c>
      <c r="J292" t="s">
        <v>47</v>
      </c>
      <c r="K292" t="s">
        <v>48</v>
      </c>
      <c r="L292">
        <v>0</v>
      </c>
      <c r="M292" t="s">
        <v>49</v>
      </c>
      <c r="N292" t="s">
        <v>50</v>
      </c>
      <c r="O292">
        <v>0</v>
      </c>
      <c r="P292" t="s">
        <v>49</v>
      </c>
      <c r="Q292" t="s">
        <v>50</v>
      </c>
      <c r="R292" t="s">
        <v>51</v>
      </c>
      <c r="S292" t="s">
        <v>52</v>
      </c>
      <c r="T292" t="b">
        <v>1</v>
      </c>
      <c r="U292" t="s">
        <v>53</v>
      </c>
      <c r="V292" t="s">
        <v>54</v>
      </c>
      <c r="W292">
        <v>4</v>
      </c>
      <c r="X292" t="b">
        <v>0</v>
      </c>
      <c r="Y292" t="s">
        <v>55</v>
      </c>
      <c r="Z292" t="s">
        <v>56</v>
      </c>
      <c r="AA292" t="s">
        <v>57</v>
      </c>
      <c r="AB292">
        <v>0</v>
      </c>
      <c r="AC292" t="s">
        <v>58</v>
      </c>
      <c r="AD292">
        <v>-1</v>
      </c>
      <c r="AE292" t="s">
        <v>73</v>
      </c>
      <c r="AF292">
        <v>0</v>
      </c>
      <c r="AG292" t="b">
        <v>0</v>
      </c>
      <c r="AH292">
        <v>-1</v>
      </c>
      <c r="AI292" t="s">
        <v>73</v>
      </c>
      <c r="AJ292">
        <v>0</v>
      </c>
      <c r="AK292" t="b">
        <v>0</v>
      </c>
      <c r="AL292">
        <v>0</v>
      </c>
      <c r="AM292" t="b">
        <v>0</v>
      </c>
      <c r="AN292">
        <v>0</v>
      </c>
      <c r="AO292" t="b">
        <v>0</v>
      </c>
      <c r="AP292">
        <v>0</v>
      </c>
      <c r="AQ292">
        <v>99039151474.408005</v>
      </c>
      <c r="AR292">
        <v>99039151474.408005</v>
      </c>
      <c r="AS292">
        <v>0</v>
      </c>
      <c r="AT292" t="b">
        <v>0</v>
      </c>
      <c r="AU292" t="b">
        <v>1</v>
      </c>
      <c r="BA292" t="str">
        <f t="shared" si="8"/>
        <v>Normal</v>
      </c>
      <c r="BG292" t="str">
        <f t="shared" si="9"/>
        <v>Normal</v>
      </c>
    </row>
    <row r="293" spans="1:59" x14ac:dyDescent="0.2">
      <c r="A293" t="s">
        <v>42</v>
      </c>
      <c r="B293" t="s">
        <v>43</v>
      </c>
      <c r="C293">
        <v>20210101</v>
      </c>
      <c r="D293">
        <v>2021</v>
      </c>
      <c r="E293">
        <v>52</v>
      </c>
      <c r="F293" t="s">
        <v>287</v>
      </c>
      <c r="G293">
        <v>788</v>
      </c>
      <c r="H293" t="s">
        <v>256</v>
      </c>
      <c r="I293" t="s">
        <v>257</v>
      </c>
      <c r="J293" t="s">
        <v>47</v>
      </c>
      <c r="K293" t="s">
        <v>48</v>
      </c>
      <c r="L293">
        <v>0</v>
      </c>
      <c r="M293" t="s">
        <v>49</v>
      </c>
      <c r="N293" t="s">
        <v>50</v>
      </c>
      <c r="O293">
        <v>0</v>
      </c>
      <c r="P293" t="s">
        <v>49</v>
      </c>
      <c r="Q293" t="s">
        <v>50</v>
      </c>
      <c r="R293" t="s">
        <v>51</v>
      </c>
      <c r="S293" t="s">
        <v>52</v>
      </c>
      <c r="T293" t="b">
        <v>1</v>
      </c>
      <c r="U293" t="s">
        <v>53</v>
      </c>
      <c r="V293" t="s">
        <v>54</v>
      </c>
      <c r="W293">
        <v>4</v>
      </c>
      <c r="X293" t="b">
        <v>0</v>
      </c>
      <c r="Y293" t="s">
        <v>55</v>
      </c>
      <c r="Z293" t="s">
        <v>56</v>
      </c>
      <c r="AA293" t="s">
        <v>57</v>
      </c>
      <c r="AB293">
        <v>0</v>
      </c>
      <c r="AC293" t="s">
        <v>58</v>
      </c>
      <c r="AD293">
        <v>8</v>
      </c>
      <c r="AE293" t="s">
        <v>59</v>
      </c>
      <c r="AF293">
        <v>1685179151</v>
      </c>
      <c r="AG293" t="b">
        <v>0</v>
      </c>
      <c r="AH293">
        <v>-1</v>
      </c>
      <c r="AI293" t="s">
        <v>73</v>
      </c>
      <c r="AJ293">
        <v>0</v>
      </c>
      <c r="AK293" t="b">
        <v>0</v>
      </c>
      <c r="AL293">
        <v>1685179151</v>
      </c>
      <c r="AM293" t="b">
        <v>0</v>
      </c>
      <c r="AN293">
        <v>0</v>
      </c>
      <c r="AO293" t="b">
        <v>0</v>
      </c>
      <c r="AP293">
        <v>0</v>
      </c>
      <c r="AQ293">
        <v>765773307.45000005</v>
      </c>
      <c r="AR293">
        <v>765773307.45000005</v>
      </c>
      <c r="AS293">
        <v>0</v>
      </c>
      <c r="AT293" t="b">
        <v>0</v>
      </c>
      <c r="AU293" t="b">
        <v>1</v>
      </c>
      <c r="BA293" t="str">
        <f t="shared" si="8"/>
        <v>Normal</v>
      </c>
      <c r="BG293" t="str">
        <f t="shared" si="9"/>
        <v>Normal</v>
      </c>
    </row>
    <row r="294" spans="1:59" x14ac:dyDescent="0.2">
      <c r="A294" t="s">
        <v>42</v>
      </c>
      <c r="B294" t="s">
        <v>43</v>
      </c>
      <c r="C294">
        <v>20210101</v>
      </c>
      <c r="D294">
        <v>2021</v>
      </c>
      <c r="E294">
        <v>52</v>
      </c>
      <c r="F294" t="s">
        <v>287</v>
      </c>
      <c r="G294">
        <v>800</v>
      </c>
      <c r="H294" t="s">
        <v>258</v>
      </c>
      <c r="I294" t="s">
        <v>259</v>
      </c>
      <c r="J294" t="s">
        <v>47</v>
      </c>
      <c r="K294" t="s">
        <v>48</v>
      </c>
      <c r="L294">
        <v>0</v>
      </c>
      <c r="M294" t="s">
        <v>49</v>
      </c>
      <c r="N294" t="s">
        <v>50</v>
      </c>
      <c r="O294">
        <v>0</v>
      </c>
      <c r="P294" t="s">
        <v>49</v>
      </c>
      <c r="Q294" t="s">
        <v>50</v>
      </c>
      <c r="R294" t="s">
        <v>51</v>
      </c>
      <c r="S294" t="s">
        <v>52</v>
      </c>
      <c r="T294" t="b">
        <v>1</v>
      </c>
      <c r="U294" t="s">
        <v>53</v>
      </c>
      <c r="V294" t="s">
        <v>54</v>
      </c>
      <c r="W294">
        <v>4</v>
      </c>
      <c r="X294" t="b">
        <v>0</v>
      </c>
      <c r="Y294" t="s">
        <v>55</v>
      </c>
      <c r="Z294" t="s">
        <v>56</v>
      </c>
      <c r="AA294" t="s">
        <v>57</v>
      </c>
      <c r="AB294">
        <v>0</v>
      </c>
      <c r="AC294" t="s">
        <v>58</v>
      </c>
      <c r="AD294">
        <v>8</v>
      </c>
      <c r="AE294" t="s">
        <v>59</v>
      </c>
      <c r="AF294">
        <v>7490</v>
      </c>
      <c r="AG294" t="b">
        <v>0</v>
      </c>
      <c r="AH294">
        <v>8</v>
      </c>
      <c r="AI294" t="s">
        <v>59</v>
      </c>
      <c r="AJ294">
        <v>7490</v>
      </c>
      <c r="AK294" t="b">
        <v>0</v>
      </c>
      <c r="AL294">
        <v>7490</v>
      </c>
      <c r="AM294" t="b">
        <v>0</v>
      </c>
      <c r="AN294">
        <v>0</v>
      </c>
      <c r="AO294" t="b">
        <v>0</v>
      </c>
      <c r="AQ294">
        <v>4702.58</v>
      </c>
      <c r="AR294">
        <v>4702.58</v>
      </c>
      <c r="AS294">
        <v>0</v>
      </c>
      <c r="AT294" t="b">
        <v>0</v>
      </c>
      <c r="AU294" t="b">
        <v>1</v>
      </c>
      <c r="BA294" t="str">
        <f t="shared" si="8"/>
        <v>Normal</v>
      </c>
      <c r="BG294" t="str">
        <f t="shared" si="9"/>
        <v>Normal</v>
      </c>
    </row>
    <row r="295" spans="1:59" x14ac:dyDescent="0.2">
      <c r="A295" t="s">
        <v>42</v>
      </c>
      <c r="B295" t="s">
        <v>43</v>
      </c>
      <c r="C295">
        <v>20210101</v>
      </c>
      <c r="D295">
        <v>2021</v>
      </c>
      <c r="E295">
        <v>52</v>
      </c>
      <c r="F295" t="s">
        <v>287</v>
      </c>
      <c r="G295">
        <v>804</v>
      </c>
      <c r="H295" t="s">
        <v>260</v>
      </c>
      <c r="I295" t="s">
        <v>261</v>
      </c>
      <c r="J295" t="s">
        <v>47</v>
      </c>
      <c r="K295" t="s">
        <v>48</v>
      </c>
      <c r="L295">
        <v>0</v>
      </c>
      <c r="M295" t="s">
        <v>49</v>
      </c>
      <c r="N295" t="s">
        <v>50</v>
      </c>
      <c r="O295">
        <v>0</v>
      </c>
      <c r="P295" t="s">
        <v>49</v>
      </c>
      <c r="Q295" t="s">
        <v>50</v>
      </c>
      <c r="R295" t="s">
        <v>51</v>
      </c>
      <c r="S295" t="s">
        <v>52</v>
      </c>
      <c r="T295" t="b">
        <v>1</v>
      </c>
      <c r="U295" t="s">
        <v>53</v>
      </c>
      <c r="V295" t="s">
        <v>54</v>
      </c>
      <c r="W295">
        <v>4</v>
      </c>
      <c r="X295" t="b">
        <v>0</v>
      </c>
      <c r="Y295" t="s">
        <v>55</v>
      </c>
      <c r="Z295" t="s">
        <v>56</v>
      </c>
      <c r="AA295" t="s">
        <v>57</v>
      </c>
      <c r="AB295">
        <v>0</v>
      </c>
      <c r="AC295" t="s">
        <v>58</v>
      </c>
      <c r="AD295">
        <v>8</v>
      </c>
      <c r="AE295" t="s">
        <v>59</v>
      </c>
      <c r="AF295">
        <v>89963300</v>
      </c>
      <c r="AG295" t="b">
        <v>0</v>
      </c>
      <c r="AH295">
        <v>8</v>
      </c>
      <c r="AI295" t="s">
        <v>59</v>
      </c>
      <c r="AJ295">
        <v>89963300</v>
      </c>
      <c r="AK295" t="b">
        <v>0</v>
      </c>
      <c r="AL295">
        <v>89963300</v>
      </c>
      <c r="AM295" t="b">
        <v>0</v>
      </c>
      <c r="AN295">
        <v>0</v>
      </c>
      <c r="AO295" t="b">
        <v>0</v>
      </c>
      <c r="AP295">
        <v>0</v>
      </c>
      <c r="AQ295">
        <v>27133479.690000001</v>
      </c>
      <c r="AR295">
        <v>27133479.690000001</v>
      </c>
      <c r="AS295">
        <v>0</v>
      </c>
      <c r="AT295" t="b">
        <v>0</v>
      </c>
      <c r="AU295" t="b">
        <v>1</v>
      </c>
      <c r="BA295" t="str">
        <f t="shared" si="8"/>
        <v>Normal</v>
      </c>
      <c r="BG295" t="str">
        <f t="shared" si="9"/>
        <v>Normal</v>
      </c>
    </row>
    <row r="296" spans="1:59" x14ac:dyDescent="0.2">
      <c r="A296" t="s">
        <v>42</v>
      </c>
      <c r="B296" t="s">
        <v>43</v>
      </c>
      <c r="C296">
        <v>20210101</v>
      </c>
      <c r="D296">
        <v>2021</v>
      </c>
      <c r="E296">
        <v>52</v>
      </c>
      <c r="F296" t="s">
        <v>287</v>
      </c>
      <c r="G296">
        <v>818</v>
      </c>
      <c r="H296" t="s">
        <v>262</v>
      </c>
      <c r="I296" t="s">
        <v>263</v>
      </c>
      <c r="J296" t="s">
        <v>47</v>
      </c>
      <c r="K296" t="s">
        <v>48</v>
      </c>
      <c r="L296">
        <v>0</v>
      </c>
      <c r="M296" t="s">
        <v>49</v>
      </c>
      <c r="N296" t="s">
        <v>50</v>
      </c>
      <c r="O296">
        <v>0</v>
      </c>
      <c r="P296" t="s">
        <v>49</v>
      </c>
      <c r="Q296" t="s">
        <v>50</v>
      </c>
      <c r="R296" t="s">
        <v>104</v>
      </c>
      <c r="S296" t="s">
        <v>52</v>
      </c>
      <c r="T296" t="b">
        <v>1</v>
      </c>
      <c r="U296" t="s">
        <v>53</v>
      </c>
      <c r="V296" t="s">
        <v>54</v>
      </c>
      <c r="W296">
        <v>4</v>
      </c>
      <c r="X296" t="b">
        <v>0</v>
      </c>
      <c r="Y296" t="s">
        <v>55</v>
      </c>
      <c r="Z296" t="s">
        <v>56</v>
      </c>
      <c r="AA296" t="s">
        <v>57</v>
      </c>
      <c r="AB296">
        <v>0</v>
      </c>
      <c r="AC296" t="s">
        <v>58</v>
      </c>
      <c r="AD296">
        <v>8</v>
      </c>
      <c r="AE296" t="s">
        <v>59</v>
      </c>
      <c r="AF296">
        <v>6788547751.9899998</v>
      </c>
      <c r="AG296" t="b">
        <v>1</v>
      </c>
      <c r="AH296">
        <v>-1</v>
      </c>
      <c r="AI296" t="s">
        <v>73</v>
      </c>
      <c r="AJ296">
        <v>0</v>
      </c>
      <c r="AK296" t="b">
        <v>0</v>
      </c>
      <c r="AL296">
        <v>6788547751.9899998</v>
      </c>
      <c r="AM296" t="b">
        <v>1</v>
      </c>
      <c r="AN296">
        <v>0</v>
      </c>
      <c r="AO296" t="b">
        <v>0</v>
      </c>
      <c r="AQ296">
        <v>3213265951.6040001</v>
      </c>
      <c r="AR296">
        <v>3213265951.6040001</v>
      </c>
      <c r="AS296">
        <v>6</v>
      </c>
      <c r="AT296" t="b">
        <v>0</v>
      </c>
      <c r="AU296" t="b">
        <v>1</v>
      </c>
      <c r="BA296" t="str">
        <f t="shared" si="8"/>
        <v>Normal</v>
      </c>
      <c r="BG296" t="str">
        <f t="shared" si="9"/>
        <v>Normal</v>
      </c>
    </row>
    <row r="297" spans="1:59" x14ac:dyDescent="0.2">
      <c r="A297" t="s">
        <v>42</v>
      </c>
      <c r="B297" t="s">
        <v>43</v>
      </c>
      <c r="C297">
        <v>20210101</v>
      </c>
      <c r="D297">
        <v>2021</v>
      </c>
      <c r="E297">
        <v>52</v>
      </c>
      <c r="F297" t="s">
        <v>287</v>
      </c>
      <c r="G297">
        <v>826</v>
      </c>
      <c r="H297" t="s">
        <v>264</v>
      </c>
      <c r="I297" t="s">
        <v>265</v>
      </c>
      <c r="J297" t="s">
        <v>47</v>
      </c>
      <c r="K297" t="s">
        <v>48</v>
      </c>
      <c r="L297">
        <v>0</v>
      </c>
      <c r="M297" t="s">
        <v>49</v>
      </c>
      <c r="N297" t="s">
        <v>50</v>
      </c>
      <c r="O297">
        <v>0</v>
      </c>
      <c r="P297" t="s">
        <v>49</v>
      </c>
      <c r="Q297" t="s">
        <v>50</v>
      </c>
      <c r="R297" t="s">
        <v>51</v>
      </c>
      <c r="S297" t="s">
        <v>52</v>
      </c>
      <c r="T297" t="b">
        <v>1</v>
      </c>
      <c r="U297" t="s">
        <v>53</v>
      </c>
      <c r="V297" t="s">
        <v>54</v>
      </c>
      <c r="W297">
        <v>4</v>
      </c>
      <c r="X297" t="b">
        <v>0</v>
      </c>
      <c r="Y297" t="s">
        <v>55</v>
      </c>
      <c r="Z297" t="s">
        <v>56</v>
      </c>
      <c r="AA297" t="s">
        <v>57</v>
      </c>
      <c r="AB297">
        <v>0</v>
      </c>
      <c r="AC297" t="s">
        <v>58</v>
      </c>
      <c r="AD297">
        <v>8</v>
      </c>
      <c r="AE297" t="s">
        <v>59</v>
      </c>
      <c r="AF297">
        <v>36632901481</v>
      </c>
      <c r="AG297" t="b">
        <v>0</v>
      </c>
      <c r="AH297">
        <v>8</v>
      </c>
      <c r="AI297" t="s">
        <v>59</v>
      </c>
      <c r="AJ297">
        <v>36632901481</v>
      </c>
      <c r="AK297" t="b">
        <v>0</v>
      </c>
      <c r="AL297">
        <v>36632901481</v>
      </c>
      <c r="AM297" t="b">
        <v>0</v>
      </c>
      <c r="AN297">
        <v>0</v>
      </c>
      <c r="AO297" t="b">
        <v>0</v>
      </c>
      <c r="AP297">
        <v>0</v>
      </c>
      <c r="AQ297">
        <v>19719253667.880001</v>
      </c>
      <c r="AR297">
        <v>19719253667.880001</v>
      </c>
      <c r="AS297">
        <v>0</v>
      </c>
      <c r="AT297" t="b">
        <v>0</v>
      </c>
      <c r="AU297" t="b">
        <v>1</v>
      </c>
      <c r="BA297" t="str">
        <f t="shared" si="8"/>
        <v>Normal</v>
      </c>
      <c r="BG297" t="str">
        <f t="shared" si="9"/>
        <v>Normal</v>
      </c>
    </row>
    <row r="298" spans="1:59" x14ac:dyDescent="0.2">
      <c r="A298" t="s">
        <v>42</v>
      </c>
      <c r="B298" t="s">
        <v>43</v>
      </c>
      <c r="C298">
        <v>20210101</v>
      </c>
      <c r="D298">
        <v>2021</v>
      </c>
      <c r="E298">
        <v>52</v>
      </c>
      <c r="F298" t="s">
        <v>287</v>
      </c>
      <c r="G298">
        <v>834</v>
      </c>
      <c r="H298" t="s">
        <v>266</v>
      </c>
      <c r="I298" t="s">
        <v>267</v>
      </c>
      <c r="J298" t="s">
        <v>47</v>
      </c>
      <c r="K298" t="s">
        <v>48</v>
      </c>
      <c r="L298">
        <v>0</v>
      </c>
      <c r="M298" t="s">
        <v>49</v>
      </c>
      <c r="N298" t="s">
        <v>50</v>
      </c>
      <c r="O298">
        <v>0</v>
      </c>
      <c r="P298" t="s">
        <v>49</v>
      </c>
      <c r="Q298" t="s">
        <v>50</v>
      </c>
      <c r="R298" t="s">
        <v>51</v>
      </c>
      <c r="S298" t="s">
        <v>52</v>
      </c>
      <c r="T298" t="b">
        <v>1</v>
      </c>
      <c r="U298" t="s">
        <v>53</v>
      </c>
      <c r="V298" t="s">
        <v>54</v>
      </c>
      <c r="W298">
        <v>4</v>
      </c>
      <c r="X298" t="b">
        <v>0</v>
      </c>
      <c r="Y298" t="s">
        <v>55</v>
      </c>
      <c r="Z298" t="s">
        <v>56</v>
      </c>
      <c r="AA298" t="s">
        <v>57</v>
      </c>
      <c r="AB298">
        <v>0</v>
      </c>
      <c r="AC298" t="s">
        <v>58</v>
      </c>
      <c r="AD298">
        <v>8</v>
      </c>
      <c r="AE298" t="s">
        <v>59</v>
      </c>
      <c r="AF298">
        <v>4826910</v>
      </c>
      <c r="AG298" t="b">
        <v>0</v>
      </c>
      <c r="AH298">
        <v>8</v>
      </c>
      <c r="AI298" t="s">
        <v>59</v>
      </c>
      <c r="AJ298">
        <v>4826910</v>
      </c>
      <c r="AK298" t="b">
        <v>0</v>
      </c>
      <c r="AL298">
        <v>4826910</v>
      </c>
      <c r="AM298" t="b">
        <v>0</v>
      </c>
      <c r="AN298">
        <v>0</v>
      </c>
      <c r="AO298" t="b">
        <v>0</v>
      </c>
      <c r="AP298">
        <v>0</v>
      </c>
      <c r="AQ298">
        <v>637029.29</v>
      </c>
      <c r="AR298">
        <v>637029.29</v>
      </c>
      <c r="AS298">
        <v>0</v>
      </c>
      <c r="AT298" t="b">
        <v>0</v>
      </c>
      <c r="AU298" t="b">
        <v>1</v>
      </c>
      <c r="BA298" t="str">
        <f t="shared" si="8"/>
        <v>Normal</v>
      </c>
      <c r="BG298" t="str">
        <f t="shared" si="9"/>
        <v>Normal</v>
      </c>
    </row>
    <row r="299" spans="1:59" x14ac:dyDescent="0.2">
      <c r="A299" t="s">
        <v>42</v>
      </c>
      <c r="B299" t="s">
        <v>43</v>
      </c>
      <c r="C299">
        <v>20210101</v>
      </c>
      <c r="D299">
        <v>2021</v>
      </c>
      <c r="E299">
        <v>52</v>
      </c>
      <c r="F299" t="s">
        <v>287</v>
      </c>
      <c r="G299">
        <v>842</v>
      </c>
      <c r="H299" t="s">
        <v>268</v>
      </c>
      <c r="I299" t="s">
        <v>268</v>
      </c>
      <c r="J299" t="s">
        <v>47</v>
      </c>
      <c r="K299" t="s">
        <v>48</v>
      </c>
      <c r="L299">
        <v>0</v>
      </c>
      <c r="M299" t="s">
        <v>49</v>
      </c>
      <c r="N299" t="s">
        <v>50</v>
      </c>
      <c r="O299">
        <v>0</v>
      </c>
      <c r="P299" t="s">
        <v>49</v>
      </c>
      <c r="Q299" t="s">
        <v>50</v>
      </c>
      <c r="R299" t="s">
        <v>51</v>
      </c>
      <c r="S299" t="s">
        <v>52</v>
      </c>
      <c r="T299" t="b">
        <v>1</v>
      </c>
      <c r="U299" t="s">
        <v>53</v>
      </c>
      <c r="V299" t="s">
        <v>54</v>
      </c>
      <c r="W299">
        <v>4</v>
      </c>
      <c r="X299" t="b">
        <v>0</v>
      </c>
      <c r="Y299" t="s">
        <v>55</v>
      </c>
      <c r="Z299" t="s">
        <v>56</v>
      </c>
      <c r="AA299" t="s">
        <v>57</v>
      </c>
      <c r="AB299">
        <v>0</v>
      </c>
      <c r="AC299" t="s">
        <v>58</v>
      </c>
      <c r="AD299">
        <v>8</v>
      </c>
      <c r="AE299" t="s">
        <v>59</v>
      </c>
      <c r="AF299">
        <v>172772127009</v>
      </c>
      <c r="AG299" t="b">
        <v>0</v>
      </c>
      <c r="AH299">
        <v>19</v>
      </c>
      <c r="AI299" t="s">
        <v>60</v>
      </c>
      <c r="AJ299">
        <v>1086617151</v>
      </c>
      <c r="AK299" t="b">
        <v>0</v>
      </c>
      <c r="AL299">
        <v>172772127009</v>
      </c>
      <c r="AM299" t="b">
        <v>0</v>
      </c>
      <c r="AN299">
        <v>0</v>
      </c>
      <c r="AO299" t="b">
        <v>0</v>
      </c>
      <c r="AP299">
        <v>0</v>
      </c>
      <c r="AQ299">
        <v>69356113331</v>
      </c>
      <c r="AR299">
        <v>69356113331</v>
      </c>
      <c r="AS299">
        <v>0</v>
      </c>
      <c r="AT299" t="b">
        <v>0</v>
      </c>
      <c r="AU299" t="b">
        <v>1</v>
      </c>
      <c r="BA299" t="str">
        <f t="shared" si="8"/>
        <v>Normal</v>
      </c>
      <c r="BG299" t="str">
        <f t="shared" si="9"/>
        <v>Normal</v>
      </c>
    </row>
    <row r="300" spans="1:59" x14ac:dyDescent="0.2">
      <c r="A300" t="s">
        <v>42</v>
      </c>
      <c r="B300" t="s">
        <v>43</v>
      </c>
      <c r="C300">
        <v>20210101</v>
      </c>
      <c r="D300">
        <v>2021</v>
      </c>
      <c r="E300">
        <v>52</v>
      </c>
      <c r="F300" t="s">
        <v>287</v>
      </c>
      <c r="G300">
        <v>894</v>
      </c>
      <c r="H300" t="s">
        <v>285</v>
      </c>
      <c r="I300" t="s">
        <v>286</v>
      </c>
      <c r="J300" t="s">
        <v>47</v>
      </c>
      <c r="K300" t="s">
        <v>48</v>
      </c>
      <c r="L300">
        <v>0</v>
      </c>
      <c r="M300" t="s">
        <v>49</v>
      </c>
      <c r="N300" t="s">
        <v>50</v>
      </c>
      <c r="O300">
        <v>0</v>
      </c>
      <c r="P300" t="s">
        <v>49</v>
      </c>
      <c r="Q300" t="s">
        <v>50</v>
      </c>
      <c r="R300" t="s">
        <v>51</v>
      </c>
      <c r="S300" t="s">
        <v>52</v>
      </c>
      <c r="T300" t="b">
        <v>1</v>
      </c>
      <c r="U300" t="s">
        <v>53</v>
      </c>
      <c r="V300" t="s">
        <v>54</v>
      </c>
      <c r="W300">
        <v>4</v>
      </c>
      <c r="X300" t="b">
        <v>0</v>
      </c>
      <c r="Y300" t="s">
        <v>55</v>
      </c>
      <c r="Z300" t="s">
        <v>56</v>
      </c>
      <c r="AA300" t="s">
        <v>57</v>
      </c>
      <c r="AB300">
        <v>0</v>
      </c>
      <c r="AC300" t="s">
        <v>58</v>
      </c>
      <c r="AD300">
        <v>8</v>
      </c>
      <c r="AE300" t="s">
        <v>59</v>
      </c>
      <c r="AF300">
        <v>2023672</v>
      </c>
      <c r="AG300" t="b">
        <v>0</v>
      </c>
      <c r="AH300">
        <v>7</v>
      </c>
      <c r="AI300" t="s">
        <v>67</v>
      </c>
      <c r="AJ300">
        <v>71</v>
      </c>
      <c r="AK300" t="b">
        <v>0</v>
      </c>
      <c r="AL300">
        <v>2023672</v>
      </c>
      <c r="AM300" t="b">
        <v>0</v>
      </c>
      <c r="AN300">
        <v>0</v>
      </c>
      <c r="AO300" t="b">
        <v>0</v>
      </c>
      <c r="AQ300">
        <v>484197.48800000001</v>
      </c>
      <c r="AR300">
        <v>484197.48800000001</v>
      </c>
      <c r="AS300">
        <v>0</v>
      </c>
      <c r="AT300" t="b">
        <v>0</v>
      </c>
      <c r="AU300" t="b">
        <v>1</v>
      </c>
      <c r="BA300" t="str">
        <f t="shared" si="8"/>
        <v>Normal</v>
      </c>
      <c r="BG300" t="str">
        <f t="shared" si="9"/>
        <v>Normal</v>
      </c>
    </row>
    <row r="301" spans="1:59" x14ac:dyDescent="0.2">
      <c r="A301" t="s">
        <v>42</v>
      </c>
      <c r="B301" t="s">
        <v>43</v>
      </c>
      <c r="C301">
        <v>20220101</v>
      </c>
      <c r="D301">
        <v>2022</v>
      </c>
      <c r="E301">
        <v>52</v>
      </c>
      <c r="F301" t="s">
        <v>299</v>
      </c>
      <c r="G301">
        <v>20</v>
      </c>
      <c r="H301" t="s">
        <v>288</v>
      </c>
      <c r="I301" t="s">
        <v>289</v>
      </c>
      <c r="J301" t="s">
        <v>47</v>
      </c>
      <c r="K301" t="s">
        <v>48</v>
      </c>
      <c r="L301">
        <v>0</v>
      </c>
      <c r="M301" t="s">
        <v>49</v>
      </c>
      <c r="N301" t="s">
        <v>50</v>
      </c>
      <c r="O301">
        <v>0</v>
      </c>
      <c r="P301" t="s">
        <v>49</v>
      </c>
      <c r="Q301" t="s">
        <v>50</v>
      </c>
      <c r="R301" t="s">
        <v>300</v>
      </c>
      <c r="S301" t="s">
        <v>52</v>
      </c>
      <c r="T301" t="b">
        <v>1</v>
      </c>
      <c r="U301" t="s">
        <v>53</v>
      </c>
      <c r="V301" t="s">
        <v>54</v>
      </c>
      <c r="W301">
        <v>4</v>
      </c>
      <c r="X301" t="b">
        <v>0</v>
      </c>
      <c r="Y301" t="s">
        <v>55</v>
      </c>
      <c r="Z301" t="s">
        <v>56</v>
      </c>
      <c r="AA301" t="s">
        <v>57</v>
      </c>
      <c r="AB301">
        <v>0</v>
      </c>
      <c r="AC301" t="s">
        <v>58</v>
      </c>
      <c r="AD301">
        <v>8</v>
      </c>
      <c r="AE301" t="s">
        <v>59</v>
      </c>
      <c r="AF301">
        <v>10800</v>
      </c>
      <c r="AG301" t="b">
        <v>0</v>
      </c>
      <c r="AH301">
        <v>8</v>
      </c>
      <c r="AI301" t="s">
        <v>59</v>
      </c>
      <c r="AJ301">
        <v>10800</v>
      </c>
      <c r="AK301" t="b">
        <v>0</v>
      </c>
      <c r="AL301">
        <v>10800</v>
      </c>
      <c r="AM301" t="b">
        <v>0</v>
      </c>
      <c r="AN301">
        <v>0</v>
      </c>
      <c r="AO301" t="b">
        <v>0</v>
      </c>
      <c r="AQ301">
        <v>908.59799999999996</v>
      </c>
      <c r="AR301">
        <v>908.59799999999996</v>
      </c>
      <c r="AS301">
        <v>0</v>
      </c>
      <c r="AT301" t="b">
        <v>0</v>
      </c>
      <c r="AU301" t="b">
        <v>1</v>
      </c>
      <c r="BA301" t="str">
        <f t="shared" si="8"/>
        <v>Normal</v>
      </c>
      <c r="BG301" t="str">
        <f t="shared" si="9"/>
        <v>Normal</v>
      </c>
    </row>
    <row r="302" spans="1:59" x14ac:dyDescent="0.2">
      <c r="A302" t="s">
        <v>42</v>
      </c>
      <c r="B302" t="s">
        <v>43</v>
      </c>
      <c r="C302">
        <v>20220101</v>
      </c>
      <c r="D302">
        <v>2022</v>
      </c>
      <c r="E302">
        <v>52</v>
      </c>
      <c r="F302" t="s">
        <v>299</v>
      </c>
      <c r="G302">
        <v>24</v>
      </c>
      <c r="H302" t="s">
        <v>45</v>
      </c>
      <c r="I302" t="s">
        <v>46</v>
      </c>
      <c r="J302" t="s">
        <v>47</v>
      </c>
      <c r="K302" t="s">
        <v>48</v>
      </c>
      <c r="L302">
        <v>0</v>
      </c>
      <c r="M302" t="s">
        <v>49</v>
      </c>
      <c r="N302" t="s">
        <v>50</v>
      </c>
      <c r="O302">
        <v>0</v>
      </c>
      <c r="P302" t="s">
        <v>49</v>
      </c>
      <c r="Q302" t="s">
        <v>50</v>
      </c>
      <c r="R302" t="s">
        <v>51</v>
      </c>
      <c r="S302" t="s">
        <v>52</v>
      </c>
      <c r="T302" t="b">
        <v>1</v>
      </c>
      <c r="U302" t="s">
        <v>53</v>
      </c>
      <c r="V302" t="s">
        <v>54</v>
      </c>
      <c r="W302">
        <v>4</v>
      </c>
      <c r="X302" t="b">
        <v>0</v>
      </c>
      <c r="Y302" t="s">
        <v>55</v>
      </c>
      <c r="Z302" t="s">
        <v>56</v>
      </c>
      <c r="AA302" t="s">
        <v>57</v>
      </c>
      <c r="AB302">
        <v>0</v>
      </c>
      <c r="AC302" t="s">
        <v>58</v>
      </c>
      <c r="AD302">
        <v>8</v>
      </c>
      <c r="AE302" t="s">
        <v>59</v>
      </c>
      <c r="AF302">
        <v>62962811157</v>
      </c>
      <c r="AG302" t="b">
        <v>0</v>
      </c>
      <c r="AH302">
        <v>19</v>
      </c>
      <c r="AI302" t="s">
        <v>60</v>
      </c>
      <c r="AJ302">
        <v>395992523</v>
      </c>
      <c r="AK302" t="b">
        <v>0</v>
      </c>
      <c r="AL302">
        <v>62962811157</v>
      </c>
      <c r="AM302" t="b">
        <v>0</v>
      </c>
      <c r="AN302">
        <v>0</v>
      </c>
      <c r="AO302" t="b">
        <v>0</v>
      </c>
      <c r="AQ302">
        <v>40311108896.753998</v>
      </c>
      <c r="AR302">
        <v>40311108896.753998</v>
      </c>
      <c r="AS302">
        <v>0</v>
      </c>
      <c r="AT302" t="b">
        <v>0</v>
      </c>
      <c r="AU302" t="b">
        <v>1</v>
      </c>
      <c r="BA302" t="str">
        <f t="shared" si="8"/>
        <v>Normal</v>
      </c>
      <c r="BG302" t="str">
        <f t="shared" si="9"/>
        <v>Normal</v>
      </c>
    </row>
    <row r="303" spans="1:59" x14ac:dyDescent="0.2">
      <c r="A303" t="s">
        <v>42</v>
      </c>
      <c r="B303" t="s">
        <v>43</v>
      </c>
      <c r="C303">
        <v>20220101</v>
      </c>
      <c r="D303">
        <v>2022</v>
      </c>
      <c r="E303">
        <v>52</v>
      </c>
      <c r="F303" t="s">
        <v>299</v>
      </c>
      <c r="G303">
        <v>28</v>
      </c>
      <c r="H303" t="s">
        <v>301</v>
      </c>
      <c r="I303" t="s">
        <v>302</v>
      </c>
      <c r="J303" t="s">
        <v>47</v>
      </c>
      <c r="K303" t="s">
        <v>48</v>
      </c>
      <c r="L303">
        <v>0</v>
      </c>
      <c r="M303" t="s">
        <v>49</v>
      </c>
      <c r="N303" t="s">
        <v>50</v>
      </c>
      <c r="O303">
        <v>0</v>
      </c>
      <c r="P303" t="s">
        <v>49</v>
      </c>
      <c r="Q303" t="s">
        <v>50</v>
      </c>
      <c r="R303" t="s">
        <v>127</v>
      </c>
      <c r="S303" t="s">
        <v>52</v>
      </c>
      <c r="T303" t="b">
        <v>1</v>
      </c>
      <c r="U303" t="s">
        <v>53</v>
      </c>
      <c r="V303" t="s">
        <v>54</v>
      </c>
      <c r="W303">
        <v>4</v>
      </c>
      <c r="X303" t="b">
        <v>0</v>
      </c>
      <c r="Y303" t="s">
        <v>55</v>
      </c>
      <c r="Z303" t="s">
        <v>56</v>
      </c>
      <c r="AA303" t="s">
        <v>57</v>
      </c>
      <c r="AB303">
        <v>0</v>
      </c>
      <c r="AC303" t="s">
        <v>58</v>
      </c>
      <c r="AD303">
        <v>8</v>
      </c>
      <c r="AE303" t="s">
        <v>59</v>
      </c>
      <c r="AF303">
        <v>105</v>
      </c>
      <c r="AG303" t="b">
        <v>0</v>
      </c>
      <c r="AH303">
        <v>12</v>
      </c>
      <c r="AI303" t="s">
        <v>70</v>
      </c>
      <c r="AJ303">
        <v>49</v>
      </c>
      <c r="AK303" t="b">
        <v>0</v>
      </c>
      <c r="AL303">
        <v>105</v>
      </c>
      <c r="AM303" t="b">
        <v>0</v>
      </c>
      <c r="AN303">
        <v>0</v>
      </c>
      <c r="AO303" t="b">
        <v>0</v>
      </c>
      <c r="AQ303">
        <v>853.15599999999995</v>
      </c>
      <c r="AR303">
        <v>853.15599999999995</v>
      </c>
      <c r="AS303">
        <v>0</v>
      </c>
      <c r="AT303" t="b">
        <v>0</v>
      </c>
      <c r="AU303" t="b">
        <v>1</v>
      </c>
      <c r="BA303" t="str">
        <f t="shared" si="8"/>
        <v>Normal</v>
      </c>
      <c r="BG303" t="str">
        <f t="shared" si="9"/>
        <v>Normal</v>
      </c>
    </row>
    <row r="304" spans="1:59" x14ac:dyDescent="0.2">
      <c r="A304" t="s">
        <v>42</v>
      </c>
      <c r="B304" t="s">
        <v>43</v>
      </c>
      <c r="C304">
        <v>20220101</v>
      </c>
      <c r="D304">
        <v>2022</v>
      </c>
      <c r="E304">
        <v>52</v>
      </c>
      <c r="F304" t="s">
        <v>299</v>
      </c>
      <c r="G304">
        <v>31</v>
      </c>
      <c r="H304" t="s">
        <v>61</v>
      </c>
      <c r="I304" t="s">
        <v>62</v>
      </c>
      <c r="J304" t="s">
        <v>47</v>
      </c>
      <c r="K304" t="s">
        <v>48</v>
      </c>
      <c r="L304">
        <v>0</v>
      </c>
      <c r="M304" t="s">
        <v>49</v>
      </c>
      <c r="N304" t="s">
        <v>50</v>
      </c>
      <c r="O304">
        <v>0</v>
      </c>
      <c r="P304" t="s">
        <v>49</v>
      </c>
      <c r="Q304" t="s">
        <v>50</v>
      </c>
      <c r="R304" t="s">
        <v>300</v>
      </c>
      <c r="S304" t="s">
        <v>52</v>
      </c>
      <c r="T304" t="b">
        <v>1</v>
      </c>
      <c r="U304" t="s">
        <v>53</v>
      </c>
      <c r="V304" t="s">
        <v>54</v>
      </c>
      <c r="W304">
        <v>4</v>
      </c>
      <c r="X304" t="b">
        <v>0</v>
      </c>
      <c r="Y304" t="s">
        <v>55</v>
      </c>
      <c r="Z304" t="s">
        <v>56</v>
      </c>
      <c r="AA304" t="s">
        <v>57</v>
      </c>
      <c r="AB304">
        <v>0</v>
      </c>
      <c r="AC304" t="s">
        <v>58</v>
      </c>
      <c r="AD304">
        <v>8</v>
      </c>
      <c r="AE304" t="s">
        <v>59</v>
      </c>
      <c r="AF304">
        <v>26024196665</v>
      </c>
      <c r="AG304" t="b">
        <v>0</v>
      </c>
      <c r="AH304">
        <v>8</v>
      </c>
      <c r="AI304" t="s">
        <v>59</v>
      </c>
      <c r="AJ304">
        <v>26024196665</v>
      </c>
      <c r="AK304" t="b">
        <v>0</v>
      </c>
      <c r="AL304">
        <v>26024196665</v>
      </c>
      <c r="AM304" t="b">
        <v>0</v>
      </c>
      <c r="AN304">
        <v>0</v>
      </c>
      <c r="AO304" t="b">
        <v>0</v>
      </c>
      <c r="AQ304">
        <v>19483623559.450001</v>
      </c>
      <c r="AR304">
        <v>19483623559.450001</v>
      </c>
      <c r="AS304">
        <v>0</v>
      </c>
      <c r="AT304" t="b">
        <v>0</v>
      </c>
      <c r="AU304" t="b">
        <v>1</v>
      </c>
      <c r="BA304" t="str">
        <f t="shared" si="8"/>
        <v>Normal</v>
      </c>
      <c r="BG304" t="str">
        <f t="shared" si="9"/>
        <v>Normal</v>
      </c>
    </row>
    <row r="305" spans="1:59" x14ac:dyDescent="0.2">
      <c r="A305" t="s">
        <v>42</v>
      </c>
      <c r="B305" t="s">
        <v>43</v>
      </c>
      <c r="C305">
        <v>20220101</v>
      </c>
      <c r="D305">
        <v>2022</v>
      </c>
      <c r="E305">
        <v>52</v>
      </c>
      <c r="F305" t="s">
        <v>299</v>
      </c>
      <c r="G305">
        <v>32</v>
      </c>
      <c r="H305" t="s">
        <v>63</v>
      </c>
      <c r="I305" t="s">
        <v>64</v>
      </c>
      <c r="J305" t="s">
        <v>47</v>
      </c>
      <c r="K305" t="s">
        <v>48</v>
      </c>
      <c r="L305">
        <v>0</v>
      </c>
      <c r="M305" t="s">
        <v>49</v>
      </c>
      <c r="N305" t="s">
        <v>50</v>
      </c>
      <c r="O305">
        <v>0</v>
      </c>
      <c r="P305" t="s">
        <v>49</v>
      </c>
      <c r="Q305" t="s">
        <v>50</v>
      </c>
      <c r="R305" t="s">
        <v>51</v>
      </c>
      <c r="S305" t="s">
        <v>52</v>
      </c>
      <c r="T305" t="b">
        <v>1</v>
      </c>
      <c r="U305" t="s">
        <v>53</v>
      </c>
      <c r="V305" t="s">
        <v>54</v>
      </c>
      <c r="W305">
        <v>4</v>
      </c>
      <c r="X305" t="b">
        <v>0</v>
      </c>
      <c r="Y305" t="s">
        <v>55</v>
      </c>
      <c r="Z305" t="s">
        <v>56</v>
      </c>
      <c r="AA305" t="s">
        <v>57</v>
      </c>
      <c r="AB305">
        <v>0</v>
      </c>
      <c r="AC305" t="s">
        <v>58</v>
      </c>
      <c r="AD305">
        <v>8</v>
      </c>
      <c r="AE305" t="s">
        <v>59</v>
      </c>
      <c r="AF305">
        <v>4422277000</v>
      </c>
      <c r="AG305" t="b">
        <v>0</v>
      </c>
      <c r="AH305">
        <v>8</v>
      </c>
      <c r="AI305" t="s">
        <v>59</v>
      </c>
      <c r="AJ305">
        <v>4422277000</v>
      </c>
      <c r="AK305" t="b">
        <v>0</v>
      </c>
      <c r="AL305">
        <v>4422277000</v>
      </c>
      <c r="AM305" t="b">
        <v>0</v>
      </c>
      <c r="AN305">
        <v>0</v>
      </c>
      <c r="AO305" t="b">
        <v>0</v>
      </c>
      <c r="AQ305">
        <v>3072569252.6100001</v>
      </c>
      <c r="AR305">
        <v>3072569252.6100001</v>
      </c>
      <c r="AS305">
        <v>0</v>
      </c>
      <c r="AT305" t="b">
        <v>0</v>
      </c>
      <c r="AU305" t="b">
        <v>1</v>
      </c>
      <c r="BA305" t="str">
        <f t="shared" si="8"/>
        <v>Normal</v>
      </c>
      <c r="BG305" t="str">
        <f t="shared" si="9"/>
        <v>Normal</v>
      </c>
    </row>
    <row r="306" spans="1:59" x14ac:dyDescent="0.2">
      <c r="A306" t="s">
        <v>42</v>
      </c>
      <c r="B306" t="s">
        <v>43</v>
      </c>
      <c r="C306">
        <v>20220101</v>
      </c>
      <c r="D306">
        <v>2022</v>
      </c>
      <c r="E306">
        <v>52</v>
      </c>
      <c r="F306" t="s">
        <v>299</v>
      </c>
      <c r="G306">
        <v>36</v>
      </c>
      <c r="H306" t="s">
        <v>65</v>
      </c>
      <c r="I306" t="s">
        <v>66</v>
      </c>
      <c r="J306" t="s">
        <v>47</v>
      </c>
      <c r="K306" t="s">
        <v>48</v>
      </c>
      <c r="L306">
        <v>0</v>
      </c>
      <c r="M306" t="s">
        <v>49</v>
      </c>
      <c r="N306" t="s">
        <v>50</v>
      </c>
      <c r="O306">
        <v>0</v>
      </c>
      <c r="P306" t="s">
        <v>49</v>
      </c>
      <c r="Q306" t="s">
        <v>50</v>
      </c>
      <c r="R306" t="s">
        <v>300</v>
      </c>
      <c r="S306" t="s">
        <v>52</v>
      </c>
      <c r="T306" t="b">
        <v>1</v>
      </c>
      <c r="U306" t="s">
        <v>53</v>
      </c>
      <c r="V306" t="s">
        <v>54</v>
      </c>
      <c r="W306">
        <v>4</v>
      </c>
      <c r="X306" t="b">
        <v>0</v>
      </c>
      <c r="Y306" t="s">
        <v>55</v>
      </c>
      <c r="Z306" t="s">
        <v>56</v>
      </c>
      <c r="AA306" t="s">
        <v>57</v>
      </c>
      <c r="AB306">
        <v>0</v>
      </c>
      <c r="AC306" t="s">
        <v>58</v>
      </c>
      <c r="AD306">
        <v>8</v>
      </c>
      <c r="AE306" t="s">
        <v>59</v>
      </c>
      <c r="AF306">
        <v>15186700000</v>
      </c>
      <c r="AG306" t="b">
        <v>0</v>
      </c>
      <c r="AH306">
        <v>7</v>
      </c>
      <c r="AI306" t="s">
        <v>67</v>
      </c>
      <c r="AJ306">
        <v>15186700000</v>
      </c>
      <c r="AK306" t="b">
        <v>0</v>
      </c>
      <c r="AL306">
        <v>15186700000</v>
      </c>
      <c r="AM306" t="b">
        <v>0</v>
      </c>
      <c r="AN306">
        <v>12715800000</v>
      </c>
      <c r="AO306" t="b">
        <v>0</v>
      </c>
      <c r="AQ306">
        <v>10054424249.025</v>
      </c>
      <c r="AR306">
        <v>10054424249.025</v>
      </c>
      <c r="AS306">
        <v>0</v>
      </c>
      <c r="AT306" t="b">
        <v>0</v>
      </c>
      <c r="AU306" t="b">
        <v>1</v>
      </c>
      <c r="BA306" t="str">
        <f t="shared" si="8"/>
        <v>Normal</v>
      </c>
      <c r="BG306" t="str">
        <f t="shared" si="9"/>
        <v>Normal</v>
      </c>
    </row>
    <row r="307" spans="1:59" x14ac:dyDescent="0.2">
      <c r="A307" t="s">
        <v>42</v>
      </c>
      <c r="B307" t="s">
        <v>43</v>
      </c>
      <c r="C307">
        <v>20220101</v>
      </c>
      <c r="D307">
        <v>2022</v>
      </c>
      <c r="E307">
        <v>52</v>
      </c>
      <c r="F307" t="s">
        <v>299</v>
      </c>
      <c r="G307">
        <v>44</v>
      </c>
      <c r="H307" t="s">
        <v>303</v>
      </c>
      <c r="I307" t="s">
        <v>304</v>
      </c>
      <c r="J307" t="s">
        <v>47</v>
      </c>
      <c r="K307" t="s">
        <v>48</v>
      </c>
      <c r="L307">
        <v>0</v>
      </c>
      <c r="M307" t="s">
        <v>49</v>
      </c>
      <c r="N307" t="s">
        <v>50</v>
      </c>
      <c r="O307">
        <v>0</v>
      </c>
      <c r="P307" t="s">
        <v>49</v>
      </c>
      <c r="Q307" t="s">
        <v>50</v>
      </c>
      <c r="R307" t="s">
        <v>51</v>
      </c>
      <c r="S307" t="s">
        <v>52</v>
      </c>
      <c r="T307" t="b">
        <v>1</v>
      </c>
      <c r="U307" t="s">
        <v>53</v>
      </c>
      <c r="V307" t="s">
        <v>54</v>
      </c>
      <c r="W307">
        <v>4</v>
      </c>
      <c r="X307" t="b">
        <v>0</v>
      </c>
      <c r="Y307" t="s">
        <v>55</v>
      </c>
      <c r="Z307" t="s">
        <v>56</v>
      </c>
      <c r="AA307" t="s">
        <v>57</v>
      </c>
      <c r="AB307">
        <v>0</v>
      </c>
      <c r="AC307" t="s">
        <v>58</v>
      </c>
      <c r="AD307">
        <v>8</v>
      </c>
      <c r="AE307" t="s">
        <v>59</v>
      </c>
      <c r="AF307">
        <v>70000</v>
      </c>
      <c r="AG307" t="b">
        <v>0</v>
      </c>
      <c r="AH307">
        <v>8</v>
      </c>
      <c r="AI307" t="s">
        <v>59</v>
      </c>
      <c r="AJ307">
        <v>70000</v>
      </c>
      <c r="AK307" t="b">
        <v>0</v>
      </c>
      <c r="AL307">
        <v>70000</v>
      </c>
      <c r="AM307" t="b">
        <v>0</v>
      </c>
      <c r="AN307">
        <v>0</v>
      </c>
      <c r="AO307" t="b">
        <v>0</v>
      </c>
      <c r="AQ307">
        <v>1500</v>
      </c>
      <c r="AR307">
        <v>1500</v>
      </c>
      <c r="AS307">
        <v>0</v>
      </c>
      <c r="AT307" t="b">
        <v>0</v>
      </c>
      <c r="AU307" t="b">
        <v>1</v>
      </c>
      <c r="BA307" t="str">
        <f t="shared" si="8"/>
        <v>Normal</v>
      </c>
      <c r="BG307" t="str">
        <f t="shared" si="9"/>
        <v>Normal</v>
      </c>
    </row>
    <row r="308" spans="1:59" x14ac:dyDescent="0.2">
      <c r="A308" t="s">
        <v>42</v>
      </c>
      <c r="B308" t="s">
        <v>43</v>
      </c>
      <c r="C308">
        <v>20220101</v>
      </c>
      <c r="D308">
        <v>2022</v>
      </c>
      <c r="E308">
        <v>52</v>
      </c>
      <c r="F308" t="s">
        <v>299</v>
      </c>
      <c r="G308">
        <v>52</v>
      </c>
      <c r="H308" t="s">
        <v>68</v>
      </c>
      <c r="I308" t="s">
        <v>69</v>
      </c>
      <c r="J308" t="s">
        <v>47</v>
      </c>
      <c r="K308" t="s">
        <v>48</v>
      </c>
      <c r="L308">
        <v>0</v>
      </c>
      <c r="M308" t="s">
        <v>49</v>
      </c>
      <c r="N308" t="s">
        <v>50</v>
      </c>
      <c r="O308">
        <v>0</v>
      </c>
      <c r="P308" t="s">
        <v>49</v>
      </c>
      <c r="Q308" t="s">
        <v>50</v>
      </c>
      <c r="R308" t="s">
        <v>51</v>
      </c>
      <c r="S308" t="s">
        <v>52</v>
      </c>
      <c r="T308" t="b">
        <v>1</v>
      </c>
      <c r="U308" t="s">
        <v>53</v>
      </c>
      <c r="V308" t="s">
        <v>54</v>
      </c>
      <c r="W308">
        <v>4</v>
      </c>
      <c r="X308" t="b">
        <v>0</v>
      </c>
      <c r="Y308" t="s">
        <v>55</v>
      </c>
      <c r="Z308" t="s">
        <v>56</v>
      </c>
      <c r="AA308" t="s">
        <v>57</v>
      </c>
      <c r="AB308">
        <v>0</v>
      </c>
      <c r="AC308" t="s">
        <v>58</v>
      </c>
      <c r="AD308">
        <v>8</v>
      </c>
      <c r="AE308" t="s">
        <v>59</v>
      </c>
      <c r="AF308">
        <v>21648740</v>
      </c>
      <c r="AG308" t="b">
        <v>0</v>
      </c>
      <c r="AH308">
        <v>8</v>
      </c>
      <c r="AI308" t="s">
        <v>59</v>
      </c>
      <c r="AJ308">
        <v>21648740</v>
      </c>
      <c r="AK308" t="b">
        <v>0</v>
      </c>
      <c r="AL308">
        <v>21648740</v>
      </c>
      <c r="AM308" t="b">
        <v>0</v>
      </c>
      <c r="AN308">
        <v>0</v>
      </c>
      <c r="AO308" t="b">
        <v>0</v>
      </c>
      <c r="AQ308">
        <v>13355328.5</v>
      </c>
      <c r="AR308">
        <v>13355328.5</v>
      </c>
      <c r="AS308">
        <v>0</v>
      </c>
      <c r="AT308" t="b">
        <v>0</v>
      </c>
      <c r="AU308" t="b">
        <v>1</v>
      </c>
      <c r="BA308" t="str">
        <f t="shared" si="8"/>
        <v>Normal</v>
      </c>
      <c r="BG308" t="str">
        <f t="shared" si="9"/>
        <v>Normal</v>
      </c>
    </row>
    <row r="309" spans="1:59" x14ac:dyDescent="0.2">
      <c r="A309" t="s">
        <v>42</v>
      </c>
      <c r="B309" t="s">
        <v>43</v>
      </c>
      <c r="C309">
        <v>20220101</v>
      </c>
      <c r="D309">
        <v>2022</v>
      </c>
      <c r="E309">
        <v>52</v>
      </c>
      <c r="F309" t="s">
        <v>299</v>
      </c>
      <c r="G309">
        <v>56</v>
      </c>
      <c r="H309" t="s">
        <v>71</v>
      </c>
      <c r="I309" t="s">
        <v>72</v>
      </c>
      <c r="J309" t="s">
        <v>47</v>
      </c>
      <c r="K309" t="s">
        <v>48</v>
      </c>
      <c r="L309">
        <v>0</v>
      </c>
      <c r="M309" t="s">
        <v>49</v>
      </c>
      <c r="N309" t="s">
        <v>50</v>
      </c>
      <c r="O309">
        <v>0</v>
      </c>
      <c r="P309" t="s">
        <v>49</v>
      </c>
      <c r="Q309" t="s">
        <v>50</v>
      </c>
      <c r="R309" t="s">
        <v>300</v>
      </c>
      <c r="S309" t="s">
        <v>52</v>
      </c>
      <c r="T309" t="b">
        <v>1</v>
      </c>
      <c r="U309" t="s">
        <v>53</v>
      </c>
      <c r="V309" t="s">
        <v>54</v>
      </c>
      <c r="W309">
        <v>4</v>
      </c>
      <c r="X309" t="b">
        <v>0</v>
      </c>
      <c r="Y309" t="s">
        <v>55</v>
      </c>
      <c r="Z309" t="s">
        <v>56</v>
      </c>
      <c r="AA309" t="s">
        <v>57</v>
      </c>
      <c r="AB309">
        <v>0</v>
      </c>
      <c r="AC309" t="s">
        <v>58</v>
      </c>
      <c r="AD309">
        <v>8</v>
      </c>
      <c r="AE309" t="s">
        <v>59</v>
      </c>
      <c r="AF309">
        <v>90487861.760000005</v>
      </c>
      <c r="AG309" t="b">
        <v>0</v>
      </c>
      <c r="AH309">
        <v>8</v>
      </c>
      <c r="AI309" t="s">
        <v>59</v>
      </c>
      <c r="AJ309">
        <v>90487861.760000005</v>
      </c>
      <c r="AK309" t="b">
        <v>0</v>
      </c>
      <c r="AL309">
        <v>90487861.760000005</v>
      </c>
      <c r="AM309" t="b">
        <v>0</v>
      </c>
      <c r="AN309">
        <v>0</v>
      </c>
      <c r="AO309" t="b">
        <v>0</v>
      </c>
      <c r="AQ309">
        <v>64173681.868000001</v>
      </c>
      <c r="AR309">
        <v>64173681.868000001</v>
      </c>
      <c r="AS309">
        <v>0</v>
      </c>
      <c r="AT309" t="b">
        <v>0</v>
      </c>
      <c r="AU309" t="b">
        <v>1</v>
      </c>
      <c r="BA309" t="str">
        <f t="shared" si="8"/>
        <v>Normal</v>
      </c>
      <c r="BG309" t="str">
        <f t="shared" si="9"/>
        <v>Normal</v>
      </c>
    </row>
    <row r="310" spans="1:59" x14ac:dyDescent="0.2">
      <c r="A310" t="s">
        <v>42</v>
      </c>
      <c r="B310" t="s">
        <v>43</v>
      </c>
      <c r="C310">
        <v>20220101</v>
      </c>
      <c r="D310">
        <v>2022</v>
      </c>
      <c r="E310">
        <v>52</v>
      </c>
      <c r="F310" t="s">
        <v>299</v>
      </c>
      <c r="G310">
        <v>68</v>
      </c>
      <c r="H310" t="s">
        <v>74</v>
      </c>
      <c r="I310" t="s">
        <v>75</v>
      </c>
      <c r="J310" t="s">
        <v>47</v>
      </c>
      <c r="K310" t="s">
        <v>48</v>
      </c>
      <c r="L310">
        <v>0</v>
      </c>
      <c r="M310" t="s">
        <v>49</v>
      </c>
      <c r="N310" t="s">
        <v>50</v>
      </c>
      <c r="O310">
        <v>0</v>
      </c>
      <c r="P310" t="s">
        <v>49</v>
      </c>
      <c r="Q310" t="s">
        <v>50</v>
      </c>
      <c r="R310" t="s">
        <v>300</v>
      </c>
      <c r="S310" t="s">
        <v>52</v>
      </c>
      <c r="T310" t="b">
        <v>1</v>
      </c>
      <c r="U310" t="s">
        <v>53</v>
      </c>
      <c r="V310" t="s">
        <v>54</v>
      </c>
      <c r="W310">
        <v>4</v>
      </c>
      <c r="X310" t="b">
        <v>0</v>
      </c>
      <c r="Y310" t="s">
        <v>55</v>
      </c>
      <c r="Z310" t="s">
        <v>56</v>
      </c>
      <c r="AA310" t="s">
        <v>57</v>
      </c>
      <c r="AB310">
        <v>0</v>
      </c>
      <c r="AC310" t="s">
        <v>58</v>
      </c>
      <c r="AD310">
        <v>8</v>
      </c>
      <c r="AE310" t="s">
        <v>59</v>
      </c>
      <c r="AF310">
        <v>705920.5</v>
      </c>
      <c r="AG310" t="b">
        <v>0</v>
      </c>
      <c r="AH310">
        <v>8</v>
      </c>
      <c r="AI310" t="s">
        <v>59</v>
      </c>
      <c r="AJ310">
        <v>705920.5</v>
      </c>
      <c r="AK310" t="b">
        <v>0</v>
      </c>
      <c r="AL310">
        <v>705920.5</v>
      </c>
      <c r="AM310" t="b">
        <v>0</v>
      </c>
      <c r="AN310">
        <v>705920.5</v>
      </c>
      <c r="AO310" t="b">
        <v>0</v>
      </c>
      <c r="AQ310">
        <v>395801.35</v>
      </c>
      <c r="AR310">
        <v>395801.35</v>
      </c>
      <c r="AS310">
        <v>0</v>
      </c>
      <c r="AT310" t="b">
        <v>0</v>
      </c>
      <c r="AU310" t="b">
        <v>1</v>
      </c>
      <c r="BA310" t="str">
        <f t="shared" si="8"/>
        <v>Normal</v>
      </c>
      <c r="BG310" t="str">
        <f t="shared" si="9"/>
        <v>Normal</v>
      </c>
    </row>
    <row r="311" spans="1:59" x14ac:dyDescent="0.2">
      <c r="A311" t="s">
        <v>42</v>
      </c>
      <c r="B311" t="s">
        <v>43</v>
      </c>
      <c r="C311">
        <v>20220101</v>
      </c>
      <c r="D311">
        <v>2022</v>
      </c>
      <c r="E311">
        <v>52</v>
      </c>
      <c r="F311" t="s">
        <v>299</v>
      </c>
      <c r="G311">
        <v>70</v>
      </c>
      <c r="H311" t="s">
        <v>76</v>
      </c>
      <c r="I311" t="s">
        <v>77</v>
      </c>
      <c r="J311" t="s">
        <v>47</v>
      </c>
      <c r="K311" t="s">
        <v>48</v>
      </c>
      <c r="L311">
        <v>0</v>
      </c>
      <c r="M311" t="s">
        <v>49</v>
      </c>
      <c r="N311" t="s">
        <v>50</v>
      </c>
      <c r="O311">
        <v>0</v>
      </c>
      <c r="P311" t="s">
        <v>49</v>
      </c>
      <c r="Q311" t="s">
        <v>50</v>
      </c>
      <c r="R311" t="s">
        <v>300</v>
      </c>
      <c r="S311" t="s">
        <v>52</v>
      </c>
      <c r="T311" t="b">
        <v>1</v>
      </c>
      <c r="U311" t="s">
        <v>53</v>
      </c>
      <c r="V311" t="s">
        <v>54</v>
      </c>
      <c r="W311">
        <v>4</v>
      </c>
      <c r="X311" t="b">
        <v>0</v>
      </c>
      <c r="Y311" t="s">
        <v>55</v>
      </c>
      <c r="Z311" t="s">
        <v>56</v>
      </c>
      <c r="AA311" t="s">
        <v>57</v>
      </c>
      <c r="AB311">
        <v>0</v>
      </c>
      <c r="AC311" t="s">
        <v>58</v>
      </c>
      <c r="AD311">
        <v>8</v>
      </c>
      <c r="AE311" t="s">
        <v>59</v>
      </c>
      <c r="AF311">
        <v>10920250</v>
      </c>
      <c r="AG311" t="b">
        <v>0</v>
      </c>
      <c r="AH311">
        <v>8</v>
      </c>
      <c r="AI311" t="s">
        <v>59</v>
      </c>
      <c r="AJ311">
        <v>10920250</v>
      </c>
      <c r="AK311" t="b">
        <v>0</v>
      </c>
      <c r="AL311">
        <v>10920250</v>
      </c>
      <c r="AM311" t="b">
        <v>0</v>
      </c>
      <c r="AN311">
        <v>0</v>
      </c>
      <c r="AO311" t="b">
        <v>0</v>
      </c>
      <c r="AQ311">
        <v>5386613.1200000001</v>
      </c>
      <c r="AR311">
        <v>5386613.1200000001</v>
      </c>
      <c r="AS311">
        <v>0</v>
      </c>
      <c r="AT311" t="b">
        <v>0</v>
      </c>
      <c r="AU311" t="b">
        <v>1</v>
      </c>
      <c r="BA311" t="str">
        <f t="shared" si="8"/>
        <v>Normal</v>
      </c>
      <c r="BG311" t="str">
        <f t="shared" si="9"/>
        <v>Normal</v>
      </c>
    </row>
    <row r="312" spans="1:59" x14ac:dyDescent="0.2">
      <c r="A312" t="s">
        <v>42</v>
      </c>
      <c r="B312" t="s">
        <v>43</v>
      </c>
      <c r="C312">
        <v>20220101</v>
      </c>
      <c r="D312">
        <v>2022</v>
      </c>
      <c r="E312">
        <v>52</v>
      </c>
      <c r="F312" t="s">
        <v>299</v>
      </c>
      <c r="G312">
        <v>72</v>
      </c>
      <c r="H312" t="s">
        <v>78</v>
      </c>
      <c r="I312" t="s">
        <v>79</v>
      </c>
      <c r="J312" t="s">
        <v>47</v>
      </c>
      <c r="K312" t="s">
        <v>48</v>
      </c>
      <c r="L312">
        <v>0</v>
      </c>
      <c r="M312" t="s">
        <v>49</v>
      </c>
      <c r="N312" t="s">
        <v>50</v>
      </c>
      <c r="O312">
        <v>0</v>
      </c>
      <c r="P312" t="s">
        <v>49</v>
      </c>
      <c r="Q312" t="s">
        <v>50</v>
      </c>
      <c r="R312" t="s">
        <v>300</v>
      </c>
      <c r="S312" t="s">
        <v>52</v>
      </c>
      <c r="T312" t="b">
        <v>1</v>
      </c>
      <c r="U312" t="s">
        <v>53</v>
      </c>
      <c r="V312" t="s">
        <v>54</v>
      </c>
      <c r="W312">
        <v>4</v>
      </c>
      <c r="X312" t="b">
        <v>0</v>
      </c>
      <c r="Y312" t="s">
        <v>55</v>
      </c>
      <c r="Z312" t="s">
        <v>56</v>
      </c>
      <c r="AA312" t="s">
        <v>57</v>
      </c>
      <c r="AB312">
        <v>0</v>
      </c>
      <c r="AC312" t="s">
        <v>58</v>
      </c>
      <c r="AD312">
        <v>8</v>
      </c>
      <c r="AE312" t="s">
        <v>59</v>
      </c>
      <c r="AF312">
        <v>1222</v>
      </c>
      <c r="AG312" t="b">
        <v>0</v>
      </c>
      <c r="AH312">
        <v>8</v>
      </c>
      <c r="AI312" t="s">
        <v>59</v>
      </c>
      <c r="AJ312">
        <v>1222</v>
      </c>
      <c r="AK312" t="b">
        <v>0</v>
      </c>
      <c r="AL312">
        <v>1580</v>
      </c>
      <c r="AM312" t="b">
        <v>0</v>
      </c>
      <c r="AN312">
        <v>0</v>
      </c>
      <c r="AO312" t="b">
        <v>0</v>
      </c>
      <c r="AQ312">
        <v>2136.5</v>
      </c>
      <c r="AR312">
        <v>2136.5</v>
      </c>
      <c r="AS312">
        <v>0</v>
      </c>
      <c r="AT312" t="b">
        <v>0</v>
      </c>
      <c r="AU312" t="b">
        <v>1</v>
      </c>
      <c r="BA312" t="str">
        <f t="shared" si="8"/>
        <v>Normal</v>
      </c>
      <c r="BG312" t="str">
        <f t="shared" si="9"/>
        <v>Normal</v>
      </c>
    </row>
    <row r="313" spans="1:59" x14ac:dyDescent="0.2">
      <c r="A313" t="s">
        <v>42</v>
      </c>
      <c r="B313" t="s">
        <v>43</v>
      </c>
      <c r="C313">
        <v>20220101</v>
      </c>
      <c r="D313">
        <v>2022</v>
      </c>
      <c r="E313">
        <v>52</v>
      </c>
      <c r="F313" t="s">
        <v>299</v>
      </c>
      <c r="G313">
        <v>76</v>
      </c>
      <c r="H313" t="s">
        <v>80</v>
      </c>
      <c r="I313" t="s">
        <v>81</v>
      </c>
      <c r="J313" t="s">
        <v>47</v>
      </c>
      <c r="K313" t="s">
        <v>48</v>
      </c>
      <c r="L313">
        <v>0</v>
      </c>
      <c r="M313" t="s">
        <v>49</v>
      </c>
      <c r="N313" t="s">
        <v>50</v>
      </c>
      <c r="O313">
        <v>0</v>
      </c>
      <c r="P313" t="s">
        <v>49</v>
      </c>
      <c r="Q313" t="s">
        <v>50</v>
      </c>
      <c r="R313" t="s">
        <v>300</v>
      </c>
      <c r="S313" t="s">
        <v>52</v>
      </c>
      <c r="T313" t="b">
        <v>1</v>
      </c>
      <c r="U313" t="s">
        <v>53</v>
      </c>
      <c r="V313" t="s">
        <v>54</v>
      </c>
      <c r="W313">
        <v>4</v>
      </c>
      <c r="X313" t="b">
        <v>0</v>
      </c>
      <c r="Y313" t="s">
        <v>55</v>
      </c>
      <c r="Z313" t="s">
        <v>56</v>
      </c>
      <c r="AA313" t="s">
        <v>57</v>
      </c>
      <c r="AB313">
        <v>0</v>
      </c>
      <c r="AC313" t="s">
        <v>58</v>
      </c>
      <c r="AD313">
        <v>-1</v>
      </c>
      <c r="AE313" t="s">
        <v>73</v>
      </c>
      <c r="AF313">
        <v>0</v>
      </c>
      <c r="AG313" t="b">
        <v>0</v>
      </c>
      <c r="AH313">
        <v>-1</v>
      </c>
      <c r="AI313" t="s">
        <v>73</v>
      </c>
      <c r="AJ313">
        <v>0</v>
      </c>
      <c r="AK313" t="b">
        <v>0</v>
      </c>
      <c r="AL313">
        <v>0</v>
      </c>
      <c r="AM313" t="b">
        <v>0</v>
      </c>
      <c r="AN313">
        <v>0</v>
      </c>
      <c r="AO313" t="b">
        <v>0</v>
      </c>
      <c r="AP313">
        <v>0</v>
      </c>
      <c r="AQ313">
        <v>42688098560</v>
      </c>
      <c r="AR313">
        <v>42688098560</v>
      </c>
      <c r="AS313">
        <v>0</v>
      </c>
      <c r="AT313" t="b">
        <v>0</v>
      </c>
      <c r="AU313" t="b">
        <v>1</v>
      </c>
      <c r="BA313" t="str">
        <f t="shared" si="8"/>
        <v>Normal</v>
      </c>
      <c r="BG313" t="str">
        <f t="shared" si="9"/>
        <v>Normal</v>
      </c>
    </row>
    <row r="314" spans="1:59" x14ac:dyDescent="0.2">
      <c r="A314" t="s">
        <v>42</v>
      </c>
      <c r="B314" t="s">
        <v>43</v>
      </c>
      <c r="C314">
        <v>20220101</v>
      </c>
      <c r="D314">
        <v>2022</v>
      </c>
      <c r="E314">
        <v>52</v>
      </c>
      <c r="F314" t="s">
        <v>299</v>
      </c>
      <c r="G314">
        <v>84</v>
      </c>
      <c r="H314" t="s">
        <v>82</v>
      </c>
      <c r="I314" t="s">
        <v>83</v>
      </c>
      <c r="J314" t="s">
        <v>47</v>
      </c>
      <c r="K314" t="s">
        <v>48</v>
      </c>
      <c r="L314">
        <v>0</v>
      </c>
      <c r="M314" t="s">
        <v>49</v>
      </c>
      <c r="N314" t="s">
        <v>50</v>
      </c>
      <c r="O314">
        <v>0</v>
      </c>
      <c r="P314" t="s">
        <v>49</v>
      </c>
      <c r="Q314" t="s">
        <v>50</v>
      </c>
      <c r="R314" t="s">
        <v>51</v>
      </c>
      <c r="S314" t="s">
        <v>52</v>
      </c>
      <c r="T314" t="b">
        <v>1</v>
      </c>
      <c r="U314" t="s">
        <v>53</v>
      </c>
      <c r="V314" t="s">
        <v>54</v>
      </c>
      <c r="W314">
        <v>4</v>
      </c>
      <c r="X314" t="b">
        <v>0</v>
      </c>
      <c r="Y314" t="s">
        <v>55</v>
      </c>
      <c r="Z314" t="s">
        <v>56</v>
      </c>
      <c r="AA314" t="s">
        <v>57</v>
      </c>
      <c r="AB314">
        <v>0</v>
      </c>
      <c r="AC314" t="s">
        <v>58</v>
      </c>
      <c r="AD314">
        <v>8</v>
      </c>
      <c r="AE314" t="s">
        <v>59</v>
      </c>
      <c r="AF314">
        <v>1885657.6</v>
      </c>
      <c r="AG314" t="b">
        <v>0</v>
      </c>
      <c r="AH314">
        <v>8</v>
      </c>
      <c r="AI314" t="s">
        <v>59</v>
      </c>
      <c r="AJ314">
        <v>1885657.6</v>
      </c>
      <c r="AK314" t="b">
        <v>0</v>
      </c>
      <c r="AL314">
        <v>1885657.6</v>
      </c>
      <c r="AM314" t="b">
        <v>0</v>
      </c>
      <c r="AN314">
        <v>0</v>
      </c>
      <c r="AO314" t="b">
        <v>0</v>
      </c>
      <c r="AQ314">
        <v>1173230.1059999999</v>
      </c>
      <c r="AR314">
        <v>1173230.1059999999</v>
      </c>
      <c r="AS314">
        <v>0</v>
      </c>
      <c r="AT314" t="b">
        <v>0</v>
      </c>
      <c r="AU314" t="b">
        <v>1</v>
      </c>
      <c r="BA314" t="str">
        <f t="shared" si="8"/>
        <v>Normal</v>
      </c>
      <c r="BG314" t="str">
        <f t="shared" si="9"/>
        <v>Normal</v>
      </c>
    </row>
    <row r="315" spans="1:59" x14ac:dyDescent="0.2">
      <c r="A315" t="s">
        <v>42</v>
      </c>
      <c r="B315" t="s">
        <v>43</v>
      </c>
      <c r="C315">
        <v>20220101</v>
      </c>
      <c r="D315">
        <v>2022</v>
      </c>
      <c r="E315">
        <v>52</v>
      </c>
      <c r="F315" t="s">
        <v>299</v>
      </c>
      <c r="G315">
        <v>96</v>
      </c>
      <c r="H315" t="s">
        <v>84</v>
      </c>
      <c r="I315" t="s">
        <v>85</v>
      </c>
      <c r="J315" t="s">
        <v>47</v>
      </c>
      <c r="K315" t="s">
        <v>48</v>
      </c>
      <c r="L315">
        <v>0</v>
      </c>
      <c r="M315" t="s">
        <v>49</v>
      </c>
      <c r="N315" t="s">
        <v>50</v>
      </c>
      <c r="O315">
        <v>0</v>
      </c>
      <c r="P315" t="s">
        <v>49</v>
      </c>
      <c r="Q315" t="s">
        <v>50</v>
      </c>
      <c r="R315" t="s">
        <v>51</v>
      </c>
      <c r="S315" t="s">
        <v>52</v>
      </c>
      <c r="T315" t="b">
        <v>1</v>
      </c>
      <c r="U315" t="s">
        <v>53</v>
      </c>
      <c r="V315" t="s">
        <v>54</v>
      </c>
      <c r="W315">
        <v>4</v>
      </c>
      <c r="X315" t="b">
        <v>0</v>
      </c>
      <c r="Y315" t="s">
        <v>55</v>
      </c>
      <c r="Z315" t="s">
        <v>56</v>
      </c>
      <c r="AA315" t="s">
        <v>57</v>
      </c>
      <c r="AB315">
        <v>0</v>
      </c>
      <c r="AC315" t="s">
        <v>58</v>
      </c>
      <c r="AD315">
        <v>8</v>
      </c>
      <c r="AE315" t="s">
        <v>59</v>
      </c>
      <c r="AF315">
        <v>2744227009</v>
      </c>
      <c r="AG315" t="b">
        <v>0</v>
      </c>
      <c r="AH315">
        <v>8</v>
      </c>
      <c r="AI315" t="s">
        <v>59</v>
      </c>
      <c r="AJ315">
        <v>2744227009</v>
      </c>
      <c r="AK315" t="b">
        <v>0</v>
      </c>
      <c r="AL315">
        <v>2744227009</v>
      </c>
      <c r="AM315" t="b">
        <v>0</v>
      </c>
      <c r="AN315">
        <v>0</v>
      </c>
      <c r="AO315" t="b">
        <v>0</v>
      </c>
      <c r="AQ315">
        <v>2170259187.2080002</v>
      </c>
      <c r="AR315">
        <v>2170259187.2080002</v>
      </c>
      <c r="AS315">
        <v>0</v>
      </c>
      <c r="AT315" t="b">
        <v>0</v>
      </c>
      <c r="AU315" t="b">
        <v>1</v>
      </c>
      <c r="BA315" t="str">
        <f t="shared" si="8"/>
        <v>Normal</v>
      </c>
      <c r="BG315" t="str">
        <f t="shared" si="9"/>
        <v>Normal</v>
      </c>
    </row>
    <row r="316" spans="1:59" x14ac:dyDescent="0.2">
      <c r="A316" t="s">
        <v>42</v>
      </c>
      <c r="B316" t="s">
        <v>43</v>
      </c>
      <c r="C316">
        <v>20220101</v>
      </c>
      <c r="D316">
        <v>2022</v>
      </c>
      <c r="E316">
        <v>52</v>
      </c>
      <c r="F316" t="s">
        <v>299</v>
      </c>
      <c r="G316">
        <v>108</v>
      </c>
      <c r="H316" t="s">
        <v>305</v>
      </c>
      <c r="I316" t="s">
        <v>306</v>
      </c>
      <c r="J316" t="s">
        <v>47</v>
      </c>
      <c r="K316" t="s">
        <v>48</v>
      </c>
      <c r="L316">
        <v>0</v>
      </c>
      <c r="M316" t="s">
        <v>49</v>
      </c>
      <c r="N316" t="s">
        <v>50</v>
      </c>
      <c r="O316">
        <v>0</v>
      </c>
      <c r="P316" t="s">
        <v>49</v>
      </c>
      <c r="Q316" t="s">
        <v>50</v>
      </c>
      <c r="R316" t="s">
        <v>300</v>
      </c>
      <c r="S316" t="s">
        <v>52</v>
      </c>
      <c r="T316" t="b">
        <v>1</v>
      </c>
      <c r="U316" t="s">
        <v>53</v>
      </c>
      <c r="V316" t="s">
        <v>54</v>
      </c>
      <c r="W316">
        <v>4</v>
      </c>
      <c r="X316" t="b">
        <v>0</v>
      </c>
      <c r="Y316" t="s">
        <v>55</v>
      </c>
      <c r="Z316" t="s">
        <v>56</v>
      </c>
      <c r="AA316" t="s">
        <v>57</v>
      </c>
      <c r="AB316">
        <v>0</v>
      </c>
      <c r="AC316" t="s">
        <v>58</v>
      </c>
      <c r="AD316">
        <v>8</v>
      </c>
      <c r="AE316" t="s">
        <v>59</v>
      </c>
      <c r="AF316">
        <v>8</v>
      </c>
      <c r="AG316" t="b">
        <v>0</v>
      </c>
      <c r="AH316">
        <v>8</v>
      </c>
      <c r="AI316" t="s">
        <v>59</v>
      </c>
      <c r="AJ316">
        <v>8</v>
      </c>
      <c r="AK316" t="b">
        <v>0</v>
      </c>
      <c r="AL316">
        <v>8</v>
      </c>
      <c r="AM316" t="b">
        <v>0</v>
      </c>
      <c r="AN316">
        <v>0</v>
      </c>
      <c r="AO316" t="b">
        <v>0</v>
      </c>
      <c r="AQ316">
        <v>13.39</v>
      </c>
      <c r="AR316">
        <v>13.39</v>
      </c>
      <c r="AS316">
        <v>0</v>
      </c>
      <c r="AT316" t="b">
        <v>0</v>
      </c>
      <c r="AU316" t="b">
        <v>1</v>
      </c>
      <c r="BA316" t="str">
        <f t="shared" si="8"/>
        <v>Normal</v>
      </c>
      <c r="BG316" t="str">
        <f t="shared" si="9"/>
        <v>Normal</v>
      </c>
    </row>
    <row r="317" spans="1:59" x14ac:dyDescent="0.2">
      <c r="A317" t="s">
        <v>42</v>
      </c>
      <c r="B317" t="s">
        <v>43</v>
      </c>
      <c r="C317">
        <v>20220101</v>
      </c>
      <c r="D317">
        <v>2022</v>
      </c>
      <c r="E317">
        <v>52</v>
      </c>
      <c r="F317" t="s">
        <v>299</v>
      </c>
      <c r="G317">
        <v>120</v>
      </c>
      <c r="H317" t="s">
        <v>92</v>
      </c>
      <c r="I317" t="s">
        <v>93</v>
      </c>
      <c r="J317" t="s">
        <v>47</v>
      </c>
      <c r="K317" t="s">
        <v>48</v>
      </c>
      <c r="L317">
        <v>0</v>
      </c>
      <c r="M317" t="s">
        <v>49</v>
      </c>
      <c r="N317" t="s">
        <v>50</v>
      </c>
      <c r="O317">
        <v>0</v>
      </c>
      <c r="P317" t="s">
        <v>49</v>
      </c>
      <c r="Q317" t="s">
        <v>50</v>
      </c>
      <c r="R317" t="s">
        <v>300</v>
      </c>
      <c r="S317" t="s">
        <v>52</v>
      </c>
      <c r="T317" t="b">
        <v>1</v>
      </c>
      <c r="U317" t="s">
        <v>53</v>
      </c>
      <c r="V317" t="s">
        <v>54</v>
      </c>
      <c r="W317">
        <v>4</v>
      </c>
      <c r="X317" t="b">
        <v>0</v>
      </c>
      <c r="Y317" t="s">
        <v>55</v>
      </c>
      <c r="Z317" t="s">
        <v>56</v>
      </c>
      <c r="AA317" t="s">
        <v>57</v>
      </c>
      <c r="AB317">
        <v>0</v>
      </c>
      <c r="AC317" t="s">
        <v>58</v>
      </c>
      <c r="AD317">
        <v>8</v>
      </c>
      <c r="AE317" t="s">
        <v>59</v>
      </c>
      <c r="AF317">
        <v>3570648700</v>
      </c>
      <c r="AG317" t="b">
        <v>0</v>
      </c>
      <c r="AH317">
        <v>8</v>
      </c>
      <c r="AI317" t="s">
        <v>59</v>
      </c>
      <c r="AJ317">
        <v>3570648700</v>
      </c>
      <c r="AK317" t="b">
        <v>0</v>
      </c>
      <c r="AL317">
        <v>3570648700</v>
      </c>
      <c r="AM317" t="b">
        <v>0</v>
      </c>
      <c r="AN317">
        <v>0</v>
      </c>
      <c r="AO317" t="b">
        <v>0</v>
      </c>
      <c r="AQ317">
        <v>2445344018.7259998</v>
      </c>
      <c r="AR317">
        <v>2445344018.7259998</v>
      </c>
      <c r="AS317">
        <v>0</v>
      </c>
      <c r="AT317" t="b">
        <v>0</v>
      </c>
      <c r="AU317" t="b">
        <v>1</v>
      </c>
      <c r="BA317" t="str">
        <f t="shared" si="8"/>
        <v>Normal</v>
      </c>
      <c r="BG317" t="str">
        <f t="shared" si="9"/>
        <v>Normal</v>
      </c>
    </row>
    <row r="318" spans="1:59" x14ac:dyDescent="0.2">
      <c r="A318" t="s">
        <v>42</v>
      </c>
      <c r="B318" t="s">
        <v>43</v>
      </c>
      <c r="C318">
        <v>20220101</v>
      </c>
      <c r="D318">
        <v>2022</v>
      </c>
      <c r="E318">
        <v>52</v>
      </c>
      <c r="F318" t="s">
        <v>299</v>
      </c>
      <c r="G318">
        <v>124</v>
      </c>
      <c r="H318" t="s">
        <v>94</v>
      </c>
      <c r="I318" t="s">
        <v>95</v>
      </c>
      <c r="J318" t="s">
        <v>47</v>
      </c>
      <c r="K318" t="s">
        <v>48</v>
      </c>
      <c r="L318">
        <v>0</v>
      </c>
      <c r="M318" t="s">
        <v>49</v>
      </c>
      <c r="N318" t="s">
        <v>50</v>
      </c>
      <c r="O318">
        <v>0</v>
      </c>
      <c r="P318" t="s">
        <v>49</v>
      </c>
      <c r="Q318" t="s">
        <v>50</v>
      </c>
      <c r="R318" t="s">
        <v>300</v>
      </c>
      <c r="S318" t="s">
        <v>52</v>
      </c>
      <c r="T318" t="b">
        <v>1</v>
      </c>
      <c r="U318" t="s">
        <v>53</v>
      </c>
      <c r="V318" t="s">
        <v>54</v>
      </c>
      <c r="W318">
        <v>4</v>
      </c>
      <c r="X318" t="b">
        <v>0</v>
      </c>
      <c r="Y318" t="s">
        <v>55</v>
      </c>
      <c r="Z318" t="s">
        <v>56</v>
      </c>
      <c r="AA318" t="s">
        <v>57</v>
      </c>
      <c r="AB318">
        <v>0</v>
      </c>
      <c r="AC318" t="s">
        <v>58</v>
      </c>
      <c r="AD318">
        <v>8</v>
      </c>
      <c r="AE318" t="s">
        <v>59</v>
      </c>
      <c r="AF318">
        <v>178306480693.33801</v>
      </c>
      <c r="AG318" t="b">
        <v>1</v>
      </c>
      <c r="AH318">
        <v>-1</v>
      </c>
      <c r="AI318" t="s">
        <v>73</v>
      </c>
      <c r="AJ318">
        <v>0</v>
      </c>
      <c r="AK318" t="b">
        <v>0</v>
      </c>
      <c r="AL318">
        <v>178306480693.33801</v>
      </c>
      <c r="AM318" t="b">
        <v>1</v>
      </c>
      <c r="AN318">
        <v>0</v>
      </c>
      <c r="AO318" t="b">
        <v>0</v>
      </c>
      <c r="AQ318">
        <v>120391288495.24699</v>
      </c>
      <c r="AR318">
        <v>120391288495.24699</v>
      </c>
      <c r="AS318">
        <v>6</v>
      </c>
      <c r="AT318" t="b">
        <v>0</v>
      </c>
      <c r="AU318" t="b">
        <v>1</v>
      </c>
      <c r="BA318" t="str">
        <f t="shared" si="8"/>
        <v>Normal</v>
      </c>
      <c r="BG318" t="str">
        <f t="shared" si="9"/>
        <v>Normal</v>
      </c>
    </row>
    <row r="319" spans="1:59" x14ac:dyDescent="0.2">
      <c r="A319" t="s">
        <v>42</v>
      </c>
      <c r="B319" t="s">
        <v>43</v>
      </c>
      <c r="C319">
        <v>20220101</v>
      </c>
      <c r="D319">
        <v>2022</v>
      </c>
      <c r="E319">
        <v>52</v>
      </c>
      <c r="F319" t="s">
        <v>299</v>
      </c>
      <c r="G319">
        <v>152</v>
      </c>
      <c r="H319" t="s">
        <v>272</v>
      </c>
      <c r="I319" t="s">
        <v>273</v>
      </c>
      <c r="J319" t="s">
        <v>47</v>
      </c>
      <c r="K319" t="s">
        <v>48</v>
      </c>
      <c r="L319">
        <v>0</v>
      </c>
      <c r="M319" t="s">
        <v>49</v>
      </c>
      <c r="N319" t="s">
        <v>50</v>
      </c>
      <c r="O319">
        <v>0</v>
      </c>
      <c r="P319" t="s">
        <v>49</v>
      </c>
      <c r="Q319" t="s">
        <v>50</v>
      </c>
      <c r="R319" t="s">
        <v>300</v>
      </c>
      <c r="S319" t="s">
        <v>52</v>
      </c>
      <c r="T319" t="b">
        <v>1</v>
      </c>
      <c r="U319" t="s">
        <v>53</v>
      </c>
      <c r="V319" t="s">
        <v>54</v>
      </c>
      <c r="W319">
        <v>4</v>
      </c>
      <c r="X319" t="b">
        <v>0</v>
      </c>
      <c r="Y319" t="s">
        <v>55</v>
      </c>
      <c r="Z319" t="s">
        <v>56</v>
      </c>
      <c r="AA319" t="s">
        <v>57</v>
      </c>
      <c r="AB319">
        <v>0</v>
      </c>
      <c r="AC319" t="s">
        <v>58</v>
      </c>
      <c r="AD319">
        <v>8</v>
      </c>
      <c r="AE319" t="s">
        <v>59</v>
      </c>
      <c r="AF319">
        <v>58483410</v>
      </c>
      <c r="AG319" t="b">
        <v>0</v>
      </c>
      <c r="AH319">
        <v>8</v>
      </c>
      <c r="AI319" t="s">
        <v>59</v>
      </c>
      <c r="AJ319">
        <v>58483410</v>
      </c>
      <c r="AK319" t="b">
        <v>0</v>
      </c>
      <c r="AL319">
        <v>58483410</v>
      </c>
      <c r="AM319" t="b">
        <v>0</v>
      </c>
      <c r="AN319">
        <v>0</v>
      </c>
      <c r="AO319" t="b">
        <v>0</v>
      </c>
      <c r="AQ319">
        <v>37836314.780000001</v>
      </c>
      <c r="AR319">
        <v>37836314.780000001</v>
      </c>
      <c r="AS319">
        <v>0</v>
      </c>
      <c r="AT319" t="b">
        <v>0</v>
      </c>
      <c r="AU319" t="b">
        <v>1</v>
      </c>
      <c r="BA319" t="str">
        <f t="shared" si="8"/>
        <v>Normal</v>
      </c>
      <c r="BG319" t="str">
        <f t="shared" si="9"/>
        <v>Normal</v>
      </c>
    </row>
    <row r="320" spans="1:59" x14ac:dyDescent="0.2">
      <c r="A320" t="s">
        <v>42</v>
      </c>
      <c r="B320" t="s">
        <v>43</v>
      </c>
      <c r="C320">
        <v>20220101</v>
      </c>
      <c r="D320">
        <v>2022</v>
      </c>
      <c r="E320">
        <v>52</v>
      </c>
      <c r="F320" t="s">
        <v>299</v>
      </c>
      <c r="G320">
        <v>156</v>
      </c>
      <c r="H320" t="s">
        <v>96</v>
      </c>
      <c r="I320" t="s">
        <v>97</v>
      </c>
      <c r="J320" t="s">
        <v>47</v>
      </c>
      <c r="K320" t="s">
        <v>48</v>
      </c>
      <c r="L320">
        <v>0</v>
      </c>
      <c r="M320" t="s">
        <v>49</v>
      </c>
      <c r="N320" t="s">
        <v>50</v>
      </c>
      <c r="O320">
        <v>0</v>
      </c>
      <c r="P320" t="s">
        <v>49</v>
      </c>
      <c r="Q320" t="s">
        <v>50</v>
      </c>
      <c r="R320" t="s">
        <v>300</v>
      </c>
      <c r="S320" t="s">
        <v>52</v>
      </c>
      <c r="T320" t="b">
        <v>1</v>
      </c>
      <c r="U320" t="s">
        <v>53</v>
      </c>
      <c r="V320" t="s">
        <v>54</v>
      </c>
      <c r="W320">
        <v>4</v>
      </c>
      <c r="X320" t="b">
        <v>0</v>
      </c>
      <c r="Y320" t="s">
        <v>55</v>
      </c>
      <c r="Z320" t="s">
        <v>56</v>
      </c>
      <c r="AA320" t="s">
        <v>57</v>
      </c>
      <c r="AB320">
        <v>0</v>
      </c>
      <c r="AC320" t="s">
        <v>58</v>
      </c>
      <c r="AD320">
        <v>8</v>
      </c>
      <c r="AE320" t="s">
        <v>59</v>
      </c>
      <c r="AF320">
        <v>2052010500</v>
      </c>
      <c r="AG320" t="b">
        <v>0</v>
      </c>
      <c r="AH320">
        <v>8</v>
      </c>
      <c r="AI320" t="s">
        <v>59</v>
      </c>
      <c r="AJ320">
        <v>2052010500</v>
      </c>
      <c r="AK320" t="b">
        <v>0</v>
      </c>
      <c r="AL320">
        <v>2052010500</v>
      </c>
      <c r="AM320" t="b">
        <v>0</v>
      </c>
      <c r="AN320">
        <v>0</v>
      </c>
      <c r="AO320" t="b">
        <v>0</v>
      </c>
      <c r="AQ320">
        <v>1438103655</v>
      </c>
      <c r="AR320">
        <v>1438103655</v>
      </c>
      <c r="AS320">
        <v>0</v>
      </c>
      <c r="AT320" t="b">
        <v>0</v>
      </c>
      <c r="AU320" t="b">
        <v>1</v>
      </c>
      <c r="BA320" t="str">
        <f t="shared" si="8"/>
        <v>Normal</v>
      </c>
      <c r="BG320" t="str">
        <f t="shared" si="9"/>
        <v>Normal</v>
      </c>
    </row>
    <row r="321" spans="1:59" x14ac:dyDescent="0.2">
      <c r="A321" t="s">
        <v>42</v>
      </c>
      <c r="B321" t="s">
        <v>43</v>
      </c>
      <c r="C321">
        <v>20220101</v>
      </c>
      <c r="D321">
        <v>2022</v>
      </c>
      <c r="E321">
        <v>52</v>
      </c>
      <c r="F321" t="s">
        <v>299</v>
      </c>
      <c r="G321">
        <v>170</v>
      </c>
      <c r="H321" t="s">
        <v>98</v>
      </c>
      <c r="I321" t="s">
        <v>99</v>
      </c>
      <c r="J321" t="s">
        <v>47</v>
      </c>
      <c r="K321" t="s">
        <v>48</v>
      </c>
      <c r="L321">
        <v>0</v>
      </c>
      <c r="M321" t="s">
        <v>49</v>
      </c>
      <c r="N321" t="s">
        <v>50</v>
      </c>
      <c r="O321">
        <v>0</v>
      </c>
      <c r="P321" t="s">
        <v>49</v>
      </c>
      <c r="Q321" t="s">
        <v>50</v>
      </c>
      <c r="R321" t="s">
        <v>300</v>
      </c>
      <c r="S321" t="s">
        <v>52</v>
      </c>
      <c r="T321" t="b">
        <v>1</v>
      </c>
      <c r="U321" t="s">
        <v>53</v>
      </c>
      <c r="V321" t="s">
        <v>54</v>
      </c>
      <c r="W321">
        <v>4</v>
      </c>
      <c r="X321" t="b">
        <v>0</v>
      </c>
      <c r="Y321" t="s">
        <v>55</v>
      </c>
      <c r="Z321" t="s">
        <v>56</v>
      </c>
      <c r="AA321" t="s">
        <v>57</v>
      </c>
      <c r="AB321">
        <v>0</v>
      </c>
      <c r="AC321" t="s">
        <v>58</v>
      </c>
      <c r="AD321">
        <v>8</v>
      </c>
      <c r="AE321" t="s">
        <v>59</v>
      </c>
      <c r="AF321">
        <v>25941151610</v>
      </c>
      <c r="AG321" t="b">
        <v>0</v>
      </c>
      <c r="AH321">
        <v>12</v>
      </c>
      <c r="AI321" t="s">
        <v>70</v>
      </c>
      <c r="AJ321">
        <v>28058793.620000001</v>
      </c>
      <c r="AK321" t="b">
        <v>0</v>
      </c>
      <c r="AL321">
        <v>25941151610</v>
      </c>
      <c r="AM321" t="b">
        <v>0</v>
      </c>
      <c r="AN321">
        <v>0</v>
      </c>
      <c r="AO321" t="b">
        <v>0</v>
      </c>
      <c r="AQ321">
        <v>15836623713.1</v>
      </c>
      <c r="AR321">
        <v>15836623713.1</v>
      </c>
      <c r="AS321">
        <v>0</v>
      </c>
      <c r="AT321" t="b">
        <v>0</v>
      </c>
      <c r="AU321" t="b">
        <v>1</v>
      </c>
      <c r="BA321" t="str">
        <f t="shared" si="8"/>
        <v>Normal</v>
      </c>
      <c r="BG321" t="str">
        <f t="shared" si="9"/>
        <v>Normal</v>
      </c>
    </row>
    <row r="322" spans="1:59" x14ac:dyDescent="0.2">
      <c r="A322" t="s">
        <v>42</v>
      </c>
      <c r="B322" t="s">
        <v>43</v>
      </c>
      <c r="C322">
        <v>20220101</v>
      </c>
      <c r="D322">
        <v>2022</v>
      </c>
      <c r="E322">
        <v>52</v>
      </c>
      <c r="F322" t="s">
        <v>299</v>
      </c>
      <c r="G322">
        <v>178</v>
      </c>
      <c r="H322" t="s">
        <v>100</v>
      </c>
      <c r="I322" t="s">
        <v>101</v>
      </c>
      <c r="J322" t="s">
        <v>47</v>
      </c>
      <c r="K322" t="s">
        <v>48</v>
      </c>
      <c r="L322">
        <v>0</v>
      </c>
      <c r="M322" t="s">
        <v>49</v>
      </c>
      <c r="N322" t="s">
        <v>50</v>
      </c>
      <c r="O322">
        <v>0</v>
      </c>
      <c r="P322" t="s">
        <v>49</v>
      </c>
      <c r="Q322" t="s">
        <v>50</v>
      </c>
      <c r="R322" t="s">
        <v>51</v>
      </c>
      <c r="S322" t="s">
        <v>52</v>
      </c>
      <c r="T322" t="b">
        <v>1</v>
      </c>
      <c r="U322" t="s">
        <v>53</v>
      </c>
      <c r="V322" t="s">
        <v>54</v>
      </c>
      <c r="W322">
        <v>4</v>
      </c>
      <c r="X322" t="b">
        <v>0</v>
      </c>
      <c r="Y322" t="s">
        <v>55</v>
      </c>
      <c r="Z322" t="s">
        <v>56</v>
      </c>
      <c r="AA322" t="s">
        <v>57</v>
      </c>
      <c r="AB322">
        <v>0</v>
      </c>
      <c r="AC322" t="s">
        <v>58</v>
      </c>
      <c r="AD322">
        <v>8</v>
      </c>
      <c r="AE322" t="s">
        <v>59</v>
      </c>
      <c r="AF322">
        <v>13630647779.174</v>
      </c>
      <c r="AG322" t="b">
        <v>1</v>
      </c>
      <c r="AH322">
        <v>-1</v>
      </c>
      <c r="AI322" t="s">
        <v>73</v>
      </c>
      <c r="AJ322">
        <v>0</v>
      </c>
      <c r="AK322" t="b">
        <v>0</v>
      </c>
      <c r="AL322">
        <v>13630647779.174</v>
      </c>
      <c r="AM322" t="b">
        <v>1</v>
      </c>
      <c r="AN322">
        <v>0</v>
      </c>
      <c r="AO322" t="b">
        <v>0</v>
      </c>
      <c r="AQ322">
        <v>6634290450.5679998</v>
      </c>
      <c r="AR322">
        <v>6634290450.5679998</v>
      </c>
      <c r="AS322">
        <v>6</v>
      </c>
      <c r="AT322" t="b">
        <v>0</v>
      </c>
      <c r="AU322" t="b">
        <v>1</v>
      </c>
      <c r="BA322" t="str">
        <f t="shared" si="8"/>
        <v>Normal</v>
      </c>
      <c r="BG322" t="str">
        <f t="shared" si="9"/>
        <v>Normal</v>
      </c>
    </row>
    <row r="323" spans="1:59" x14ac:dyDescent="0.2">
      <c r="A323" t="s">
        <v>42</v>
      </c>
      <c r="B323" t="s">
        <v>43</v>
      </c>
      <c r="C323">
        <v>20220101</v>
      </c>
      <c r="D323">
        <v>2022</v>
      </c>
      <c r="E323">
        <v>52</v>
      </c>
      <c r="F323" t="s">
        <v>299</v>
      </c>
      <c r="G323">
        <v>180</v>
      </c>
      <c r="H323" t="s">
        <v>102</v>
      </c>
      <c r="I323" t="s">
        <v>103</v>
      </c>
      <c r="J323" t="s">
        <v>47</v>
      </c>
      <c r="K323" t="s">
        <v>48</v>
      </c>
      <c r="L323">
        <v>0</v>
      </c>
      <c r="M323" t="s">
        <v>49</v>
      </c>
      <c r="N323" t="s">
        <v>50</v>
      </c>
      <c r="O323">
        <v>0</v>
      </c>
      <c r="P323" t="s">
        <v>49</v>
      </c>
      <c r="Q323" t="s">
        <v>50</v>
      </c>
      <c r="R323" t="s">
        <v>104</v>
      </c>
      <c r="S323" t="s">
        <v>52</v>
      </c>
      <c r="T323" t="b">
        <v>1</v>
      </c>
      <c r="U323" t="s">
        <v>53</v>
      </c>
      <c r="V323" t="s">
        <v>54</v>
      </c>
      <c r="W323">
        <v>4</v>
      </c>
      <c r="X323" t="b">
        <v>0</v>
      </c>
      <c r="Y323" t="s">
        <v>55</v>
      </c>
      <c r="Z323" t="s">
        <v>56</v>
      </c>
      <c r="AA323" t="s">
        <v>57</v>
      </c>
      <c r="AB323">
        <v>0</v>
      </c>
      <c r="AC323" t="s">
        <v>58</v>
      </c>
      <c r="AD323">
        <v>8</v>
      </c>
      <c r="AE323" t="s">
        <v>59</v>
      </c>
      <c r="AF323">
        <v>6</v>
      </c>
      <c r="AG323" t="b">
        <v>0</v>
      </c>
      <c r="AH323">
        <v>8</v>
      </c>
      <c r="AI323" t="s">
        <v>59</v>
      </c>
      <c r="AJ323">
        <v>6</v>
      </c>
      <c r="AK323" t="b">
        <v>0</v>
      </c>
      <c r="AL323">
        <v>6</v>
      </c>
      <c r="AM323" t="b">
        <v>0</v>
      </c>
      <c r="AN323">
        <v>0</v>
      </c>
      <c r="AO323" t="b">
        <v>0</v>
      </c>
      <c r="AQ323">
        <v>601.58399999999995</v>
      </c>
      <c r="AR323">
        <v>601.58399999999995</v>
      </c>
      <c r="AS323">
        <v>0</v>
      </c>
      <c r="AT323" t="b">
        <v>0</v>
      </c>
      <c r="AU323" t="b">
        <v>1</v>
      </c>
      <c r="BA323" t="str">
        <f t="shared" ref="BA323:BA386" si="10">IF(OR(AJ323&lt;AY323,AJ897&gt;AZ323),"Outlier","Normal")</f>
        <v>Normal</v>
      </c>
      <c r="BG323" t="str">
        <f t="shared" ref="BG323:BG386" si="11">IF(OR(AQ323&lt;BE323,AQ897&gt;BF323),"Outlier","Normal")</f>
        <v>Normal</v>
      </c>
    </row>
    <row r="324" spans="1:59" x14ac:dyDescent="0.2">
      <c r="A324" t="s">
        <v>42</v>
      </c>
      <c r="B324" t="s">
        <v>43</v>
      </c>
      <c r="C324">
        <v>20220101</v>
      </c>
      <c r="D324">
        <v>2022</v>
      </c>
      <c r="E324">
        <v>52</v>
      </c>
      <c r="F324" t="s">
        <v>299</v>
      </c>
      <c r="G324">
        <v>191</v>
      </c>
      <c r="H324" t="s">
        <v>105</v>
      </c>
      <c r="I324" t="s">
        <v>106</v>
      </c>
      <c r="J324" t="s">
        <v>47</v>
      </c>
      <c r="K324" t="s">
        <v>48</v>
      </c>
      <c r="L324">
        <v>0</v>
      </c>
      <c r="M324" t="s">
        <v>49</v>
      </c>
      <c r="N324" t="s">
        <v>50</v>
      </c>
      <c r="O324">
        <v>0</v>
      </c>
      <c r="P324" t="s">
        <v>49</v>
      </c>
      <c r="Q324" t="s">
        <v>50</v>
      </c>
      <c r="R324" t="s">
        <v>300</v>
      </c>
      <c r="S324" t="s">
        <v>52</v>
      </c>
      <c r="T324" t="b">
        <v>1</v>
      </c>
      <c r="U324" t="s">
        <v>53</v>
      </c>
      <c r="V324" t="s">
        <v>54</v>
      </c>
      <c r="W324">
        <v>4</v>
      </c>
      <c r="X324" t="b">
        <v>0</v>
      </c>
      <c r="Y324" t="s">
        <v>55</v>
      </c>
      <c r="Z324" t="s">
        <v>56</v>
      </c>
      <c r="AA324" t="s">
        <v>57</v>
      </c>
      <c r="AB324">
        <v>0</v>
      </c>
      <c r="AC324" t="s">
        <v>58</v>
      </c>
      <c r="AD324">
        <v>8</v>
      </c>
      <c r="AE324" t="s">
        <v>59</v>
      </c>
      <c r="AF324">
        <v>562127671</v>
      </c>
      <c r="AG324" t="b">
        <v>0</v>
      </c>
      <c r="AH324">
        <v>8</v>
      </c>
      <c r="AI324" t="s">
        <v>59</v>
      </c>
      <c r="AJ324">
        <v>562127671</v>
      </c>
      <c r="AK324" t="b">
        <v>0</v>
      </c>
      <c r="AL324">
        <v>562127671</v>
      </c>
      <c r="AM324" t="b">
        <v>0</v>
      </c>
      <c r="AN324">
        <v>0</v>
      </c>
      <c r="AO324" t="b">
        <v>0</v>
      </c>
      <c r="AQ324">
        <v>391327310</v>
      </c>
      <c r="AR324">
        <v>391327310</v>
      </c>
      <c r="AS324">
        <v>0</v>
      </c>
      <c r="AT324" t="b">
        <v>0</v>
      </c>
      <c r="AU324" t="b">
        <v>1</v>
      </c>
      <c r="BA324" t="str">
        <f t="shared" si="10"/>
        <v>Normal</v>
      </c>
      <c r="BG324" t="str">
        <f t="shared" si="11"/>
        <v>Normal</v>
      </c>
    </row>
    <row r="325" spans="1:59" x14ac:dyDescent="0.2">
      <c r="A325" t="s">
        <v>42</v>
      </c>
      <c r="B325" t="s">
        <v>43</v>
      </c>
      <c r="C325">
        <v>20220101</v>
      </c>
      <c r="D325">
        <v>2022</v>
      </c>
      <c r="E325">
        <v>52</v>
      </c>
      <c r="F325" t="s">
        <v>299</v>
      </c>
      <c r="G325">
        <v>203</v>
      </c>
      <c r="H325" t="s">
        <v>107</v>
      </c>
      <c r="I325" t="s">
        <v>108</v>
      </c>
      <c r="J325" t="s">
        <v>47</v>
      </c>
      <c r="K325" t="s">
        <v>48</v>
      </c>
      <c r="L325">
        <v>0</v>
      </c>
      <c r="M325" t="s">
        <v>49</v>
      </c>
      <c r="N325" t="s">
        <v>50</v>
      </c>
      <c r="O325">
        <v>0</v>
      </c>
      <c r="P325" t="s">
        <v>49</v>
      </c>
      <c r="Q325" t="s">
        <v>50</v>
      </c>
      <c r="R325" t="s">
        <v>300</v>
      </c>
      <c r="S325" t="s">
        <v>52</v>
      </c>
      <c r="T325" t="b">
        <v>1</v>
      </c>
      <c r="U325" t="s">
        <v>53</v>
      </c>
      <c r="V325" t="s">
        <v>54</v>
      </c>
      <c r="W325">
        <v>4</v>
      </c>
      <c r="X325" t="b">
        <v>0</v>
      </c>
      <c r="Y325" t="s">
        <v>55</v>
      </c>
      <c r="Z325" t="s">
        <v>56</v>
      </c>
      <c r="AA325" t="s">
        <v>57</v>
      </c>
      <c r="AB325">
        <v>0</v>
      </c>
      <c r="AC325" t="s">
        <v>58</v>
      </c>
      <c r="AD325">
        <v>8</v>
      </c>
      <c r="AE325" t="s">
        <v>59</v>
      </c>
      <c r="AF325">
        <v>1340</v>
      </c>
      <c r="AG325" t="b">
        <v>0</v>
      </c>
      <c r="AH325">
        <v>8</v>
      </c>
      <c r="AI325" t="s">
        <v>59</v>
      </c>
      <c r="AJ325">
        <v>1340</v>
      </c>
      <c r="AK325" t="b">
        <v>0</v>
      </c>
      <c r="AL325">
        <v>1340</v>
      </c>
      <c r="AM325" t="b">
        <v>0</v>
      </c>
      <c r="AN325">
        <v>0</v>
      </c>
      <c r="AO325" t="b">
        <v>0</v>
      </c>
      <c r="AQ325">
        <v>9836</v>
      </c>
      <c r="AR325">
        <v>9836</v>
      </c>
      <c r="AS325">
        <v>0</v>
      </c>
      <c r="AT325" t="b">
        <v>0</v>
      </c>
      <c r="AU325" t="b">
        <v>1</v>
      </c>
      <c r="BA325" t="str">
        <f t="shared" si="10"/>
        <v>Normal</v>
      </c>
      <c r="BG325" t="str">
        <f t="shared" si="11"/>
        <v>Normal</v>
      </c>
    </row>
    <row r="326" spans="1:59" x14ac:dyDescent="0.2">
      <c r="A326" t="s">
        <v>42</v>
      </c>
      <c r="B326" t="s">
        <v>43</v>
      </c>
      <c r="C326">
        <v>20220101</v>
      </c>
      <c r="D326">
        <v>2022</v>
      </c>
      <c r="E326">
        <v>52</v>
      </c>
      <c r="F326" t="s">
        <v>299</v>
      </c>
      <c r="G326">
        <v>208</v>
      </c>
      <c r="H326" t="s">
        <v>109</v>
      </c>
      <c r="I326" t="s">
        <v>110</v>
      </c>
      <c r="J326" t="s">
        <v>47</v>
      </c>
      <c r="K326" t="s">
        <v>48</v>
      </c>
      <c r="L326">
        <v>0</v>
      </c>
      <c r="M326" t="s">
        <v>49</v>
      </c>
      <c r="N326" t="s">
        <v>50</v>
      </c>
      <c r="O326">
        <v>0</v>
      </c>
      <c r="P326" t="s">
        <v>49</v>
      </c>
      <c r="Q326" t="s">
        <v>50</v>
      </c>
      <c r="R326" t="s">
        <v>300</v>
      </c>
      <c r="S326" t="s">
        <v>52</v>
      </c>
      <c r="T326" t="b">
        <v>1</v>
      </c>
      <c r="U326" t="s">
        <v>53</v>
      </c>
      <c r="V326" t="s">
        <v>54</v>
      </c>
      <c r="W326">
        <v>4</v>
      </c>
      <c r="X326" t="b">
        <v>0</v>
      </c>
      <c r="Y326" t="s">
        <v>55</v>
      </c>
      <c r="Z326" t="s">
        <v>56</v>
      </c>
      <c r="AA326" t="s">
        <v>57</v>
      </c>
      <c r="AB326">
        <v>0</v>
      </c>
      <c r="AC326" t="s">
        <v>58</v>
      </c>
      <c r="AD326">
        <v>-1</v>
      </c>
      <c r="AE326" t="s">
        <v>73</v>
      </c>
      <c r="AF326">
        <v>0</v>
      </c>
      <c r="AG326" t="b">
        <v>0</v>
      </c>
      <c r="AH326">
        <v>-1</v>
      </c>
      <c r="AI326" t="s">
        <v>73</v>
      </c>
      <c r="AJ326">
        <v>0</v>
      </c>
      <c r="AK326" t="b">
        <v>0</v>
      </c>
      <c r="AM326" t="b">
        <v>0</v>
      </c>
      <c r="AN326">
        <v>0</v>
      </c>
      <c r="AO326" t="b">
        <v>0</v>
      </c>
      <c r="AQ326">
        <v>365370665.43199998</v>
      </c>
      <c r="AR326">
        <v>365370665.43199998</v>
      </c>
      <c r="AS326">
        <v>0</v>
      </c>
      <c r="AT326" t="b">
        <v>0</v>
      </c>
      <c r="AU326" t="b">
        <v>1</v>
      </c>
      <c r="BA326" t="str">
        <f t="shared" si="10"/>
        <v>Normal</v>
      </c>
      <c r="BG326" t="str">
        <f t="shared" si="11"/>
        <v>Normal</v>
      </c>
    </row>
    <row r="327" spans="1:59" x14ac:dyDescent="0.2">
      <c r="A327" t="s">
        <v>42</v>
      </c>
      <c r="B327" t="s">
        <v>43</v>
      </c>
      <c r="C327">
        <v>20220101</v>
      </c>
      <c r="D327">
        <v>2022</v>
      </c>
      <c r="E327">
        <v>52</v>
      </c>
      <c r="F327" t="s">
        <v>299</v>
      </c>
      <c r="G327">
        <v>212</v>
      </c>
      <c r="H327" t="s">
        <v>290</v>
      </c>
      <c r="I327" t="s">
        <v>291</v>
      </c>
      <c r="J327" t="s">
        <v>47</v>
      </c>
      <c r="K327" t="s">
        <v>48</v>
      </c>
      <c r="L327">
        <v>0</v>
      </c>
      <c r="M327" t="s">
        <v>49</v>
      </c>
      <c r="N327" t="s">
        <v>50</v>
      </c>
      <c r="O327">
        <v>0</v>
      </c>
      <c r="P327" t="s">
        <v>49</v>
      </c>
      <c r="Q327" t="s">
        <v>50</v>
      </c>
      <c r="R327" t="s">
        <v>51</v>
      </c>
      <c r="S327" t="s">
        <v>52</v>
      </c>
      <c r="T327" t="b">
        <v>1</v>
      </c>
      <c r="U327" t="s">
        <v>53</v>
      </c>
      <c r="V327" t="s">
        <v>54</v>
      </c>
      <c r="W327">
        <v>4</v>
      </c>
      <c r="X327" t="b">
        <v>0</v>
      </c>
      <c r="Y327" t="s">
        <v>55</v>
      </c>
      <c r="Z327" t="s">
        <v>56</v>
      </c>
      <c r="AA327" t="s">
        <v>57</v>
      </c>
      <c r="AB327">
        <v>0</v>
      </c>
      <c r="AC327" t="s">
        <v>58</v>
      </c>
      <c r="AD327">
        <v>8</v>
      </c>
      <c r="AE327" t="s">
        <v>59</v>
      </c>
      <c r="AF327">
        <v>54</v>
      </c>
      <c r="AG327" t="b">
        <v>0</v>
      </c>
      <c r="AH327">
        <v>8</v>
      </c>
      <c r="AI327" t="s">
        <v>59</v>
      </c>
      <c r="AJ327">
        <v>54</v>
      </c>
      <c r="AK327" t="b">
        <v>0</v>
      </c>
      <c r="AL327">
        <v>54</v>
      </c>
      <c r="AM327" t="b">
        <v>0</v>
      </c>
      <c r="AN327">
        <v>0</v>
      </c>
      <c r="AO327" t="b">
        <v>0</v>
      </c>
      <c r="AQ327">
        <v>74.073999999999998</v>
      </c>
      <c r="AR327">
        <v>74.073999999999998</v>
      </c>
      <c r="AS327">
        <v>0</v>
      </c>
      <c r="AT327" t="b">
        <v>0</v>
      </c>
      <c r="AU327" t="b">
        <v>1</v>
      </c>
      <c r="BA327" t="str">
        <f t="shared" si="10"/>
        <v>Normal</v>
      </c>
      <c r="BG327" t="str">
        <f t="shared" si="11"/>
        <v>Normal</v>
      </c>
    </row>
    <row r="328" spans="1:59" x14ac:dyDescent="0.2">
      <c r="A328" t="s">
        <v>42</v>
      </c>
      <c r="B328" t="s">
        <v>43</v>
      </c>
      <c r="C328">
        <v>20220101</v>
      </c>
      <c r="D328">
        <v>2022</v>
      </c>
      <c r="E328">
        <v>52</v>
      </c>
      <c r="F328" t="s">
        <v>299</v>
      </c>
      <c r="G328">
        <v>214</v>
      </c>
      <c r="H328" t="s">
        <v>111</v>
      </c>
      <c r="I328" t="s">
        <v>112</v>
      </c>
      <c r="J328" t="s">
        <v>47</v>
      </c>
      <c r="K328" t="s">
        <v>48</v>
      </c>
      <c r="L328">
        <v>0</v>
      </c>
      <c r="M328" t="s">
        <v>49</v>
      </c>
      <c r="N328" t="s">
        <v>50</v>
      </c>
      <c r="O328">
        <v>0</v>
      </c>
      <c r="P328" t="s">
        <v>49</v>
      </c>
      <c r="Q328" t="s">
        <v>50</v>
      </c>
      <c r="R328" t="s">
        <v>51</v>
      </c>
      <c r="S328" t="s">
        <v>52</v>
      </c>
      <c r="T328" t="b">
        <v>1</v>
      </c>
      <c r="U328" t="s">
        <v>53</v>
      </c>
      <c r="V328" t="s">
        <v>54</v>
      </c>
      <c r="W328">
        <v>4</v>
      </c>
      <c r="X328" t="b">
        <v>0</v>
      </c>
      <c r="Y328" t="s">
        <v>55</v>
      </c>
      <c r="Z328" t="s">
        <v>56</v>
      </c>
      <c r="AA328" t="s">
        <v>57</v>
      </c>
      <c r="AB328">
        <v>0</v>
      </c>
      <c r="AC328" t="s">
        <v>58</v>
      </c>
      <c r="AD328">
        <v>8</v>
      </c>
      <c r="AE328" t="s">
        <v>59</v>
      </c>
      <c r="AF328">
        <v>17</v>
      </c>
      <c r="AG328" t="b">
        <v>0</v>
      </c>
      <c r="AH328">
        <v>5</v>
      </c>
      <c r="AI328" t="s">
        <v>292</v>
      </c>
      <c r="AJ328">
        <v>17</v>
      </c>
      <c r="AK328" t="b">
        <v>0</v>
      </c>
      <c r="AL328">
        <v>17</v>
      </c>
      <c r="AM328" t="b">
        <v>0</v>
      </c>
      <c r="AN328">
        <v>0</v>
      </c>
      <c r="AO328" t="b">
        <v>0</v>
      </c>
      <c r="AQ328">
        <v>31.79</v>
      </c>
      <c r="AR328">
        <v>31.79</v>
      </c>
      <c r="AS328">
        <v>0</v>
      </c>
      <c r="AT328" t="b">
        <v>0</v>
      </c>
      <c r="AU328" t="b">
        <v>1</v>
      </c>
      <c r="BA328" t="str">
        <f t="shared" si="10"/>
        <v>Normal</v>
      </c>
      <c r="BG328" t="str">
        <f t="shared" si="11"/>
        <v>Normal</v>
      </c>
    </row>
    <row r="329" spans="1:59" x14ac:dyDescent="0.2">
      <c r="A329" t="s">
        <v>42</v>
      </c>
      <c r="B329" t="s">
        <v>43</v>
      </c>
      <c r="C329">
        <v>20220101</v>
      </c>
      <c r="D329">
        <v>2022</v>
      </c>
      <c r="E329">
        <v>52</v>
      </c>
      <c r="F329" t="s">
        <v>299</v>
      </c>
      <c r="G329">
        <v>218</v>
      </c>
      <c r="H329" t="s">
        <v>113</v>
      </c>
      <c r="I329" t="s">
        <v>114</v>
      </c>
      <c r="J329" t="s">
        <v>47</v>
      </c>
      <c r="K329" t="s">
        <v>48</v>
      </c>
      <c r="L329">
        <v>0</v>
      </c>
      <c r="M329" t="s">
        <v>49</v>
      </c>
      <c r="N329" t="s">
        <v>50</v>
      </c>
      <c r="O329">
        <v>0</v>
      </c>
      <c r="P329" t="s">
        <v>49</v>
      </c>
      <c r="Q329" t="s">
        <v>50</v>
      </c>
      <c r="R329" t="s">
        <v>51</v>
      </c>
      <c r="S329" t="s">
        <v>52</v>
      </c>
      <c r="T329" t="b">
        <v>1</v>
      </c>
      <c r="U329" t="s">
        <v>53</v>
      </c>
      <c r="V329" t="s">
        <v>54</v>
      </c>
      <c r="W329">
        <v>4</v>
      </c>
      <c r="X329" t="b">
        <v>0</v>
      </c>
      <c r="Y329" t="s">
        <v>55</v>
      </c>
      <c r="Z329" t="s">
        <v>56</v>
      </c>
      <c r="AA329" t="s">
        <v>57</v>
      </c>
      <c r="AB329">
        <v>0</v>
      </c>
      <c r="AC329" t="s">
        <v>58</v>
      </c>
      <c r="AD329">
        <v>8</v>
      </c>
      <c r="AE329" t="s">
        <v>59</v>
      </c>
      <c r="AF329">
        <v>17633121300</v>
      </c>
      <c r="AG329" t="b">
        <v>0</v>
      </c>
      <c r="AH329">
        <v>21</v>
      </c>
      <c r="AI329" t="s">
        <v>170</v>
      </c>
      <c r="AJ329">
        <v>17633121.300000001</v>
      </c>
      <c r="AK329" t="b">
        <v>0</v>
      </c>
      <c r="AL329">
        <v>17633121300</v>
      </c>
      <c r="AM329" t="b">
        <v>0</v>
      </c>
      <c r="AN329">
        <v>0</v>
      </c>
      <c r="AO329" t="b">
        <v>0</v>
      </c>
      <c r="AQ329">
        <v>10834637184.299999</v>
      </c>
      <c r="AR329">
        <v>10834637184.299999</v>
      </c>
      <c r="AS329">
        <v>0</v>
      </c>
      <c r="AT329" t="b">
        <v>0</v>
      </c>
      <c r="AU329" t="b">
        <v>1</v>
      </c>
      <c r="BA329" t="str">
        <f t="shared" si="10"/>
        <v>Normal</v>
      </c>
      <c r="BG329" t="str">
        <f t="shared" si="11"/>
        <v>Normal</v>
      </c>
    </row>
    <row r="330" spans="1:59" x14ac:dyDescent="0.2">
      <c r="A330" t="s">
        <v>42</v>
      </c>
      <c r="B330" t="s">
        <v>43</v>
      </c>
      <c r="C330">
        <v>20220101</v>
      </c>
      <c r="D330">
        <v>2022</v>
      </c>
      <c r="E330">
        <v>52</v>
      </c>
      <c r="F330" t="s">
        <v>299</v>
      </c>
      <c r="G330">
        <v>233</v>
      </c>
      <c r="H330" t="s">
        <v>117</v>
      </c>
      <c r="I330" t="s">
        <v>118</v>
      </c>
      <c r="J330" t="s">
        <v>47</v>
      </c>
      <c r="K330" t="s">
        <v>48</v>
      </c>
      <c r="L330">
        <v>0</v>
      </c>
      <c r="M330" t="s">
        <v>49</v>
      </c>
      <c r="N330" t="s">
        <v>50</v>
      </c>
      <c r="O330">
        <v>0</v>
      </c>
      <c r="P330" t="s">
        <v>49</v>
      </c>
      <c r="Q330" t="s">
        <v>50</v>
      </c>
      <c r="R330" t="s">
        <v>300</v>
      </c>
      <c r="S330" t="s">
        <v>52</v>
      </c>
      <c r="T330" t="b">
        <v>1</v>
      </c>
      <c r="U330" t="s">
        <v>53</v>
      </c>
      <c r="V330" t="s">
        <v>54</v>
      </c>
      <c r="W330">
        <v>4</v>
      </c>
      <c r="X330" t="b">
        <v>0</v>
      </c>
      <c r="Y330" t="s">
        <v>55</v>
      </c>
      <c r="Z330" t="s">
        <v>56</v>
      </c>
      <c r="AA330" t="s">
        <v>57</v>
      </c>
      <c r="AB330">
        <v>0</v>
      </c>
      <c r="AC330" t="s">
        <v>58</v>
      </c>
      <c r="AD330">
        <v>8</v>
      </c>
      <c r="AE330" t="s">
        <v>59</v>
      </c>
      <c r="AF330">
        <v>34797052.659999996</v>
      </c>
      <c r="AG330" t="b">
        <v>0</v>
      </c>
      <c r="AH330">
        <v>8</v>
      </c>
      <c r="AI330" t="s">
        <v>59</v>
      </c>
      <c r="AJ330">
        <v>34797052.659999996</v>
      </c>
      <c r="AK330" t="b">
        <v>0</v>
      </c>
      <c r="AL330">
        <v>34797052.659999996</v>
      </c>
      <c r="AM330" t="b">
        <v>0</v>
      </c>
      <c r="AN330">
        <v>0</v>
      </c>
      <c r="AO330" t="b">
        <v>0</v>
      </c>
      <c r="AQ330">
        <v>28125856.030000001</v>
      </c>
      <c r="AR330">
        <v>28125856.030000001</v>
      </c>
      <c r="AS330">
        <v>0</v>
      </c>
      <c r="AT330" t="b">
        <v>0</v>
      </c>
      <c r="AU330" t="b">
        <v>1</v>
      </c>
      <c r="BA330" t="str">
        <f t="shared" si="10"/>
        <v>Normal</v>
      </c>
      <c r="BG330" t="str">
        <f t="shared" si="11"/>
        <v>Normal</v>
      </c>
    </row>
    <row r="331" spans="1:59" x14ac:dyDescent="0.2">
      <c r="A331" t="s">
        <v>42</v>
      </c>
      <c r="B331" t="s">
        <v>43</v>
      </c>
      <c r="C331">
        <v>20220101</v>
      </c>
      <c r="D331">
        <v>2022</v>
      </c>
      <c r="E331">
        <v>52</v>
      </c>
      <c r="F331" t="s">
        <v>299</v>
      </c>
      <c r="G331">
        <v>242</v>
      </c>
      <c r="H331" t="s">
        <v>119</v>
      </c>
      <c r="I331" t="s">
        <v>120</v>
      </c>
      <c r="J331" t="s">
        <v>47</v>
      </c>
      <c r="K331" t="s">
        <v>48</v>
      </c>
      <c r="L331">
        <v>0</v>
      </c>
      <c r="M331" t="s">
        <v>49</v>
      </c>
      <c r="N331" t="s">
        <v>50</v>
      </c>
      <c r="O331">
        <v>0</v>
      </c>
      <c r="P331" t="s">
        <v>49</v>
      </c>
      <c r="Q331" t="s">
        <v>50</v>
      </c>
      <c r="R331" t="s">
        <v>300</v>
      </c>
      <c r="S331" t="s">
        <v>52</v>
      </c>
      <c r="T331" t="b">
        <v>1</v>
      </c>
      <c r="U331" t="s">
        <v>53</v>
      </c>
      <c r="V331" t="s">
        <v>54</v>
      </c>
      <c r="W331">
        <v>4</v>
      </c>
      <c r="X331" t="b">
        <v>0</v>
      </c>
      <c r="Y331" t="s">
        <v>55</v>
      </c>
      <c r="Z331" t="s">
        <v>56</v>
      </c>
      <c r="AA331" t="s">
        <v>57</v>
      </c>
      <c r="AB331">
        <v>0</v>
      </c>
      <c r="AC331" t="s">
        <v>58</v>
      </c>
      <c r="AD331">
        <v>8</v>
      </c>
      <c r="AE331" t="s">
        <v>59</v>
      </c>
      <c r="AF331">
        <v>1900164</v>
      </c>
      <c r="AG331" t="b">
        <v>0</v>
      </c>
      <c r="AH331">
        <v>8</v>
      </c>
      <c r="AI331" t="s">
        <v>59</v>
      </c>
      <c r="AJ331">
        <v>1900164</v>
      </c>
      <c r="AK331" t="b">
        <v>0</v>
      </c>
      <c r="AL331">
        <v>1900164</v>
      </c>
      <c r="AM331" t="b">
        <v>0</v>
      </c>
      <c r="AN331">
        <v>0</v>
      </c>
      <c r="AO331" t="b">
        <v>0</v>
      </c>
      <c r="AQ331">
        <v>2045637.64</v>
      </c>
      <c r="AR331">
        <v>2045637.64</v>
      </c>
      <c r="AS331">
        <v>0</v>
      </c>
      <c r="AT331" t="b">
        <v>0</v>
      </c>
      <c r="AU331" t="b">
        <v>1</v>
      </c>
      <c r="BA331" t="str">
        <f t="shared" si="10"/>
        <v>Normal</v>
      </c>
      <c r="BG331" t="str">
        <f t="shared" si="11"/>
        <v>Normal</v>
      </c>
    </row>
    <row r="332" spans="1:59" x14ac:dyDescent="0.2">
      <c r="A332" t="s">
        <v>42</v>
      </c>
      <c r="B332" t="s">
        <v>43</v>
      </c>
      <c r="C332">
        <v>20220101</v>
      </c>
      <c r="D332">
        <v>2022</v>
      </c>
      <c r="E332">
        <v>52</v>
      </c>
      <c r="F332" t="s">
        <v>299</v>
      </c>
      <c r="G332">
        <v>246</v>
      </c>
      <c r="H332" t="s">
        <v>121</v>
      </c>
      <c r="I332" t="s">
        <v>122</v>
      </c>
      <c r="J332" t="s">
        <v>47</v>
      </c>
      <c r="K332" t="s">
        <v>48</v>
      </c>
      <c r="L332">
        <v>0</v>
      </c>
      <c r="M332" t="s">
        <v>49</v>
      </c>
      <c r="N332" t="s">
        <v>50</v>
      </c>
      <c r="O332">
        <v>0</v>
      </c>
      <c r="P332" t="s">
        <v>49</v>
      </c>
      <c r="Q332" t="s">
        <v>50</v>
      </c>
      <c r="R332" t="s">
        <v>300</v>
      </c>
      <c r="S332" t="s">
        <v>52</v>
      </c>
      <c r="T332" t="b">
        <v>1</v>
      </c>
      <c r="U332" t="s">
        <v>53</v>
      </c>
      <c r="V332" t="s">
        <v>54</v>
      </c>
      <c r="W332">
        <v>4</v>
      </c>
      <c r="X332" t="b">
        <v>0</v>
      </c>
      <c r="Y332" t="s">
        <v>55</v>
      </c>
      <c r="Z332" t="s">
        <v>56</v>
      </c>
      <c r="AA332" t="s">
        <v>57</v>
      </c>
      <c r="AB332">
        <v>0</v>
      </c>
      <c r="AC332" t="s">
        <v>58</v>
      </c>
      <c r="AD332">
        <v>8</v>
      </c>
      <c r="AE332" t="s">
        <v>59</v>
      </c>
      <c r="AF332">
        <v>31.044</v>
      </c>
      <c r="AG332" t="b">
        <v>1</v>
      </c>
      <c r="AH332">
        <v>-1</v>
      </c>
      <c r="AI332" t="s">
        <v>73</v>
      </c>
      <c r="AJ332">
        <v>0</v>
      </c>
      <c r="AK332" t="b">
        <v>0</v>
      </c>
      <c r="AL332">
        <v>31.044</v>
      </c>
      <c r="AM332" t="b">
        <v>1</v>
      </c>
      <c r="AN332">
        <v>0</v>
      </c>
      <c r="AO332" t="b">
        <v>0</v>
      </c>
      <c r="AQ332">
        <v>738.18700000000001</v>
      </c>
      <c r="AR332">
        <v>738.18700000000001</v>
      </c>
      <c r="AS332">
        <v>6</v>
      </c>
      <c r="AT332" t="b">
        <v>0</v>
      </c>
      <c r="AU332" t="b">
        <v>1</v>
      </c>
      <c r="BA332" t="str">
        <f t="shared" si="10"/>
        <v>Normal</v>
      </c>
      <c r="BG332" t="str">
        <f t="shared" si="11"/>
        <v>Normal</v>
      </c>
    </row>
    <row r="333" spans="1:59" x14ac:dyDescent="0.2">
      <c r="A333" t="s">
        <v>42</v>
      </c>
      <c r="B333" t="s">
        <v>43</v>
      </c>
      <c r="C333">
        <v>20220101</v>
      </c>
      <c r="D333">
        <v>2022</v>
      </c>
      <c r="E333">
        <v>52</v>
      </c>
      <c r="F333" t="s">
        <v>299</v>
      </c>
      <c r="G333">
        <v>251</v>
      </c>
      <c r="H333" t="s">
        <v>123</v>
      </c>
      <c r="I333" t="s">
        <v>124</v>
      </c>
      <c r="J333" t="s">
        <v>47</v>
      </c>
      <c r="K333" t="s">
        <v>48</v>
      </c>
      <c r="L333">
        <v>0</v>
      </c>
      <c r="M333" t="s">
        <v>49</v>
      </c>
      <c r="N333" t="s">
        <v>50</v>
      </c>
      <c r="O333">
        <v>0</v>
      </c>
      <c r="P333" t="s">
        <v>49</v>
      </c>
      <c r="Q333" t="s">
        <v>50</v>
      </c>
      <c r="R333" t="s">
        <v>300</v>
      </c>
      <c r="S333" t="s">
        <v>52</v>
      </c>
      <c r="T333" t="b">
        <v>1</v>
      </c>
      <c r="U333" t="s">
        <v>53</v>
      </c>
      <c r="V333" t="s">
        <v>54</v>
      </c>
      <c r="W333">
        <v>4</v>
      </c>
      <c r="X333" t="b">
        <v>0</v>
      </c>
      <c r="Y333" t="s">
        <v>55</v>
      </c>
      <c r="Z333" t="s">
        <v>56</v>
      </c>
      <c r="AA333" t="s">
        <v>57</v>
      </c>
      <c r="AB333">
        <v>0</v>
      </c>
      <c r="AC333" t="s">
        <v>58</v>
      </c>
      <c r="AD333">
        <v>8</v>
      </c>
      <c r="AE333" t="s">
        <v>59</v>
      </c>
      <c r="AF333">
        <v>3886102.176</v>
      </c>
      <c r="AG333" t="b">
        <v>1</v>
      </c>
      <c r="AH333">
        <v>-1</v>
      </c>
      <c r="AI333" t="s">
        <v>73</v>
      </c>
      <c r="AJ333">
        <v>0</v>
      </c>
      <c r="AK333" t="b">
        <v>0</v>
      </c>
      <c r="AL333">
        <v>3886102.176</v>
      </c>
      <c r="AM333" t="b">
        <v>1</v>
      </c>
      <c r="AN333">
        <v>0</v>
      </c>
      <c r="AO333" t="b">
        <v>0</v>
      </c>
      <c r="AQ333">
        <v>3870644.5150000001</v>
      </c>
      <c r="AR333">
        <v>3870644.5150000001</v>
      </c>
      <c r="AS333">
        <v>6</v>
      </c>
      <c r="AT333" t="b">
        <v>0</v>
      </c>
      <c r="AU333" t="b">
        <v>1</v>
      </c>
      <c r="BA333" t="str">
        <f t="shared" si="10"/>
        <v>Normal</v>
      </c>
      <c r="BG333" t="str">
        <f t="shared" si="11"/>
        <v>Normal</v>
      </c>
    </row>
    <row r="334" spans="1:59" x14ac:dyDescent="0.2">
      <c r="A334" t="s">
        <v>42</v>
      </c>
      <c r="B334" t="s">
        <v>43</v>
      </c>
      <c r="C334">
        <v>20220101</v>
      </c>
      <c r="D334">
        <v>2022</v>
      </c>
      <c r="E334">
        <v>52</v>
      </c>
      <c r="F334" t="s">
        <v>299</v>
      </c>
      <c r="G334">
        <v>266</v>
      </c>
      <c r="H334" t="s">
        <v>125</v>
      </c>
      <c r="I334" t="s">
        <v>126</v>
      </c>
      <c r="J334" t="s">
        <v>47</v>
      </c>
      <c r="K334" t="s">
        <v>48</v>
      </c>
      <c r="L334">
        <v>0</v>
      </c>
      <c r="M334" t="s">
        <v>49</v>
      </c>
      <c r="N334" t="s">
        <v>50</v>
      </c>
      <c r="O334">
        <v>0</v>
      </c>
      <c r="P334" t="s">
        <v>49</v>
      </c>
      <c r="Q334" t="s">
        <v>50</v>
      </c>
      <c r="R334" t="s">
        <v>51</v>
      </c>
      <c r="S334" t="s">
        <v>52</v>
      </c>
      <c r="T334" t="b">
        <v>1</v>
      </c>
      <c r="U334" t="s">
        <v>53</v>
      </c>
      <c r="V334" t="s">
        <v>54</v>
      </c>
      <c r="W334">
        <v>4</v>
      </c>
      <c r="X334" t="b">
        <v>0</v>
      </c>
      <c r="Y334" t="s">
        <v>55</v>
      </c>
      <c r="Z334" t="s">
        <v>56</v>
      </c>
      <c r="AA334" t="s">
        <v>57</v>
      </c>
      <c r="AB334">
        <v>0</v>
      </c>
      <c r="AC334" t="s">
        <v>58</v>
      </c>
      <c r="AD334">
        <v>8</v>
      </c>
      <c r="AE334" t="s">
        <v>59</v>
      </c>
      <c r="AF334">
        <v>9202728843</v>
      </c>
      <c r="AG334" t="b">
        <v>0</v>
      </c>
      <c r="AH334">
        <v>19</v>
      </c>
      <c r="AI334" t="s">
        <v>60</v>
      </c>
      <c r="AJ334">
        <v>163445158.63999999</v>
      </c>
      <c r="AK334" t="b">
        <v>0</v>
      </c>
      <c r="AL334">
        <v>9202728843</v>
      </c>
      <c r="AM334" t="b">
        <v>0</v>
      </c>
      <c r="AN334">
        <v>0</v>
      </c>
      <c r="AO334" t="b">
        <v>0</v>
      </c>
      <c r="AQ334">
        <v>6692910396.9060001</v>
      </c>
      <c r="AR334">
        <v>6692910396.9060001</v>
      </c>
      <c r="AS334">
        <v>0</v>
      </c>
      <c r="AT334" t="b">
        <v>0</v>
      </c>
      <c r="AU334" t="b">
        <v>1</v>
      </c>
      <c r="BA334" t="str">
        <f t="shared" si="10"/>
        <v>Normal</v>
      </c>
      <c r="BG334" t="str">
        <f t="shared" si="11"/>
        <v>Normal</v>
      </c>
    </row>
    <row r="335" spans="1:59" x14ac:dyDescent="0.2">
      <c r="A335" t="s">
        <v>42</v>
      </c>
      <c r="B335" t="s">
        <v>43</v>
      </c>
      <c r="C335">
        <v>20220101</v>
      </c>
      <c r="D335">
        <v>2022</v>
      </c>
      <c r="E335">
        <v>52</v>
      </c>
      <c r="F335" t="s">
        <v>299</v>
      </c>
      <c r="G335">
        <v>270</v>
      </c>
      <c r="H335" t="s">
        <v>307</v>
      </c>
      <c r="I335" t="s">
        <v>308</v>
      </c>
      <c r="J335" t="s">
        <v>47</v>
      </c>
      <c r="K335" t="s">
        <v>48</v>
      </c>
      <c r="L335">
        <v>0</v>
      </c>
      <c r="M335" t="s">
        <v>49</v>
      </c>
      <c r="N335" t="s">
        <v>50</v>
      </c>
      <c r="O335">
        <v>0</v>
      </c>
      <c r="P335" t="s">
        <v>49</v>
      </c>
      <c r="Q335" t="s">
        <v>50</v>
      </c>
      <c r="R335" t="s">
        <v>300</v>
      </c>
      <c r="S335" t="s">
        <v>52</v>
      </c>
      <c r="T335" t="b">
        <v>1</v>
      </c>
      <c r="U335" t="s">
        <v>53</v>
      </c>
      <c r="V335" t="s">
        <v>54</v>
      </c>
      <c r="W335">
        <v>4</v>
      </c>
      <c r="X335" t="b">
        <v>0</v>
      </c>
      <c r="Y335" t="s">
        <v>55</v>
      </c>
      <c r="Z335" t="s">
        <v>56</v>
      </c>
      <c r="AA335" t="s">
        <v>57</v>
      </c>
      <c r="AB335">
        <v>0</v>
      </c>
      <c r="AC335" t="s">
        <v>58</v>
      </c>
      <c r="AD335">
        <v>8</v>
      </c>
      <c r="AE335" t="s">
        <v>59</v>
      </c>
      <c r="AF335">
        <v>23644</v>
      </c>
      <c r="AG335" t="b">
        <v>0</v>
      </c>
      <c r="AH335">
        <v>8</v>
      </c>
      <c r="AI335" t="s">
        <v>59</v>
      </c>
      <c r="AJ335">
        <v>23644</v>
      </c>
      <c r="AK335" t="b">
        <v>0</v>
      </c>
      <c r="AL335">
        <v>23644</v>
      </c>
      <c r="AM335" t="b">
        <v>0</v>
      </c>
      <c r="AN335">
        <v>0</v>
      </c>
      <c r="AO335" t="b">
        <v>0</v>
      </c>
      <c r="AQ335">
        <v>19989.329000000002</v>
      </c>
      <c r="AR335">
        <v>19989.329000000002</v>
      </c>
      <c r="AS335">
        <v>0</v>
      </c>
      <c r="AT335" t="b">
        <v>0</v>
      </c>
      <c r="AU335" t="b">
        <v>1</v>
      </c>
      <c r="BA335" t="str">
        <f t="shared" si="10"/>
        <v>Normal</v>
      </c>
      <c r="BG335" t="str">
        <f t="shared" si="11"/>
        <v>Normal</v>
      </c>
    </row>
    <row r="336" spans="1:59" x14ac:dyDescent="0.2">
      <c r="A336" t="s">
        <v>42</v>
      </c>
      <c r="B336" t="s">
        <v>43</v>
      </c>
      <c r="C336">
        <v>20220101</v>
      </c>
      <c r="D336">
        <v>2022</v>
      </c>
      <c r="E336">
        <v>52</v>
      </c>
      <c r="F336" t="s">
        <v>299</v>
      </c>
      <c r="G336">
        <v>276</v>
      </c>
      <c r="H336" t="s">
        <v>130</v>
      </c>
      <c r="I336" t="s">
        <v>131</v>
      </c>
      <c r="J336" t="s">
        <v>47</v>
      </c>
      <c r="K336" t="s">
        <v>48</v>
      </c>
      <c r="L336">
        <v>0</v>
      </c>
      <c r="M336" t="s">
        <v>49</v>
      </c>
      <c r="N336" t="s">
        <v>50</v>
      </c>
      <c r="O336">
        <v>0</v>
      </c>
      <c r="P336" t="s">
        <v>49</v>
      </c>
      <c r="Q336" t="s">
        <v>50</v>
      </c>
      <c r="R336" t="s">
        <v>300</v>
      </c>
      <c r="S336" t="s">
        <v>52</v>
      </c>
      <c r="T336" t="b">
        <v>1</v>
      </c>
      <c r="U336" t="s">
        <v>53</v>
      </c>
      <c r="V336" t="s">
        <v>54</v>
      </c>
      <c r="W336">
        <v>4</v>
      </c>
      <c r="X336" t="b">
        <v>0</v>
      </c>
      <c r="Y336" t="s">
        <v>55</v>
      </c>
      <c r="Z336" t="s">
        <v>56</v>
      </c>
      <c r="AA336" t="s">
        <v>57</v>
      </c>
      <c r="AB336">
        <v>0</v>
      </c>
      <c r="AC336" t="s">
        <v>58</v>
      </c>
      <c r="AD336">
        <v>8</v>
      </c>
      <c r="AE336" t="s">
        <v>59</v>
      </c>
      <c r="AF336">
        <v>10375420</v>
      </c>
      <c r="AG336" t="b">
        <v>0</v>
      </c>
      <c r="AH336">
        <v>8</v>
      </c>
      <c r="AI336" t="s">
        <v>59</v>
      </c>
      <c r="AJ336">
        <v>10375420</v>
      </c>
      <c r="AK336" t="b">
        <v>0</v>
      </c>
      <c r="AL336">
        <v>10375420</v>
      </c>
      <c r="AM336" t="b">
        <v>0</v>
      </c>
      <c r="AN336">
        <v>0</v>
      </c>
      <c r="AO336" t="b">
        <v>0</v>
      </c>
      <c r="AQ336">
        <v>5673771.0870000003</v>
      </c>
      <c r="AR336">
        <v>5673771.0870000003</v>
      </c>
      <c r="AS336">
        <v>0</v>
      </c>
      <c r="AT336" t="b">
        <v>0</v>
      </c>
      <c r="AU336" t="b">
        <v>1</v>
      </c>
      <c r="BA336" t="str">
        <f t="shared" si="10"/>
        <v>Normal</v>
      </c>
      <c r="BG336" t="str">
        <f t="shared" si="11"/>
        <v>Normal</v>
      </c>
    </row>
    <row r="337" spans="1:59" x14ac:dyDescent="0.2">
      <c r="A337" t="s">
        <v>42</v>
      </c>
      <c r="B337" t="s">
        <v>43</v>
      </c>
      <c r="C337">
        <v>20220101</v>
      </c>
      <c r="D337">
        <v>2022</v>
      </c>
      <c r="E337">
        <v>52</v>
      </c>
      <c r="F337" t="s">
        <v>299</v>
      </c>
      <c r="G337">
        <v>288</v>
      </c>
      <c r="H337" t="s">
        <v>132</v>
      </c>
      <c r="I337" t="s">
        <v>133</v>
      </c>
      <c r="J337" t="s">
        <v>47</v>
      </c>
      <c r="K337" t="s">
        <v>48</v>
      </c>
      <c r="L337">
        <v>0</v>
      </c>
      <c r="M337" t="s">
        <v>49</v>
      </c>
      <c r="N337" t="s">
        <v>50</v>
      </c>
      <c r="O337">
        <v>0</v>
      </c>
      <c r="P337" t="s">
        <v>49</v>
      </c>
      <c r="Q337" t="s">
        <v>50</v>
      </c>
      <c r="R337" t="s">
        <v>51</v>
      </c>
      <c r="S337" t="s">
        <v>52</v>
      </c>
      <c r="T337" t="b">
        <v>1</v>
      </c>
      <c r="U337" t="s">
        <v>53</v>
      </c>
      <c r="V337" t="s">
        <v>54</v>
      </c>
      <c r="W337">
        <v>4</v>
      </c>
      <c r="X337" t="b">
        <v>0</v>
      </c>
      <c r="Y337" t="s">
        <v>55</v>
      </c>
      <c r="Z337" t="s">
        <v>56</v>
      </c>
      <c r="AA337" t="s">
        <v>57</v>
      </c>
      <c r="AB337">
        <v>0</v>
      </c>
      <c r="AC337" t="s">
        <v>58</v>
      </c>
      <c r="AD337">
        <v>8</v>
      </c>
      <c r="AE337" t="s">
        <v>59</v>
      </c>
      <c r="AF337">
        <v>6943073001</v>
      </c>
      <c r="AG337" t="b">
        <v>0</v>
      </c>
      <c r="AH337">
        <v>8</v>
      </c>
      <c r="AI337" t="s">
        <v>59</v>
      </c>
      <c r="AJ337">
        <v>6943073001</v>
      </c>
      <c r="AK337" t="b">
        <v>0</v>
      </c>
      <c r="AL337">
        <v>6943073007</v>
      </c>
      <c r="AM337" t="b">
        <v>0</v>
      </c>
      <c r="AN337">
        <v>0</v>
      </c>
      <c r="AO337" t="b">
        <v>0</v>
      </c>
      <c r="AQ337">
        <v>5188804242.3909998</v>
      </c>
      <c r="AR337">
        <v>5188804242.3909998</v>
      </c>
      <c r="AS337">
        <v>0</v>
      </c>
      <c r="AT337" t="b">
        <v>0</v>
      </c>
      <c r="AU337" t="b">
        <v>1</v>
      </c>
      <c r="BA337" t="str">
        <f t="shared" si="10"/>
        <v>Normal</v>
      </c>
      <c r="BG337" t="str">
        <f t="shared" si="11"/>
        <v>Normal</v>
      </c>
    </row>
    <row r="338" spans="1:59" x14ac:dyDescent="0.2">
      <c r="A338" t="s">
        <v>42</v>
      </c>
      <c r="B338" t="s">
        <v>43</v>
      </c>
      <c r="C338">
        <v>20220101</v>
      </c>
      <c r="D338">
        <v>2022</v>
      </c>
      <c r="E338">
        <v>52</v>
      </c>
      <c r="F338" t="s">
        <v>299</v>
      </c>
      <c r="G338">
        <v>300</v>
      </c>
      <c r="H338" t="s">
        <v>134</v>
      </c>
      <c r="I338" t="s">
        <v>135</v>
      </c>
      <c r="J338" t="s">
        <v>47</v>
      </c>
      <c r="K338" t="s">
        <v>48</v>
      </c>
      <c r="L338">
        <v>0</v>
      </c>
      <c r="M338" t="s">
        <v>49</v>
      </c>
      <c r="N338" t="s">
        <v>50</v>
      </c>
      <c r="O338">
        <v>0</v>
      </c>
      <c r="P338" t="s">
        <v>49</v>
      </c>
      <c r="Q338" t="s">
        <v>50</v>
      </c>
      <c r="R338" t="s">
        <v>300</v>
      </c>
      <c r="S338" t="s">
        <v>52</v>
      </c>
      <c r="T338" t="b">
        <v>1</v>
      </c>
      <c r="U338" t="s">
        <v>53</v>
      </c>
      <c r="V338" t="s">
        <v>54</v>
      </c>
      <c r="W338">
        <v>4</v>
      </c>
      <c r="X338" t="b">
        <v>0</v>
      </c>
      <c r="Y338" t="s">
        <v>55</v>
      </c>
      <c r="Z338" t="s">
        <v>56</v>
      </c>
      <c r="AA338" t="s">
        <v>57</v>
      </c>
      <c r="AB338">
        <v>0</v>
      </c>
      <c r="AC338" t="s">
        <v>58</v>
      </c>
      <c r="AD338">
        <v>8</v>
      </c>
      <c r="AE338" t="s">
        <v>59</v>
      </c>
      <c r="AF338">
        <v>2048891.2350000001</v>
      </c>
      <c r="AG338" t="b">
        <v>1</v>
      </c>
      <c r="AH338">
        <v>-1</v>
      </c>
      <c r="AI338" t="s">
        <v>73</v>
      </c>
      <c r="AJ338">
        <v>0</v>
      </c>
      <c r="AK338" t="b">
        <v>0</v>
      </c>
      <c r="AL338">
        <v>2048891.2350000001</v>
      </c>
      <c r="AM338" t="b">
        <v>1</v>
      </c>
      <c r="AN338">
        <v>0</v>
      </c>
      <c r="AO338" t="b">
        <v>0</v>
      </c>
      <c r="AQ338">
        <v>6838831.6200000001</v>
      </c>
      <c r="AR338">
        <v>6838831.6200000001</v>
      </c>
      <c r="AS338">
        <v>6</v>
      </c>
      <c r="AT338" t="b">
        <v>0</v>
      </c>
      <c r="AU338" t="b">
        <v>1</v>
      </c>
      <c r="BA338" t="str">
        <f t="shared" si="10"/>
        <v>Normal</v>
      </c>
      <c r="BG338" t="str">
        <f t="shared" si="11"/>
        <v>Normal</v>
      </c>
    </row>
    <row r="339" spans="1:59" x14ac:dyDescent="0.2">
      <c r="A339" t="s">
        <v>42</v>
      </c>
      <c r="B339" t="s">
        <v>43</v>
      </c>
      <c r="C339">
        <v>20220101</v>
      </c>
      <c r="D339">
        <v>2022</v>
      </c>
      <c r="E339">
        <v>52</v>
      </c>
      <c r="F339" t="s">
        <v>299</v>
      </c>
      <c r="G339">
        <v>320</v>
      </c>
      <c r="H339" t="s">
        <v>136</v>
      </c>
      <c r="I339" t="s">
        <v>137</v>
      </c>
      <c r="J339" t="s">
        <v>47</v>
      </c>
      <c r="K339" t="s">
        <v>48</v>
      </c>
      <c r="L339">
        <v>0</v>
      </c>
      <c r="M339" t="s">
        <v>49</v>
      </c>
      <c r="N339" t="s">
        <v>50</v>
      </c>
      <c r="O339">
        <v>0</v>
      </c>
      <c r="P339" t="s">
        <v>49</v>
      </c>
      <c r="Q339" t="s">
        <v>50</v>
      </c>
      <c r="R339" t="s">
        <v>300</v>
      </c>
      <c r="S339" t="s">
        <v>52</v>
      </c>
      <c r="T339" t="b">
        <v>1</v>
      </c>
      <c r="U339" t="s">
        <v>53</v>
      </c>
      <c r="V339" t="s">
        <v>54</v>
      </c>
      <c r="W339">
        <v>4</v>
      </c>
      <c r="X339" t="b">
        <v>0</v>
      </c>
      <c r="Y339" t="s">
        <v>55</v>
      </c>
      <c r="Z339" t="s">
        <v>56</v>
      </c>
      <c r="AA339" t="s">
        <v>57</v>
      </c>
      <c r="AB339">
        <v>0</v>
      </c>
      <c r="AC339" t="s">
        <v>58</v>
      </c>
      <c r="AD339">
        <v>8</v>
      </c>
      <c r="AE339" t="s">
        <v>59</v>
      </c>
      <c r="AF339">
        <v>131658277</v>
      </c>
      <c r="AG339" t="b">
        <v>0</v>
      </c>
      <c r="AH339">
        <v>8</v>
      </c>
      <c r="AI339" t="s">
        <v>59</v>
      </c>
      <c r="AJ339">
        <v>131658277</v>
      </c>
      <c r="AK339" t="b">
        <v>0</v>
      </c>
      <c r="AL339">
        <v>131658277</v>
      </c>
      <c r="AM339" t="b">
        <v>0</v>
      </c>
      <c r="AN339">
        <v>0</v>
      </c>
      <c r="AO339" t="b">
        <v>0</v>
      </c>
      <c r="AQ339">
        <v>95671031</v>
      </c>
      <c r="AR339">
        <v>95671031</v>
      </c>
      <c r="AS339">
        <v>0</v>
      </c>
      <c r="AT339" t="b">
        <v>0</v>
      </c>
      <c r="AU339" t="b">
        <v>1</v>
      </c>
      <c r="BA339" t="str">
        <f t="shared" si="10"/>
        <v>Normal</v>
      </c>
      <c r="BG339" t="str">
        <f t="shared" si="11"/>
        <v>Normal</v>
      </c>
    </row>
    <row r="340" spans="1:59" x14ac:dyDescent="0.2">
      <c r="A340" t="s">
        <v>42</v>
      </c>
      <c r="B340" t="s">
        <v>43</v>
      </c>
      <c r="C340">
        <v>20220101</v>
      </c>
      <c r="D340">
        <v>2022</v>
      </c>
      <c r="E340">
        <v>52</v>
      </c>
      <c r="F340" t="s">
        <v>299</v>
      </c>
      <c r="G340">
        <v>328</v>
      </c>
      <c r="H340" t="s">
        <v>276</v>
      </c>
      <c r="I340" t="s">
        <v>277</v>
      </c>
      <c r="J340" t="s">
        <v>47</v>
      </c>
      <c r="K340" t="s">
        <v>48</v>
      </c>
      <c r="L340">
        <v>0</v>
      </c>
      <c r="M340" t="s">
        <v>49</v>
      </c>
      <c r="N340" t="s">
        <v>50</v>
      </c>
      <c r="O340">
        <v>0</v>
      </c>
      <c r="P340" t="s">
        <v>49</v>
      </c>
      <c r="Q340" t="s">
        <v>50</v>
      </c>
      <c r="R340" t="s">
        <v>51</v>
      </c>
      <c r="S340" t="s">
        <v>52</v>
      </c>
      <c r="T340" t="b">
        <v>1</v>
      </c>
      <c r="U340" t="s">
        <v>53</v>
      </c>
      <c r="V340" t="s">
        <v>54</v>
      </c>
      <c r="W340">
        <v>4</v>
      </c>
      <c r="X340" t="b">
        <v>0</v>
      </c>
      <c r="Y340" t="s">
        <v>55</v>
      </c>
      <c r="Z340" t="s">
        <v>56</v>
      </c>
      <c r="AA340" t="s">
        <v>57</v>
      </c>
      <c r="AB340">
        <v>0</v>
      </c>
      <c r="AC340" t="s">
        <v>58</v>
      </c>
      <c r="AD340">
        <v>8</v>
      </c>
      <c r="AE340" t="s">
        <v>59</v>
      </c>
      <c r="AF340">
        <v>27485774200</v>
      </c>
      <c r="AG340" t="b">
        <v>0</v>
      </c>
      <c r="AH340">
        <v>8</v>
      </c>
      <c r="AI340" t="s">
        <v>59</v>
      </c>
      <c r="AJ340">
        <v>27485774200</v>
      </c>
      <c r="AK340" t="b">
        <v>0</v>
      </c>
      <c r="AL340">
        <v>27485774200</v>
      </c>
      <c r="AM340" t="b">
        <v>0</v>
      </c>
      <c r="AN340">
        <v>0</v>
      </c>
      <c r="AO340" t="b">
        <v>0</v>
      </c>
      <c r="AQ340">
        <v>19707661922.18</v>
      </c>
      <c r="AR340">
        <v>19707661922.18</v>
      </c>
      <c r="AS340">
        <v>0</v>
      </c>
      <c r="AT340" t="b">
        <v>0</v>
      </c>
      <c r="AU340" t="b">
        <v>1</v>
      </c>
      <c r="BA340" t="str">
        <f t="shared" si="10"/>
        <v>Normal</v>
      </c>
      <c r="BG340" t="str">
        <f t="shared" si="11"/>
        <v>Normal</v>
      </c>
    </row>
    <row r="341" spans="1:59" x14ac:dyDescent="0.2">
      <c r="A341" t="s">
        <v>42</v>
      </c>
      <c r="B341" t="s">
        <v>43</v>
      </c>
      <c r="C341">
        <v>20220101</v>
      </c>
      <c r="D341">
        <v>2022</v>
      </c>
      <c r="E341">
        <v>52</v>
      </c>
      <c r="F341" t="s">
        <v>299</v>
      </c>
      <c r="G341">
        <v>348</v>
      </c>
      <c r="H341" t="s">
        <v>138</v>
      </c>
      <c r="I341" t="s">
        <v>139</v>
      </c>
      <c r="J341" t="s">
        <v>47</v>
      </c>
      <c r="K341" t="s">
        <v>48</v>
      </c>
      <c r="L341">
        <v>0</v>
      </c>
      <c r="M341" t="s">
        <v>49</v>
      </c>
      <c r="N341" t="s">
        <v>50</v>
      </c>
      <c r="O341">
        <v>0</v>
      </c>
      <c r="P341" t="s">
        <v>49</v>
      </c>
      <c r="Q341" t="s">
        <v>50</v>
      </c>
      <c r="R341" t="s">
        <v>300</v>
      </c>
      <c r="S341" t="s">
        <v>52</v>
      </c>
      <c r="T341" t="b">
        <v>1</v>
      </c>
      <c r="U341" t="s">
        <v>53</v>
      </c>
      <c r="V341" t="s">
        <v>54</v>
      </c>
      <c r="W341">
        <v>4</v>
      </c>
      <c r="X341" t="b">
        <v>0</v>
      </c>
      <c r="Y341" t="s">
        <v>55</v>
      </c>
      <c r="Z341" t="s">
        <v>56</v>
      </c>
      <c r="AA341" t="s">
        <v>57</v>
      </c>
      <c r="AB341">
        <v>0</v>
      </c>
      <c r="AC341" t="s">
        <v>58</v>
      </c>
      <c r="AD341">
        <v>8</v>
      </c>
      <c r="AE341" t="s">
        <v>59</v>
      </c>
      <c r="AF341">
        <v>190319240</v>
      </c>
      <c r="AG341" t="b">
        <v>0</v>
      </c>
      <c r="AH341">
        <v>8</v>
      </c>
      <c r="AI341" t="s">
        <v>59</v>
      </c>
      <c r="AJ341">
        <v>190319240</v>
      </c>
      <c r="AK341" t="b">
        <v>0</v>
      </c>
      <c r="AL341">
        <v>190319240</v>
      </c>
      <c r="AM341" t="b">
        <v>0</v>
      </c>
      <c r="AN341">
        <v>0</v>
      </c>
      <c r="AO341" t="b">
        <v>0</v>
      </c>
      <c r="AQ341">
        <v>112422916</v>
      </c>
      <c r="AR341">
        <v>112422916</v>
      </c>
      <c r="AS341">
        <v>0</v>
      </c>
      <c r="AT341" t="b">
        <v>0</v>
      </c>
      <c r="AU341" t="b">
        <v>1</v>
      </c>
      <c r="BA341" t="str">
        <f t="shared" si="10"/>
        <v>Normal</v>
      </c>
      <c r="BG341" t="str">
        <f t="shared" si="11"/>
        <v>Normal</v>
      </c>
    </row>
    <row r="342" spans="1:59" x14ac:dyDescent="0.2">
      <c r="A342" t="s">
        <v>42</v>
      </c>
      <c r="B342" t="s">
        <v>43</v>
      </c>
      <c r="C342">
        <v>20220101</v>
      </c>
      <c r="D342">
        <v>2022</v>
      </c>
      <c r="E342">
        <v>52</v>
      </c>
      <c r="F342" t="s">
        <v>299</v>
      </c>
      <c r="G342">
        <v>360</v>
      </c>
      <c r="H342" t="s">
        <v>140</v>
      </c>
      <c r="I342" t="s">
        <v>141</v>
      </c>
      <c r="J342" t="s">
        <v>47</v>
      </c>
      <c r="K342" t="s">
        <v>48</v>
      </c>
      <c r="L342">
        <v>0</v>
      </c>
      <c r="M342" t="s">
        <v>49</v>
      </c>
      <c r="N342" t="s">
        <v>50</v>
      </c>
      <c r="O342">
        <v>0</v>
      </c>
      <c r="P342" t="s">
        <v>49</v>
      </c>
      <c r="Q342" t="s">
        <v>50</v>
      </c>
      <c r="R342" t="s">
        <v>300</v>
      </c>
      <c r="S342" t="s">
        <v>52</v>
      </c>
      <c r="T342" t="b">
        <v>1</v>
      </c>
      <c r="U342" t="s">
        <v>53</v>
      </c>
      <c r="V342" t="s">
        <v>54</v>
      </c>
      <c r="W342">
        <v>4</v>
      </c>
      <c r="X342" t="b">
        <v>0</v>
      </c>
      <c r="Y342" t="s">
        <v>55</v>
      </c>
      <c r="Z342" t="s">
        <v>56</v>
      </c>
      <c r="AA342" t="s">
        <v>57</v>
      </c>
      <c r="AB342">
        <v>0</v>
      </c>
      <c r="AC342" t="s">
        <v>58</v>
      </c>
      <c r="AD342">
        <v>8</v>
      </c>
      <c r="AE342" t="s">
        <v>59</v>
      </c>
      <c r="AF342">
        <v>2180680020</v>
      </c>
      <c r="AG342" t="b">
        <v>0</v>
      </c>
      <c r="AH342">
        <v>8</v>
      </c>
      <c r="AI342" t="s">
        <v>59</v>
      </c>
      <c r="AJ342">
        <v>2180680020</v>
      </c>
      <c r="AK342" t="b">
        <v>0</v>
      </c>
      <c r="AL342">
        <v>2180680020</v>
      </c>
      <c r="AM342" t="b">
        <v>0</v>
      </c>
      <c r="AN342">
        <v>0</v>
      </c>
      <c r="AO342" t="b">
        <v>0</v>
      </c>
      <c r="AQ342">
        <v>1615292667.355</v>
      </c>
      <c r="AR342">
        <v>1615292667.355</v>
      </c>
      <c r="AS342">
        <v>0</v>
      </c>
      <c r="AT342" t="b">
        <v>0</v>
      </c>
      <c r="AU342" t="b">
        <v>1</v>
      </c>
      <c r="BA342" t="str">
        <f t="shared" si="10"/>
        <v>Normal</v>
      </c>
      <c r="BG342" t="str">
        <f t="shared" si="11"/>
        <v>Normal</v>
      </c>
    </row>
    <row r="343" spans="1:59" x14ac:dyDescent="0.2">
      <c r="A343" t="s">
        <v>42</v>
      </c>
      <c r="B343" t="s">
        <v>43</v>
      </c>
      <c r="C343">
        <v>20220101</v>
      </c>
      <c r="D343">
        <v>2022</v>
      </c>
      <c r="E343">
        <v>52</v>
      </c>
      <c r="F343" t="s">
        <v>299</v>
      </c>
      <c r="G343">
        <v>364</v>
      </c>
      <c r="H343" t="s">
        <v>142</v>
      </c>
      <c r="I343" t="s">
        <v>143</v>
      </c>
      <c r="J343" t="s">
        <v>47</v>
      </c>
      <c r="K343" t="s">
        <v>48</v>
      </c>
      <c r="L343">
        <v>0</v>
      </c>
      <c r="M343" t="s">
        <v>49</v>
      </c>
      <c r="N343" t="s">
        <v>50</v>
      </c>
      <c r="O343">
        <v>0</v>
      </c>
      <c r="P343" t="s">
        <v>49</v>
      </c>
      <c r="Q343" t="s">
        <v>50</v>
      </c>
      <c r="R343" t="s">
        <v>300</v>
      </c>
      <c r="S343" t="s">
        <v>52</v>
      </c>
      <c r="T343" t="b">
        <v>1</v>
      </c>
      <c r="U343" t="s">
        <v>53</v>
      </c>
      <c r="V343" t="s">
        <v>54</v>
      </c>
      <c r="W343">
        <v>4</v>
      </c>
      <c r="X343" t="b">
        <v>0</v>
      </c>
      <c r="Y343" t="s">
        <v>55</v>
      </c>
      <c r="Z343" t="s">
        <v>56</v>
      </c>
      <c r="AA343" t="s">
        <v>57</v>
      </c>
      <c r="AB343">
        <v>0</v>
      </c>
      <c r="AC343" t="s">
        <v>58</v>
      </c>
      <c r="AD343">
        <v>8</v>
      </c>
      <c r="AE343" t="s">
        <v>59</v>
      </c>
      <c r="AF343">
        <v>45408550750</v>
      </c>
      <c r="AG343" t="b">
        <v>0</v>
      </c>
      <c r="AH343">
        <v>-1</v>
      </c>
      <c r="AI343" t="s">
        <v>73</v>
      </c>
      <c r="AJ343">
        <v>0</v>
      </c>
      <c r="AK343" t="b">
        <v>0</v>
      </c>
      <c r="AL343">
        <v>45408550750</v>
      </c>
      <c r="AM343" t="b">
        <v>0</v>
      </c>
      <c r="AN343">
        <v>0</v>
      </c>
      <c r="AO343" t="b">
        <v>0</v>
      </c>
      <c r="AQ343">
        <v>22485849684</v>
      </c>
      <c r="AR343">
        <v>22485849684</v>
      </c>
      <c r="AS343">
        <v>0</v>
      </c>
      <c r="AT343" t="b">
        <v>0</v>
      </c>
      <c r="AU343" t="b">
        <v>1</v>
      </c>
      <c r="BA343" t="str">
        <f t="shared" si="10"/>
        <v>Normal</v>
      </c>
      <c r="BG343" t="str">
        <f t="shared" si="11"/>
        <v>Normal</v>
      </c>
    </row>
    <row r="344" spans="1:59" x14ac:dyDescent="0.2">
      <c r="A344" t="s">
        <v>42</v>
      </c>
      <c r="B344" t="s">
        <v>43</v>
      </c>
      <c r="C344">
        <v>20220101</v>
      </c>
      <c r="D344">
        <v>2022</v>
      </c>
      <c r="E344">
        <v>52</v>
      </c>
      <c r="F344" t="s">
        <v>299</v>
      </c>
      <c r="G344">
        <v>372</v>
      </c>
      <c r="H344" t="s">
        <v>144</v>
      </c>
      <c r="I344" t="s">
        <v>145</v>
      </c>
      <c r="J344" t="s">
        <v>47</v>
      </c>
      <c r="K344" t="s">
        <v>48</v>
      </c>
      <c r="L344">
        <v>0</v>
      </c>
      <c r="M344" t="s">
        <v>49</v>
      </c>
      <c r="N344" t="s">
        <v>50</v>
      </c>
      <c r="O344">
        <v>0</v>
      </c>
      <c r="P344" t="s">
        <v>49</v>
      </c>
      <c r="Q344" t="s">
        <v>50</v>
      </c>
      <c r="R344" t="s">
        <v>300</v>
      </c>
      <c r="S344" t="s">
        <v>52</v>
      </c>
      <c r="T344" t="b">
        <v>1</v>
      </c>
      <c r="U344" t="s">
        <v>53</v>
      </c>
      <c r="V344" t="s">
        <v>54</v>
      </c>
      <c r="W344">
        <v>4</v>
      </c>
      <c r="X344" t="b">
        <v>0</v>
      </c>
      <c r="Y344" t="s">
        <v>55</v>
      </c>
      <c r="Z344" t="s">
        <v>56</v>
      </c>
      <c r="AA344" t="s">
        <v>57</v>
      </c>
      <c r="AB344">
        <v>0</v>
      </c>
      <c r="AC344" t="s">
        <v>58</v>
      </c>
      <c r="AD344">
        <v>8</v>
      </c>
      <c r="AE344" t="s">
        <v>59</v>
      </c>
      <c r="AF344">
        <v>139566799</v>
      </c>
      <c r="AG344" t="b">
        <v>0</v>
      </c>
      <c r="AH344">
        <v>8</v>
      </c>
      <c r="AI344" t="s">
        <v>59</v>
      </c>
      <c r="AJ344">
        <v>139566799</v>
      </c>
      <c r="AK344" t="b">
        <v>0</v>
      </c>
      <c r="AL344">
        <v>139566799</v>
      </c>
      <c r="AM344" t="b">
        <v>0</v>
      </c>
      <c r="AN344">
        <v>0</v>
      </c>
      <c r="AO344" t="b">
        <v>0</v>
      </c>
      <c r="AQ344">
        <v>100364849.707</v>
      </c>
      <c r="AR344">
        <v>100364849.707</v>
      </c>
      <c r="AS344">
        <v>0</v>
      </c>
      <c r="AT344" t="b">
        <v>0</v>
      </c>
      <c r="AU344" t="b">
        <v>1</v>
      </c>
      <c r="BA344" t="str">
        <f t="shared" si="10"/>
        <v>Normal</v>
      </c>
      <c r="BG344" t="str">
        <f t="shared" si="11"/>
        <v>Normal</v>
      </c>
    </row>
    <row r="345" spans="1:59" x14ac:dyDescent="0.2">
      <c r="A345" t="s">
        <v>42</v>
      </c>
      <c r="B345" t="s">
        <v>43</v>
      </c>
      <c r="C345">
        <v>20220101</v>
      </c>
      <c r="D345">
        <v>2022</v>
      </c>
      <c r="E345">
        <v>52</v>
      </c>
      <c r="F345" t="s">
        <v>299</v>
      </c>
      <c r="G345">
        <v>376</v>
      </c>
      <c r="H345" t="s">
        <v>146</v>
      </c>
      <c r="I345" t="s">
        <v>147</v>
      </c>
      <c r="J345" t="s">
        <v>47</v>
      </c>
      <c r="K345" t="s">
        <v>48</v>
      </c>
      <c r="L345">
        <v>0</v>
      </c>
      <c r="M345" t="s">
        <v>49</v>
      </c>
      <c r="N345" t="s">
        <v>50</v>
      </c>
      <c r="O345">
        <v>0</v>
      </c>
      <c r="P345" t="s">
        <v>49</v>
      </c>
      <c r="Q345" t="s">
        <v>50</v>
      </c>
      <c r="R345" t="s">
        <v>300</v>
      </c>
      <c r="S345" t="s">
        <v>52</v>
      </c>
      <c r="T345" t="b">
        <v>1</v>
      </c>
      <c r="U345" t="s">
        <v>53</v>
      </c>
      <c r="V345" t="s">
        <v>54</v>
      </c>
      <c r="W345">
        <v>4</v>
      </c>
      <c r="X345" t="b">
        <v>0</v>
      </c>
      <c r="Y345" t="s">
        <v>55</v>
      </c>
      <c r="Z345" t="s">
        <v>56</v>
      </c>
      <c r="AA345" t="s">
        <v>57</v>
      </c>
      <c r="AB345">
        <v>0</v>
      </c>
      <c r="AC345" t="s">
        <v>58</v>
      </c>
      <c r="AD345">
        <v>8</v>
      </c>
      <c r="AE345" t="s">
        <v>59</v>
      </c>
      <c r="AF345">
        <v>2074962.2549999999</v>
      </c>
      <c r="AG345" t="b">
        <v>1</v>
      </c>
      <c r="AH345">
        <v>-1</v>
      </c>
      <c r="AI345" t="s">
        <v>73</v>
      </c>
      <c r="AJ345">
        <v>0</v>
      </c>
      <c r="AK345" t="b">
        <v>0</v>
      </c>
      <c r="AL345">
        <v>2074962.2549999999</v>
      </c>
      <c r="AM345" t="b">
        <v>1</v>
      </c>
      <c r="AN345">
        <v>0</v>
      </c>
      <c r="AO345" t="b">
        <v>0</v>
      </c>
      <c r="AQ345">
        <v>1401000</v>
      </c>
      <c r="AR345">
        <v>1401000</v>
      </c>
      <c r="AS345">
        <v>6</v>
      </c>
      <c r="AT345" t="b">
        <v>0</v>
      </c>
      <c r="AU345" t="b">
        <v>1</v>
      </c>
      <c r="BA345" t="str">
        <f t="shared" si="10"/>
        <v>Normal</v>
      </c>
      <c r="BG345" t="str">
        <f t="shared" si="11"/>
        <v>Normal</v>
      </c>
    </row>
    <row r="346" spans="1:59" x14ac:dyDescent="0.2">
      <c r="A346" t="s">
        <v>42</v>
      </c>
      <c r="B346" t="s">
        <v>43</v>
      </c>
      <c r="C346">
        <v>20220101</v>
      </c>
      <c r="D346">
        <v>2022</v>
      </c>
      <c r="E346">
        <v>52</v>
      </c>
      <c r="F346" t="s">
        <v>299</v>
      </c>
      <c r="G346">
        <v>380</v>
      </c>
      <c r="H346" t="s">
        <v>148</v>
      </c>
      <c r="I346" t="s">
        <v>149</v>
      </c>
      <c r="J346" t="s">
        <v>47</v>
      </c>
      <c r="K346" t="s">
        <v>48</v>
      </c>
      <c r="L346">
        <v>0</v>
      </c>
      <c r="M346" t="s">
        <v>49</v>
      </c>
      <c r="N346" t="s">
        <v>50</v>
      </c>
      <c r="O346">
        <v>0</v>
      </c>
      <c r="P346" t="s">
        <v>49</v>
      </c>
      <c r="Q346" t="s">
        <v>50</v>
      </c>
      <c r="R346" t="s">
        <v>300</v>
      </c>
      <c r="S346" t="s">
        <v>52</v>
      </c>
      <c r="T346" t="b">
        <v>1</v>
      </c>
      <c r="U346" t="s">
        <v>53</v>
      </c>
      <c r="V346" t="s">
        <v>54</v>
      </c>
      <c r="W346">
        <v>4</v>
      </c>
      <c r="X346" t="b">
        <v>0</v>
      </c>
      <c r="Y346" t="s">
        <v>55</v>
      </c>
      <c r="Z346" t="s">
        <v>56</v>
      </c>
      <c r="AA346" t="s">
        <v>57</v>
      </c>
      <c r="AB346">
        <v>0</v>
      </c>
      <c r="AC346" t="s">
        <v>58</v>
      </c>
      <c r="AD346">
        <v>-1</v>
      </c>
      <c r="AE346" t="s">
        <v>73</v>
      </c>
      <c r="AF346">
        <v>0</v>
      </c>
      <c r="AG346" t="b">
        <v>0</v>
      </c>
      <c r="AH346">
        <v>-1</v>
      </c>
      <c r="AI346" t="s">
        <v>73</v>
      </c>
      <c r="AJ346">
        <v>0</v>
      </c>
      <c r="AK346" t="b">
        <v>0</v>
      </c>
      <c r="AM346" t="b">
        <v>0</v>
      </c>
      <c r="AN346">
        <v>0</v>
      </c>
      <c r="AO346" t="b">
        <v>0</v>
      </c>
      <c r="AQ346">
        <v>487399795.85299999</v>
      </c>
      <c r="AR346">
        <v>487399795.85299999</v>
      </c>
      <c r="AS346">
        <v>0</v>
      </c>
      <c r="AT346" t="b">
        <v>0</v>
      </c>
      <c r="AU346" t="b">
        <v>1</v>
      </c>
      <c r="BA346" t="str">
        <f t="shared" si="10"/>
        <v>Normal</v>
      </c>
      <c r="BG346" t="str">
        <f t="shared" si="11"/>
        <v>Normal</v>
      </c>
    </row>
    <row r="347" spans="1:59" x14ac:dyDescent="0.2">
      <c r="A347" t="s">
        <v>42</v>
      </c>
      <c r="B347" t="s">
        <v>43</v>
      </c>
      <c r="C347">
        <v>20220101</v>
      </c>
      <c r="D347">
        <v>2022</v>
      </c>
      <c r="E347">
        <v>52</v>
      </c>
      <c r="F347" t="s">
        <v>299</v>
      </c>
      <c r="G347">
        <v>384</v>
      </c>
      <c r="H347" t="s">
        <v>150</v>
      </c>
      <c r="I347" t="s">
        <v>151</v>
      </c>
      <c r="J347" t="s">
        <v>47</v>
      </c>
      <c r="K347" t="s">
        <v>48</v>
      </c>
      <c r="L347">
        <v>0</v>
      </c>
      <c r="M347" t="s">
        <v>49</v>
      </c>
      <c r="N347" t="s">
        <v>50</v>
      </c>
      <c r="O347">
        <v>0</v>
      </c>
      <c r="P347" t="s">
        <v>49</v>
      </c>
      <c r="Q347" t="s">
        <v>50</v>
      </c>
      <c r="R347" t="s">
        <v>51</v>
      </c>
      <c r="S347" t="s">
        <v>52</v>
      </c>
      <c r="T347" t="b">
        <v>1</v>
      </c>
      <c r="U347" t="s">
        <v>53</v>
      </c>
      <c r="V347" t="s">
        <v>54</v>
      </c>
      <c r="W347">
        <v>4</v>
      </c>
      <c r="X347" t="b">
        <v>0</v>
      </c>
      <c r="Y347" t="s">
        <v>55</v>
      </c>
      <c r="Z347" t="s">
        <v>56</v>
      </c>
      <c r="AA347" t="s">
        <v>57</v>
      </c>
      <c r="AB347">
        <v>0</v>
      </c>
      <c r="AC347" t="s">
        <v>58</v>
      </c>
      <c r="AD347">
        <v>8</v>
      </c>
      <c r="AE347" t="s">
        <v>59</v>
      </c>
      <c r="AF347">
        <v>1224999509</v>
      </c>
      <c r="AG347" t="b">
        <v>0</v>
      </c>
      <c r="AH347">
        <v>8</v>
      </c>
      <c r="AI347" t="s">
        <v>59</v>
      </c>
      <c r="AJ347">
        <v>1224999509</v>
      </c>
      <c r="AK347" t="b">
        <v>0</v>
      </c>
      <c r="AL347">
        <v>1224999509</v>
      </c>
      <c r="AM347" t="b">
        <v>0</v>
      </c>
      <c r="AN347">
        <v>0</v>
      </c>
      <c r="AO347" t="b">
        <v>0</v>
      </c>
      <c r="AQ347">
        <v>832372531.58299994</v>
      </c>
      <c r="AR347">
        <v>832372531.58299994</v>
      </c>
      <c r="AS347">
        <v>0</v>
      </c>
      <c r="AT347" t="b">
        <v>0</v>
      </c>
      <c r="AU347" t="b">
        <v>1</v>
      </c>
      <c r="BA347" t="str">
        <f t="shared" si="10"/>
        <v>Normal</v>
      </c>
      <c r="BG347" t="str">
        <f t="shared" si="11"/>
        <v>Normal</v>
      </c>
    </row>
    <row r="348" spans="1:59" x14ac:dyDescent="0.2">
      <c r="A348" t="s">
        <v>42</v>
      </c>
      <c r="B348" t="s">
        <v>43</v>
      </c>
      <c r="C348">
        <v>20220101</v>
      </c>
      <c r="D348">
        <v>2022</v>
      </c>
      <c r="E348">
        <v>52</v>
      </c>
      <c r="F348" t="s">
        <v>299</v>
      </c>
      <c r="G348">
        <v>392</v>
      </c>
      <c r="H348" t="s">
        <v>293</v>
      </c>
      <c r="I348" t="s">
        <v>294</v>
      </c>
      <c r="J348" t="s">
        <v>47</v>
      </c>
      <c r="K348" t="s">
        <v>48</v>
      </c>
      <c r="L348">
        <v>0</v>
      </c>
      <c r="M348" t="s">
        <v>49</v>
      </c>
      <c r="N348" t="s">
        <v>50</v>
      </c>
      <c r="O348">
        <v>0</v>
      </c>
      <c r="P348" t="s">
        <v>49</v>
      </c>
      <c r="Q348" t="s">
        <v>50</v>
      </c>
      <c r="R348" t="s">
        <v>300</v>
      </c>
      <c r="S348" t="s">
        <v>52</v>
      </c>
      <c r="T348" t="b">
        <v>1</v>
      </c>
      <c r="U348" t="s">
        <v>53</v>
      </c>
      <c r="V348" t="s">
        <v>54</v>
      </c>
      <c r="W348">
        <v>4</v>
      </c>
      <c r="X348" t="b">
        <v>0</v>
      </c>
      <c r="Y348" t="s">
        <v>55</v>
      </c>
      <c r="Z348" t="s">
        <v>56</v>
      </c>
      <c r="AA348" t="s">
        <v>57</v>
      </c>
      <c r="AB348">
        <v>0</v>
      </c>
      <c r="AC348" t="s">
        <v>58</v>
      </c>
      <c r="AD348">
        <v>8</v>
      </c>
      <c r="AE348" t="s">
        <v>59</v>
      </c>
      <c r="AF348">
        <v>13067100</v>
      </c>
      <c r="AG348" t="b">
        <v>0</v>
      </c>
      <c r="AH348">
        <v>8</v>
      </c>
      <c r="AI348" t="s">
        <v>59</v>
      </c>
      <c r="AJ348">
        <v>13067100</v>
      </c>
      <c r="AK348" t="b">
        <v>0</v>
      </c>
      <c r="AL348">
        <v>13067100</v>
      </c>
      <c r="AM348" t="b">
        <v>0</v>
      </c>
      <c r="AN348">
        <v>0</v>
      </c>
      <c r="AO348" t="b">
        <v>0</v>
      </c>
      <c r="AP348">
        <v>0</v>
      </c>
      <c r="AQ348">
        <v>4915255.6399999997</v>
      </c>
      <c r="AR348">
        <v>4915255.6399999997</v>
      </c>
      <c r="AS348">
        <v>0</v>
      </c>
      <c r="AT348" t="b">
        <v>0</v>
      </c>
      <c r="AU348" t="b">
        <v>1</v>
      </c>
      <c r="BA348" t="str">
        <f t="shared" si="10"/>
        <v>Normal</v>
      </c>
      <c r="BG348" t="str">
        <f t="shared" si="11"/>
        <v>Normal</v>
      </c>
    </row>
    <row r="349" spans="1:59" x14ac:dyDescent="0.2">
      <c r="A349" t="s">
        <v>42</v>
      </c>
      <c r="B349" t="s">
        <v>43</v>
      </c>
      <c r="C349">
        <v>20220101</v>
      </c>
      <c r="D349">
        <v>2022</v>
      </c>
      <c r="E349">
        <v>52</v>
      </c>
      <c r="F349" t="s">
        <v>299</v>
      </c>
      <c r="G349">
        <v>398</v>
      </c>
      <c r="H349" t="s">
        <v>152</v>
      </c>
      <c r="I349" t="s">
        <v>153</v>
      </c>
      <c r="J349" t="s">
        <v>47</v>
      </c>
      <c r="K349" t="s">
        <v>48</v>
      </c>
      <c r="L349">
        <v>0</v>
      </c>
      <c r="M349" t="s">
        <v>49</v>
      </c>
      <c r="N349" t="s">
        <v>50</v>
      </c>
      <c r="O349">
        <v>0</v>
      </c>
      <c r="P349" t="s">
        <v>49</v>
      </c>
      <c r="Q349" t="s">
        <v>50</v>
      </c>
      <c r="R349" t="s">
        <v>300</v>
      </c>
      <c r="S349" t="s">
        <v>52</v>
      </c>
      <c r="T349" t="b">
        <v>1</v>
      </c>
      <c r="U349" t="s">
        <v>53</v>
      </c>
      <c r="V349" t="s">
        <v>54</v>
      </c>
      <c r="W349">
        <v>4</v>
      </c>
      <c r="X349" t="b">
        <v>0</v>
      </c>
      <c r="Y349" t="s">
        <v>55</v>
      </c>
      <c r="Z349" t="s">
        <v>56</v>
      </c>
      <c r="AA349" t="s">
        <v>57</v>
      </c>
      <c r="AB349">
        <v>0</v>
      </c>
      <c r="AC349" t="s">
        <v>58</v>
      </c>
      <c r="AD349">
        <v>8</v>
      </c>
      <c r="AE349" t="s">
        <v>59</v>
      </c>
      <c r="AF349">
        <v>65202596576.599998</v>
      </c>
      <c r="AG349" t="b">
        <v>0</v>
      </c>
      <c r="AH349">
        <v>8</v>
      </c>
      <c r="AI349" t="s">
        <v>59</v>
      </c>
      <c r="AJ349">
        <v>65202596576.599998</v>
      </c>
      <c r="AK349" t="b">
        <v>0</v>
      </c>
      <c r="AL349">
        <v>65202596576.599998</v>
      </c>
      <c r="AM349" t="b">
        <v>0</v>
      </c>
      <c r="AN349">
        <v>0</v>
      </c>
      <c r="AO349" t="b">
        <v>0</v>
      </c>
      <c r="AQ349">
        <v>46920647039.010002</v>
      </c>
      <c r="AR349">
        <v>46920647039.010002</v>
      </c>
      <c r="AS349">
        <v>0</v>
      </c>
      <c r="AT349" t="b">
        <v>0</v>
      </c>
      <c r="AU349" t="b">
        <v>1</v>
      </c>
      <c r="BA349" t="str">
        <f t="shared" si="10"/>
        <v>Normal</v>
      </c>
      <c r="BG349" t="str">
        <f t="shared" si="11"/>
        <v>Normal</v>
      </c>
    </row>
    <row r="350" spans="1:59" x14ac:dyDescent="0.2">
      <c r="A350" t="s">
        <v>42</v>
      </c>
      <c r="B350" t="s">
        <v>43</v>
      </c>
      <c r="C350">
        <v>20220101</v>
      </c>
      <c r="D350">
        <v>2022</v>
      </c>
      <c r="E350">
        <v>52</v>
      </c>
      <c r="F350" t="s">
        <v>299</v>
      </c>
      <c r="G350">
        <v>404</v>
      </c>
      <c r="H350" t="s">
        <v>154</v>
      </c>
      <c r="I350" t="s">
        <v>155</v>
      </c>
      <c r="J350" t="s">
        <v>47</v>
      </c>
      <c r="K350" t="s">
        <v>48</v>
      </c>
      <c r="L350">
        <v>0</v>
      </c>
      <c r="M350" t="s">
        <v>49</v>
      </c>
      <c r="N350" t="s">
        <v>50</v>
      </c>
      <c r="O350">
        <v>0</v>
      </c>
      <c r="P350" t="s">
        <v>49</v>
      </c>
      <c r="Q350" t="s">
        <v>50</v>
      </c>
      <c r="R350" t="s">
        <v>300</v>
      </c>
      <c r="S350" t="s">
        <v>52</v>
      </c>
      <c r="T350" t="b">
        <v>1</v>
      </c>
      <c r="U350" t="s">
        <v>53</v>
      </c>
      <c r="V350" t="s">
        <v>54</v>
      </c>
      <c r="W350">
        <v>4</v>
      </c>
      <c r="X350" t="b">
        <v>0</v>
      </c>
      <c r="Y350" t="s">
        <v>55</v>
      </c>
      <c r="Z350" t="s">
        <v>56</v>
      </c>
      <c r="AA350" t="s">
        <v>57</v>
      </c>
      <c r="AB350">
        <v>0</v>
      </c>
      <c r="AC350" t="s">
        <v>58</v>
      </c>
      <c r="AD350">
        <v>8</v>
      </c>
      <c r="AE350" t="s">
        <v>59</v>
      </c>
      <c r="AF350">
        <v>24087322</v>
      </c>
      <c r="AG350" t="b">
        <v>0</v>
      </c>
      <c r="AH350">
        <v>8</v>
      </c>
      <c r="AI350" t="s">
        <v>59</v>
      </c>
      <c r="AJ350">
        <v>24087322</v>
      </c>
      <c r="AK350" t="b">
        <v>0</v>
      </c>
      <c r="AL350">
        <v>24087322</v>
      </c>
      <c r="AM350" t="b">
        <v>0</v>
      </c>
      <c r="AN350">
        <v>0</v>
      </c>
      <c r="AO350" t="b">
        <v>0</v>
      </c>
      <c r="AQ350">
        <v>13614269.220000001</v>
      </c>
      <c r="AR350">
        <v>13614269.220000001</v>
      </c>
      <c r="AS350">
        <v>0</v>
      </c>
      <c r="AT350" t="b">
        <v>0</v>
      </c>
      <c r="AU350" t="b">
        <v>1</v>
      </c>
      <c r="BA350" t="str">
        <f t="shared" si="10"/>
        <v>Normal</v>
      </c>
      <c r="BG350" t="str">
        <f t="shared" si="11"/>
        <v>Normal</v>
      </c>
    </row>
    <row r="351" spans="1:59" x14ac:dyDescent="0.2">
      <c r="A351" t="s">
        <v>42</v>
      </c>
      <c r="B351" t="s">
        <v>43</v>
      </c>
      <c r="C351">
        <v>20220101</v>
      </c>
      <c r="D351">
        <v>2022</v>
      </c>
      <c r="E351">
        <v>52</v>
      </c>
      <c r="F351" t="s">
        <v>299</v>
      </c>
      <c r="G351">
        <v>410</v>
      </c>
      <c r="H351" t="s">
        <v>156</v>
      </c>
      <c r="I351" t="s">
        <v>157</v>
      </c>
      <c r="J351" t="s">
        <v>47</v>
      </c>
      <c r="K351" t="s">
        <v>48</v>
      </c>
      <c r="L351">
        <v>0</v>
      </c>
      <c r="M351" t="s">
        <v>49</v>
      </c>
      <c r="N351" t="s">
        <v>50</v>
      </c>
      <c r="O351">
        <v>0</v>
      </c>
      <c r="P351" t="s">
        <v>49</v>
      </c>
      <c r="Q351" t="s">
        <v>50</v>
      </c>
      <c r="R351" t="s">
        <v>300</v>
      </c>
      <c r="S351" t="s">
        <v>52</v>
      </c>
      <c r="T351" t="b">
        <v>1</v>
      </c>
      <c r="U351" t="s">
        <v>53</v>
      </c>
      <c r="V351" t="s">
        <v>54</v>
      </c>
      <c r="W351">
        <v>4</v>
      </c>
      <c r="X351" t="b">
        <v>0</v>
      </c>
      <c r="Y351" t="s">
        <v>55</v>
      </c>
      <c r="Z351" t="s">
        <v>56</v>
      </c>
      <c r="AA351" t="s">
        <v>57</v>
      </c>
      <c r="AB351">
        <v>0</v>
      </c>
      <c r="AC351" t="s">
        <v>58</v>
      </c>
      <c r="AD351">
        <v>8</v>
      </c>
      <c r="AE351" t="s">
        <v>59</v>
      </c>
      <c r="AF351">
        <v>4462.3</v>
      </c>
      <c r="AG351" t="b">
        <v>0</v>
      </c>
      <c r="AH351">
        <v>8</v>
      </c>
      <c r="AI351" t="s">
        <v>59</v>
      </c>
      <c r="AJ351">
        <v>4462.3</v>
      </c>
      <c r="AK351" t="b">
        <v>0</v>
      </c>
      <c r="AL351">
        <v>4462.3</v>
      </c>
      <c r="AM351" t="b">
        <v>0</v>
      </c>
      <c r="AN351">
        <v>0</v>
      </c>
      <c r="AO351" t="b">
        <v>0</v>
      </c>
      <c r="AQ351">
        <v>9382</v>
      </c>
      <c r="AR351">
        <v>9382</v>
      </c>
      <c r="AS351">
        <v>0</v>
      </c>
      <c r="AT351" t="b">
        <v>0</v>
      </c>
      <c r="AU351" t="b">
        <v>1</v>
      </c>
      <c r="BA351" t="str">
        <f t="shared" si="10"/>
        <v>Normal</v>
      </c>
      <c r="BG351" t="str">
        <f t="shared" si="11"/>
        <v>Normal</v>
      </c>
    </row>
    <row r="352" spans="1:59" x14ac:dyDescent="0.2">
      <c r="A352" t="s">
        <v>42</v>
      </c>
      <c r="B352" t="s">
        <v>43</v>
      </c>
      <c r="C352">
        <v>20220101</v>
      </c>
      <c r="D352">
        <v>2022</v>
      </c>
      <c r="E352">
        <v>52</v>
      </c>
      <c r="F352" t="s">
        <v>299</v>
      </c>
      <c r="G352">
        <v>414</v>
      </c>
      <c r="H352" t="s">
        <v>158</v>
      </c>
      <c r="I352" t="s">
        <v>159</v>
      </c>
      <c r="J352" t="s">
        <v>47</v>
      </c>
      <c r="K352" t="s">
        <v>48</v>
      </c>
      <c r="L352">
        <v>0</v>
      </c>
      <c r="M352" t="s">
        <v>49</v>
      </c>
      <c r="N352" t="s">
        <v>50</v>
      </c>
      <c r="O352">
        <v>0</v>
      </c>
      <c r="P352" t="s">
        <v>49</v>
      </c>
      <c r="Q352" t="s">
        <v>50</v>
      </c>
      <c r="R352" t="s">
        <v>300</v>
      </c>
      <c r="S352" t="s">
        <v>52</v>
      </c>
      <c r="T352" t="b">
        <v>1</v>
      </c>
      <c r="U352" t="s">
        <v>53</v>
      </c>
      <c r="V352" t="s">
        <v>54</v>
      </c>
      <c r="W352">
        <v>4</v>
      </c>
      <c r="X352" t="b">
        <v>0</v>
      </c>
      <c r="Y352" t="s">
        <v>55</v>
      </c>
      <c r="Z352" t="s">
        <v>56</v>
      </c>
      <c r="AA352" t="s">
        <v>57</v>
      </c>
      <c r="AB352">
        <v>0</v>
      </c>
      <c r="AC352" t="s">
        <v>58</v>
      </c>
      <c r="AD352">
        <v>8</v>
      </c>
      <c r="AE352" t="s">
        <v>59</v>
      </c>
      <c r="AF352">
        <v>100765410308.06799</v>
      </c>
      <c r="AG352" t="b">
        <v>1</v>
      </c>
      <c r="AH352">
        <v>-1</v>
      </c>
      <c r="AI352" t="s">
        <v>73</v>
      </c>
      <c r="AJ352">
        <v>0</v>
      </c>
      <c r="AK352" t="b">
        <v>0</v>
      </c>
      <c r="AL352">
        <v>100765410308.06799</v>
      </c>
      <c r="AM352" t="b">
        <v>1</v>
      </c>
      <c r="AN352">
        <v>0</v>
      </c>
      <c r="AO352" t="b">
        <v>0</v>
      </c>
      <c r="AQ352">
        <v>68036100177.450996</v>
      </c>
      <c r="AR352">
        <v>68036100177.450996</v>
      </c>
      <c r="AS352">
        <v>6</v>
      </c>
      <c r="AT352" t="b">
        <v>0</v>
      </c>
      <c r="AU352" t="b">
        <v>1</v>
      </c>
      <c r="BA352" t="str">
        <f t="shared" si="10"/>
        <v>Normal</v>
      </c>
      <c r="BG352" t="str">
        <f t="shared" si="11"/>
        <v>Normal</v>
      </c>
    </row>
    <row r="353" spans="1:59" x14ac:dyDescent="0.2">
      <c r="A353" t="s">
        <v>42</v>
      </c>
      <c r="B353" t="s">
        <v>43</v>
      </c>
      <c r="C353">
        <v>20220101</v>
      </c>
      <c r="D353">
        <v>2022</v>
      </c>
      <c r="E353">
        <v>52</v>
      </c>
      <c r="F353" t="s">
        <v>299</v>
      </c>
      <c r="G353">
        <v>418</v>
      </c>
      <c r="H353" t="s">
        <v>162</v>
      </c>
      <c r="I353" t="s">
        <v>163</v>
      </c>
      <c r="J353" t="s">
        <v>47</v>
      </c>
      <c r="K353" t="s">
        <v>48</v>
      </c>
      <c r="L353">
        <v>0</v>
      </c>
      <c r="M353" t="s">
        <v>49</v>
      </c>
      <c r="N353" t="s">
        <v>50</v>
      </c>
      <c r="O353">
        <v>0</v>
      </c>
      <c r="P353" t="s">
        <v>49</v>
      </c>
      <c r="Q353" t="s">
        <v>50</v>
      </c>
      <c r="R353" t="s">
        <v>300</v>
      </c>
      <c r="S353" t="s">
        <v>52</v>
      </c>
      <c r="T353" t="b">
        <v>1</v>
      </c>
      <c r="U353" t="s">
        <v>53</v>
      </c>
      <c r="V353" t="s">
        <v>54</v>
      </c>
      <c r="W353">
        <v>4</v>
      </c>
      <c r="X353" t="b">
        <v>0</v>
      </c>
      <c r="Y353" t="s">
        <v>55</v>
      </c>
      <c r="Z353" t="s">
        <v>56</v>
      </c>
      <c r="AA353" t="s">
        <v>57</v>
      </c>
      <c r="AB353">
        <v>0</v>
      </c>
      <c r="AC353" t="s">
        <v>58</v>
      </c>
      <c r="AD353">
        <v>8</v>
      </c>
      <c r="AE353" t="s">
        <v>59</v>
      </c>
      <c r="AF353">
        <v>1600</v>
      </c>
      <c r="AG353" t="b">
        <v>0</v>
      </c>
      <c r="AH353">
        <v>8</v>
      </c>
      <c r="AI353" t="s">
        <v>59</v>
      </c>
      <c r="AJ353">
        <v>1600</v>
      </c>
      <c r="AK353" t="b">
        <v>0</v>
      </c>
      <c r="AL353">
        <v>1600</v>
      </c>
      <c r="AM353" t="b">
        <v>0</v>
      </c>
      <c r="AN353">
        <v>0</v>
      </c>
      <c r="AO353" t="b">
        <v>0</v>
      </c>
      <c r="AQ353">
        <v>100</v>
      </c>
      <c r="AR353">
        <v>100</v>
      </c>
      <c r="AS353">
        <v>0</v>
      </c>
      <c r="AT353" t="b">
        <v>0</v>
      </c>
      <c r="AU353" t="b">
        <v>1</v>
      </c>
      <c r="BA353" t="str">
        <f t="shared" si="10"/>
        <v>Normal</v>
      </c>
      <c r="BG353" t="str">
        <f t="shared" si="11"/>
        <v>Normal</v>
      </c>
    </row>
    <row r="354" spans="1:59" x14ac:dyDescent="0.2">
      <c r="A354" t="s">
        <v>42</v>
      </c>
      <c r="B354" t="s">
        <v>43</v>
      </c>
      <c r="C354">
        <v>20220101</v>
      </c>
      <c r="D354">
        <v>2022</v>
      </c>
      <c r="E354">
        <v>52</v>
      </c>
      <c r="F354" t="s">
        <v>299</v>
      </c>
      <c r="G354">
        <v>422</v>
      </c>
      <c r="H354" t="s">
        <v>164</v>
      </c>
      <c r="I354" t="s">
        <v>165</v>
      </c>
      <c r="J354" t="s">
        <v>47</v>
      </c>
      <c r="K354" t="s">
        <v>48</v>
      </c>
      <c r="L354">
        <v>0</v>
      </c>
      <c r="M354" t="s">
        <v>49</v>
      </c>
      <c r="N354" t="s">
        <v>50</v>
      </c>
      <c r="O354">
        <v>0</v>
      </c>
      <c r="P354" t="s">
        <v>49</v>
      </c>
      <c r="Q354" t="s">
        <v>50</v>
      </c>
      <c r="R354" t="s">
        <v>51</v>
      </c>
      <c r="S354" t="s">
        <v>52</v>
      </c>
      <c r="T354" t="b">
        <v>1</v>
      </c>
      <c r="U354" t="s">
        <v>53</v>
      </c>
      <c r="V354" t="s">
        <v>54</v>
      </c>
      <c r="W354">
        <v>4</v>
      </c>
      <c r="X354" t="b">
        <v>0</v>
      </c>
      <c r="Y354" t="s">
        <v>55</v>
      </c>
      <c r="Z354" t="s">
        <v>56</v>
      </c>
      <c r="AA354" t="s">
        <v>57</v>
      </c>
      <c r="AB354">
        <v>0</v>
      </c>
      <c r="AC354" t="s">
        <v>58</v>
      </c>
      <c r="AD354">
        <v>8</v>
      </c>
      <c r="AE354" t="s">
        <v>59</v>
      </c>
      <c r="AF354">
        <v>2780</v>
      </c>
      <c r="AG354" t="b">
        <v>0</v>
      </c>
      <c r="AH354">
        <v>8</v>
      </c>
      <c r="AI354" t="s">
        <v>59</v>
      </c>
      <c r="AJ354">
        <v>2780</v>
      </c>
      <c r="AK354" t="b">
        <v>0</v>
      </c>
      <c r="AL354">
        <v>2780</v>
      </c>
      <c r="AM354" t="b">
        <v>0</v>
      </c>
      <c r="AN354">
        <v>0</v>
      </c>
      <c r="AO354" t="b">
        <v>0</v>
      </c>
      <c r="AQ354">
        <v>9720</v>
      </c>
      <c r="AR354">
        <v>9720</v>
      </c>
      <c r="AS354">
        <v>0</v>
      </c>
      <c r="AT354" t="b">
        <v>0</v>
      </c>
      <c r="AU354" t="b">
        <v>1</v>
      </c>
      <c r="BA354" t="str">
        <f t="shared" si="10"/>
        <v>Normal</v>
      </c>
      <c r="BG354" t="str">
        <f t="shared" si="11"/>
        <v>Normal</v>
      </c>
    </row>
    <row r="355" spans="1:59" x14ac:dyDescent="0.2">
      <c r="A355" t="s">
        <v>42</v>
      </c>
      <c r="B355" t="s">
        <v>43</v>
      </c>
      <c r="C355">
        <v>20220101</v>
      </c>
      <c r="D355">
        <v>2022</v>
      </c>
      <c r="E355">
        <v>52</v>
      </c>
      <c r="F355" t="s">
        <v>299</v>
      </c>
      <c r="G355">
        <v>428</v>
      </c>
      <c r="H355" t="s">
        <v>166</v>
      </c>
      <c r="I355" t="s">
        <v>167</v>
      </c>
      <c r="J355" t="s">
        <v>47</v>
      </c>
      <c r="K355" t="s">
        <v>48</v>
      </c>
      <c r="L355">
        <v>0</v>
      </c>
      <c r="M355" t="s">
        <v>49</v>
      </c>
      <c r="N355" t="s">
        <v>50</v>
      </c>
      <c r="O355">
        <v>0</v>
      </c>
      <c r="P355" t="s">
        <v>49</v>
      </c>
      <c r="Q355" t="s">
        <v>50</v>
      </c>
      <c r="R355" t="s">
        <v>300</v>
      </c>
      <c r="S355" t="s">
        <v>52</v>
      </c>
      <c r="T355" t="b">
        <v>1</v>
      </c>
      <c r="U355" t="s">
        <v>53</v>
      </c>
      <c r="V355" t="s">
        <v>54</v>
      </c>
      <c r="W355">
        <v>4</v>
      </c>
      <c r="X355" t="b">
        <v>0</v>
      </c>
      <c r="Y355" t="s">
        <v>55</v>
      </c>
      <c r="Z355" t="s">
        <v>56</v>
      </c>
      <c r="AA355" t="s">
        <v>57</v>
      </c>
      <c r="AB355">
        <v>0</v>
      </c>
      <c r="AC355" t="s">
        <v>58</v>
      </c>
      <c r="AD355">
        <v>8</v>
      </c>
      <c r="AE355" t="s">
        <v>59</v>
      </c>
      <c r="AF355">
        <v>7787878</v>
      </c>
      <c r="AG355" t="b">
        <v>0</v>
      </c>
      <c r="AH355">
        <v>8</v>
      </c>
      <c r="AI355" t="s">
        <v>59</v>
      </c>
      <c r="AJ355">
        <v>7787878</v>
      </c>
      <c r="AK355" t="b">
        <v>0</v>
      </c>
      <c r="AL355">
        <v>7787878</v>
      </c>
      <c r="AM355" t="b">
        <v>0</v>
      </c>
      <c r="AN355">
        <v>0</v>
      </c>
      <c r="AO355" t="b">
        <v>0</v>
      </c>
      <c r="AQ355">
        <v>2272547.392</v>
      </c>
      <c r="AR355">
        <v>2272547.392</v>
      </c>
      <c r="AS355">
        <v>0</v>
      </c>
      <c r="AT355" t="b">
        <v>0</v>
      </c>
      <c r="AU355" t="b">
        <v>1</v>
      </c>
      <c r="BA355" t="str">
        <f t="shared" si="10"/>
        <v>Normal</v>
      </c>
      <c r="BG355" t="str">
        <f t="shared" si="11"/>
        <v>Normal</v>
      </c>
    </row>
    <row r="356" spans="1:59" x14ac:dyDescent="0.2">
      <c r="A356" t="s">
        <v>42</v>
      </c>
      <c r="B356" t="s">
        <v>43</v>
      </c>
      <c r="C356">
        <v>20220101</v>
      </c>
      <c r="D356">
        <v>2022</v>
      </c>
      <c r="E356">
        <v>52</v>
      </c>
      <c r="F356" t="s">
        <v>299</v>
      </c>
      <c r="G356">
        <v>430</v>
      </c>
      <c r="H356" t="s">
        <v>297</v>
      </c>
      <c r="I356" t="s">
        <v>298</v>
      </c>
      <c r="J356" t="s">
        <v>47</v>
      </c>
      <c r="K356" t="s">
        <v>48</v>
      </c>
      <c r="L356">
        <v>0</v>
      </c>
      <c r="M356" t="s">
        <v>49</v>
      </c>
      <c r="N356" t="s">
        <v>50</v>
      </c>
      <c r="O356">
        <v>0</v>
      </c>
      <c r="P356" t="s">
        <v>49</v>
      </c>
      <c r="Q356" t="s">
        <v>50</v>
      </c>
      <c r="R356" t="s">
        <v>51</v>
      </c>
      <c r="S356" t="s">
        <v>52</v>
      </c>
      <c r="T356" t="b">
        <v>1</v>
      </c>
      <c r="U356" t="s">
        <v>53</v>
      </c>
      <c r="V356" t="s">
        <v>54</v>
      </c>
      <c r="W356">
        <v>4</v>
      </c>
      <c r="X356" t="b">
        <v>0</v>
      </c>
      <c r="Y356" t="s">
        <v>55</v>
      </c>
      <c r="Z356" t="s">
        <v>56</v>
      </c>
      <c r="AA356" t="s">
        <v>57</v>
      </c>
      <c r="AB356">
        <v>0</v>
      </c>
      <c r="AC356" t="s">
        <v>58</v>
      </c>
      <c r="AD356">
        <v>8</v>
      </c>
      <c r="AE356" t="s">
        <v>59</v>
      </c>
      <c r="AF356">
        <v>7071519.8899999997</v>
      </c>
      <c r="AG356" t="b">
        <v>1</v>
      </c>
      <c r="AH356">
        <v>-1</v>
      </c>
      <c r="AI356" t="s">
        <v>73</v>
      </c>
      <c r="AJ356">
        <v>0</v>
      </c>
      <c r="AK356" t="b">
        <v>0</v>
      </c>
      <c r="AL356">
        <v>7071519.8899999997</v>
      </c>
      <c r="AM356" t="b">
        <v>1</v>
      </c>
      <c r="AN356">
        <v>0</v>
      </c>
      <c r="AO356" t="b">
        <v>0</v>
      </c>
      <c r="AQ356">
        <v>9005828</v>
      </c>
      <c r="AR356">
        <v>9005828</v>
      </c>
      <c r="AS356">
        <v>6</v>
      </c>
      <c r="AT356" t="b">
        <v>0</v>
      </c>
      <c r="AU356" t="b">
        <v>1</v>
      </c>
      <c r="BA356" t="str">
        <f t="shared" si="10"/>
        <v>Normal</v>
      </c>
      <c r="BG356" t="str">
        <f t="shared" si="11"/>
        <v>Normal</v>
      </c>
    </row>
    <row r="357" spans="1:59" x14ac:dyDescent="0.2">
      <c r="A357" t="s">
        <v>42</v>
      </c>
      <c r="B357" t="s">
        <v>43</v>
      </c>
      <c r="C357">
        <v>20220101</v>
      </c>
      <c r="D357">
        <v>2022</v>
      </c>
      <c r="E357">
        <v>52</v>
      </c>
      <c r="F357" t="s">
        <v>299</v>
      </c>
      <c r="G357">
        <v>440</v>
      </c>
      <c r="H357" t="s">
        <v>171</v>
      </c>
      <c r="I357" t="s">
        <v>172</v>
      </c>
      <c r="J357" t="s">
        <v>47</v>
      </c>
      <c r="K357" t="s">
        <v>48</v>
      </c>
      <c r="L357">
        <v>0</v>
      </c>
      <c r="M357" t="s">
        <v>49</v>
      </c>
      <c r="N357" t="s">
        <v>50</v>
      </c>
      <c r="O357">
        <v>0</v>
      </c>
      <c r="P357" t="s">
        <v>49</v>
      </c>
      <c r="Q357" t="s">
        <v>50</v>
      </c>
      <c r="R357" t="s">
        <v>300</v>
      </c>
      <c r="S357" t="s">
        <v>52</v>
      </c>
      <c r="T357" t="b">
        <v>1</v>
      </c>
      <c r="U357" t="s">
        <v>53</v>
      </c>
      <c r="V357" t="s">
        <v>54</v>
      </c>
      <c r="W357">
        <v>4</v>
      </c>
      <c r="X357" t="b">
        <v>0</v>
      </c>
      <c r="Y357" t="s">
        <v>55</v>
      </c>
      <c r="Z357" t="s">
        <v>56</v>
      </c>
      <c r="AA357" t="s">
        <v>57</v>
      </c>
      <c r="AB357">
        <v>0</v>
      </c>
      <c r="AC357" t="s">
        <v>58</v>
      </c>
      <c r="AD357">
        <v>8</v>
      </c>
      <c r="AE357" t="s">
        <v>59</v>
      </c>
      <c r="AF357">
        <v>22778430</v>
      </c>
      <c r="AG357" t="b">
        <v>0</v>
      </c>
      <c r="AH357">
        <v>8</v>
      </c>
      <c r="AI357" t="s">
        <v>59</v>
      </c>
      <c r="AJ357">
        <v>22778430</v>
      </c>
      <c r="AK357" t="b">
        <v>0</v>
      </c>
      <c r="AL357">
        <v>22778430</v>
      </c>
      <c r="AM357" t="b">
        <v>0</v>
      </c>
      <c r="AN357">
        <v>0</v>
      </c>
      <c r="AO357" t="b">
        <v>0</v>
      </c>
      <c r="AQ357">
        <v>17242129</v>
      </c>
      <c r="AR357">
        <v>17242129</v>
      </c>
      <c r="AS357">
        <v>0</v>
      </c>
      <c r="AT357" t="b">
        <v>0</v>
      </c>
      <c r="AU357" t="b">
        <v>1</v>
      </c>
      <c r="BA357" t="str">
        <f t="shared" si="10"/>
        <v>Normal</v>
      </c>
      <c r="BG357" t="str">
        <f t="shared" si="11"/>
        <v>Normal</v>
      </c>
    </row>
    <row r="358" spans="1:59" x14ac:dyDescent="0.2">
      <c r="A358" t="s">
        <v>42</v>
      </c>
      <c r="B358" t="s">
        <v>43</v>
      </c>
      <c r="C358">
        <v>20220101</v>
      </c>
      <c r="D358">
        <v>2022</v>
      </c>
      <c r="E358">
        <v>52</v>
      </c>
      <c r="F358" t="s">
        <v>299</v>
      </c>
      <c r="G358">
        <v>450</v>
      </c>
      <c r="H358" t="s">
        <v>309</v>
      </c>
      <c r="I358" t="s">
        <v>310</v>
      </c>
      <c r="J358" t="s">
        <v>47</v>
      </c>
      <c r="K358" t="s">
        <v>48</v>
      </c>
      <c r="L358">
        <v>0</v>
      </c>
      <c r="M358" t="s">
        <v>49</v>
      </c>
      <c r="N358" t="s">
        <v>50</v>
      </c>
      <c r="O358">
        <v>0</v>
      </c>
      <c r="P358" t="s">
        <v>49</v>
      </c>
      <c r="Q358" t="s">
        <v>50</v>
      </c>
      <c r="R358" t="s">
        <v>300</v>
      </c>
      <c r="S358" t="s">
        <v>52</v>
      </c>
      <c r="T358" t="b">
        <v>1</v>
      </c>
      <c r="U358" t="s">
        <v>53</v>
      </c>
      <c r="V358" t="s">
        <v>54</v>
      </c>
      <c r="W358">
        <v>4</v>
      </c>
      <c r="X358" t="b">
        <v>0</v>
      </c>
      <c r="Y358" t="s">
        <v>55</v>
      </c>
      <c r="Z358" t="s">
        <v>56</v>
      </c>
      <c r="AA358" t="s">
        <v>57</v>
      </c>
      <c r="AB358">
        <v>0</v>
      </c>
      <c r="AC358" t="s">
        <v>58</v>
      </c>
      <c r="AD358">
        <v>8</v>
      </c>
      <c r="AE358" t="s">
        <v>59</v>
      </c>
      <c r="AF358">
        <v>10</v>
      </c>
      <c r="AG358" t="b">
        <v>0</v>
      </c>
      <c r="AH358">
        <v>8</v>
      </c>
      <c r="AI358" t="s">
        <v>59</v>
      </c>
      <c r="AJ358">
        <v>10</v>
      </c>
      <c r="AK358" t="b">
        <v>0</v>
      </c>
      <c r="AL358">
        <v>10</v>
      </c>
      <c r="AM358" t="b">
        <v>0</v>
      </c>
      <c r="AN358">
        <v>0</v>
      </c>
      <c r="AO358" t="b">
        <v>0</v>
      </c>
      <c r="AQ358">
        <v>7.21</v>
      </c>
      <c r="AR358">
        <v>7.21</v>
      </c>
      <c r="AS358">
        <v>0</v>
      </c>
      <c r="AT358" t="b">
        <v>0</v>
      </c>
      <c r="AU358" t="b">
        <v>1</v>
      </c>
      <c r="BA358" t="str">
        <f t="shared" si="10"/>
        <v>Normal</v>
      </c>
      <c r="BG358" t="str">
        <f t="shared" si="11"/>
        <v>Normal</v>
      </c>
    </row>
    <row r="359" spans="1:59" x14ac:dyDescent="0.2">
      <c r="A359" t="s">
        <v>42</v>
      </c>
      <c r="B359" t="s">
        <v>43</v>
      </c>
      <c r="C359">
        <v>20220101</v>
      </c>
      <c r="D359">
        <v>2022</v>
      </c>
      <c r="E359">
        <v>52</v>
      </c>
      <c r="F359" t="s">
        <v>299</v>
      </c>
      <c r="G359">
        <v>454</v>
      </c>
      <c r="H359" t="s">
        <v>175</v>
      </c>
      <c r="I359" t="s">
        <v>176</v>
      </c>
      <c r="J359" t="s">
        <v>47</v>
      </c>
      <c r="K359" t="s">
        <v>48</v>
      </c>
      <c r="L359">
        <v>0</v>
      </c>
      <c r="M359" t="s">
        <v>49</v>
      </c>
      <c r="N359" t="s">
        <v>50</v>
      </c>
      <c r="O359">
        <v>0</v>
      </c>
      <c r="P359" t="s">
        <v>49</v>
      </c>
      <c r="Q359" t="s">
        <v>50</v>
      </c>
      <c r="R359" t="s">
        <v>51</v>
      </c>
      <c r="S359" t="s">
        <v>52</v>
      </c>
      <c r="T359" t="b">
        <v>1</v>
      </c>
      <c r="U359" t="s">
        <v>53</v>
      </c>
      <c r="V359" t="s">
        <v>54</v>
      </c>
      <c r="W359">
        <v>4</v>
      </c>
      <c r="X359" t="b">
        <v>0</v>
      </c>
      <c r="Y359" t="s">
        <v>55</v>
      </c>
      <c r="Z359" t="s">
        <v>56</v>
      </c>
      <c r="AA359" t="s">
        <v>57</v>
      </c>
      <c r="AB359">
        <v>0</v>
      </c>
      <c r="AC359" t="s">
        <v>58</v>
      </c>
      <c r="AD359">
        <v>8</v>
      </c>
      <c r="AE359" t="s">
        <v>59</v>
      </c>
      <c r="AF359">
        <v>5000</v>
      </c>
      <c r="AG359" t="b">
        <v>0</v>
      </c>
      <c r="AH359">
        <v>21</v>
      </c>
      <c r="AI359" t="s">
        <v>170</v>
      </c>
      <c r="AJ359">
        <v>5</v>
      </c>
      <c r="AK359" t="b">
        <v>0</v>
      </c>
      <c r="AL359">
        <v>3.5</v>
      </c>
      <c r="AM359" t="b">
        <v>0</v>
      </c>
      <c r="AN359">
        <v>0</v>
      </c>
      <c r="AO359" t="b">
        <v>0</v>
      </c>
      <c r="AQ359">
        <v>25.809000000000001</v>
      </c>
      <c r="AR359">
        <v>25.809000000000001</v>
      </c>
      <c r="AS359">
        <v>0</v>
      </c>
      <c r="AT359" t="b">
        <v>0</v>
      </c>
      <c r="AU359" t="b">
        <v>1</v>
      </c>
      <c r="BA359" t="str">
        <f t="shared" si="10"/>
        <v>Normal</v>
      </c>
      <c r="BG359" t="str">
        <f t="shared" si="11"/>
        <v>Normal</v>
      </c>
    </row>
    <row r="360" spans="1:59" x14ac:dyDescent="0.2">
      <c r="A360" t="s">
        <v>42</v>
      </c>
      <c r="B360" t="s">
        <v>43</v>
      </c>
      <c r="C360">
        <v>20220101</v>
      </c>
      <c r="D360">
        <v>2022</v>
      </c>
      <c r="E360">
        <v>52</v>
      </c>
      <c r="F360" t="s">
        <v>299</v>
      </c>
      <c r="G360">
        <v>458</v>
      </c>
      <c r="H360" t="s">
        <v>177</v>
      </c>
      <c r="I360" t="s">
        <v>178</v>
      </c>
      <c r="J360" t="s">
        <v>47</v>
      </c>
      <c r="K360" t="s">
        <v>48</v>
      </c>
      <c r="L360">
        <v>0</v>
      </c>
      <c r="M360" t="s">
        <v>49</v>
      </c>
      <c r="N360" t="s">
        <v>50</v>
      </c>
      <c r="O360">
        <v>0</v>
      </c>
      <c r="P360" t="s">
        <v>49</v>
      </c>
      <c r="Q360" t="s">
        <v>50</v>
      </c>
      <c r="R360" t="s">
        <v>300</v>
      </c>
      <c r="S360" t="s">
        <v>52</v>
      </c>
      <c r="T360" t="b">
        <v>1</v>
      </c>
      <c r="U360" t="s">
        <v>53</v>
      </c>
      <c r="V360" t="s">
        <v>54</v>
      </c>
      <c r="W360">
        <v>4</v>
      </c>
      <c r="X360" t="b">
        <v>0</v>
      </c>
      <c r="Y360" t="s">
        <v>55</v>
      </c>
      <c r="Z360" t="s">
        <v>56</v>
      </c>
      <c r="AA360" t="s">
        <v>57</v>
      </c>
      <c r="AB360">
        <v>0</v>
      </c>
      <c r="AC360" t="s">
        <v>58</v>
      </c>
      <c r="AD360">
        <v>8</v>
      </c>
      <c r="AE360" t="s">
        <v>59</v>
      </c>
      <c r="AF360">
        <v>9852320280</v>
      </c>
      <c r="AG360" t="b">
        <v>0</v>
      </c>
      <c r="AH360">
        <v>8</v>
      </c>
      <c r="AI360" t="s">
        <v>59</v>
      </c>
      <c r="AJ360">
        <v>9852320280</v>
      </c>
      <c r="AK360" t="b">
        <v>0</v>
      </c>
      <c r="AL360">
        <v>9852320280</v>
      </c>
      <c r="AM360" t="b">
        <v>0</v>
      </c>
      <c r="AN360">
        <v>0</v>
      </c>
      <c r="AO360" t="b">
        <v>0</v>
      </c>
      <c r="AQ360">
        <v>8003751457.4499998</v>
      </c>
      <c r="AR360">
        <v>8003751457.4499998</v>
      </c>
      <c r="AS360">
        <v>0</v>
      </c>
      <c r="AT360" t="b">
        <v>0</v>
      </c>
      <c r="AU360" t="b">
        <v>1</v>
      </c>
      <c r="BA360" t="str">
        <f t="shared" si="10"/>
        <v>Normal</v>
      </c>
      <c r="BG360" t="str">
        <f t="shared" si="11"/>
        <v>Normal</v>
      </c>
    </row>
    <row r="361" spans="1:59" x14ac:dyDescent="0.2">
      <c r="A361" t="s">
        <v>42</v>
      </c>
      <c r="B361" t="s">
        <v>43</v>
      </c>
      <c r="C361">
        <v>20220101</v>
      </c>
      <c r="D361">
        <v>2022</v>
      </c>
      <c r="E361">
        <v>52</v>
      </c>
      <c r="F361" t="s">
        <v>299</v>
      </c>
      <c r="G361">
        <v>484</v>
      </c>
      <c r="H361" t="s">
        <v>181</v>
      </c>
      <c r="I361" t="s">
        <v>182</v>
      </c>
      <c r="J361" t="s">
        <v>47</v>
      </c>
      <c r="K361" t="s">
        <v>48</v>
      </c>
      <c r="L361">
        <v>0</v>
      </c>
      <c r="M361" t="s">
        <v>49</v>
      </c>
      <c r="N361" t="s">
        <v>50</v>
      </c>
      <c r="O361">
        <v>0</v>
      </c>
      <c r="P361" t="s">
        <v>49</v>
      </c>
      <c r="Q361" t="s">
        <v>50</v>
      </c>
      <c r="R361" t="s">
        <v>300</v>
      </c>
      <c r="S361" t="s">
        <v>52</v>
      </c>
      <c r="T361" t="b">
        <v>1</v>
      </c>
      <c r="U361" t="s">
        <v>53</v>
      </c>
      <c r="V361" t="s">
        <v>54</v>
      </c>
      <c r="W361">
        <v>4</v>
      </c>
      <c r="X361" t="b">
        <v>0</v>
      </c>
      <c r="Y361" t="s">
        <v>55</v>
      </c>
      <c r="Z361" t="s">
        <v>56</v>
      </c>
      <c r="AA361" t="s">
        <v>57</v>
      </c>
      <c r="AB361">
        <v>0</v>
      </c>
      <c r="AC361" t="s">
        <v>58</v>
      </c>
      <c r="AD361">
        <v>8</v>
      </c>
      <c r="AE361" t="s">
        <v>59</v>
      </c>
      <c r="AF361">
        <v>46838852520.334999</v>
      </c>
      <c r="AG361" t="b">
        <v>1</v>
      </c>
      <c r="AH361">
        <v>-1</v>
      </c>
      <c r="AI361" t="s">
        <v>73</v>
      </c>
      <c r="AJ361">
        <v>0</v>
      </c>
      <c r="AK361" t="b">
        <v>0</v>
      </c>
      <c r="AL361">
        <v>46838852520.334999</v>
      </c>
      <c r="AM361" t="b">
        <v>1</v>
      </c>
      <c r="AN361">
        <v>0</v>
      </c>
      <c r="AO361" t="b">
        <v>0</v>
      </c>
      <c r="AQ361">
        <v>31625265580</v>
      </c>
      <c r="AR361">
        <v>31625265580</v>
      </c>
      <c r="AS361">
        <v>6</v>
      </c>
      <c r="AT361" t="b">
        <v>0</v>
      </c>
      <c r="AU361" t="b">
        <v>1</v>
      </c>
      <c r="BA361" t="str">
        <f t="shared" si="10"/>
        <v>Normal</v>
      </c>
      <c r="BG361" t="str">
        <f t="shared" si="11"/>
        <v>Normal</v>
      </c>
    </row>
    <row r="362" spans="1:59" x14ac:dyDescent="0.2">
      <c r="A362" t="s">
        <v>42</v>
      </c>
      <c r="B362" t="s">
        <v>43</v>
      </c>
      <c r="C362">
        <v>20220101</v>
      </c>
      <c r="D362">
        <v>2022</v>
      </c>
      <c r="E362">
        <v>52</v>
      </c>
      <c r="F362" t="s">
        <v>299</v>
      </c>
      <c r="G362">
        <v>496</v>
      </c>
      <c r="H362" t="s">
        <v>183</v>
      </c>
      <c r="I362" t="s">
        <v>184</v>
      </c>
      <c r="J362" t="s">
        <v>47</v>
      </c>
      <c r="K362" t="s">
        <v>48</v>
      </c>
      <c r="L362">
        <v>0</v>
      </c>
      <c r="M362" t="s">
        <v>49</v>
      </c>
      <c r="N362" t="s">
        <v>50</v>
      </c>
      <c r="O362">
        <v>0</v>
      </c>
      <c r="P362" t="s">
        <v>49</v>
      </c>
      <c r="Q362" t="s">
        <v>50</v>
      </c>
      <c r="R362" t="s">
        <v>300</v>
      </c>
      <c r="S362" t="s">
        <v>52</v>
      </c>
      <c r="T362" t="b">
        <v>1</v>
      </c>
      <c r="U362" t="s">
        <v>53</v>
      </c>
      <c r="V362" t="s">
        <v>54</v>
      </c>
      <c r="W362">
        <v>4</v>
      </c>
      <c r="X362" t="b">
        <v>0</v>
      </c>
      <c r="Y362" t="s">
        <v>55</v>
      </c>
      <c r="Z362" t="s">
        <v>56</v>
      </c>
      <c r="AA362" t="s">
        <v>57</v>
      </c>
      <c r="AB362">
        <v>0</v>
      </c>
      <c r="AC362" t="s">
        <v>58</v>
      </c>
      <c r="AD362">
        <v>8</v>
      </c>
      <c r="AE362" t="s">
        <v>59</v>
      </c>
      <c r="AF362">
        <v>356292400</v>
      </c>
      <c r="AG362" t="b">
        <v>0</v>
      </c>
      <c r="AH362">
        <v>19</v>
      </c>
      <c r="AI362" t="s">
        <v>60</v>
      </c>
      <c r="AJ362">
        <v>2625649</v>
      </c>
      <c r="AK362" t="b">
        <v>0</v>
      </c>
      <c r="AL362">
        <v>356292400</v>
      </c>
      <c r="AM362" t="b">
        <v>0</v>
      </c>
      <c r="AN362">
        <v>0</v>
      </c>
      <c r="AO362" t="b">
        <v>0</v>
      </c>
      <c r="AQ362">
        <v>243491925.32600001</v>
      </c>
      <c r="AR362">
        <v>243491925.32600001</v>
      </c>
      <c r="AS362">
        <v>0</v>
      </c>
      <c r="AT362" t="b">
        <v>0</v>
      </c>
      <c r="AU362" t="b">
        <v>1</v>
      </c>
      <c r="BA362" t="str">
        <f t="shared" si="10"/>
        <v>Normal</v>
      </c>
      <c r="BG362" t="str">
        <f t="shared" si="11"/>
        <v>Normal</v>
      </c>
    </row>
    <row r="363" spans="1:59" x14ac:dyDescent="0.2">
      <c r="A363" t="s">
        <v>42</v>
      </c>
      <c r="B363" t="s">
        <v>43</v>
      </c>
      <c r="C363">
        <v>20220101</v>
      </c>
      <c r="D363">
        <v>2022</v>
      </c>
      <c r="E363">
        <v>52</v>
      </c>
      <c r="F363" t="s">
        <v>299</v>
      </c>
      <c r="G363">
        <v>498</v>
      </c>
      <c r="H363" t="s">
        <v>185</v>
      </c>
      <c r="I363" t="s">
        <v>186</v>
      </c>
      <c r="J363" t="s">
        <v>47</v>
      </c>
      <c r="K363" t="s">
        <v>48</v>
      </c>
      <c r="L363">
        <v>0</v>
      </c>
      <c r="M363" t="s">
        <v>49</v>
      </c>
      <c r="N363" t="s">
        <v>50</v>
      </c>
      <c r="O363">
        <v>0</v>
      </c>
      <c r="P363" t="s">
        <v>49</v>
      </c>
      <c r="Q363" t="s">
        <v>50</v>
      </c>
      <c r="R363" t="s">
        <v>51</v>
      </c>
      <c r="S363" t="s">
        <v>52</v>
      </c>
      <c r="T363" t="b">
        <v>1</v>
      </c>
      <c r="U363" t="s">
        <v>53</v>
      </c>
      <c r="V363" t="s">
        <v>54</v>
      </c>
      <c r="W363">
        <v>4</v>
      </c>
      <c r="X363" t="b">
        <v>0</v>
      </c>
      <c r="Y363" t="s">
        <v>55</v>
      </c>
      <c r="Z363" t="s">
        <v>56</v>
      </c>
      <c r="AA363" t="s">
        <v>57</v>
      </c>
      <c r="AB363">
        <v>0</v>
      </c>
      <c r="AC363" t="s">
        <v>58</v>
      </c>
      <c r="AD363">
        <v>8</v>
      </c>
      <c r="AE363" t="s">
        <v>59</v>
      </c>
      <c r="AF363">
        <v>2101890</v>
      </c>
      <c r="AG363" t="b">
        <v>0</v>
      </c>
      <c r="AH363">
        <v>8</v>
      </c>
      <c r="AI363" t="s">
        <v>59</v>
      </c>
      <c r="AJ363">
        <v>2101890</v>
      </c>
      <c r="AK363" t="b">
        <v>0</v>
      </c>
      <c r="AL363">
        <v>2101890</v>
      </c>
      <c r="AM363" t="b">
        <v>0</v>
      </c>
      <c r="AN363">
        <v>0</v>
      </c>
      <c r="AO363" t="b">
        <v>0</v>
      </c>
      <c r="AQ363">
        <v>877005</v>
      </c>
      <c r="AR363">
        <v>877005</v>
      </c>
      <c r="AS363">
        <v>0</v>
      </c>
      <c r="AT363" t="b">
        <v>0</v>
      </c>
      <c r="AU363" t="b">
        <v>1</v>
      </c>
      <c r="BA363" t="str">
        <f t="shared" si="10"/>
        <v>Normal</v>
      </c>
      <c r="BG363" t="str">
        <f t="shared" si="11"/>
        <v>Normal</v>
      </c>
    </row>
    <row r="364" spans="1:59" x14ac:dyDescent="0.2">
      <c r="A364" t="s">
        <v>42</v>
      </c>
      <c r="B364" t="s">
        <v>43</v>
      </c>
      <c r="C364">
        <v>20220101</v>
      </c>
      <c r="D364">
        <v>2022</v>
      </c>
      <c r="E364">
        <v>52</v>
      </c>
      <c r="F364" t="s">
        <v>299</v>
      </c>
      <c r="G364">
        <v>512</v>
      </c>
      <c r="H364" t="s">
        <v>187</v>
      </c>
      <c r="I364" t="s">
        <v>188</v>
      </c>
      <c r="J364" t="s">
        <v>47</v>
      </c>
      <c r="K364" t="s">
        <v>48</v>
      </c>
      <c r="L364">
        <v>0</v>
      </c>
      <c r="M364" t="s">
        <v>49</v>
      </c>
      <c r="N364" t="s">
        <v>50</v>
      </c>
      <c r="O364">
        <v>0</v>
      </c>
      <c r="P364" t="s">
        <v>49</v>
      </c>
      <c r="Q364" t="s">
        <v>50</v>
      </c>
      <c r="R364" t="s">
        <v>300</v>
      </c>
      <c r="S364" t="s">
        <v>52</v>
      </c>
      <c r="T364" t="b">
        <v>1</v>
      </c>
      <c r="U364" t="s">
        <v>53</v>
      </c>
      <c r="V364" t="s">
        <v>54</v>
      </c>
      <c r="W364">
        <v>4</v>
      </c>
      <c r="X364" t="b">
        <v>0</v>
      </c>
      <c r="Y364" t="s">
        <v>55</v>
      </c>
      <c r="Z364" t="s">
        <v>56</v>
      </c>
      <c r="AA364" t="s">
        <v>57</v>
      </c>
      <c r="AB364">
        <v>0</v>
      </c>
      <c r="AC364" t="s">
        <v>58</v>
      </c>
      <c r="AD364">
        <v>8</v>
      </c>
      <c r="AE364" t="s">
        <v>59</v>
      </c>
      <c r="AF364">
        <v>44899361297.093002</v>
      </c>
      <c r="AG364" t="b">
        <v>1</v>
      </c>
      <c r="AH364">
        <v>-1</v>
      </c>
      <c r="AI364" t="s">
        <v>73</v>
      </c>
      <c r="AJ364">
        <v>0</v>
      </c>
      <c r="AK364" t="b">
        <v>0</v>
      </c>
      <c r="AL364">
        <v>44899361297.093002</v>
      </c>
      <c r="AM364" t="b">
        <v>1</v>
      </c>
      <c r="AN364">
        <v>0</v>
      </c>
      <c r="AO364" t="b">
        <v>0</v>
      </c>
      <c r="AQ364">
        <v>30315734672.972</v>
      </c>
      <c r="AR364">
        <v>30315734672.972</v>
      </c>
      <c r="AS364">
        <v>6</v>
      </c>
      <c r="AT364" t="b">
        <v>0</v>
      </c>
      <c r="AU364" t="b">
        <v>1</v>
      </c>
      <c r="BA364" t="str">
        <f t="shared" si="10"/>
        <v>Normal</v>
      </c>
      <c r="BG364" t="str">
        <f t="shared" si="11"/>
        <v>Normal</v>
      </c>
    </row>
    <row r="365" spans="1:59" x14ac:dyDescent="0.2">
      <c r="A365" t="s">
        <v>42</v>
      </c>
      <c r="B365" t="s">
        <v>43</v>
      </c>
      <c r="C365">
        <v>20220101</v>
      </c>
      <c r="D365">
        <v>2022</v>
      </c>
      <c r="E365">
        <v>52</v>
      </c>
      <c r="F365" t="s">
        <v>299</v>
      </c>
      <c r="G365">
        <v>516</v>
      </c>
      <c r="H365" t="s">
        <v>189</v>
      </c>
      <c r="I365" t="s">
        <v>190</v>
      </c>
      <c r="J365" t="s">
        <v>47</v>
      </c>
      <c r="K365" t="s">
        <v>48</v>
      </c>
      <c r="L365">
        <v>0</v>
      </c>
      <c r="M365" t="s">
        <v>49</v>
      </c>
      <c r="N365" t="s">
        <v>50</v>
      </c>
      <c r="O365">
        <v>0</v>
      </c>
      <c r="P365" t="s">
        <v>49</v>
      </c>
      <c r="Q365" t="s">
        <v>50</v>
      </c>
      <c r="R365" t="s">
        <v>300</v>
      </c>
      <c r="S365" t="s">
        <v>52</v>
      </c>
      <c r="T365" t="b">
        <v>1</v>
      </c>
      <c r="U365" t="s">
        <v>53</v>
      </c>
      <c r="V365" t="s">
        <v>54</v>
      </c>
      <c r="W365">
        <v>4</v>
      </c>
      <c r="X365" t="b">
        <v>0</v>
      </c>
      <c r="Y365" t="s">
        <v>55</v>
      </c>
      <c r="Z365" t="s">
        <v>56</v>
      </c>
      <c r="AA365" t="s">
        <v>57</v>
      </c>
      <c r="AB365">
        <v>0</v>
      </c>
      <c r="AC365" t="s">
        <v>58</v>
      </c>
      <c r="AD365">
        <v>8</v>
      </c>
      <c r="AE365" t="s">
        <v>59</v>
      </c>
      <c r="AF365">
        <v>551233</v>
      </c>
      <c r="AG365" t="b">
        <v>0</v>
      </c>
      <c r="AH365">
        <v>8</v>
      </c>
      <c r="AI365" t="s">
        <v>59</v>
      </c>
      <c r="AJ365">
        <v>551233</v>
      </c>
      <c r="AK365" t="b">
        <v>0</v>
      </c>
      <c r="AL365">
        <v>551233</v>
      </c>
      <c r="AM365" t="b">
        <v>0</v>
      </c>
      <c r="AN365">
        <v>0</v>
      </c>
      <c r="AO365" t="b">
        <v>0</v>
      </c>
      <c r="AQ365">
        <v>393964.45</v>
      </c>
      <c r="AR365">
        <v>393964.45</v>
      </c>
      <c r="AS365">
        <v>0</v>
      </c>
      <c r="AT365" t="b">
        <v>0</v>
      </c>
      <c r="AU365" t="b">
        <v>1</v>
      </c>
      <c r="BA365" t="str">
        <f t="shared" si="10"/>
        <v>Normal</v>
      </c>
      <c r="BG365" t="str">
        <f t="shared" si="11"/>
        <v>Normal</v>
      </c>
    </row>
    <row r="366" spans="1:59" x14ac:dyDescent="0.2">
      <c r="A366" t="s">
        <v>42</v>
      </c>
      <c r="B366" t="s">
        <v>43</v>
      </c>
      <c r="C366">
        <v>20220101</v>
      </c>
      <c r="D366">
        <v>2022</v>
      </c>
      <c r="E366">
        <v>52</v>
      </c>
      <c r="F366" t="s">
        <v>299</v>
      </c>
      <c r="G366">
        <v>528</v>
      </c>
      <c r="H366" t="s">
        <v>191</v>
      </c>
      <c r="I366" t="s">
        <v>192</v>
      </c>
      <c r="J366" t="s">
        <v>47</v>
      </c>
      <c r="K366" t="s">
        <v>48</v>
      </c>
      <c r="L366">
        <v>0</v>
      </c>
      <c r="M366" t="s">
        <v>49</v>
      </c>
      <c r="N366" t="s">
        <v>50</v>
      </c>
      <c r="O366">
        <v>0</v>
      </c>
      <c r="P366" t="s">
        <v>49</v>
      </c>
      <c r="Q366" t="s">
        <v>50</v>
      </c>
      <c r="R366" t="s">
        <v>300</v>
      </c>
      <c r="S366" t="s">
        <v>52</v>
      </c>
      <c r="T366" t="b">
        <v>1</v>
      </c>
      <c r="U366" t="s">
        <v>53</v>
      </c>
      <c r="V366" t="s">
        <v>54</v>
      </c>
      <c r="W366">
        <v>4</v>
      </c>
      <c r="X366" t="b">
        <v>0</v>
      </c>
      <c r="Y366" t="s">
        <v>55</v>
      </c>
      <c r="Z366" t="s">
        <v>56</v>
      </c>
      <c r="AA366" t="s">
        <v>57</v>
      </c>
      <c r="AB366">
        <v>0</v>
      </c>
      <c r="AC366" t="s">
        <v>58</v>
      </c>
      <c r="AD366">
        <v>-1</v>
      </c>
      <c r="AE366" t="s">
        <v>73</v>
      </c>
      <c r="AF366">
        <v>0</v>
      </c>
      <c r="AG366" t="b">
        <v>0</v>
      </c>
      <c r="AH366">
        <v>-1</v>
      </c>
      <c r="AI366" t="s">
        <v>73</v>
      </c>
      <c r="AJ366">
        <v>0</v>
      </c>
      <c r="AK366" t="b">
        <v>0</v>
      </c>
      <c r="AM366" t="b">
        <v>0</v>
      </c>
      <c r="AN366">
        <v>0</v>
      </c>
      <c r="AO366" t="b">
        <v>0</v>
      </c>
      <c r="AQ366">
        <v>9020872843.9720001</v>
      </c>
      <c r="AR366">
        <v>9020872843.9720001</v>
      </c>
      <c r="AS366">
        <v>0</v>
      </c>
      <c r="AT366" t="b">
        <v>0</v>
      </c>
      <c r="AU366" t="b">
        <v>1</v>
      </c>
      <c r="BA366" t="str">
        <f t="shared" si="10"/>
        <v>Normal</v>
      </c>
      <c r="BG366" t="str">
        <f t="shared" si="11"/>
        <v>Normal</v>
      </c>
    </row>
    <row r="367" spans="1:59" x14ac:dyDescent="0.2">
      <c r="A367" t="s">
        <v>42</v>
      </c>
      <c r="B367" t="s">
        <v>43</v>
      </c>
      <c r="C367">
        <v>20220101</v>
      </c>
      <c r="D367">
        <v>2022</v>
      </c>
      <c r="E367">
        <v>52</v>
      </c>
      <c r="F367" t="s">
        <v>299</v>
      </c>
      <c r="G367">
        <v>554</v>
      </c>
      <c r="H367" t="s">
        <v>195</v>
      </c>
      <c r="I367" t="s">
        <v>196</v>
      </c>
      <c r="J367" t="s">
        <v>47</v>
      </c>
      <c r="K367" t="s">
        <v>48</v>
      </c>
      <c r="L367">
        <v>0</v>
      </c>
      <c r="M367" t="s">
        <v>49</v>
      </c>
      <c r="N367" t="s">
        <v>50</v>
      </c>
      <c r="O367">
        <v>0</v>
      </c>
      <c r="P367" t="s">
        <v>49</v>
      </c>
      <c r="Q367" t="s">
        <v>50</v>
      </c>
      <c r="R367" t="s">
        <v>300</v>
      </c>
      <c r="S367" t="s">
        <v>52</v>
      </c>
      <c r="T367" t="b">
        <v>1</v>
      </c>
      <c r="U367" t="s">
        <v>53</v>
      </c>
      <c r="V367" t="s">
        <v>54</v>
      </c>
      <c r="W367">
        <v>4</v>
      </c>
      <c r="X367" t="b">
        <v>0</v>
      </c>
      <c r="Y367" t="s">
        <v>55</v>
      </c>
      <c r="Z367" t="s">
        <v>56</v>
      </c>
      <c r="AA367" t="s">
        <v>57</v>
      </c>
      <c r="AB367">
        <v>0</v>
      </c>
      <c r="AC367" t="s">
        <v>58</v>
      </c>
      <c r="AD367">
        <v>8</v>
      </c>
      <c r="AE367" t="s">
        <v>59</v>
      </c>
      <c r="AF367">
        <v>729942000</v>
      </c>
      <c r="AG367" t="b">
        <v>0</v>
      </c>
      <c r="AH367">
        <v>21</v>
      </c>
      <c r="AI367" t="s">
        <v>170</v>
      </c>
      <c r="AJ367">
        <v>729942</v>
      </c>
      <c r="AK367" t="b">
        <v>0</v>
      </c>
      <c r="AL367">
        <v>729942000</v>
      </c>
      <c r="AM367" t="b">
        <v>0</v>
      </c>
      <c r="AN367">
        <v>729943400</v>
      </c>
      <c r="AO367" t="b">
        <v>0</v>
      </c>
      <c r="AQ367">
        <v>577428907.02600002</v>
      </c>
      <c r="AR367">
        <v>577428907.02600002</v>
      </c>
      <c r="AS367">
        <v>0</v>
      </c>
      <c r="AT367" t="b">
        <v>0</v>
      </c>
      <c r="AU367" t="b">
        <v>1</v>
      </c>
      <c r="BA367" t="str">
        <f t="shared" si="10"/>
        <v>Normal</v>
      </c>
      <c r="BG367" t="str">
        <f t="shared" si="11"/>
        <v>Normal</v>
      </c>
    </row>
    <row r="368" spans="1:59" x14ac:dyDescent="0.2">
      <c r="A368" t="s">
        <v>42</v>
      </c>
      <c r="B368" t="s">
        <v>43</v>
      </c>
      <c r="C368">
        <v>20220101</v>
      </c>
      <c r="D368">
        <v>2022</v>
      </c>
      <c r="E368">
        <v>52</v>
      </c>
      <c r="F368" t="s">
        <v>299</v>
      </c>
      <c r="G368">
        <v>566</v>
      </c>
      <c r="H368" t="s">
        <v>197</v>
      </c>
      <c r="I368" t="s">
        <v>198</v>
      </c>
      <c r="J368" t="s">
        <v>47</v>
      </c>
      <c r="K368" t="s">
        <v>48</v>
      </c>
      <c r="L368">
        <v>0</v>
      </c>
      <c r="M368" t="s">
        <v>49</v>
      </c>
      <c r="N368" t="s">
        <v>50</v>
      </c>
      <c r="O368">
        <v>0</v>
      </c>
      <c r="P368" t="s">
        <v>49</v>
      </c>
      <c r="Q368" t="s">
        <v>50</v>
      </c>
      <c r="R368" t="s">
        <v>300</v>
      </c>
      <c r="S368" t="s">
        <v>52</v>
      </c>
      <c r="T368" t="b">
        <v>1</v>
      </c>
      <c r="U368" t="s">
        <v>53</v>
      </c>
      <c r="V368" t="s">
        <v>54</v>
      </c>
      <c r="W368">
        <v>4</v>
      </c>
      <c r="X368" t="b">
        <v>0</v>
      </c>
      <c r="Y368" t="s">
        <v>55</v>
      </c>
      <c r="Z368" t="s">
        <v>56</v>
      </c>
      <c r="AA368" t="s">
        <v>57</v>
      </c>
      <c r="AB368">
        <v>0</v>
      </c>
      <c r="AC368" t="s">
        <v>58</v>
      </c>
      <c r="AD368">
        <v>-1</v>
      </c>
      <c r="AE368" t="s">
        <v>73</v>
      </c>
      <c r="AF368">
        <v>0</v>
      </c>
      <c r="AG368" t="b">
        <v>0</v>
      </c>
      <c r="AH368">
        <v>-1</v>
      </c>
      <c r="AI368" t="s">
        <v>73</v>
      </c>
      <c r="AJ368">
        <v>0</v>
      </c>
      <c r="AK368" t="b">
        <v>0</v>
      </c>
      <c r="AM368" t="b">
        <v>0</v>
      </c>
      <c r="AN368">
        <v>0</v>
      </c>
      <c r="AO368" t="b">
        <v>0</v>
      </c>
      <c r="AQ368">
        <v>49932928897.913002</v>
      </c>
      <c r="AR368">
        <v>49932928897.913002</v>
      </c>
      <c r="AS368">
        <v>0</v>
      </c>
      <c r="AT368" t="b">
        <v>0</v>
      </c>
      <c r="AU368" t="b">
        <v>1</v>
      </c>
      <c r="BA368" t="str">
        <f t="shared" si="10"/>
        <v>Normal</v>
      </c>
      <c r="BG368" t="str">
        <f t="shared" si="11"/>
        <v>Normal</v>
      </c>
    </row>
    <row r="369" spans="1:59" x14ac:dyDescent="0.2">
      <c r="A369" t="s">
        <v>42</v>
      </c>
      <c r="B369" t="s">
        <v>43</v>
      </c>
      <c r="C369">
        <v>20220101</v>
      </c>
      <c r="D369">
        <v>2022</v>
      </c>
      <c r="E369">
        <v>52</v>
      </c>
      <c r="F369" t="s">
        <v>299</v>
      </c>
      <c r="G369">
        <v>579</v>
      </c>
      <c r="H369" t="s">
        <v>199</v>
      </c>
      <c r="I369" t="s">
        <v>200</v>
      </c>
      <c r="J369" t="s">
        <v>47</v>
      </c>
      <c r="K369" t="s">
        <v>48</v>
      </c>
      <c r="L369">
        <v>0</v>
      </c>
      <c r="M369" t="s">
        <v>49</v>
      </c>
      <c r="N369" t="s">
        <v>50</v>
      </c>
      <c r="O369">
        <v>0</v>
      </c>
      <c r="P369" t="s">
        <v>49</v>
      </c>
      <c r="Q369" t="s">
        <v>50</v>
      </c>
      <c r="R369" t="s">
        <v>300</v>
      </c>
      <c r="S369" t="s">
        <v>52</v>
      </c>
      <c r="T369" t="b">
        <v>1</v>
      </c>
      <c r="U369" t="s">
        <v>53</v>
      </c>
      <c r="V369" t="s">
        <v>54</v>
      </c>
      <c r="W369">
        <v>4</v>
      </c>
      <c r="X369" t="b">
        <v>0</v>
      </c>
      <c r="Y369" t="s">
        <v>55</v>
      </c>
      <c r="Z369" t="s">
        <v>56</v>
      </c>
      <c r="AA369" t="s">
        <v>57</v>
      </c>
      <c r="AB369">
        <v>0</v>
      </c>
      <c r="AC369" t="s">
        <v>58</v>
      </c>
      <c r="AD369">
        <v>8</v>
      </c>
      <c r="AE369" t="s">
        <v>59</v>
      </c>
      <c r="AF369">
        <v>77728819900</v>
      </c>
      <c r="AG369" t="b">
        <v>0</v>
      </c>
      <c r="AH369">
        <v>-1</v>
      </c>
      <c r="AI369" t="s">
        <v>73</v>
      </c>
      <c r="AJ369">
        <v>0</v>
      </c>
      <c r="AK369" t="b">
        <v>0</v>
      </c>
      <c r="AL369">
        <v>77728819900</v>
      </c>
      <c r="AM369" t="b">
        <v>0</v>
      </c>
      <c r="AN369">
        <v>0</v>
      </c>
      <c r="AO369" t="b">
        <v>0</v>
      </c>
      <c r="AQ369">
        <v>56750851151.129997</v>
      </c>
      <c r="AR369">
        <v>56750851151.129997</v>
      </c>
      <c r="AS369">
        <v>0</v>
      </c>
      <c r="AT369" t="b">
        <v>0</v>
      </c>
      <c r="AU369" t="b">
        <v>1</v>
      </c>
      <c r="BA369" t="str">
        <f t="shared" si="10"/>
        <v>Normal</v>
      </c>
      <c r="BG369" t="str">
        <f t="shared" si="11"/>
        <v>Normal</v>
      </c>
    </row>
    <row r="370" spans="1:59" x14ac:dyDescent="0.2">
      <c r="A370" t="s">
        <v>42</v>
      </c>
      <c r="B370" t="s">
        <v>43</v>
      </c>
      <c r="C370">
        <v>20220101</v>
      </c>
      <c r="D370">
        <v>2022</v>
      </c>
      <c r="E370">
        <v>52</v>
      </c>
      <c r="F370" t="s">
        <v>299</v>
      </c>
      <c r="G370">
        <v>586</v>
      </c>
      <c r="H370" t="s">
        <v>201</v>
      </c>
      <c r="I370" t="s">
        <v>202</v>
      </c>
      <c r="J370" t="s">
        <v>47</v>
      </c>
      <c r="K370" t="s">
        <v>48</v>
      </c>
      <c r="L370">
        <v>0</v>
      </c>
      <c r="M370" t="s">
        <v>49</v>
      </c>
      <c r="N370" t="s">
        <v>50</v>
      </c>
      <c r="O370">
        <v>0</v>
      </c>
      <c r="P370" t="s">
        <v>49</v>
      </c>
      <c r="Q370" t="s">
        <v>50</v>
      </c>
      <c r="R370" t="s">
        <v>300</v>
      </c>
      <c r="S370" t="s">
        <v>52</v>
      </c>
      <c r="T370" t="b">
        <v>1</v>
      </c>
      <c r="U370" t="s">
        <v>53</v>
      </c>
      <c r="V370" t="s">
        <v>54</v>
      </c>
      <c r="W370">
        <v>4</v>
      </c>
      <c r="X370" t="b">
        <v>0</v>
      </c>
      <c r="Y370" t="s">
        <v>55</v>
      </c>
      <c r="Z370" t="s">
        <v>56</v>
      </c>
      <c r="AA370" t="s">
        <v>57</v>
      </c>
      <c r="AB370">
        <v>0</v>
      </c>
      <c r="AC370" t="s">
        <v>58</v>
      </c>
      <c r="AD370">
        <v>8</v>
      </c>
      <c r="AE370" t="s">
        <v>59</v>
      </c>
      <c r="AF370">
        <v>387780000</v>
      </c>
      <c r="AG370" t="b">
        <v>0</v>
      </c>
      <c r="AH370">
        <v>21</v>
      </c>
      <c r="AI370" t="s">
        <v>170</v>
      </c>
      <c r="AJ370">
        <v>387780</v>
      </c>
      <c r="AK370" t="b">
        <v>0</v>
      </c>
      <c r="AL370">
        <v>387780000</v>
      </c>
      <c r="AM370" t="b">
        <v>0</v>
      </c>
      <c r="AN370">
        <v>0</v>
      </c>
      <c r="AO370" t="b">
        <v>0</v>
      </c>
      <c r="AQ370">
        <v>292835510.21899998</v>
      </c>
      <c r="AR370">
        <v>292835510.21899998</v>
      </c>
      <c r="AS370">
        <v>0</v>
      </c>
      <c r="AT370" t="b">
        <v>0</v>
      </c>
      <c r="AU370" t="b">
        <v>1</v>
      </c>
      <c r="BA370" t="str">
        <f t="shared" si="10"/>
        <v>Normal</v>
      </c>
      <c r="BG370" t="str">
        <f t="shared" si="11"/>
        <v>Normal</v>
      </c>
    </row>
    <row r="371" spans="1:59" x14ac:dyDescent="0.2">
      <c r="A371" t="s">
        <v>42</v>
      </c>
      <c r="B371" t="s">
        <v>43</v>
      </c>
      <c r="C371">
        <v>20220101</v>
      </c>
      <c r="D371">
        <v>2022</v>
      </c>
      <c r="E371">
        <v>52</v>
      </c>
      <c r="F371" t="s">
        <v>299</v>
      </c>
      <c r="G371">
        <v>598</v>
      </c>
      <c r="H371" t="s">
        <v>203</v>
      </c>
      <c r="I371" t="s">
        <v>204</v>
      </c>
      <c r="J371" t="s">
        <v>47</v>
      </c>
      <c r="K371" t="s">
        <v>48</v>
      </c>
      <c r="L371">
        <v>0</v>
      </c>
      <c r="M371" t="s">
        <v>49</v>
      </c>
      <c r="N371" t="s">
        <v>50</v>
      </c>
      <c r="O371">
        <v>0</v>
      </c>
      <c r="P371" t="s">
        <v>49</v>
      </c>
      <c r="Q371" t="s">
        <v>50</v>
      </c>
      <c r="R371" t="s">
        <v>51</v>
      </c>
      <c r="S371" t="s">
        <v>52</v>
      </c>
      <c r="T371" t="b">
        <v>1</v>
      </c>
      <c r="U371" t="s">
        <v>53</v>
      </c>
      <c r="V371" t="s">
        <v>54</v>
      </c>
      <c r="W371">
        <v>4</v>
      </c>
      <c r="X371" t="b">
        <v>0</v>
      </c>
      <c r="Y371" t="s">
        <v>55</v>
      </c>
      <c r="Z371" t="s">
        <v>56</v>
      </c>
      <c r="AA371" t="s">
        <v>57</v>
      </c>
      <c r="AB371">
        <v>0</v>
      </c>
      <c r="AC371" t="s">
        <v>58</v>
      </c>
      <c r="AD371">
        <v>8</v>
      </c>
      <c r="AE371" t="s">
        <v>59</v>
      </c>
      <c r="AF371">
        <v>96528004</v>
      </c>
      <c r="AG371" t="b">
        <v>0</v>
      </c>
      <c r="AH371">
        <v>7</v>
      </c>
      <c r="AI371" t="s">
        <v>67</v>
      </c>
      <c r="AJ371">
        <v>96528004</v>
      </c>
      <c r="AK371" t="b">
        <v>0</v>
      </c>
      <c r="AL371">
        <v>96528004</v>
      </c>
      <c r="AM371" t="b">
        <v>0</v>
      </c>
      <c r="AN371">
        <v>0</v>
      </c>
      <c r="AO371" t="b">
        <v>0</v>
      </c>
      <c r="AQ371">
        <v>843529266.91299999</v>
      </c>
      <c r="AR371">
        <v>843529266.91299999</v>
      </c>
      <c r="AS371">
        <v>0</v>
      </c>
      <c r="AT371" t="b">
        <v>0</v>
      </c>
      <c r="AU371" t="b">
        <v>1</v>
      </c>
      <c r="BA371" t="str">
        <f t="shared" si="10"/>
        <v>Normal</v>
      </c>
      <c r="BG371" t="str">
        <f t="shared" si="11"/>
        <v>Normal</v>
      </c>
    </row>
    <row r="372" spans="1:59" x14ac:dyDescent="0.2">
      <c r="A372" t="s">
        <v>42</v>
      </c>
      <c r="B372" t="s">
        <v>43</v>
      </c>
      <c r="C372">
        <v>20220101</v>
      </c>
      <c r="D372">
        <v>2022</v>
      </c>
      <c r="E372">
        <v>52</v>
      </c>
      <c r="F372" t="s">
        <v>299</v>
      </c>
      <c r="G372">
        <v>604</v>
      </c>
      <c r="H372" t="s">
        <v>205</v>
      </c>
      <c r="I372" t="s">
        <v>206</v>
      </c>
      <c r="J372" t="s">
        <v>47</v>
      </c>
      <c r="K372" t="s">
        <v>48</v>
      </c>
      <c r="L372">
        <v>0</v>
      </c>
      <c r="M372" t="s">
        <v>49</v>
      </c>
      <c r="N372" t="s">
        <v>50</v>
      </c>
      <c r="O372">
        <v>0</v>
      </c>
      <c r="P372" t="s">
        <v>49</v>
      </c>
      <c r="Q372" t="s">
        <v>50</v>
      </c>
      <c r="R372" t="s">
        <v>300</v>
      </c>
      <c r="S372" t="s">
        <v>52</v>
      </c>
      <c r="T372" t="b">
        <v>1</v>
      </c>
      <c r="U372" t="s">
        <v>53</v>
      </c>
      <c r="V372" t="s">
        <v>54</v>
      </c>
      <c r="W372">
        <v>4</v>
      </c>
      <c r="X372" t="b">
        <v>0</v>
      </c>
      <c r="Y372" t="s">
        <v>55</v>
      </c>
      <c r="Z372" t="s">
        <v>56</v>
      </c>
      <c r="AA372" t="s">
        <v>57</v>
      </c>
      <c r="AB372">
        <v>0</v>
      </c>
      <c r="AC372" t="s">
        <v>58</v>
      </c>
      <c r="AD372">
        <v>8</v>
      </c>
      <c r="AE372" t="s">
        <v>59</v>
      </c>
      <c r="AF372">
        <v>883104638.95000005</v>
      </c>
      <c r="AG372" t="b">
        <v>0</v>
      </c>
      <c r="AH372">
        <v>12</v>
      </c>
      <c r="AI372" t="s">
        <v>70</v>
      </c>
      <c r="AJ372">
        <v>951872.674</v>
      </c>
      <c r="AK372" t="b">
        <v>0</v>
      </c>
      <c r="AL372">
        <v>883104638.95000005</v>
      </c>
      <c r="AM372" t="b">
        <v>0</v>
      </c>
      <c r="AN372">
        <v>0</v>
      </c>
      <c r="AO372" t="b">
        <v>0</v>
      </c>
      <c r="AQ372">
        <v>508915564.64999998</v>
      </c>
      <c r="AR372">
        <v>508915564.64999998</v>
      </c>
      <c r="AS372">
        <v>0</v>
      </c>
      <c r="AT372" t="b">
        <v>0</v>
      </c>
      <c r="AU372" t="b">
        <v>1</v>
      </c>
      <c r="BA372" t="str">
        <f t="shared" si="10"/>
        <v>Normal</v>
      </c>
      <c r="BG372" t="str">
        <f t="shared" si="11"/>
        <v>Normal</v>
      </c>
    </row>
    <row r="373" spans="1:59" x14ac:dyDescent="0.2">
      <c r="A373" t="s">
        <v>42</v>
      </c>
      <c r="B373" t="s">
        <v>43</v>
      </c>
      <c r="C373">
        <v>20220101</v>
      </c>
      <c r="D373">
        <v>2022</v>
      </c>
      <c r="E373">
        <v>52</v>
      </c>
      <c r="F373" t="s">
        <v>299</v>
      </c>
      <c r="G373">
        <v>608</v>
      </c>
      <c r="H373" t="s">
        <v>207</v>
      </c>
      <c r="I373" t="s">
        <v>208</v>
      </c>
      <c r="J373" t="s">
        <v>47</v>
      </c>
      <c r="K373" t="s">
        <v>48</v>
      </c>
      <c r="L373">
        <v>0</v>
      </c>
      <c r="M373" t="s">
        <v>49</v>
      </c>
      <c r="N373" t="s">
        <v>50</v>
      </c>
      <c r="O373">
        <v>0</v>
      </c>
      <c r="P373" t="s">
        <v>49</v>
      </c>
      <c r="Q373" t="s">
        <v>50</v>
      </c>
      <c r="R373" t="s">
        <v>51</v>
      </c>
      <c r="S373" t="s">
        <v>52</v>
      </c>
      <c r="T373" t="b">
        <v>1</v>
      </c>
      <c r="U373" t="s">
        <v>53</v>
      </c>
      <c r="V373" t="s">
        <v>54</v>
      </c>
      <c r="W373">
        <v>4</v>
      </c>
      <c r="X373" t="b">
        <v>0</v>
      </c>
      <c r="Y373" t="s">
        <v>55</v>
      </c>
      <c r="Z373" t="s">
        <v>56</v>
      </c>
      <c r="AA373" t="s">
        <v>57</v>
      </c>
      <c r="AB373">
        <v>0</v>
      </c>
      <c r="AC373" t="s">
        <v>58</v>
      </c>
      <c r="AD373">
        <v>8</v>
      </c>
      <c r="AE373" t="s">
        <v>59</v>
      </c>
      <c r="AF373">
        <v>538077017.44400001</v>
      </c>
      <c r="AG373" t="b">
        <v>1</v>
      </c>
      <c r="AH373">
        <v>-1</v>
      </c>
      <c r="AI373" t="s">
        <v>73</v>
      </c>
      <c r="AJ373">
        <v>0</v>
      </c>
      <c r="AK373" t="b">
        <v>0</v>
      </c>
      <c r="AL373">
        <v>538077017.44400001</v>
      </c>
      <c r="AM373" t="b">
        <v>1</v>
      </c>
      <c r="AN373">
        <v>422472400</v>
      </c>
      <c r="AO373" t="b">
        <v>0</v>
      </c>
      <c r="AQ373">
        <v>323547500</v>
      </c>
      <c r="AR373">
        <v>323547500</v>
      </c>
      <c r="AS373">
        <v>6</v>
      </c>
      <c r="AT373" t="b">
        <v>0</v>
      </c>
      <c r="AU373" t="b">
        <v>1</v>
      </c>
      <c r="BA373" t="str">
        <f t="shared" si="10"/>
        <v>Normal</v>
      </c>
      <c r="BG373" t="str">
        <f t="shared" si="11"/>
        <v>Normal</v>
      </c>
    </row>
    <row r="374" spans="1:59" x14ac:dyDescent="0.2">
      <c r="A374" t="s">
        <v>42</v>
      </c>
      <c r="B374" t="s">
        <v>43</v>
      </c>
      <c r="C374">
        <v>20220101</v>
      </c>
      <c r="D374">
        <v>2022</v>
      </c>
      <c r="E374">
        <v>52</v>
      </c>
      <c r="F374" t="s">
        <v>299</v>
      </c>
      <c r="G374">
        <v>616</v>
      </c>
      <c r="H374" t="s">
        <v>209</v>
      </c>
      <c r="I374" t="s">
        <v>210</v>
      </c>
      <c r="J374" t="s">
        <v>47</v>
      </c>
      <c r="K374" t="s">
        <v>48</v>
      </c>
      <c r="L374">
        <v>0</v>
      </c>
      <c r="M374" t="s">
        <v>49</v>
      </c>
      <c r="N374" t="s">
        <v>50</v>
      </c>
      <c r="O374">
        <v>0</v>
      </c>
      <c r="P374" t="s">
        <v>49</v>
      </c>
      <c r="Q374" t="s">
        <v>50</v>
      </c>
      <c r="R374" t="s">
        <v>300</v>
      </c>
      <c r="S374" t="s">
        <v>52</v>
      </c>
      <c r="T374" t="b">
        <v>1</v>
      </c>
      <c r="U374" t="s">
        <v>53</v>
      </c>
      <c r="V374" t="s">
        <v>54</v>
      </c>
      <c r="W374">
        <v>4</v>
      </c>
      <c r="X374" t="b">
        <v>0</v>
      </c>
      <c r="Y374" t="s">
        <v>55</v>
      </c>
      <c r="Z374" t="s">
        <v>56</v>
      </c>
      <c r="AA374" t="s">
        <v>57</v>
      </c>
      <c r="AB374">
        <v>0</v>
      </c>
      <c r="AC374" t="s">
        <v>58</v>
      </c>
      <c r="AD374">
        <v>-1</v>
      </c>
      <c r="AE374" t="s">
        <v>73</v>
      </c>
      <c r="AF374">
        <v>0</v>
      </c>
      <c r="AG374" t="b">
        <v>0</v>
      </c>
      <c r="AH374">
        <v>-1</v>
      </c>
      <c r="AI374" t="s">
        <v>73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Q374">
        <v>112222704</v>
      </c>
      <c r="AR374">
        <v>112222704</v>
      </c>
      <c r="AS374">
        <v>0</v>
      </c>
      <c r="AT374" t="b">
        <v>0</v>
      </c>
      <c r="AU374" t="b">
        <v>1</v>
      </c>
      <c r="BA374" t="str">
        <f t="shared" si="10"/>
        <v>Normal</v>
      </c>
      <c r="BG374" t="str">
        <f t="shared" si="11"/>
        <v>Normal</v>
      </c>
    </row>
    <row r="375" spans="1:59" x14ac:dyDescent="0.2">
      <c r="A375" t="s">
        <v>42</v>
      </c>
      <c r="B375" t="s">
        <v>43</v>
      </c>
      <c r="C375">
        <v>20220101</v>
      </c>
      <c r="D375">
        <v>2022</v>
      </c>
      <c r="E375">
        <v>52</v>
      </c>
      <c r="F375" t="s">
        <v>299</v>
      </c>
      <c r="G375">
        <v>626</v>
      </c>
      <c r="H375" t="s">
        <v>213</v>
      </c>
      <c r="I375" t="s">
        <v>214</v>
      </c>
      <c r="J375" t="s">
        <v>47</v>
      </c>
      <c r="K375" t="s">
        <v>48</v>
      </c>
      <c r="L375">
        <v>0</v>
      </c>
      <c r="M375" t="s">
        <v>49</v>
      </c>
      <c r="N375" t="s">
        <v>50</v>
      </c>
      <c r="O375">
        <v>0</v>
      </c>
      <c r="P375" t="s">
        <v>49</v>
      </c>
      <c r="Q375" t="s">
        <v>50</v>
      </c>
      <c r="R375" t="s">
        <v>51</v>
      </c>
      <c r="S375" t="s">
        <v>52</v>
      </c>
      <c r="T375" t="b">
        <v>1</v>
      </c>
      <c r="U375" t="s">
        <v>53</v>
      </c>
      <c r="V375" t="s">
        <v>54</v>
      </c>
      <c r="W375">
        <v>4</v>
      </c>
      <c r="X375" t="b">
        <v>0</v>
      </c>
      <c r="Y375" t="s">
        <v>55</v>
      </c>
      <c r="Z375" t="s">
        <v>56</v>
      </c>
      <c r="AA375" t="s">
        <v>57</v>
      </c>
      <c r="AB375">
        <v>0</v>
      </c>
      <c r="AC375" t="s">
        <v>58</v>
      </c>
      <c r="AD375">
        <v>8</v>
      </c>
      <c r="AE375" t="s">
        <v>59</v>
      </c>
      <c r="AF375">
        <v>321415200</v>
      </c>
      <c r="AG375" t="b">
        <v>0</v>
      </c>
      <c r="AH375">
        <v>8</v>
      </c>
      <c r="AI375" t="s">
        <v>59</v>
      </c>
      <c r="AJ375">
        <v>321415200</v>
      </c>
      <c r="AK375" t="b">
        <v>0</v>
      </c>
      <c r="AL375">
        <v>321415200</v>
      </c>
      <c r="AM375" t="b">
        <v>0</v>
      </c>
      <c r="AN375">
        <v>0</v>
      </c>
      <c r="AO375" t="b">
        <v>0</v>
      </c>
      <c r="AQ375">
        <v>226068128.37</v>
      </c>
      <c r="AR375">
        <v>226068128.37</v>
      </c>
      <c r="AS375">
        <v>0</v>
      </c>
      <c r="AT375" t="b">
        <v>0</v>
      </c>
      <c r="AU375" t="b">
        <v>1</v>
      </c>
      <c r="BA375" t="str">
        <f t="shared" si="10"/>
        <v>Normal</v>
      </c>
      <c r="BG375" t="str">
        <f t="shared" si="11"/>
        <v>Normal</v>
      </c>
    </row>
    <row r="376" spans="1:59" x14ac:dyDescent="0.2">
      <c r="A376" t="s">
        <v>42</v>
      </c>
      <c r="B376" t="s">
        <v>43</v>
      </c>
      <c r="C376">
        <v>20220101</v>
      </c>
      <c r="D376">
        <v>2022</v>
      </c>
      <c r="E376">
        <v>52</v>
      </c>
      <c r="F376" t="s">
        <v>299</v>
      </c>
      <c r="G376">
        <v>634</v>
      </c>
      <c r="H376" t="s">
        <v>216</v>
      </c>
      <c r="I376" t="s">
        <v>217</v>
      </c>
      <c r="J376" t="s">
        <v>47</v>
      </c>
      <c r="K376" t="s">
        <v>48</v>
      </c>
      <c r="L376">
        <v>0</v>
      </c>
      <c r="M376" t="s">
        <v>49</v>
      </c>
      <c r="N376" t="s">
        <v>50</v>
      </c>
      <c r="O376">
        <v>0</v>
      </c>
      <c r="P376" t="s">
        <v>49</v>
      </c>
      <c r="Q376" t="s">
        <v>50</v>
      </c>
      <c r="R376" t="s">
        <v>300</v>
      </c>
      <c r="S376" t="s">
        <v>52</v>
      </c>
      <c r="T376" t="b">
        <v>1</v>
      </c>
      <c r="U376" t="s">
        <v>53</v>
      </c>
      <c r="V376" t="s">
        <v>54</v>
      </c>
      <c r="W376">
        <v>4</v>
      </c>
      <c r="X376" t="b">
        <v>0</v>
      </c>
      <c r="Y376" t="s">
        <v>55</v>
      </c>
      <c r="Z376" t="s">
        <v>56</v>
      </c>
      <c r="AA376" t="s">
        <v>57</v>
      </c>
      <c r="AB376">
        <v>0</v>
      </c>
      <c r="AC376" t="s">
        <v>58</v>
      </c>
      <c r="AD376">
        <v>-1</v>
      </c>
      <c r="AE376" t="s">
        <v>73</v>
      </c>
      <c r="AF376">
        <v>0</v>
      </c>
      <c r="AG376" t="b">
        <v>0</v>
      </c>
      <c r="AH376">
        <v>-1</v>
      </c>
      <c r="AI376" t="s">
        <v>73</v>
      </c>
      <c r="AJ376">
        <v>0</v>
      </c>
      <c r="AK376" t="b">
        <v>0</v>
      </c>
      <c r="AM376" t="b">
        <v>0</v>
      </c>
      <c r="AN376">
        <v>0</v>
      </c>
      <c r="AO376" t="b">
        <v>0</v>
      </c>
      <c r="AQ376">
        <v>18728368788.229</v>
      </c>
      <c r="AR376">
        <v>18728368788.229</v>
      </c>
      <c r="AS376">
        <v>0</v>
      </c>
      <c r="AT376" t="b">
        <v>0</v>
      </c>
      <c r="AU376" t="b">
        <v>1</v>
      </c>
      <c r="BA376" t="str">
        <f t="shared" si="10"/>
        <v>Normal</v>
      </c>
      <c r="BG376" t="str">
        <f t="shared" si="11"/>
        <v>Normal</v>
      </c>
    </row>
    <row r="377" spans="1:59" x14ac:dyDescent="0.2">
      <c r="A377" t="s">
        <v>42</v>
      </c>
      <c r="B377" t="s">
        <v>43</v>
      </c>
      <c r="C377">
        <v>20220101</v>
      </c>
      <c r="D377">
        <v>2022</v>
      </c>
      <c r="E377">
        <v>52</v>
      </c>
      <c r="F377" t="s">
        <v>299</v>
      </c>
      <c r="G377">
        <v>642</v>
      </c>
      <c r="H377" t="s">
        <v>218</v>
      </c>
      <c r="I377" t="s">
        <v>219</v>
      </c>
      <c r="J377" t="s">
        <v>47</v>
      </c>
      <c r="K377" t="s">
        <v>48</v>
      </c>
      <c r="L377">
        <v>0</v>
      </c>
      <c r="M377" t="s">
        <v>49</v>
      </c>
      <c r="N377" t="s">
        <v>50</v>
      </c>
      <c r="O377">
        <v>0</v>
      </c>
      <c r="P377" t="s">
        <v>49</v>
      </c>
      <c r="Q377" t="s">
        <v>50</v>
      </c>
      <c r="R377" t="s">
        <v>300</v>
      </c>
      <c r="S377" t="s">
        <v>52</v>
      </c>
      <c r="T377" t="b">
        <v>1</v>
      </c>
      <c r="U377" t="s">
        <v>53</v>
      </c>
      <c r="V377" t="s">
        <v>54</v>
      </c>
      <c r="W377">
        <v>4</v>
      </c>
      <c r="X377" t="b">
        <v>0</v>
      </c>
      <c r="Y377" t="s">
        <v>55</v>
      </c>
      <c r="Z377" t="s">
        <v>56</v>
      </c>
      <c r="AA377" t="s">
        <v>57</v>
      </c>
      <c r="AB377">
        <v>0</v>
      </c>
      <c r="AC377" t="s">
        <v>58</v>
      </c>
      <c r="AD377">
        <v>8</v>
      </c>
      <c r="AE377" t="s">
        <v>59</v>
      </c>
      <c r="AF377">
        <v>39260381.880000003</v>
      </c>
      <c r="AG377" t="b">
        <v>0</v>
      </c>
      <c r="AH377">
        <v>8</v>
      </c>
      <c r="AI377" t="s">
        <v>59</v>
      </c>
      <c r="AJ377">
        <v>39260381.880000003</v>
      </c>
      <c r="AK377" t="b">
        <v>0</v>
      </c>
      <c r="AL377">
        <v>39260381.880000003</v>
      </c>
      <c r="AM377" t="b">
        <v>0</v>
      </c>
      <c r="AN377">
        <v>0</v>
      </c>
      <c r="AO377" t="b">
        <v>0</v>
      </c>
      <c r="AQ377">
        <v>29797550.629999999</v>
      </c>
      <c r="AR377">
        <v>29797550.629999999</v>
      </c>
      <c r="AS377">
        <v>0</v>
      </c>
      <c r="AT377" t="b">
        <v>0</v>
      </c>
      <c r="AU377" t="b">
        <v>1</v>
      </c>
      <c r="BA377" t="str">
        <f t="shared" si="10"/>
        <v>Normal</v>
      </c>
      <c r="BG377" t="str">
        <f t="shared" si="11"/>
        <v>Normal</v>
      </c>
    </row>
    <row r="378" spans="1:59" x14ac:dyDescent="0.2">
      <c r="A378" t="s">
        <v>42</v>
      </c>
      <c r="B378" t="s">
        <v>43</v>
      </c>
      <c r="C378">
        <v>20220101</v>
      </c>
      <c r="D378">
        <v>2022</v>
      </c>
      <c r="E378">
        <v>52</v>
      </c>
      <c r="F378" t="s">
        <v>299</v>
      </c>
      <c r="G378">
        <v>682</v>
      </c>
      <c r="H378" t="s">
        <v>224</v>
      </c>
      <c r="I378" t="s">
        <v>225</v>
      </c>
      <c r="J378" t="s">
        <v>47</v>
      </c>
      <c r="K378" t="s">
        <v>48</v>
      </c>
      <c r="L378">
        <v>0</v>
      </c>
      <c r="M378" t="s">
        <v>49</v>
      </c>
      <c r="N378" t="s">
        <v>50</v>
      </c>
      <c r="O378">
        <v>0</v>
      </c>
      <c r="P378" t="s">
        <v>49</v>
      </c>
      <c r="Q378" t="s">
        <v>50</v>
      </c>
      <c r="R378" t="s">
        <v>300</v>
      </c>
      <c r="S378" t="s">
        <v>52</v>
      </c>
      <c r="T378" t="b">
        <v>1</v>
      </c>
      <c r="U378" t="s">
        <v>53</v>
      </c>
      <c r="V378" t="s">
        <v>54</v>
      </c>
      <c r="W378">
        <v>4</v>
      </c>
      <c r="X378" t="b">
        <v>0</v>
      </c>
      <c r="Y378" t="s">
        <v>55</v>
      </c>
      <c r="Z378" t="s">
        <v>56</v>
      </c>
      <c r="AA378" t="s">
        <v>57</v>
      </c>
      <c r="AB378">
        <v>0</v>
      </c>
      <c r="AC378" t="s">
        <v>58</v>
      </c>
      <c r="AD378">
        <v>8</v>
      </c>
      <c r="AE378" t="s">
        <v>59</v>
      </c>
      <c r="AF378">
        <v>350466700000</v>
      </c>
      <c r="AG378" t="b">
        <v>0</v>
      </c>
      <c r="AH378">
        <v>8</v>
      </c>
      <c r="AI378" t="s">
        <v>59</v>
      </c>
      <c r="AJ378">
        <v>350466700000</v>
      </c>
      <c r="AK378" t="b">
        <v>0</v>
      </c>
      <c r="AL378">
        <v>350466700000</v>
      </c>
      <c r="AM378" t="b">
        <v>0</v>
      </c>
      <c r="AN378">
        <v>0</v>
      </c>
      <c r="AO378" t="b">
        <v>0</v>
      </c>
      <c r="AQ378">
        <v>258544564094.25201</v>
      </c>
      <c r="AR378">
        <v>258544564094.25201</v>
      </c>
      <c r="AS378">
        <v>0</v>
      </c>
      <c r="AT378" t="b">
        <v>0</v>
      </c>
      <c r="AU378" t="b">
        <v>1</v>
      </c>
      <c r="BA378" t="str">
        <f t="shared" si="10"/>
        <v>Normal</v>
      </c>
      <c r="BG378" t="str">
        <f t="shared" si="11"/>
        <v>Normal</v>
      </c>
    </row>
    <row r="379" spans="1:59" x14ac:dyDescent="0.2">
      <c r="A379" t="s">
        <v>42</v>
      </c>
      <c r="B379" t="s">
        <v>43</v>
      </c>
      <c r="C379">
        <v>20220101</v>
      </c>
      <c r="D379">
        <v>2022</v>
      </c>
      <c r="E379">
        <v>52</v>
      </c>
      <c r="F379" t="s">
        <v>299</v>
      </c>
      <c r="G379">
        <v>686</v>
      </c>
      <c r="H379" t="s">
        <v>226</v>
      </c>
      <c r="I379" t="s">
        <v>227</v>
      </c>
      <c r="J379" t="s">
        <v>47</v>
      </c>
      <c r="K379" t="s">
        <v>48</v>
      </c>
      <c r="L379">
        <v>0</v>
      </c>
      <c r="M379" t="s">
        <v>49</v>
      </c>
      <c r="N379" t="s">
        <v>50</v>
      </c>
      <c r="O379">
        <v>0</v>
      </c>
      <c r="P379" t="s">
        <v>49</v>
      </c>
      <c r="Q379" t="s">
        <v>50</v>
      </c>
      <c r="R379" t="s">
        <v>300</v>
      </c>
      <c r="S379" t="s">
        <v>52</v>
      </c>
      <c r="T379" t="b">
        <v>1</v>
      </c>
      <c r="U379" t="s">
        <v>53</v>
      </c>
      <c r="V379" t="s">
        <v>54</v>
      </c>
      <c r="W379">
        <v>4</v>
      </c>
      <c r="X379" t="b">
        <v>0</v>
      </c>
      <c r="Y379" t="s">
        <v>55</v>
      </c>
      <c r="Z379" t="s">
        <v>56</v>
      </c>
      <c r="AA379" t="s">
        <v>57</v>
      </c>
      <c r="AB379">
        <v>0</v>
      </c>
      <c r="AC379" t="s">
        <v>58</v>
      </c>
      <c r="AD379">
        <v>8</v>
      </c>
      <c r="AE379" t="s">
        <v>59</v>
      </c>
      <c r="AF379">
        <v>6927890</v>
      </c>
      <c r="AG379" t="b">
        <v>0</v>
      </c>
      <c r="AH379">
        <v>8</v>
      </c>
      <c r="AI379" t="s">
        <v>59</v>
      </c>
      <c r="AJ379">
        <v>6927890</v>
      </c>
      <c r="AK379" t="b">
        <v>0</v>
      </c>
      <c r="AL379">
        <v>6927890</v>
      </c>
      <c r="AM379" t="b">
        <v>0</v>
      </c>
      <c r="AN379">
        <v>0</v>
      </c>
      <c r="AO379" t="b">
        <v>0</v>
      </c>
      <c r="AQ379">
        <v>2476311.554</v>
      </c>
      <c r="AR379">
        <v>2476311.554</v>
      </c>
      <c r="AS379">
        <v>0</v>
      </c>
      <c r="AT379" t="b">
        <v>0</v>
      </c>
      <c r="AU379" t="b">
        <v>1</v>
      </c>
      <c r="BA379" t="str">
        <f t="shared" si="10"/>
        <v>Normal</v>
      </c>
      <c r="BG379" t="str">
        <f t="shared" si="11"/>
        <v>Normal</v>
      </c>
    </row>
    <row r="380" spans="1:59" x14ac:dyDescent="0.2">
      <c r="A380" t="s">
        <v>42</v>
      </c>
      <c r="B380" t="s">
        <v>43</v>
      </c>
      <c r="C380">
        <v>20220101</v>
      </c>
      <c r="D380">
        <v>2022</v>
      </c>
      <c r="E380">
        <v>52</v>
      </c>
      <c r="F380" t="s">
        <v>299</v>
      </c>
      <c r="G380">
        <v>702</v>
      </c>
      <c r="H380" t="s">
        <v>230</v>
      </c>
      <c r="I380" t="s">
        <v>231</v>
      </c>
      <c r="J380" t="s">
        <v>47</v>
      </c>
      <c r="K380" t="s">
        <v>48</v>
      </c>
      <c r="L380">
        <v>0</v>
      </c>
      <c r="M380" t="s">
        <v>49</v>
      </c>
      <c r="N380" t="s">
        <v>50</v>
      </c>
      <c r="O380">
        <v>0</v>
      </c>
      <c r="P380" t="s">
        <v>49</v>
      </c>
      <c r="Q380" t="s">
        <v>50</v>
      </c>
      <c r="R380" t="s">
        <v>300</v>
      </c>
      <c r="S380" t="s">
        <v>52</v>
      </c>
      <c r="T380" t="b">
        <v>1</v>
      </c>
      <c r="U380" t="s">
        <v>53</v>
      </c>
      <c r="V380" t="s">
        <v>54</v>
      </c>
      <c r="W380">
        <v>4</v>
      </c>
      <c r="X380" t="b">
        <v>0</v>
      </c>
      <c r="Y380" t="s">
        <v>55</v>
      </c>
      <c r="Z380" t="s">
        <v>56</v>
      </c>
      <c r="AA380" t="s">
        <v>57</v>
      </c>
      <c r="AB380">
        <v>0</v>
      </c>
      <c r="AC380" t="s">
        <v>58</v>
      </c>
      <c r="AD380">
        <v>-1</v>
      </c>
      <c r="AE380" t="s">
        <v>73</v>
      </c>
      <c r="AF380">
        <v>0</v>
      </c>
      <c r="AG380" t="b">
        <v>0</v>
      </c>
      <c r="AH380">
        <v>-1</v>
      </c>
      <c r="AI380" t="s">
        <v>73</v>
      </c>
      <c r="AJ380">
        <v>0</v>
      </c>
      <c r="AK380" t="b">
        <v>0</v>
      </c>
      <c r="AM380" t="b">
        <v>0</v>
      </c>
      <c r="AN380">
        <v>0</v>
      </c>
      <c r="AO380" t="b">
        <v>0</v>
      </c>
      <c r="AQ380">
        <v>170471.95300000001</v>
      </c>
      <c r="AR380">
        <v>170471.95300000001</v>
      </c>
      <c r="AS380">
        <v>0</v>
      </c>
      <c r="AT380" t="b">
        <v>0</v>
      </c>
      <c r="AU380" t="b">
        <v>1</v>
      </c>
      <c r="BA380" t="str">
        <f t="shared" si="10"/>
        <v>Normal</v>
      </c>
      <c r="BG380" t="str">
        <f t="shared" si="11"/>
        <v>Normal</v>
      </c>
    </row>
    <row r="381" spans="1:59" x14ac:dyDescent="0.2">
      <c r="A381" t="s">
        <v>42</v>
      </c>
      <c r="B381" t="s">
        <v>43</v>
      </c>
      <c r="C381">
        <v>20220101</v>
      </c>
      <c r="D381">
        <v>2022</v>
      </c>
      <c r="E381">
        <v>52</v>
      </c>
      <c r="F381" t="s">
        <v>299</v>
      </c>
      <c r="G381">
        <v>703</v>
      </c>
      <c r="H381" t="s">
        <v>232</v>
      </c>
      <c r="I381" t="s">
        <v>233</v>
      </c>
      <c r="J381" t="s">
        <v>47</v>
      </c>
      <c r="K381" t="s">
        <v>48</v>
      </c>
      <c r="L381">
        <v>0</v>
      </c>
      <c r="M381" t="s">
        <v>49</v>
      </c>
      <c r="N381" t="s">
        <v>50</v>
      </c>
      <c r="O381">
        <v>0</v>
      </c>
      <c r="P381" t="s">
        <v>49</v>
      </c>
      <c r="Q381" t="s">
        <v>50</v>
      </c>
      <c r="R381" t="s">
        <v>300</v>
      </c>
      <c r="S381" t="s">
        <v>52</v>
      </c>
      <c r="T381" t="b">
        <v>1</v>
      </c>
      <c r="U381" t="s">
        <v>53</v>
      </c>
      <c r="V381" t="s">
        <v>54</v>
      </c>
      <c r="W381">
        <v>4</v>
      </c>
      <c r="X381" t="b">
        <v>0</v>
      </c>
      <c r="Y381" t="s">
        <v>55</v>
      </c>
      <c r="Z381" t="s">
        <v>56</v>
      </c>
      <c r="AA381" t="s">
        <v>57</v>
      </c>
      <c r="AB381">
        <v>0</v>
      </c>
      <c r="AC381" t="s">
        <v>58</v>
      </c>
      <c r="AD381">
        <v>8</v>
      </c>
      <c r="AE381" t="s">
        <v>59</v>
      </c>
      <c r="AF381">
        <v>2124510</v>
      </c>
      <c r="AG381" t="b">
        <v>0</v>
      </c>
      <c r="AH381">
        <v>8</v>
      </c>
      <c r="AI381" t="s">
        <v>59</v>
      </c>
      <c r="AJ381">
        <v>2124510</v>
      </c>
      <c r="AK381" t="b">
        <v>0</v>
      </c>
      <c r="AL381">
        <v>2124510</v>
      </c>
      <c r="AM381" t="b">
        <v>0</v>
      </c>
      <c r="AN381">
        <v>0</v>
      </c>
      <c r="AO381" t="b">
        <v>0</v>
      </c>
      <c r="AQ381">
        <v>1514850.47</v>
      </c>
      <c r="AR381">
        <v>1514850.47</v>
      </c>
      <c r="AS381">
        <v>0</v>
      </c>
      <c r="AT381" t="b">
        <v>0</v>
      </c>
      <c r="AU381" t="b">
        <v>1</v>
      </c>
      <c r="BA381" t="str">
        <f t="shared" si="10"/>
        <v>Normal</v>
      </c>
      <c r="BG381" t="str">
        <f t="shared" si="11"/>
        <v>Normal</v>
      </c>
    </row>
    <row r="382" spans="1:59" x14ac:dyDescent="0.2">
      <c r="A382" t="s">
        <v>42</v>
      </c>
      <c r="B382" t="s">
        <v>43</v>
      </c>
      <c r="C382">
        <v>20220101</v>
      </c>
      <c r="D382">
        <v>2022</v>
      </c>
      <c r="E382">
        <v>52</v>
      </c>
      <c r="F382" t="s">
        <v>299</v>
      </c>
      <c r="G382">
        <v>704</v>
      </c>
      <c r="H382" t="s">
        <v>234</v>
      </c>
      <c r="I382" t="s">
        <v>235</v>
      </c>
      <c r="J382" t="s">
        <v>47</v>
      </c>
      <c r="K382" t="s">
        <v>48</v>
      </c>
      <c r="L382">
        <v>0</v>
      </c>
      <c r="M382" t="s">
        <v>49</v>
      </c>
      <c r="N382" t="s">
        <v>50</v>
      </c>
      <c r="O382">
        <v>0</v>
      </c>
      <c r="P382" t="s">
        <v>49</v>
      </c>
      <c r="Q382" t="s">
        <v>50</v>
      </c>
      <c r="R382" t="s">
        <v>300</v>
      </c>
      <c r="S382" t="s">
        <v>52</v>
      </c>
      <c r="T382" t="b">
        <v>1</v>
      </c>
      <c r="U382" t="s">
        <v>53</v>
      </c>
      <c r="V382" t="s">
        <v>54</v>
      </c>
      <c r="W382">
        <v>4</v>
      </c>
      <c r="X382" t="b">
        <v>0</v>
      </c>
      <c r="Y382" t="s">
        <v>55</v>
      </c>
      <c r="Z382" t="s">
        <v>56</v>
      </c>
      <c r="AA382" t="s">
        <v>57</v>
      </c>
      <c r="AB382">
        <v>0</v>
      </c>
      <c r="AC382" t="s">
        <v>58</v>
      </c>
      <c r="AD382">
        <v>8</v>
      </c>
      <c r="AE382" t="s">
        <v>59</v>
      </c>
      <c r="AF382">
        <v>2599091800</v>
      </c>
      <c r="AG382" t="b">
        <v>0</v>
      </c>
      <c r="AH382">
        <v>21</v>
      </c>
      <c r="AI382" t="s">
        <v>170</v>
      </c>
      <c r="AJ382">
        <v>2599091.7999999998</v>
      </c>
      <c r="AK382" t="b">
        <v>0</v>
      </c>
      <c r="AL382">
        <v>2599091800</v>
      </c>
      <c r="AM382" t="b">
        <v>0</v>
      </c>
      <c r="AN382">
        <v>0</v>
      </c>
      <c r="AO382" t="b">
        <v>0</v>
      </c>
      <c r="AQ382">
        <v>2125131855.6400001</v>
      </c>
      <c r="AR382">
        <v>2125131855.6400001</v>
      </c>
      <c r="AS382">
        <v>0</v>
      </c>
      <c r="AT382" t="b">
        <v>0</v>
      </c>
      <c r="AU382" t="b">
        <v>1</v>
      </c>
      <c r="BA382" t="str">
        <f t="shared" si="10"/>
        <v>Normal</v>
      </c>
      <c r="BG382" t="str">
        <f t="shared" si="11"/>
        <v>Normal</v>
      </c>
    </row>
    <row r="383" spans="1:59" x14ac:dyDescent="0.2">
      <c r="A383" t="s">
        <v>42</v>
      </c>
      <c r="B383" t="s">
        <v>43</v>
      </c>
      <c r="C383">
        <v>20220101</v>
      </c>
      <c r="D383">
        <v>2022</v>
      </c>
      <c r="E383">
        <v>52</v>
      </c>
      <c r="F383" t="s">
        <v>299</v>
      </c>
      <c r="G383">
        <v>705</v>
      </c>
      <c r="H383" t="s">
        <v>236</v>
      </c>
      <c r="I383" t="s">
        <v>237</v>
      </c>
      <c r="J383" t="s">
        <v>47</v>
      </c>
      <c r="K383" t="s">
        <v>48</v>
      </c>
      <c r="L383">
        <v>0</v>
      </c>
      <c r="M383" t="s">
        <v>49</v>
      </c>
      <c r="N383" t="s">
        <v>50</v>
      </c>
      <c r="O383">
        <v>0</v>
      </c>
      <c r="P383" t="s">
        <v>49</v>
      </c>
      <c r="Q383" t="s">
        <v>50</v>
      </c>
      <c r="R383" t="s">
        <v>300</v>
      </c>
      <c r="S383" t="s">
        <v>52</v>
      </c>
      <c r="T383" t="b">
        <v>1</v>
      </c>
      <c r="U383" t="s">
        <v>53</v>
      </c>
      <c r="V383" t="s">
        <v>54</v>
      </c>
      <c r="W383">
        <v>4</v>
      </c>
      <c r="X383" t="b">
        <v>0</v>
      </c>
      <c r="Y383" t="s">
        <v>55</v>
      </c>
      <c r="Z383" t="s">
        <v>56</v>
      </c>
      <c r="AA383" t="s">
        <v>57</v>
      </c>
      <c r="AB383">
        <v>0</v>
      </c>
      <c r="AC383" t="s">
        <v>58</v>
      </c>
      <c r="AD383">
        <v>8</v>
      </c>
      <c r="AE383" t="s">
        <v>59</v>
      </c>
      <c r="AF383">
        <v>2537.1999999999998</v>
      </c>
      <c r="AG383" t="b">
        <v>0</v>
      </c>
      <c r="AH383">
        <v>8</v>
      </c>
      <c r="AI383" t="s">
        <v>59</v>
      </c>
      <c r="AJ383">
        <v>2537.1999999999998</v>
      </c>
      <c r="AK383" t="b">
        <v>0</v>
      </c>
      <c r="AL383">
        <v>2537.1999999999998</v>
      </c>
      <c r="AM383" t="b">
        <v>0</v>
      </c>
      <c r="AN383">
        <v>0</v>
      </c>
      <c r="AO383" t="b">
        <v>0</v>
      </c>
      <c r="AQ383">
        <v>46277.249000000003</v>
      </c>
      <c r="AR383">
        <v>46277.249000000003</v>
      </c>
      <c r="AS383">
        <v>0</v>
      </c>
      <c r="AT383" t="b">
        <v>0</v>
      </c>
      <c r="AU383" t="b">
        <v>1</v>
      </c>
      <c r="BA383" t="str">
        <f t="shared" si="10"/>
        <v>Normal</v>
      </c>
      <c r="BG383" t="str">
        <f t="shared" si="11"/>
        <v>Normal</v>
      </c>
    </row>
    <row r="384" spans="1:59" x14ac:dyDescent="0.2">
      <c r="A384" t="s">
        <v>42</v>
      </c>
      <c r="B384" t="s">
        <v>43</v>
      </c>
      <c r="C384">
        <v>20220101</v>
      </c>
      <c r="D384">
        <v>2022</v>
      </c>
      <c r="E384">
        <v>52</v>
      </c>
      <c r="F384" t="s">
        <v>299</v>
      </c>
      <c r="G384">
        <v>710</v>
      </c>
      <c r="H384" t="s">
        <v>238</v>
      </c>
      <c r="I384" t="s">
        <v>239</v>
      </c>
      <c r="J384" t="s">
        <v>47</v>
      </c>
      <c r="K384" t="s">
        <v>48</v>
      </c>
      <c r="L384">
        <v>0</v>
      </c>
      <c r="M384" t="s">
        <v>49</v>
      </c>
      <c r="N384" t="s">
        <v>50</v>
      </c>
      <c r="O384">
        <v>0</v>
      </c>
      <c r="P384" t="s">
        <v>49</v>
      </c>
      <c r="Q384" t="s">
        <v>50</v>
      </c>
      <c r="R384" t="s">
        <v>300</v>
      </c>
      <c r="S384" t="s">
        <v>52</v>
      </c>
      <c r="T384" t="b">
        <v>1</v>
      </c>
      <c r="U384" t="s">
        <v>53</v>
      </c>
      <c r="V384" t="s">
        <v>54</v>
      </c>
      <c r="W384">
        <v>4</v>
      </c>
      <c r="X384" t="b">
        <v>0</v>
      </c>
      <c r="Y384" t="s">
        <v>55</v>
      </c>
      <c r="Z384" t="s">
        <v>56</v>
      </c>
      <c r="AA384" t="s">
        <v>57</v>
      </c>
      <c r="AB384">
        <v>0</v>
      </c>
      <c r="AC384" t="s">
        <v>58</v>
      </c>
      <c r="AD384">
        <v>-1</v>
      </c>
      <c r="AE384" t="s">
        <v>73</v>
      </c>
      <c r="AF384">
        <v>0</v>
      </c>
      <c r="AG384" t="b">
        <v>0</v>
      </c>
      <c r="AH384">
        <v>-1</v>
      </c>
      <c r="AI384" t="s">
        <v>73</v>
      </c>
      <c r="AJ384">
        <v>0</v>
      </c>
      <c r="AK384" t="b">
        <v>0</v>
      </c>
      <c r="AM384" t="b">
        <v>0</v>
      </c>
      <c r="AN384">
        <v>0</v>
      </c>
      <c r="AO384" t="b">
        <v>0</v>
      </c>
      <c r="AQ384">
        <v>12520833.479</v>
      </c>
      <c r="AR384">
        <v>12520833.479</v>
      </c>
      <c r="AS384">
        <v>0</v>
      </c>
      <c r="AT384" t="b">
        <v>0</v>
      </c>
      <c r="AU384" t="b">
        <v>1</v>
      </c>
      <c r="BA384" t="str">
        <f t="shared" si="10"/>
        <v>Normal</v>
      </c>
      <c r="BG384" t="str">
        <f t="shared" si="11"/>
        <v>Normal</v>
      </c>
    </row>
    <row r="385" spans="1:59" x14ac:dyDescent="0.2">
      <c r="A385" t="s">
        <v>42</v>
      </c>
      <c r="B385" t="s">
        <v>43</v>
      </c>
      <c r="C385">
        <v>20220101</v>
      </c>
      <c r="D385">
        <v>2022</v>
      </c>
      <c r="E385">
        <v>52</v>
      </c>
      <c r="F385" t="s">
        <v>299</v>
      </c>
      <c r="G385">
        <v>724</v>
      </c>
      <c r="H385" t="s">
        <v>240</v>
      </c>
      <c r="I385" t="s">
        <v>241</v>
      </c>
      <c r="J385" t="s">
        <v>47</v>
      </c>
      <c r="K385" t="s">
        <v>48</v>
      </c>
      <c r="L385">
        <v>0</v>
      </c>
      <c r="M385" t="s">
        <v>49</v>
      </c>
      <c r="N385" t="s">
        <v>50</v>
      </c>
      <c r="O385">
        <v>0</v>
      </c>
      <c r="P385" t="s">
        <v>49</v>
      </c>
      <c r="Q385" t="s">
        <v>50</v>
      </c>
      <c r="R385" t="s">
        <v>300</v>
      </c>
      <c r="S385" t="s">
        <v>52</v>
      </c>
      <c r="T385" t="b">
        <v>1</v>
      </c>
      <c r="U385" t="s">
        <v>53</v>
      </c>
      <c r="V385" t="s">
        <v>54</v>
      </c>
      <c r="W385">
        <v>4</v>
      </c>
      <c r="X385" t="b">
        <v>0</v>
      </c>
      <c r="Y385" t="s">
        <v>55</v>
      </c>
      <c r="Z385" t="s">
        <v>56</v>
      </c>
      <c r="AA385" t="s">
        <v>57</v>
      </c>
      <c r="AB385">
        <v>0</v>
      </c>
      <c r="AC385" t="s">
        <v>58</v>
      </c>
      <c r="AD385">
        <v>-1</v>
      </c>
      <c r="AE385" t="s">
        <v>73</v>
      </c>
      <c r="AF385">
        <v>0</v>
      </c>
      <c r="AG385" t="b">
        <v>0</v>
      </c>
      <c r="AH385">
        <v>-1</v>
      </c>
      <c r="AI385" t="s">
        <v>73</v>
      </c>
      <c r="AJ385">
        <v>0</v>
      </c>
      <c r="AK385" t="b">
        <v>0</v>
      </c>
      <c r="AM385" t="b">
        <v>0</v>
      </c>
      <c r="AN385">
        <v>0</v>
      </c>
      <c r="AO385" t="b">
        <v>0</v>
      </c>
      <c r="AQ385">
        <v>570695687.45799994</v>
      </c>
      <c r="AR385">
        <v>570695687.45799994</v>
      </c>
      <c r="AS385">
        <v>0</v>
      </c>
      <c r="AT385" t="b">
        <v>0</v>
      </c>
      <c r="AU385" t="b">
        <v>1</v>
      </c>
      <c r="BA385" t="str">
        <f t="shared" si="10"/>
        <v>Normal</v>
      </c>
      <c r="BG385" t="str">
        <f t="shared" si="11"/>
        <v>Normal</v>
      </c>
    </row>
    <row r="386" spans="1:59" x14ac:dyDescent="0.2">
      <c r="A386" t="s">
        <v>42</v>
      </c>
      <c r="B386" t="s">
        <v>43</v>
      </c>
      <c r="C386">
        <v>20220101</v>
      </c>
      <c r="D386">
        <v>2022</v>
      </c>
      <c r="E386">
        <v>52</v>
      </c>
      <c r="F386" t="s">
        <v>299</v>
      </c>
      <c r="G386">
        <v>748</v>
      </c>
      <c r="H386" t="s">
        <v>242</v>
      </c>
      <c r="I386" t="s">
        <v>243</v>
      </c>
      <c r="J386" t="s">
        <v>47</v>
      </c>
      <c r="K386" t="s">
        <v>48</v>
      </c>
      <c r="L386">
        <v>0</v>
      </c>
      <c r="M386" t="s">
        <v>49</v>
      </c>
      <c r="N386" t="s">
        <v>50</v>
      </c>
      <c r="O386">
        <v>0</v>
      </c>
      <c r="P386" t="s">
        <v>49</v>
      </c>
      <c r="Q386" t="s">
        <v>50</v>
      </c>
      <c r="R386" t="s">
        <v>300</v>
      </c>
      <c r="S386" t="s">
        <v>52</v>
      </c>
      <c r="T386" t="b">
        <v>1</v>
      </c>
      <c r="U386" t="s">
        <v>53</v>
      </c>
      <c r="V386" t="s">
        <v>54</v>
      </c>
      <c r="W386">
        <v>4</v>
      </c>
      <c r="X386" t="b">
        <v>0</v>
      </c>
      <c r="Y386" t="s">
        <v>55</v>
      </c>
      <c r="Z386" t="s">
        <v>56</v>
      </c>
      <c r="AA386" t="s">
        <v>57</v>
      </c>
      <c r="AB386">
        <v>0</v>
      </c>
      <c r="AC386" t="s">
        <v>58</v>
      </c>
      <c r="AD386">
        <v>8</v>
      </c>
      <c r="AE386" t="s">
        <v>59</v>
      </c>
      <c r="AF386">
        <v>5.3</v>
      </c>
      <c r="AG386" t="b">
        <v>0</v>
      </c>
      <c r="AH386">
        <v>8</v>
      </c>
      <c r="AI386" t="s">
        <v>59</v>
      </c>
      <c r="AJ386">
        <v>5.3</v>
      </c>
      <c r="AK386" t="b">
        <v>0</v>
      </c>
      <c r="AL386">
        <v>5.3</v>
      </c>
      <c r="AM386" t="b">
        <v>0</v>
      </c>
      <c r="AN386">
        <v>0</v>
      </c>
      <c r="AO386" t="b">
        <v>0</v>
      </c>
      <c r="AQ386">
        <v>13.58</v>
      </c>
      <c r="AR386">
        <v>13.58</v>
      </c>
      <c r="AS386">
        <v>0</v>
      </c>
      <c r="AT386" t="b">
        <v>0</v>
      </c>
      <c r="AU386" t="b">
        <v>1</v>
      </c>
      <c r="BA386" t="str">
        <f t="shared" si="10"/>
        <v>Normal</v>
      </c>
      <c r="BG386" t="str">
        <f t="shared" si="11"/>
        <v>Normal</v>
      </c>
    </row>
    <row r="387" spans="1:59" x14ac:dyDescent="0.2">
      <c r="A387" t="s">
        <v>42</v>
      </c>
      <c r="B387" t="s">
        <v>43</v>
      </c>
      <c r="C387">
        <v>20220101</v>
      </c>
      <c r="D387">
        <v>2022</v>
      </c>
      <c r="E387">
        <v>52</v>
      </c>
      <c r="F387" t="s">
        <v>299</v>
      </c>
      <c r="G387">
        <v>752</v>
      </c>
      <c r="H387" t="s">
        <v>244</v>
      </c>
      <c r="I387" t="s">
        <v>245</v>
      </c>
      <c r="J387" t="s">
        <v>47</v>
      </c>
      <c r="K387" t="s">
        <v>48</v>
      </c>
      <c r="L387">
        <v>0</v>
      </c>
      <c r="M387" t="s">
        <v>49</v>
      </c>
      <c r="N387" t="s">
        <v>50</v>
      </c>
      <c r="O387">
        <v>0</v>
      </c>
      <c r="P387" t="s">
        <v>49</v>
      </c>
      <c r="Q387" t="s">
        <v>50</v>
      </c>
      <c r="R387" t="s">
        <v>300</v>
      </c>
      <c r="S387" t="s">
        <v>52</v>
      </c>
      <c r="T387" t="b">
        <v>1</v>
      </c>
      <c r="U387" t="s">
        <v>53</v>
      </c>
      <c r="V387" t="s">
        <v>54</v>
      </c>
      <c r="W387">
        <v>4</v>
      </c>
      <c r="X387" t="b">
        <v>0</v>
      </c>
      <c r="Y387" t="s">
        <v>55</v>
      </c>
      <c r="Z387" t="s">
        <v>56</v>
      </c>
      <c r="AA387" t="s">
        <v>57</v>
      </c>
      <c r="AB387">
        <v>0</v>
      </c>
      <c r="AC387" t="s">
        <v>58</v>
      </c>
      <c r="AD387">
        <v>8</v>
      </c>
      <c r="AE387" t="s">
        <v>59</v>
      </c>
      <c r="AF387">
        <v>309772.93400000001</v>
      </c>
      <c r="AG387" t="b">
        <v>1</v>
      </c>
      <c r="AH387">
        <v>-1</v>
      </c>
      <c r="AI387" t="s">
        <v>73</v>
      </c>
      <c r="AJ387">
        <v>0</v>
      </c>
      <c r="AK387" t="b">
        <v>0</v>
      </c>
      <c r="AL387">
        <v>309772.93400000001</v>
      </c>
      <c r="AM387" t="b">
        <v>1</v>
      </c>
      <c r="AN387">
        <v>0</v>
      </c>
      <c r="AO387" t="b">
        <v>0</v>
      </c>
      <c r="AQ387">
        <v>216427.28400000001</v>
      </c>
      <c r="AR387">
        <v>216427.28400000001</v>
      </c>
      <c r="AS387">
        <v>6</v>
      </c>
      <c r="AT387" t="b">
        <v>0</v>
      </c>
      <c r="AU387" t="b">
        <v>1</v>
      </c>
      <c r="BA387" t="str">
        <f t="shared" ref="BA387:BA450" si="12">IF(OR(AJ387&lt;AY387,AJ961&gt;AZ387),"Outlier","Normal")</f>
        <v>Normal</v>
      </c>
      <c r="BG387" t="str">
        <f t="shared" ref="BG387:BG450" si="13">IF(OR(AQ387&lt;BE387,AQ961&gt;BF387),"Outlier","Normal")</f>
        <v>Normal</v>
      </c>
    </row>
    <row r="388" spans="1:59" x14ac:dyDescent="0.2">
      <c r="A388" t="s">
        <v>42</v>
      </c>
      <c r="B388" t="s">
        <v>43</v>
      </c>
      <c r="C388">
        <v>20220101</v>
      </c>
      <c r="D388">
        <v>2022</v>
      </c>
      <c r="E388">
        <v>52</v>
      </c>
      <c r="F388" t="s">
        <v>299</v>
      </c>
      <c r="G388">
        <v>757</v>
      </c>
      <c r="H388" t="s">
        <v>246</v>
      </c>
      <c r="I388" t="s">
        <v>247</v>
      </c>
      <c r="J388" t="s">
        <v>47</v>
      </c>
      <c r="K388" t="s">
        <v>48</v>
      </c>
      <c r="L388">
        <v>0</v>
      </c>
      <c r="M388" t="s">
        <v>49</v>
      </c>
      <c r="N388" t="s">
        <v>50</v>
      </c>
      <c r="O388">
        <v>0</v>
      </c>
      <c r="P388" t="s">
        <v>49</v>
      </c>
      <c r="Q388" t="s">
        <v>50</v>
      </c>
      <c r="R388" t="s">
        <v>300</v>
      </c>
      <c r="S388" t="s">
        <v>52</v>
      </c>
      <c r="T388" t="b">
        <v>1</v>
      </c>
      <c r="U388" t="s">
        <v>53</v>
      </c>
      <c r="V388" t="s">
        <v>54</v>
      </c>
      <c r="W388">
        <v>4</v>
      </c>
      <c r="X388" t="b">
        <v>0</v>
      </c>
      <c r="Y388" t="s">
        <v>55</v>
      </c>
      <c r="Z388" t="s">
        <v>56</v>
      </c>
      <c r="AA388" t="s">
        <v>57</v>
      </c>
      <c r="AB388">
        <v>0</v>
      </c>
      <c r="AC388" t="s">
        <v>58</v>
      </c>
      <c r="AD388">
        <v>8</v>
      </c>
      <c r="AE388" t="s">
        <v>59</v>
      </c>
      <c r="AF388">
        <v>192.77799999999999</v>
      </c>
      <c r="AG388" t="b">
        <v>1</v>
      </c>
      <c r="AH388">
        <v>-1</v>
      </c>
      <c r="AI388" t="s">
        <v>73</v>
      </c>
      <c r="AJ388">
        <v>0</v>
      </c>
      <c r="AK388" t="b">
        <v>0</v>
      </c>
      <c r="AL388">
        <v>192.77799999999999</v>
      </c>
      <c r="AM388" t="b">
        <v>1</v>
      </c>
      <c r="AN388">
        <v>0</v>
      </c>
      <c r="AO388" t="b">
        <v>0</v>
      </c>
      <c r="AQ388">
        <v>2336.2719999999999</v>
      </c>
      <c r="AR388">
        <v>2336.2719999999999</v>
      </c>
      <c r="AS388">
        <v>6</v>
      </c>
      <c r="AT388" t="b">
        <v>0</v>
      </c>
      <c r="AU388" t="b">
        <v>1</v>
      </c>
      <c r="BA388" t="str">
        <f t="shared" si="12"/>
        <v>Normal</v>
      </c>
      <c r="BG388" t="str">
        <f t="shared" si="13"/>
        <v>Normal</v>
      </c>
    </row>
    <row r="389" spans="1:59" x14ac:dyDescent="0.2">
      <c r="A389" t="s">
        <v>42</v>
      </c>
      <c r="B389" t="s">
        <v>43</v>
      </c>
      <c r="C389">
        <v>20220101</v>
      </c>
      <c r="D389">
        <v>2022</v>
      </c>
      <c r="E389">
        <v>52</v>
      </c>
      <c r="F389" t="s">
        <v>299</v>
      </c>
      <c r="G389">
        <v>764</v>
      </c>
      <c r="H389" t="s">
        <v>248</v>
      </c>
      <c r="I389" t="s">
        <v>249</v>
      </c>
      <c r="J389" t="s">
        <v>47</v>
      </c>
      <c r="K389" t="s">
        <v>48</v>
      </c>
      <c r="L389">
        <v>0</v>
      </c>
      <c r="M389" t="s">
        <v>49</v>
      </c>
      <c r="N389" t="s">
        <v>50</v>
      </c>
      <c r="O389">
        <v>0</v>
      </c>
      <c r="P389" t="s">
        <v>49</v>
      </c>
      <c r="Q389" t="s">
        <v>50</v>
      </c>
      <c r="R389" t="s">
        <v>300</v>
      </c>
      <c r="S389" t="s">
        <v>52</v>
      </c>
      <c r="T389" t="b">
        <v>1</v>
      </c>
      <c r="U389" t="s">
        <v>53</v>
      </c>
      <c r="V389" t="s">
        <v>54</v>
      </c>
      <c r="W389">
        <v>4</v>
      </c>
      <c r="X389" t="b">
        <v>0</v>
      </c>
      <c r="Y389" t="s">
        <v>55</v>
      </c>
      <c r="Z389" t="s">
        <v>56</v>
      </c>
      <c r="AA389" t="s">
        <v>57</v>
      </c>
      <c r="AB389">
        <v>0</v>
      </c>
      <c r="AC389" t="s">
        <v>58</v>
      </c>
      <c r="AD389">
        <v>8</v>
      </c>
      <c r="AE389" t="s">
        <v>59</v>
      </c>
      <c r="AF389">
        <v>836888644</v>
      </c>
      <c r="AG389" t="b">
        <v>0</v>
      </c>
      <c r="AH389">
        <v>7</v>
      </c>
      <c r="AI389" t="s">
        <v>67</v>
      </c>
      <c r="AJ389">
        <v>979547131</v>
      </c>
      <c r="AK389" t="b">
        <v>0</v>
      </c>
      <c r="AL389">
        <v>836888644</v>
      </c>
      <c r="AM389" t="b">
        <v>0</v>
      </c>
      <c r="AN389">
        <v>0</v>
      </c>
      <c r="AO389" t="b">
        <v>0</v>
      </c>
      <c r="AQ389">
        <v>600761481.01699996</v>
      </c>
      <c r="AR389">
        <v>600761481.01699996</v>
      </c>
      <c r="AS389">
        <v>0</v>
      </c>
      <c r="AT389" t="b">
        <v>0</v>
      </c>
      <c r="AU389" t="b">
        <v>1</v>
      </c>
      <c r="BA389" t="str">
        <f t="shared" si="12"/>
        <v>Normal</v>
      </c>
      <c r="BG389" t="str">
        <f t="shared" si="13"/>
        <v>Normal</v>
      </c>
    </row>
    <row r="390" spans="1:59" x14ac:dyDescent="0.2">
      <c r="A390" t="s">
        <v>42</v>
      </c>
      <c r="B390" t="s">
        <v>43</v>
      </c>
      <c r="C390">
        <v>20220101</v>
      </c>
      <c r="D390">
        <v>2022</v>
      </c>
      <c r="E390">
        <v>52</v>
      </c>
      <c r="F390" t="s">
        <v>299</v>
      </c>
      <c r="G390">
        <v>780</v>
      </c>
      <c r="H390" t="s">
        <v>252</v>
      </c>
      <c r="I390" t="s">
        <v>253</v>
      </c>
      <c r="J390" t="s">
        <v>47</v>
      </c>
      <c r="K390" t="s">
        <v>48</v>
      </c>
      <c r="L390">
        <v>0</v>
      </c>
      <c r="M390" t="s">
        <v>49</v>
      </c>
      <c r="N390" t="s">
        <v>50</v>
      </c>
      <c r="O390">
        <v>0</v>
      </c>
      <c r="P390" t="s">
        <v>49</v>
      </c>
      <c r="Q390" t="s">
        <v>50</v>
      </c>
      <c r="R390" t="s">
        <v>104</v>
      </c>
      <c r="S390" t="s">
        <v>52</v>
      </c>
      <c r="T390" t="b">
        <v>1</v>
      </c>
      <c r="U390" t="s">
        <v>53</v>
      </c>
      <c r="V390" t="s">
        <v>54</v>
      </c>
      <c r="W390">
        <v>4</v>
      </c>
      <c r="X390" t="b">
        <v>0</v>
      </c>
      <c r="Y390" t="s">
        <v>55</v>
      </c>
      <c r="Z390" t="s">
        <v>56</v>
      </c>
      <c r="AA390" t="s">
        <v>57</v>
      </c>
      <c r="AB390">
        <v>0</v>
      </c>
      <c r="AC390" t="s">
        <v>58</v>
      </c>
      <c r="AD390">
        <v>-1</v>
      </c>
      <c r="AE390" t="s">
        <v>73</v>
      </c>
      <c r="AF390">
        <v>0</v>
      </c>
      <c r="AG390" t="b">
        <v>0</v>
      </c>
      <c r="AH390">
        <v>-1</v>
      </c>
      <c r="AI390" t="s">
        <v>73</v>
      </c>
      <c r="AJ390">
        <v>0</v>
      </c>
      <c r="AK390" t="b">
        <v>0</v>
      </c>
      <c r="AM390" t="b">
        <v>0</v>
      </c>
      <c r="AN390">
        <v>0</v>
      </c>
      <c r="AO390" t="b">
        <v>0</v>
      </c>
      <c r="AQ390">
        <v>2059983526.756</v>
      </c>
      <c r="AR390">
        <v>2059983526.756</v>
      </c>
      <c r="AS390">
        <v>0</v>
      </c>
      <c r="AT390" t="b">
        <v>0</v>
      </c>
      <c r="AU390" t="b">
        <v>1</v>
      </c>
      <c r="BA390" t="str">
        <f t="shared" si="12"/>
        <v>Normal</v>
      </c>
      <c r="BG390" t="str">
        <f t="shared" si="13"/>
        <v>Normal</v>
      </c>
    </row>
    <row r="391" spans="1:59" x14ac:dyDescent="0.2">
      <c r="A391" t="s">
        <v>42</v>
      </c>
      <c r="B391" t="s">
        <v>43</v>
      </c>
      <c r="C391">
        <v>20220101</v>
      </c>
      <c r="D391">
        <v>2022</v>
      </c>
      <c r="E391">
        <v>52</v>
      </c>
      <c r="F391" t="s">
        <v>299</v>
      </c>
      <c r="G391">
        <v>784</v>
      </c>
      <c r="H391" t="s">
        <v>254</v>
      </c>
      <c r="I391" t="s">
        <v>255</v>
      </c>
      <c r="J391" t="s">
        <v>47</v>
      </c>
      <c r="K391" t="s">
        <v>48</v>
      </c>
      <c r="L391">
        <v>0</v>
      </c>
      <c r="M391" t="s">
        <v>49</v>
      </c>
      <c r="N391" t="s">
        <v>50</v>
      </c>
      <c r="O391">
        <v>0</v>
      </c>
      <c r="P391" t="s">
        <v>49</v>
      </c>
      <c r="Q391" t="s">
        <v>50</v>
      </c>
      <c r="R391" t="s">
        <v>300</v>
      </c>
      <c r="S391" t="s">
        <v>52</v>
      </c>
      <c r="T391" t="b">
        <v>1</v>
      </c>
      <c r="U391" t="s">
        <v>53</v>
      </c>
      <c r="V391" t="s">
        <v>54</v>
      </c>
      <c r="W391">
        <v>4</v>
      </c>
      <c r="X391" t="b">
        <v>0</v>
      </c>
      <c r="Y391" t="s">
        <v>55</v>
      </c>
      <c r="Z391" t="s">
        <v>56</v>
      </c>
      <c r="AA391" t="s">
        <v>57</v>
      </c>
      <c r="AB391">
        <v>0</v>
      </c>
      <c r="AC391" t="s">
        <v>58</v>
      </c>
      <c r="AD391">
        <v>-1</v>
      </c>
      <c r="AE391" t="s">
        <v>73</v>
      </c>
      <c r="AF391">
        <v>0</v>
      </c>
      <c r="AG391" t="b">
        <v>0</v>
      </c>
      <c r="AH391">
        <v>-1</v>
      </c>
      <c r="AI391" t="s">
        <v>73</v>
      </c>
      <c r="AJ391">
        <v>0</v>
      </c>
      <c r="AK391" t="b">
        <v>0</v>
      </c>
      <c r="AM391" t="b">
        <v>0</v>
      </c>
      <c r="AN391">
        <v>0</v>
      </c>
      <c r="AO391" t="b">
        <v>0</v>
      </c>
      <c r="AQ391">
        <v>154476104445.767</v>
      </c>
      <c r="AR391">
        <v>154476104445.767</v>
      </c>
      <c r="AS391">
        <v>0</v>
      </c>
      <c r="AT391" t="b">
        <v>0</v>
      </c>
      <c r="AU391" t="b">
        <v>1</v>
      </c>
      <c r="BA391" t="str">
        <f t="shared" si="12"/>
        <v>Normal</v>
      </c>
      <c r="BG391" t="str">
        <f t="shared" si="13"/>
        <v>Normal</v>
      </c>
    </row>
    <row r="392" spans="1:59" x14ac:dyDescent="0.2">
      <c r="A392" t="s">
        <v>42</v>
      </c>
      <c r="B392" t="s">
        <v>43</v>
      </c>
      <c r="C392">
        <v>20220101</v>
      </c>
      <c r="D392">
        <v>2022</v>
      </c>
      <c r="E392">
        <v>52</v>
      </c>
      <c r="F392" t="s">
        <v>299</v>
      </c>
      <c r="G392">
        <v>788</v>
      </c>
      <c r="H392" t="s">
        <v>256</v>
      </c>
      <c r="I392" t="s">
        <v>257</v>
      </c>
      <c r="J392" t="s">
        <v>47</v>
      </c>
      <c r="K392" t="s">
        <v>48</v>
      </c>
      <c r="L392">
        <v>0</v>
      </c>
      <c r="M392" t="s">
        <v>49</v>
      </c>
      <c r="N392" t="s">
        <v>50</v>
      </c>
      <c r="O392">
        <v>0</v>
      </c>
      <c r="P392" t="s">
        <v>49</v>
      </c>
      <c r="Q392" t="s">
        <v>50</v>
      </c>
      <c r="R392" t="s">
        <v>51</v>
      </c>
      <c r="S392" t="s">
        <v>52</v>
      </c>
      <c r="T392" t="b">
        <v>1</v>
      </c>
      <c r="U392" t="s">
        <v>53</v>
      </c>
      <c r="V392" t="s">
        <v>54</v>
      </c>
      <c r="W392">
        <v>4</v>
      </c>
      <c r="X392" t="b">
        <v>0</v>
      </c>
      <c r="Y392" t="s">
        <v>55</v>
      </c>
      <c r="Z392" t="s">
        <v>56</v>
      </c>
      <c r="AA392" t="s">
        <v>57</v>
      </c>
      <c r="AB392">
        <v>0</v>
      </c>
      <c r="AC392" t="s">
        <v>58</v>
      </c>
      <c r="AD392">
        <v>8</v>
      </c>
      <c r="AE392" t="s">
        <v>59</v>
      </c>
      <c r="AF392">
        <v>1169130263</v>
      </c>
      <c r="AG392" t="b">
        <v>0</v>
      </c>
      <c r="AH392">
        <v>-1</v>
      </c>
      <c r="AI392" t="s">
        <v>73</v>
      </c>
      <c r="AJ392">
        <v>0</v>
      </c>
      <c r="AK392" t="b">
        <v>0</v>
      </c>
      <c r="AL392">
        <v>1169130263</v>
      </c>
      <c r="AM392" t="b">
        <v>0</v>
      </c>
      <c r="AN392">
        <v>0</v>
      </c>
      <c r="AO392" t="b">
        <v>0</v>
      </c>
      <c r="AQ392">
        <v>844763458.91700006</v>
      </c>
      <c r="AR392">
        <v>844763458.91700006</v>
      </c>
      <c r="AS392">
        <v>0</v>
      </c>
      <c r="AT392" t="b">
        <v>0</v>
      </c>
      <c r="AU392" t="b">
        <v>1</v>
      </c>
      <c r="BA392" t="str">
        <f t="shared" si="12"/>
        <v>Normal</v>
      </c>
      <c r="BG392" t="str">
        <f t="shared" si="13"/>
        <v>Normal</v>
      </c>
    </row>
    <row r="393" spans="1:59" x14ac:dyDescent="0.2">
      <c r="A393" t="s">
        <v>42</v>
      </c>
      <c r="B393" t="s">
        <v>43</v>
      </c>
      <c r="C393">
        <v>20220101</v>
      </c>
      <c r="D393">
        <v>2022</v>
      </c>
      <c r="E393">
        <v>52</v>
      </c>
      <c r="F393" t="s">
        <v>299</v>
      </c>
      <c r="G393">
        <v>800</v>
      </c>
      <c r="H393" t="s">
        <v>258</v>
      </c>
      <c r="I393" t="s">
        <v>259</v>
      </c>
      <c r="J393" t="s">
        <v>47</v>
      </c>
      <c r="K393" t="s">
        <v>48</v>
      </c>
      <c r="L393">
        <v>0</v>
      </c>
      <c r="M393" t="s">
        <v>49</v>
      </c>
      <c r="N393" t="s">
        <v>50</v>
      </c>
      <c r="O393">
        <v>0</v>
      </c>
      <c r="P393" t="s">
        <v>49</v>
      </c>
      <c r="Q393" t="s">
        <v>50</v>
      </c>
      <c r="R393" t="s">
        <v>300</v>
      </c>
      <c r="S393" t="s">
        <v>52</v>
      </c>
      <c r="T393" t="b">
        <v>1</v>
      </c>
      <c r="U393" t="s">
        <v>53</v>
      </c>
      <c r="V393" t="s">
        <v>54</v>
      </c>
      <c r="W393">
        <v>4</v>
      </c>
      <c r="X393" t="b">
        <v>0</v>
      </c>
      <c r="Y393" t="s">
        <v>55</v>
      </c>
      <c r="Z393" t="s">
        <v>56</v>
      </c>
      <c r="AA393" t="s">
        <v>57</v>
      </c>
      <c r="AB393">
        <v>0</v>
      </c>
      <c r="AC393" t="s">
        <v>58</v>
      </c>
      <c r="AD393">
        <v>8</v>
      </c>
      <c r="AE393" t="s">
        <v>59</v>
      </c>
      <c r="AF393">
        <v>6351</v>
      </c>
      <c r="AG393" t="b">
        <v>0</v>
      </c>
      <c r="AH393">
        <v>8</v>
      </c>
      <c r="AI393" t="s">
        <v>59</v>
      </c>
      <c r="AJ393">
        <v>6351</v>
      </c>
      <c r="AK393" t="b">
        <v>0</v>
      </c>
      <c r="AL393">
        <v>6351</v>
      </c>
      <c r="AM393" t="b">
        <v>0</v>
      </c>
      <c r="AN393">
        <v>0</v>
      </c>
      <c r="AO393" t="b">
        <v>0</v>
      </c>
      <c r="AQ393">
        <v>46958.03</v>
      </c>
      <c r="AR393">
        <v>46958.03</v>
      </c>
      <c r="AS393">
        <v>0</v>
      </c>
      <c r="AT393" t="b">
        <v>0</v>
      </c>
      <c r="AU393" t="b">
        <v>1</v>
      </c>
      <c r="BA393" t="str">
        <f t="shared" si="12"/>
        <v>Normal</v>
      </c>
      <c r="BG393" t="str">
        <f t="shared" si="13"/>
        <v>Normal</v>
      </c>
    </row>
    <row r="394" spans="1:59" x14ac:dyDescent="0.2">
      <c r="A394" t="s">
        <v>42</v>
      </c>
      <c r="B394" t="s">
        <v>43</v>
      </c>
      <c r="C394">
        <v>20220101</v>
      </c>
      <c r="D394">
        <v>2022</v>
      </c>
      <c r="E394">
        <v>52</v>
      </c>
      <c r="F394" t="s">
        <v>299</v>
      </c>
      <c r="G394">
        <v>804</v>
      </c>
      <c r="H394" t="s">
        <v>260</v>
      </c>
      <c r="I394" t="s">
        <v>261</v>
      </c>
      <c r="J394" t="s">
        <v>47</v>
      </c>
      <c r="K394" t="s">
        <v>48</v>
      </c>
      <c r="L394">
        <v>0</v>
      </c>
      <c r="M394" t="s">
        <v>49</v>
      </c>
      <c r="N394" t="s">
        <v>50</v>
      </c>
      <c r="O394">
        <v>0</v>
      </c>
      <c r="P394" t="s">
        <v>49</v>
      </c>
      <c r="Q394" t="s">
        <v>50</v>
      </c>
      <c r="R394" t="s">
        <v>51</v>
      </c>
      <c r="S394" t="s">
        <v>52</v>
      </c>
      <c r="T394" t="b">
        <v>1</v>
      </c>
      <c r="U394" t="s">
        <v>53</v>
      </c>
      <c r="V394" t="s">
        <v>54</v>
      </c>
      <c r="W394">
        <v>4</v>
      </c>
      <c r="X394" t="b">
        <v>0</v>
      </c>
      <c r="Y394" t="s">
        <v>55</v>
      </c>
      <c r="Z394" t="s">
        <v>56</v>
      </c>
      <c r="AA394" t="s">
        <v>57</v>
      </c>
      <c r="AB394">
        <v>0</v>
      </c>
      <c r="AC394" t="s">
        <v>58</v>
      </c>
      <c r="AD394">
        <v>8</v>
      </c>
      <c r="AE394" t="s">
        <v>59</v>
      </c>
      <c r="AF394">
        <v>3936952</v>
      </c>
      <c r="AG394" t="b">
        <v>0</v>
      </c>
      <c r="AH394">
        <v>8</v>
      </c>
      <c r="AI394" t="s">
        <v>59</v>
      </c>
      <c r="AJ394">
        <v>3936952</v>
      </c>
      <c r="AK394" t="b">
        <v>0</v>
      </c>
      <c r="AL394">
        <v>3936952</v>
      </c>
      <c r="AM394" t="b">
        <v>0</v>
      </c>
      <c r="AN394">
        <v>0</v>
      </c>
      <c r="AO394" t="b">
        <v>0</v>
      </c>
      <c r="AQ394">
        <v>2412428.23</v>
      </c>
      <c r="AR394">
        <v>2412428.23</v>
      </c>
      <c r="AS394">
        <v>0</v>
      </c>
      <c r="AT394" t="b">
        <v>0</v>
      </c>
      <c r="AU394" t="b">
        <v>1</v>
      </c>
      <c r="BA394" t="str">
        <f t="shared" si="12"/>
        <v>Normal</v>
      </c>
      <c r="BG394" t="str">
        <f t="shared" si="13"/>
        <v>Normal</v>
      </c>
    </row>
    <row r="395" spans="1:59" x14ac:dyDescent="0.2">
      <c r="A395" t="s">
        <v>42</v>
      </c>
      <c r="B395" t="s">
        <v>43</v>
      </c>
      <c r="C395">
        <v>20220101</v>
      </c>
      <c r="D395">
        <v>2022</v>
      </c>
      <c r="E395">
        <v>52</v>
      </c>
      <c r="F395" t="s">
        <v>299</v>
      </c>
      <c r="G395">
        <v>818</v>
      </c>
      <c r="H395" t="s">
        <v>262</v>
      </c>
      <c r="I395" t="s">
        <v>263</v>
      </c>
      <c r="J395" t="s">
        <v>47</v>
      </c>
      <c r="K395" t="s">
        <v>48</v>
      </c>
      <c r="L395">
        <v>0</v>
      </c>
      <c r="M395" t="s">
        <v>49</v>
      </c>
      <c r="N395" t="s">
        <v>50</v>
      </c>
      <c r="O395">
        <v>0</v>
      </c>
      <c r="P395" t="s">
        <v>49</v>
      </c>
      <c r="Q395" t="s">
        <v>50</v>
      </c>
      <c r="R395" t="s">
        <v>300</v>
      </c>
      <c r="S395" t="s">
        <v>52</v>
      </c>
      <c r="T395" t="b">
        <v>1</v>
      </c>
      <c r="U395" t="s">
        <v>53</v>
      </c>
      <c r="V395" t="s">
        <v>54</v>
      </c>
      <c r="W395">
        <v>4</v>
      </c>
      <c r="X395" t="b">
        <v>0</v>
      </c>
      <c r="Y395" t="s">
        <v>55</v>
      </c>
      <c r="Z395" t="s">
        <v>56</v>
      </c>
      <c r="AA395" t="s">
        <v>57</v>
      </c>
      <c r="AB395">
        <v>0</v>
      </c>
      <c r="AC395" t="s">
        <v>58</v>
      </c>
      <c r="AD395">
        <v>8</v>
      </c>
      <c r="AE395" t="s">
        <v>59</v>
      </c>
      <c r="AF395">
        <v>4743502934.2469997</v>
      </c>
      <c r="AG395" t="b">
        <v>1</v>
      </c>
      <c r="AH395">
        <v>-1</v>
      </c>
      <c r="AI395" t="s">
        <v>73</v>
      </c>
      <c r="AJ395">
        <v>0</v>
      </c>
      <c r="AK395" t="b">
        <v>0</v>
      </c>
      <c r="AL395">
        <v>4743502934.2469997</v>
      </c>
      <c r="AM395" t="b">
        <v>1</v>
      </c>
      <c r="AN395">
        <v>0</v>
      </c>
      <c r="AO395" t="b">
        <v>0</v>
      </c>
      <c r="AQ395">
        <v>3202780000</v>
      </c>
      <c r="AR395">
        <v>3202780000</v>
      </c>
      <c r="AS395">
        <v>6</v>
      </c>
      <c r="AT395" t="b">
        <v>0</v>
      </c>
      <c r="AU395" t="b">
        <v>1</v>
      </c>
      <c r="BA395" t="str">
        <f t="shared" si="12"/>
        <v>Normal</v>
      </c>
      <c r="BG395" t="str">
        <f t="shared" si="13"/>
        <v>Normal</v>
      </c>
    </row>
    <row r="396" spans="1:59" x14ac:dyDescent="0.2">
      <c r="A396" t="s">
        <v>42</v>
      </c>
      <c r="B396" t="s">
        <v>43</v>
      </c>
      <c r="C396">
        <v>20220101</v>
      </c>
      <c r="D396">
        <v>2022</v>
      </c>
      <c r="E396">
        <v>52</v>
      </c>
      <c r="F396" t="s">
        <v>299</v>
      </c>
      <c r="G396">
        <v>826</v>
      </c>
      <c r="H396" t="s">
        <v>264</v>
      </c>
      <c r="I396" t="s">
        <v>265</v>
      </c>
      <c r="J396" t="s">
        <v>47</v>
      </c>
      <c r="K396" t="s">
        <v>48</v>
      </c>
      <c r="L396">
        <v>0</v>
      </c>
      <c r="M396" t="s">
        <v>49</v>
      </c>
      <c r="N396" t="s">
        <v>50</v>
      </c>
      <c r="O396">
        <v>0</v>
      </c>
      <c r="P396" t="s">
        <v>49</v>
      </c>
      <c r="Q396" t="s">
        <v>50</v>
      </c>
      <c r="R396" t="s">
        <v>300</v>
      </c>
      <c r="S396" t="s">
        <v>52</v>
      </c>
      <c r="T396" t="b">
        <v>1</v>
      </c>
      <c r="U396" t="s">
        <v>53</v>
      </c>
      <c r="V396" t="s">
        <v>54</v>
      </c>
      <c r="W396">
        <v>4</v>
      </c>
      <c r="X396" t="b">
        <v>0</v>
      </c>
      <c r="Y396" t="s">
        <v>55</v>
      </c>
      <c r="Z396" t="s">
        <v>56</v>
      </c>
      <c r="AA396" t="s">
        <v>57</v>
      </c>
      <c r="AB396">
        <v>0</v>
      </c>
      <c r="AC396" t="s">
        <v>58</v>
      </c>
      <c r="AD396">
        <v>-1</v>
      </c>
      <c r="AE396" t="s">
        <v>73</v>
      </c>
      <c r="AF396">
        <v>0</v>
      </c>
      <c r="AG396" t="b">
        <v>0</v>
      </c>
      <c r="AH396">
        <v>-1</v>
      </c>
      <c r="AI396" t="s">
        <v>73</v>
      </c>
      <c r="AJ396">
        <v>0</v>
      </c>
      <c r="AK396" t="b">
        <v>0</v>
      </c>
      <c r="AM396" t="b">
        <v>0</v>
      </c>
      <c r="AN396">
        <v>0</v>
      </c>
      <c r="AO396" t="b">
        <v>0</v>
      </c>
      <c r="AQ396">
        <v>25105379774.403999</v>
      </c>
      <c r="AR396">
        <v>25105379774.403999</v>
      </c>
      <c r="AS396">
        <v>0</v>
      </c>
      <c r="AT396" t="b">
        <v>0</v>
      </c>
      <c r="AU396" t="b">
        <v>1</v>
      </c>
      <c r="BA396" t="str">
        <f t="shared" si="12"/>
        <v>Normal</v>
      </c>
      <c r="BG396" t="str">
        <f t="shared" si="13"/>
        <v>Normal</v>
      </c>
    </row>
    <row r="397" spans="1:59" x14ac:dyDescent="0.2">
      <c r="A397" t="s">
        <v>42</v>
      </c>
      <c r="B397" t="s">
        <v>43</v>
      </c>
      <c r="C397">
        <v>20220101</v>
      </c>
      <c r="D397">
        <v>2022</v>
      </c>
      <c r="E397">
        <v>52</v>
      </c>
      <c r="F397" t="s">
        <v>299</v>
      </c>
      <c r="G397">
        <v>834</v>
      </c>
      <c r="H397" t="s">
        <v>266</v>
      </c>
      <c r="I397" t="s">
        <v>267</v>
      </c>
      <c r="J397" t="s">
        <v>47</v>
      </c>
      <c r="K397" t="s">
        <v>48</v>
      </c>
      <c r="L397">
        <v>0</v>
      </c>
      <c r="M397" t="s">
        <v>49</v>
      </c>
      <c r="N397" t="s">
        <v>50</v>
      </c>
      <c r="O397">
        <v>0</v>
      </c>
      <c r="P397" t="s">
        <v>49</v>
      </c>
      <c r="Q397" t="s">
        <v>50</v>
      </c>
      <c r="R397" t="s">
        <v>300</v>
      </c>
      <c r="S397" t="s">
        <v>52</v>
      </c>
      <c r="T397" t="b">
        <v>1</v>
      </c>
      <c r="U397" t="s">
        <v>53</v>
      </c>
      <c r="V397" t="s">
        <v>54</v>
      </c>
      <c r="W397">
        <v>4</v>
      </c>
      <c r="X397" t="b">
        <v>0</v>
      </c>
      <c r="Y397" t="s">
        <v>55</v>
      </c>
      <c r="Z397" t="s">
        <v>56</v>
      </c>
      <c r="AA397" t="s">
        <v>57</v>
      </c>
      <c r="AB397">
        <v>0</v>
      </c>
      <c r="AC397" t="s">
        <v>58</v>
      </c>
      <c r="AD397">
        <v>8</v>
      </c>
      <c r="AE397" t="s">
        <v>59</v>
      </c>
      <c r="AF397">
        <v>3241530</v>
      </c>
      <c r="AG397" t="b">
        <v>0</v>
      </c>
      <c r="AH397">
        <v>8</v>
      </c>
      <c r="AI397" t="s">
        <v>59</v>
      </c>
      <c r="AJ397">
        <v>3241530</v>
      </c>
      <c r="AK397" t="b">
        <v>0</v>
      </c>
      <c r="AL397">
        <v>3241530</v>
      </c>
      <c r="AM397" t="b">
        <v>0</v>
      </c>
      <c r="AN397">
        <v>0</v>
      </c>
      <c r="AO397" t="b">
        <v>0</v>
      </c>
      <c r="AQ397">
        <v>961595.9</v>
      </c>
      <c r="AR397">
        <v>961595.9</v>
      </c>
      <c r="AS397">
        <v>0</v>
      </c>
      <c r="AT397" t="b">
        <v>0</v>
      </c>
      <c r="AU397" t="b">
        <v>1</v>
      </c>
      <c r="BA397" t="str">
        <f t="shared" si="12"/>
        <v>Normal</v>
      </c>
      <c r="BG397" t="str">
        <f t="shared" si="13"/>
        <v>Normal</v>
      </c>
    </row>
    <row r="398" spans="1:59" x14ac:dyDescent="0.2">
      <c r="A398" t="s">
        <v>42</v>
      </c>
      <c r="B398" t="s">
        <v>43</v>
      </c>
      <c r="C398">
        <v>20220101</v>
      </c>
      <c r="D398">
        <v>2022</v>
      </c>
      <c r="E398">
        <v>52</v>
      </c>
      <c r="F398" t="s">
        <v>299</v>
      </c>
      <c r="G398">
        <v>842</v>
      </c>
      <c r="H398" t="s">
        <v>268</v>
      </c>
      <c r="I398" t="s">
        <v>268</v>
      </c>
      <c r="J398" t="s">
        <v>47</v>
      </c>
      <c r="K398" t="s">
        <v>48</v>
      </c>
      <c r="L398">
        <v>0</v>
      </c>
      <c r="M398" t="s">
        <v>49</v>
      </c>
      <c r="N398" t="s">
        <v>50</v>
      </c>
      <c r="O398">
        <v>0</v>
      </c>
      <c r="P398" t="s">
        <v>49</v>
      </c>
      <c r="Q398" t="s">
        <v>50</v>
      </c>
      <c r="R398" t="s">
        <v>300</v>
      </c>
      <c r="S398" t="s">
        <v>52</v>
      </c>
      <c r="T398" t="b">
        <v>1</v>
      </c>
      <c r="U398" t="s">
        <v>53</v>
      </c>
      <c r="V398" t="s">
        <v>54</v>
      </c>
      <c r="W398">
        <v>4</v>
      </c>
      <c r="X398" t="b">
        <v>0</v>
      </c>
      <c r="Y398" t="s">
        <v>55</v>
      </c>
      <c r="Z398" t="s">
        <v>56</v>
      </c>
      <c r="AA398" t="s">
        <v>57</v>
      </c>
      <c r="AB398">
        <v>0</v>
      </c>
      <c r="AC398" t="s">
        <v>58</v>
      </c>
      <c r="AD398">
        <v>8</v>
      </c>
      <c r="AE398" t="s">
        <v>59</v>
      </c>
      <c r="AF398">
        <v>209184635442</v>
      </c>
      <c r="AG398" t="b">
        <v>0</v>
      </c>
      <c r="AH398">
        <v>19</v>
      </c>
      <c r="AI398" t="s">
        <v>60</v>
      </c>
      <c r="AJ398">
        <v>1315626638</v>
      </c>
      <c r="AK398" t="b">
        <v>0</v>
      </c>
      <c r="AL398">
        <v>209184635442</v>
      </c>
      <c r="AM398" t="b">
        <v>0</v>
      </c>
      <c r="AN398">
        <v>0</v>
      </c>
      <c r="AO398" t="b">
        <v>0</v>
      </c>
      <c r="AQ398">
        <v>117034462388</v>
      </c>
      <c r="AR398">
        <v>117034462388</v>
      </c>
      <c r="AS398">
        <v>0</v>
      </c>
      <c r="AT398" t="b">
        <v>0</v>
      </c>
      <c r="AU398" t="b">
        <v>1</v>
      </c>
      <c r="BA398" t="str">
        <f t="shared" si="12"/>
        <v>Normal</v>
      </c>
      <c r="BG398" t="str">
        <f t="shared" si="13"/>
        <v>Normal</v>
      </c>
    </row>
    <row r="399" spans="1:59" x14ac:dyDescent="0.2">
      <c r="A399" t="s">
        <v>42</v>
      </c>
      <c r="B399" t="s">
        <v>43</v>
      </c>
      <c r="C399">
        <v>20220101</v>
      </c>
      <c r="D399">
        <v>2022</v>
      </c>
      <c r="E399">
        <v>52</v>
      </c>
      <c r="F399" t="s">
        <v>299</v>
      </c>
      <c r="G399">
        <v>860</v>
      </c>
      <c r="H399" t="s">
        <v>283</v>
      </c>
      <c r="I399" t="s">
        <v>284</v>
      </c>
      <c r="J399" t="s">
        <v>47</v>
      </c>
      <c r="K399" t="s">
        <v>48</v>
      </c>
      <c r="L399">
        <v>0</v>
      </c>
      <c r="M399" t="s">
        <v>49</v>
      </c>
      <c r="N399" t="s">
        <v>50</v>
      </c>
      <c r="O399">
        <v>0</v>
      </c>
      <c r="P399" t="s">
        <v>49</v>
      </c>
      <c r="Q399" t="s">
        <v>50</v>
      </c>
      <c r="R399" t="s">
        <v>51</v>
      </c>
      <c r="S399" t="s">
        <v>52</v>
      </c>
      <c r="T399" t="b">
        <v>1</v>
      </c>
      <c r="U399" t="s">
        <v>53</v>
      </c>
      <c r="V399" t="s">
        <v>54</v>
      </c>
      <c r="W399">
        <v>4</v>
      </c>
      <c r="X399" t="b">
        <v>0</v>
      </c>
      <c r="Y399" t="s">
        <v>55</v>
      </c>
      <c r="Z399" t="s">
        <v>56</v>
      </c>
      <c r="AA399" t="s">
        <v>57</v>
      </c>
      <c r="AB399">
        <v>0</v>
      </c>
      <c r="AC399" t="s">
        <v>58</v>
      </c>
      <c r="AD399">
        <v>8</v>
      </c>
      <c r="AE399" t="s">
        <v>59</v>
      </c>
      <c r="AF399">
        <v>60</v>
      </c>
      <c r="AG399" t="b">
        <v>0</v>
      </c>
      <c r="AH399">
        <v>21</v>
      </c>
      <c r="AI399" t="s">
        <v>170</v>
      </c>
      <c r="AJ399">
        <v>0.06</v>
      </c>
      <c r="AK399" t="b">
        <v>0</v>
      </c>
      <c r="AL399">
        <v>60</v>
      </c>
      <c r="AM399" t="b">
        <v>0</v>
      </c>
      <c r="AN399">
        <v>0</v>
      </c>
      <c r="AO399" t="b">
        <v>0</v>
      </c>
      <c r="AP399">
        <v>0</v>
      </c>
      <c r="AQ399">
        <v>51</v>
      </c>
      <c r="AR399">
        <v>51</v>
      </c>
      <c r="AS399">
        <v>0</v>
      </c>
      <c r="AT399" t="b">
        <v>0</v>
      </c>
      <c r="AU399" t="b">
        <v>1</v>
      </c>
      <c r="BA399" t="str">
        <f t="shared" si="12"/>
        <v>Normal</v>
      </c>
      <c r="BG399" t="str">
        <f t="shared" si="13"/>
        <v>Normal</v>
      </c>
    </row>
    <row r="400" spans="1:59" x14ac:dyDescent="0.2">
      <c r="A400" t="s">
        <v>42</v>
      </c>
      <c r="B400" t="s">
        <v>43</v>
      </c>
      <c r="C400">
        <v>20220101</v>
      </c>
      <c r="D400">
        <v>2022</v>
      </c>
      <c r="E400">
        <v>52</v>
      </c>
      <c r="F400" t="s">
        <v>299</v>
      </c>
      <c r="G400">
        <v>882</v>
      </c>
      <c r="H400" t="s">
        <v>269</v>
      </c>
      <c r="I400" t="s">
        <v>270</v>
      </c>
      <c r="J400" t="s">
        <v>47</v>
      </c>
      <c r="K400" t="s">
        <v>48</v>
      </c>
      <c r="L400">
        <v>0</v>
      </c>
      <c r="M400" t="s">
        <v>49</v>
      </c>
      <c r="N400" t="s">
        <v>50</v>
      </c>
      <c r="O400">
        <v>0</v>
      </c>
      <c r="P400" t="s">
        <v>49</v>
      </c>
      <c r="Q400" t="s">
        <v>50</v>
      </c>
      <c r="R400" t="s">
        <v>51</v>
      </c>
      <c r="S400" t="s">
        <v>52</v>
      </c>
      <c r="T400" t="b">
        <v>1</v>
      </c>
      <c r="U400" t="s">
        <v>53</v>
      </c>
      <c r="V400" t="s">
        <v>54</v>
      </c>
      <c r="W400">
        <v>4</v>
      </c>
      <c r="X400" t="b">
        <v>0</v>
      </c>
      <c r="Y400" t="s">
        <v>55</v>
      </c>
      <c r="Z400" t="s">
        <v>56</v>
      </c>
      <c r="AA400" t="s">
        <v>57</v>
      </c>
      <c r="AB400">
        <v>0</v>
      </c>
      <c r="AC400" t="s">
        <v>58</v>
      </c>
      <c r="AD400">
        <v>8</v>
      </c>
      <c r="AE400" t="s">
        <v>59</v>
      </c>
      <c r="AF400">
        <v>9200</v>
      </c>
      <c r="AG400" t="b">
        <v>0</v>
      </c>
      <c r="AH400">
        <v>7</v>
      </c>
      <c r="AI400" t="s">
        <v>67</v>
      </c>
      <c r="AJ400">
        <v>9200</v>
      </c>
      <c r="AK400" t="b">
        <v>0</v>
      </c>
      <c r="AL400">
        <v>9200</v>
      </c>
      <c r="AM400" t="b">
        <v>0</v>
      </c>
      <c r="AN400">
        <v>0</v>
      </c>
      <c r="AO400" t="b">
        <v>0</v>
      </c>
      <c r="AQ400">
        <v>8614.4</v>
      </c>
      <c r="AR400">
        <v>8614.4</v>
      </c>
      <c r="AS400">
        <v>0</v>
      </c>
      <c r="AT400" t="b">
        <v>0</v>
      </c>
      <c r="AU400" t="b">
        <v>1</v>
      </c>
      <c r="BA400" t="str">
        <f t="shared" si="12"/>
        <v>Normal</v>
      </c>
      <c r="BG400" t="str">
        <f t="shared" si="13"/>
        <v>Normal</v>
      </c>
    </row>
    <row r="401" spans="1:59" x14ac:dyDescent="0.2">
      <c r="A401" t="s">
        <v>42</v>
      </c>
      <c r="B401" t="s">
        <v>43</v>
      </c>
      <c r="C401">
        <v>20220101</v>
      </c>
      <c r="D401">
        <v>2022</v>
      </c>
      <c r="E401">
        <v>52</v>
      </c>
      <c r="F401" t="s">
        <v>299</v>
      </c>
      <c r="G401">
        <v>894</v>
      </c>
      <c r="H401" t="s">
        <v>285</v>
      </c>
      <c r="I401" t="s">
        <v>286</v>
      </c>
      <c r="J401" t="s">
        <v>47</v>
      </c>
      <c r="K401" t="s">
        <v>48</v>
      </c>
      <c r="L401">
        <v>0</v>
      </c>
      <c r="M401" t="s">
        <v>49</v>
      </c>
      <c r="N401" t="s">
        <v>50</v>
      </c>
      <c r="O401">
        <v>0</v>
      </c>
      <c r="P401" t="s">
        <v>49</v>
      </c>
      <c r="Q401" t="s">
        <v>50</v>
      </c>
      <c r="R401" t="s">
        <v>300</v>
      </c>
      <c r="S401" t="s">
        <v>52</v>
      </c>
      <c r="T401" t="b">
        <v>1</v>
      </c>
      <c r="U401" t="s">
        <v>53</v>
      </c>
      <c r="V401" t="s">
        <v>54</v>
      </c>
      <c r="W401">
        <v>4</v>
      </c>
      <c r="X401" t="b">
        <v>0</v>
      </c>
      <c r="Y401" t="s">
        <v>55</v>
      </c>
      <c r="Z401" t="s">
        <v>56</v>
      </c>
      <c r="AA401" t="s">
        <v>57</v>
      </c>
      <c r="AB401">
        <v>0</v>
      </c>
      <c r="AC401" t="s">
        <v>58</v>
      </c>
      <c r="AD401">
        <v>8</v>
      </c>
      <c r="AE401" t="s">
        <v>59</v>
      </c>
      <c r="AF401">
        <v>1663463</v>
      </c>
      <c r="AG401" t="b">
        <v>0</v>
      </c>
      <c r="AH401">
        <v>7</v>
      </c>
      <c r="AI401" t="s">
        <v>67</v>
      </c>
      <c r="AJ401">
        <v>178828</v>
      </c>
      <c r="AK401" t="b">
        <v>0</v>
      </c>
      <c r="AL401">
        <v>1663463</v>
      </c>
      <c r="AM401" t="b">
        <v>0</v>
      </c>
      <c r="AN401">
        <v>0</v>
      </c>
      <c r="AO401" t="b">
        <v>0</v>
      </c>
      <c r="AQ401">
        <v>391807.90399999998</v>
      </c>
      <c r="AR401">
        <v>391807.90399999998</v>
      </c>
      <c r="AS401">
        <v>0</v>
      </c>
      <c r="AT401" t="b">
        <v>0</v>
      </c>
      <c r="AU401" t="b">
        <v>1</v>
      </c>
      <c r="BA401" t="str">
        <f t="shared" si="12"/>
        <v>Normal</v>
      </c>
      <c r="BG401" t="str">
        <f t="shared" si="13"/>
        <v>Normal</v>
      </c>
    </row>
    <row r="402" spans="1:59" x14ac:dyDescent="0.2">
      <c r="A402" t="s">
        <v>42</v>
      </c>
      <c r="B402" t="s">
        <v>43</v>
      </c>
      <c r="C402">
        <v>20230101</v>
      </c>
      <c r="D402">
        <v>2023</v>
      </c>
      <c r="E402">
        <v>52</v>
      </c>
      <c r="F402" t="s">
        <v>311</v>
      </c>
      <c r="G402">
        <v>20</v>
      </c>
      <c r="H402" t="s">
        <v>288</v>
      </c>
      <c r="I402" t="s">
        <v>289</v>
      </c>
      <c r="J402" t="s">
        <v>47</v>
      </c>
      <c r="K402" t="s">
        <v>48</v>
      </c>
      <c r="L402">
        <v>0</v>
      </c>
      <c r="M402" t="s">
        <v>49</v>
      </c>
      <c r="N402" t="s">
        <v>50</v>
      </c>
      <c r="O402">
        <v>0</v>
      </c>
      <c r="P402" t="s">
        <v>49</v>
      </c>
      <c r="Q402" t="s">
        <v>50</v>
      </c>
      <c r="R402" t="s">
        <v>300</v>
      </c>
      <c r="S402" t="s">
        <v>52</v>
      </c>
      <c r="T402" t="b">
        <v>1</v>
      </c>
      <c r="U402" t="s">
        <v>53</v>
      </c>
      <c r="V402" t="s">
        <v>54</v>
      </c>
      <c r="W402">
        <v>4</v>
      </c>
      <c r="X402" t="b">
        <v>0</v>
      </c>
      <c r="Y402" t="s">
        <v>55</v>
      </c>
      <c r="Z402" t="s">
        <v>56</v>
      </c>
      <c r="AA402" t="s">
        <v>57</v>
      </c>
      <c r="AB402">
        <v>0</v>
      </c>
      <c r="AC402" t="s">
        <v>58</v>
      </c>
      <c r="AD402">
        <v>8</v>
      </c>
      <c r="AE402" t="s">
        <v>59</v>
      </c>
      <c r="AF402">
        <v>5</v>
      </c>
      <c r="AG402" t="b">
        <v>0</v>
      </c>
      <c r="AH402">
        <v>8</v>
      </c>
      <c r="AI402" t="s">
        <v>59</v>
      </c>
      <c r="AJ402">
        <v>5</v>
      </c>
      <c r="AK402" t="b">
        <v>0</v>
      </c>
      <c r="AL402">
        <v>5</v>
      </c>
      <c r="AM402" t="b">
        <v>0</v>
      </c>
      <c r="AN402">
        <v>0</v>
      </c>
      <c r="AO402" t="b">
        <v>0</v>
      </c>
      <c r="AQ402">
        <v>19.466000000000001</v>
      </c>
      <c r="AR402">
        <v>19.466000000000001</v>
      </c>
      <c r="AS402">
        <v>0</v>
      </c>
      <c r="AT402" t="b">
        <v>0</v>
      </c>
      <c r="AU402" t="b">
        <v>1</v>
      </c>
      <c r="BA402" t="str">
        <f t="shared" si="12"/>
        <v>Normal</v>
      </c>
      <c r="BG402" t="str">
        <f t="shared" si="13"/>
        <v>Normal</v>
      </c>
    </row>
    <row r="403" spans="1:59" x14ac:dyDescent="0.2">
      <c r="A403" t="s">
        <v>42</v>
      </c>
      <c r="B403" t="s">
        <v>43</v>
      </c>
      <c r="C403">
        <v>20230101</v>
      </c>
      <c r="D403">
        <v>2023</v>
      </c>
      <c r="E403">
        <v>52</v>
      </c>
      <c r="F403" t="s">
        <v>311</v>
      </c>
      <c r="G403">
        <v>24</v>
      </c>
      <c r="H403" t="s">
        <v>45</v>
      </c>
      <c r="I403" t="s">
        <v>46</v>
      </c>
      <c r="J403" t="s">
        <v>47</v>
      </c>
      <c r="K403" t="s">
        <v>48</v>
      </c>
      <c r="L403">
        <v>0</v>
      </c>
      <c r="M403" t="s">
        <v>49</v>
      </c>
      <c r="N403" t="s">
        <v>50</v>
      </c>
      <c r="O403">
        <v>0</v>
      </c>
      <c r="P403" t="s">
        <v>49</v>
      </c>
      <c r="Q403" t="s">
        <v>50</v>
      </c>
      <c r="R403" t="s">
        <v>51</v>
      </c>
      <c r="S403" t="s">
        <v>52</v>
      </c>
      <c r="T403" t="b">
        <v>1</v>
      </c>
      <c r="U403" t="s">
        <v>53</v>
      </c>
      <c r="V403" t="s">
        <v>54</v>
      </c>
      <c r="W403">
        <v>4</v>
      </c>
      <c r="X403" t="b">
        <v>0</v>
      </c>
      <c r="Y403" t="s">
        <v>55</v>
      </c>
      <c r="Z403" t="s">
        <v>56</v>
      </c>
      <c r="AA403" t="s">
        <v>57</v>
      </c>
      <c r="AB403">
        <v>0</v>
      </c>
      <c r="AC403" t="s">
        <v>58</v>
      </c>
      <c r="AD403">
        <v>8</v>
      </c>
      <c r="AE403" t="s">
        <v>59</v>
      </c>
      <c r="AF403">
        <v>61441678954.199997</v>
      </c>
      <c r="AG403" t="b">
        <v>0</v>
      </c>
      <c r="AH403">
        <v>19</v>
      </c>
      <c r="AI403" t="s">
        <v>60</v>
      </c>
      <c r="AJ403">
        <v>386425653.80000001</v>
      </c>
      <c r="AK403" t="b">
        <v>0</v>
      </c>
      <c r="AL403">
        <v>61441678954.199997</v>
      </c>
      <c r="AM403" t="b">
        <v>0</v>
      </c>
      <c r="AN403">
        <v>0</v>
      </c>
      <c r="AO403" t="b">
        <v>0</v>
      </c>
      <c r="AQ403">
        <v>32047478607.041</v>
      </c>
      <c r="AR403">
        <v>32047478607.041</v>
      </c>
      <c r="AS403">
        <v>0</v>
      </c>
      <c r="AT403" t="b">
        <v>0</v>
      </c>
      <c r="AU403" t="b">
        <v>1</v>
      </c>
      <c r="BA403" t="str">
        <f t="shared" si="12"/>
        <v>Normal</v>
      </c>
      <c r="BG403" t="str">
        <f t="shared" si="13"/>
        <v>Normal</v>
      </c>
    </row>
    <row r="404" spans="1:59" x14ac:dyDescent="0.2">
      <c r="A404" t="s">
        <v>42</v>
      </c>
      <c r="B404" t="s">
        <v>43</v>
      </c>
      <c r="C404">
        <v>20230101</v>
      </c>
      <c r="D404">
        <v>2023</v>
      </c>
      <c r="E404">
        <v>52</v>
      </c>
      <c r="F404" t="s">
        <v>311</v>
      </c>
      <c r="G404">
        <v>31</v>
      </c>
      <c r="H404" t="s">
        <v>61</v>
      </c>
      <c r="I404" t="s">
        <v>62</v>
      </c>
      <c r="J404" t="s">
        <v>47</v>
      </c>
      <c r="K404" t="s">
        <v>48</v>
      </c>
      <c r="L404">
        <v>0</v>
      </c>
      <c r="M404" t="s">
        <v>49</v>
      </c>
      <c r="N404" t="s">
        <v>50</v>
      </c>
      <c r="O404">
        <v>0</v>
      </c>
      <c r="P404" t="s">
        <v>49</v>
      </c>
      <c r="Q404" t="s">
        <v>50</v>
      </c>
      <c r="R404" t="s">
        <v>300</v>
      </c>
      <c r="S404" t="s">
        <v>52</v>
      </c>
      <c r="T404" t="b">
        <v>1</v>
      </c>
      <c r="U404" t="s">
        <v>53</v>
      </c>
      <c r="V404" t="s">
        <v>54</v>
      </c>
      <c r="W404">
        <v>4</v>
      </c>
      <c r="X404" t="b">
        <v>0</v>
      </c>
      <c r="Y404" t="s">
        <v>55</v>
      </c>
      <c r="Z404" t="s">
        <v>56</v>
      </c>
      <c r="AA404" t="s">
        <v>57</v>
      </c>
      <c r="AB404">
        <v>0</v>
      </c>
      <c r="AC404" t="s">
        <v>58</v>
      </c>
      <c r="AD404">
        <v>8</v>
      </c>
      <c r="AE404" t="s">
        <v>59</v>
      </c>
      <c r="AF404">
        <v>26047249100</v>
      </c>
      <c r="AG404" t="b">
        <v>0</v>
      </c>
      <c r="AH404">
        <v>8</v>
      </c>
      <c r="AI404" t="s">
        <v>59</v>
      </c>
      <c r="AJ404">
        <v>26047249100</v>
      </c>
      <c r="AK404" t="b">
        <v>0</v>
      </c>
      <c r="AL404">
        <v>26047249100</v>
      </c>
      <c r="AM404" t="b">
        <v>0</v>
      </c>
      <c r="AN404">
        <v>0</v>
      </c>
      <c r="AO404" t="b">
        <v>0</v>
      </c>
      <c r="AQ404">
        <v>16240829627.26</v>
      </c>
      <c r="AR404">
        <v>16240829627.26</v>
      </c>
      <c r="AS404">
        <v>0</v>
      </c>
      <c r="AT404" t="b">
        <v>0</v>
      </c>
      <c r="AU404" t="b">
        <v>1</v>
      </c>
      <c r="BA404" t="str">
        <f t="shared" si="12"/>
        <v>Normal</v>
      </c>
      <c r="BG404" t="str">
        <f t="shared" si="13"/>
        <v>Normal</v>
      </c>
    </row>
    <row r="405" spans="1:59" x14ac:dyDescent="0.2">
      <c r="A405" t="s">
        <v>42</v>
      </c>
      <c r="B405" t="s">
        <v>43</v>
      </c>
      <c r="C405">
        <v>20230101</v>
      </c>
      <c r="D405">
        <v>2023</v>
      </c>
      <c r="E405">
        <v>52</v>
      </c>
      <c r="F405" t="s">
        <v>311</v>
      </c>
      <c r="G405">
        <v>32</v>
      </c>
      <c r="H405" t="s">
        <v>63</v>
      </c>
      <c r="I405" t="s">
        <v>64</v>
      </c>
      <c r="J405" t="s">
        <v>47</v>
      </c>
      <c r="K405" t="s">
        <v>48</v>
      </c>
      <c r="L405">
        <v>0</v>
      </c>
      <c r="M405" t="s">
        <v>49</v>
      </c>
      <c r="N405" t="s">
        <v>50</v>
      </c>
      <c r="O405">
        <v>0</v>
      </c>
      <c r="P405" t="s">
        <v>49</v>
      </c>
      <c r="Q405" t="s">
        <v>50</v>
      </c>
      <c r="R405" t="s">
        <v>51</v>
      </c>
      <c r="S405" t="s">
        <v>52</v>
      </c>
      <c r="T405" t="b">
        <v>1</v>
      </c>
      <c r="U405" t="s">
        <v>53</v>
      </c>
      <c r="V405" t="s">
        <v>54</v>
      </c>
      <c r="W405">
        <v>4</v>
      </c>
      <c r="X405" t="b">
        <v>0</v>
      </c>
      <c r="Y405" t="s">
        <v>55</v>
      </c>
      <c r="Z405" t="s">
        <v>56</v>
      </c>
      <c r="AA405" t="s">
        <v>57</v>
      </c>
      <c r="AB405">
        <v>0</v>
      </c>
      <c r="AC405" t="s">
        <v>58</v>
      </c>
      <c r="AD405">
        <v>8</v>
      </c>
      <c r="AE405" t="s">
        <v>59</v>
      </c>
      <c r="AF405">
        <v>6623706300</v>
      </c>
      <c r="AG405" t="b">
        <v>0</v>
      </c>
      <c r="AH405">
        <v>8</v>
      </c>
      <c r="AI405" t="s">
        <v>59</v>
      </c>
      <c r="AJ405">
        <v>6623706300</v>
      </c>
      <c r="AK405" t="b">
        <v>0</v>
      </c>
      <c r="AL405">
        <v>6623706300</v>
      </c>
      <c r="AM405" t="b">
        <v>0</v>
      </c>
      <c r="AN405">
        <v>0</v>
      </c>
      <c r="AO405" t="b">
        <v>0</v>
      </c>
      <c r="AQ405">
        <v>3733440372.73</v>
      </c>
      <c r="AR405">
        <v>3733440372.73</v>
      </c>
      <c r="AS405">
        <v>0</v>
      </c>
      <c r="AT405" t="b">
        <v>0</v>
      </c>
      <c r="AU405" t="b">
        <v>1</v>
      </c>
      <c r="BA405" t="str">
        <f t="shared" si="12"/>
        <v>Normal</v>
      </c>
      <c r="BG405" t="str">
        <f t="shared" si="13"/>
        <v>Normal</v>
      </c>
    </row>
    <row r="406" spans="1:59" x14ac:dyDescent="0.2">
      <c r="A406" t="s">
        <v>42</v>
      </c>
      <c r="B406" t="s">
        <v>43</v>
      </c>
      <c r="C406">
        <v>20230101</v>
      </c>
      <c r="D406">
        <v>2023</v>
      </c>
      <c r="E406">
        <v>52</v>
      </c>
      <c r="F406" t="s">
        <v>311</v>
      </c>
      <c r="G406">
        <v>36</v>
      </c>
      <c r="H406" t="s">
        <v>65</v>
      </c>
      <c r="I406" t="s">
        <v>66</v>
      </c>
      <c r="J406" t="s">
        <v>47</v>
      </c>
      <c r="K406" t="s">
        <v>48</v>
      </c>
      <c r="L406">
        <v>0</v>
      </c>
      <c r="M406" t="s">
        <v>49</v>
      </c>
      <c r="N406" t="s">
        <v>50</v>
      </c>
      <c r="O406">
        <v>0</v>
      </c>
      <c r="P406" t="s">
        <v>49</v>
      </c>
      <c r="Q406" t="s">
        <v>50</v>
      </c>
      <c r="R406" t="s">
        <v>300</v>
      </c>
      <c r="S406" t="s">
        <v>52</v>
      </c>
      <c r="T406" t="b">
        <v>1</v>
      </c>
      <c r="U406" t="s">
        <v>53</v>
      </c>
      <c r="V406" t="s">
        <v>54</v>
      </c>
      <c r="W406">
        <v>4</v>
      </c>
      <c r="X406" t="b">
        <v>0</v>
      </c>
      <c r="Y406" t="s">
        <v>55</v>
      </c>
      <c r="Z406" t="s">
        <v>56</v>
      </c>
      <c r="AA406" t="s">
        <v>57</v>
      </c>
      <c r="AB406">
        <v>0</v>
      </c>
      <c r="AC406" t="s">
        <v>58</v>
      </c>
      <c r="AD406">
        <v>8</v>
      </c>
      <c r="AE406" t="s">
        <v>59</v>
      </c>
      <c r="AF406">
        <v>14880141230.07</v>
      </c>
      <c r="AG406" t="b">
        <v>0</v>
      </c>
      <c r="AH406">
        <v>7</v>
      </c>
      <c r="AI406" t="s">
        <v>67</v>
      </c>
      <c r="AJ406">
        <v>14880141230.07</v>
      </c>
      <c r="AK406" t="b">
        <v>0</v>
      </c>
      <c r="AM406" t="b">
        <v>0</v>
      </c>
      <c r="AN406">
        <v>11963720964.309999</v>
      </c>
      <c r="AO406" t="b">
        <v>0</v>
      </c>
      <c r="AQ406">
        <v>7678708458.698</v>
      </c>
      <c r="AR406">
        <v>7678708458.698</v>
      </c>
      <c r="AS406">
        <v>0</v>
      </c>
      <c r="AT406" t="b">
        <v>0</v>
      </c>
      <c r="AU406" t="b">
        <v>1</v>
      </c>
      <c r="BA406" t="str">
        <f t="shared" si="12"/>
        <v>Normal</v>
      </c>
      <c r="BG406" t="str">
        <f t="shared" si="13"/>
        <v>Normal</v>
      </c>
    </row>
    <row r="407" spans="1:59" x14ac:dyDescent="0.2">
      <c r="A407" t="s">
        <v>42</v>
      </c>
      <c r="B407" t="s">
        <v>43</v>
      </c>
      <c r="C407">
        <v>20230101</v>
      </c>
      <c r="D407">
        <v>2023</v>
      </c>
      <c r="E407">
        <v>52</v>
      </c>
      <c r="F407" t="s">
        <v>311</v>
      </c>
      <c r="G407">
        <v>52</v>
      </c>
      <c r="H407" t="s">
        <v>68</v>
      </c>
      <c r="I407" t="s">
        <v>69</v>
      </c>
      <c r="J407" t="s">
        <v>47</v>
      </c>
      <c r="K407" t="s">
        <v>48</v>
      </c>
      <c r="L407">
        <v>0</v>
      </c>
      <c r="M407" t="s">
        <v>49</v>
      </c>
      <c r="N407" t="s">
        <v>50</v>
      </c>
      <c r="O407">
        <v>0</v>
      </c>
      <c r="P407" t="s">
        <v>49</v>
      </c>
      <c r="Q407" t="s">
        <v>50</v>
      </c>
      <c r="R407" t="s">
        <v>51</v>
      </c>
      <c r="S407" t="s">
        <v>52</v>
      </c>
      <c r="T407" t="b">
        <v>1</v>
      </c>
      <c r="U407" t="s">
        <v>53</v>
      </c>
      <c r="V407" t="s">
        <v>54</v>
      </c>
      <c r="W407">
        <v>4</v>
      </c>
      <c r="X407" t="b">
        <v>0</v>
      </c>
      <c r="Y407" t="s">
        <v>55</v>
      </c>
      <c r="Z407" t="s">
        <v>56</v>
      </c>
      <c r="AA407" t="s">
        <v>57</v>
      </c>
      <c r="AB407">
        <v>0</v>
      </c>
      <c r="AC407" t="s">
        <v>58</v>
      </c>
      <c r="AD407">
        <v>8</v>
      </c>
      <c r="AE407" t="s">
        <v>59</v>
      </c>
      <c r="AF407">
        <v>17639400</v>
      </c>
      <c r="AG407" t="b">
        <v>0</v>
      </c>
      <c r="AH407">
        <v>8</v>
      </c>
      <c r="AI407" t="s">
        <v>59</v>
      </c>
      <c r="AJ407">
        <v>17639400</v>
      </c>
      <c r="AK407" t="b">
        <v>0</v>
      </c>
      <c r="AL407">
        <v>17639400</v>
      </c>
      <c r="AM407" t="b">
        <v>0</v>
      </c>
      <c r="AN407">
        <v>0</v>
      </c>
      <c r="AO407" t="b">
        <v>0</v>
      </c>
      <c r="AQ407">
        <v>10392488</v>
      </c>
      <c r="AR407">
        <v>10392488</v>
      </c>
      <c r="AS407">
        <v>0</v>
      </c>
      <c r="AT407" t="b">
        <v>0</v>
      </c>
      <c r="AU407" t="b">
        <v>1</v>
      </c>
      <c r="BA407" t="str">
        <f t="shared" si="12"/>
        <v>Normal</v>
      </c>
      <c r="BG407" t="str">
        <f t="shared" si="13"/>
        <v>Normal</v>
      </c>
    </row>
    <row r="408" spans="1:59" x14ac:dyDescent="0.2">
      <c r="A408" t="s">
        <v>42</v>
      </c>
      <c r="B408" t="s">
        <v>43</v>
      </c>
      <c r="C408">
        <v>20230101</v>
      </c>
      <c r="D408">
        <v>2023</v>
      </c>
      <c r="E408">
        <v>52</v>
      </c>
      <c r="F408" t="s">
        <v>311</v>
      </c>
      <c r="G408">
        <v>56</v>
      </c>
      <c r="H408" t="s">
        <v>71</v>
      </c>
      <c r="I408" t="s">
        <v>72</v>
      </c>
      <c r="J408" t="s">
        <v>47</v>
      </c>
      <c r="K408" t="s">
        <v>48</v>
      </c>
      <c r="L408">
        <v>0</v>
      </c>
      <c r="M408" t="s">
        <v>49</v>
      </c>
      <c r="N408" t="s">
        <v>50</v>
      </c>
      <c r="O408">
        <v>0</v>
      </c>
      <c r="P408" t="s">
        <v>49</v>
      </c>
      <c r="Q408" t="s">
        <v>50</v>
      </c>
      <c r="R408" t="s">
        <v>300</v>
      </c>
      <c r="S408" t="s">
        <v>52</v>
      </c>
      <c r="T408" t="b">
        <v>1</v>
      </c>
      <c r="U408" t="s">
        <v>53</v>
      </c>
      <c r="V408" t="s">
        <v>54</v>
      </c>
      <c r="W408">
        <v>4</v>
      </c>
      <c r="X408" t="b">
        <v>0</v>
      </c>
      <c r="Y408" t="s">
        <v>55</v>
      </c>
      <c r="Z408" t="s">
        <v>56</v>
      </c>
      <c r="AA408" t="s">
        <v>57</v>
      </c>
      <c r="AB408">
        <v>0</v>
      </c>
      <c r="AC408" t="s">
        <v>58</v>
      </c>
      <c r="AD408">
        <v>8</v>
      </c>
      <c r="AE408" t="s">
        <v>59</v>
      </c>
      <c r="AF408">
        <v>91817989.935000002</v>
      </c>
      <c r="AG408" t="b">
        <v>1</v>
      </c>
      <c r="AH408">
        <v>-1</v>
      </c>
      <c r="AI408" t="s">
        <v>73</v>
      </c>
      <c r="AJ408">
        <v>0</v>
      </c>
      <c r="AK408" t="b">
        <v>0</v>
      </c>
      <c r="AL408">
        <v>91817989.935000002</v>
      </c>
      <c r="AM408" t="b">
        <v>1</v>
      </c>
      <c r="AN408">
        <v>0</v>
      </c>
      <c r="AO408" t="b">
        <v>0</v>
      </c>
      <c r="AQ408">
        <v>58227772.152999997</v>
      </c>
      <c r="AR408">
        <v>58227772.152999997</v>
      </c>
      <c r="AS408">
        <v>6</v>
      </c>
      <c r="AT408" t="b">
        <v>0</v>
      </c>
      <c r="AU408" t="b">
        <v>1</v>
      </c>
      <c r="BA408" t="str">
        <f t="shared" si="12"/>
        <v>Normal</v>
      </c>
      <c r="BG408" t="str">
        <f t="shared" si="13"/>
        <v>Normal</v>
      </c>
    </row>
    <row r="409" spans="1:59" x14ac:dyDescent="0.2">
      <c r="A409" t="s">
        <v>42</v>
      </c>
      <c r="B409" t="s">
        <v>43</v>
      </c>
      <c r="C409">
        <v>20230101</v>
      </c>
      <c r="D409">
        <v>2023</v>
      </c>
      <c r="E409">
        <v>52</v>
      </c>
      <c r="F409" t="s">
        <v>311</v>
      </c>
      <c r="G409">
        <v>68</v>
      </c>
      <c r="H409" t="s">
        <v>74</v>
      </c>
      <c r="I409" t="s">
        <v>75</v>
      </c>
      <c r="J409" t="s">
        <v>47</v>
      </c>
      <c r="K409" t="s">
        <v>48</v>
      </c>
      <c r="L409">
        <v>0</v>
      </c>
      <c r="M409" t="s">
        <v>49</v>
      </c>
      <c r="N409" t="s">
        <v>50</v>
      </c>
      <c r="O409">
        <v>0</v>
      </c>
      <c r="P409" t="s">
        <v>49</v>
      </c>
      <c r="Q409" t="s">
        <v>50</v>
      </c>
      <c r="R409" t="s">
        <v>300</v>
      </c>
      <c r="S409" t="s">
        <v>52</v>
      </c>
      <c r="T409" t="b">
        <v>1</v>
      </c>
      <c r="U409" t="s">
        <v>53</v>
      </c>
      <c r="V409" t="s">
        <v>54</v>
      </c>
      <c r="W409">
        <v>4</v>
      </c>
      <c r="X409" t="b">
        <v>0</v>
      </c>
      <c r="Y409" t="s">
        <v>55</v>
      </c>
      <c r="Z409" t="s">
        <v>56</v>
      </c>
      <c r="AA409" t="s">
        <v>57</v>
      </c>
      <c r="AB409">
        <v>0</v>
      </c>
      <c r="AC409" t="s">
        <v>58</v>
      </c>
      <c r="AD409">
        <v>8</v>
      </c>
      <c r="AE409" t="s">
        <v>59</v>
      </c>
      <c r="AF409">
        <v>35302195.899999999</v>
      </c>
      <c r="AG409" t="b">
        <v>0</v>
      </c>
      <c r="AH409">
        <v>8</v>
      </c>
      <c r="AI409" t="s">
        <v>59</v>
      </c>
      <c r="AJ409">
        <v>35302195.899999999</v>
      </c>
      <c r="AK409" t="b">
        <v>0</v>
      </c>
      <c r="AL409">
        <v>35302195.899999999</v>
      </c>
      <c r="AM409" t="b">
        <v>0</v>
      </c>
      <c r="AN409">
        <v>35302195.899999999</v>
      </c>
      <c r="AO409" t="b">
        <v>0</v>
      </c>
      <c r="AQ409">
        <v>11437216.17</v>
      </c>
      <c r="AR409">
        <v>11437216.17</v>
      </c>
      <c r="AS409">
        <v>0</v>
      </c>
      <c r="AT409" t="b">
        <v>0</v>
      </c>
      <c r="AU409" t="b">
        <v>1</v>
      </c>
      <c r="BA409" t="str">
        <f t="shared" si="12"/>
        <v>Normal</v>
      </c>
      <c r="BG409" t="str">
        <f t="shared" si="13"/>
        <v>Normal</v>
      </c>
    </row>
    <row r="410" spans="1:59" x14ac:dyDescent="0.2">
      <c r="A410" t="s">
        <v>42</v>
      </c>
      <c r="B410" t="s">
        <v>43</v>
      </c>
      <c r="C410">
        <v>20230101</v>
      </c>
      <c r="D410">
        <v>2023</v>
      </c>
      <c r="E410">
        <v>52</v>
      </c>
      <c r="F410" t="s">
        <v>311</v>
      </c>
      <c r="G410">
        <v>70</v>
      </c>
      <c r="H410" t="s">
        <v>76</v>
      </c>
      <c r="I410" t="s">
        <v>77</v>
      </c>
      <c r="J410" t="s">
        <v>47</v>
      </c>
      <c r="K410" t="s">
        <v>48</v>
      </c>
      <c r="L410">
        <v>0</v>
      </c>
      <c r="M410" t="s">
        <v>49</v>
      </c>
      <c r="N410" t="s">
        <v>50</v>
      </c>
      <c r="O410">
        <v>0</v>
      </c>
      <c r="P410" t="s">
        <v>49</v>
      </c>
      <c r="Q410" t="s">
        <v>50</v>
      </c>
      <c r="R410" t="s">
        <v>300</v>
      </c>
      <c r="S410" t="s">
        <v>52</v>
      </c>
      <c r="T410" t="b">
        <v>1</v>
      </c>
      <c r="U410" t="s">
        <v>53</v>
      </c>
      <c r="V410" t="s">
        <v>54</v>
      </c>
      <c r="W410">
        <v>4</v>
      </c>
      <c r="X410" t="b">
        <v>0</v>
      </c>
      <c r="Y410" t="s">
        <v>55</v>
      </c>
      <c r="Z410" t="s">
        <v>56</v>
      </c>
      <c r="AA410" t="s">
        <v>57</v>
      </c>
      <c r="AB410">
        <v>0</v>
      </c>
      <c r="AC410" t="s">
        <v>58</v>
      </c>
      <c r="AD410">
        <v>8</v>
      </c>
      <c r="AE410" t="s">
        <v>59</v>
      </c>
      <c r="AF410">
        <v>625804</v>
      </c>
      <c r="AG410" t="b">
        <v>0</v>
      </c>
      <c r="AH410">
        <v>8</v>
      </c>
      <c r="AI410" t="s">
        <v>59</v>
      </c>
      <c r="AJ410">
        <v>625804</v>
      </c>
      <c r="AK410" t="b">
        <v>0</v>
      </c>
      <c r="AL410">
        <v>625804</v>
      </c>
      <c r="AM410" t="b">
        <v>0</v>
      </c>
      <c r="AN410">
        <v>0</v>
      </c>
      <c r="AO410" t="b">
        <v>0</v>
      </c>
      <c r="AQ410">
        <v>313105.23599999998</v>
      </c>
      <c r="AR410">
        <v>313105.23599999998</v>
      </c>
      <c r="AS410">
        <v>0</v>
      </c>
      <c r="AT410" t="b">
        <v>0</v>
      </c>
      <c r="AU410" t="b">
        <v>1</v>
      </c>
      <c r="BA410" t="str">
        <f t="shared" si="12"/>
        <v>Normal</v>
      </c>
      <c r="BG410" t="str">
        <f t="shared" si="13"/>
        <v>Normal</v>
      </c>
    </row>
    <row r="411" spans="1:59" x14ac:dyDescent="0.2">
      <c r="A411" t="s">
        <v>42</v>
      </c>
      <c r="B411" t="s">
        <v>43</v>
      </c>
      <c r="C411">
        <v>20230101</v>
      </c>
      <c r="D411">
        <v>2023</v>
      </c>
      <c r="E411">
        <v>52</v>
      </c>
      <c r="F411" t="s">
        <v>311</v>
      </c>
      <c r="G411">
        <v>72</v>
      </c>
      <c r="H411" t="s">
        <v>78</v>
      </c>
      <c r="I411" t="s">
        <v>79</v>
      </c>
      <c r="J411" t="s">
        <v>47</v>
      </c>
      <c r="K411" t="s">
        <v>48</v>
      </c>
      <c r="L411">
        <v>0</v>
      </c>
      <c r="M411" t="s">
        <v>49</v>
      </c>
      <c r="N411" t="s">
        <v>50</v>
      </c>
      <c r="O411">
        <v>0</v>
      </c>
      <c r="P411" t="s">
        <v>49</v>
      </c>
      <c r="Q411" t="s">
        <v>50</v>
      </c>
      <c r="R411" t="s">
        <v>300</v>
      </c>
      <c r="S411" t="s">
        <v>52</v>
      </c>
      <c r="T411" t="b">
        <v>1</v>
      </c>
      <c r="U411" t="s">
        <v>53</v>
      </c>
      <c r="V411" t="s">
        <v>54</v>
      </c>
      <c r="W411">
        <v>4</v>
      </c>
      <c r="X411" t="b">
        <v>0</v>
      </c>
      <c r="Y411" t="s">
        <v>55</v>
      </c>
      <c r="Z411" t="s">
        <v>56</v>
      </c>
      <c r="AA411" t="s">
        <v>57</v>
      </c>
      <c r="AB411">
        <v>0</v>
      </c>
      <c r="AC411" t="s">
        <v>58</v>
      </c>
      <c r="AD411">
        <v>8</v>
      </c>
      <c r="AE411" t="s">
        <v>59</v>
      </c>
      <c r="AF411">
        <v>568.75</v>
      </c>
      <c r="AG411" t="b">
        <v>0</v>
      </c>
      <c r="AH411">
        <v>8</v>
      </c>
      <c r="AI411" t="s">
        <v>59</v>
      </c>
      <c r="AJ411">
        <v>568.75</v>
      </c>
      <c r="AK411" t="b">
        <v>0</v>
      </c>
      <c r="AL411">
        <v>568.75</v>
      </c>
      <c r="AM411" t="b">
        <v>0</v>
      </c>
      <c r="AN411">
        <v>0</v>
      </c>
      <c r="AO411" t="b">
        <v>0</v>
      </c>
      <c r="AQ411">
        <v>2553.2559999999999</v>
      </c>
      <c r="AR411">
        <v>2553.2559999999999</v>
      </c>
      <c r="AS411">
        <v>0</v>
      </c>
      <c r="AT411" t="b">
        <v>0</v>
      </c>
      <c r="AU411" t="b">
        <v>1</v>
      </c>
      <c r="BA411" t="str">
        <f t="shared" si="12"/>
        <v>Normal</v>
      </c>
      <c r="BG411" t="str">
        <f t="shared" si="13"/>
        <v>Normal</v>
      </c>
    </row>
    <row r="412" spans="1:59" x14ac:dyDescent="0.2">
      <c r="A412" t="s">
        <v>42</v>
      </c>
      <c r="B412" t="s">
        <v>43</v>
      </c>
      <c r="C412">
        <v>20230101</v>
      </c>
      <c r="D412">
        <v>2023</v>
      </c>
      <c r="E412">
        <v>52</v>
      </c>
      <c r="F412" t="s">
        <v>311</v>
      </c>
      <c r="G412">
        <v>76</v>
      </c>
      <c r="H412" t="s">
        <v>80</v>
      </c>
      <c r="I412" t="s">
        <v>81</v>
      </c>
      <c r="J412" t="s">
        <v>47</v>
      </c>
      <c r="K412" t="s">
        <v>48</v>
      </c>
      <c r="L412">
        <v>0</v>
      </c>
      <c r="M412" t="s">
        <v>49</v>
      </c>
      <c r="N412" t="s">
        <v>50</v>
      </c>
      <c r="O412">
        <v>0</v>
      </c>
      <c r="P412" t="s">
        <v>49</v>
      </c>
      <c r="Q412" t="s">
        <v>50</v>
      </c>
      <c r="R412" t="s">
        <v>300</v>
      </c>
      <c r="S412" t="s">
        <v>52</v>
      </c>
      <c r="T412" t="b">
        <v>1</v>
      </c>
      <c r="U412" t="s">
        <v>53</v>
      </c>
      <c r="V412" t="s">
        <v>54</v>
      </c>
      <c r="W412">
        <v>4</v>
      </c>
      <c r="X412" t="b">
        <v>0</v>
      </c>
      <c r="Y412" t="s">
        <v>55</v>
      </c>
      <c r="Z412" t="s">
        <v>56</v>
      </c>
      <c r="AA412" t="s">
        <v>57</v>
      </c>
      <c r="AB412">
        <v>0</v>
      </c>
      <c r="AC412" t="s">
        <v>58</v>
      </c>
      <c r="AD412">
        <v>8</v>
      </c>
      <c r="AE412" t="s">
        <v>59</v>
      </c>
      <c r="AF412">
        <v>81409576397</v>
      </c>
      <c r="AG412" t="b">
        <v>0</v>
      </c>
      <c r="AH412">
        <v>-1</v>
      </c>
      <c r="AI412" t="s">
        <v>73</v>
      </c>
      <c r="AJ412">
        <v>0</v>
      </c>
      <c r="AK412" t="b">
        <v>0</v>
      </c>
      <c r="AL412">
        <v>81409576397</v>
      </c>
      <c r="AM412" t="b">
        <v>0</v>
      </c>
      <c r="AN412">
        <v>0</v>
      </c>
      <c r="AO412" t="b">
        <v>0</v>
      </c>
      <c r="AQ412">
        <v>42611148597</v>
      </c>
      <c r="AR412">
        <v>42611148597</v>
      </c>
      <c r="AS412">
        <v>0</v>
      </c>
      <c r="AT412" t="b">
        <v>0</v>
      </c>
      <c r="AU412" t="b">
        <v>1</v>
      </c>
      <c r="BA412" t="str">
        <f t="shared" si="12"/>
        <v>Normal</v>
      </c>
      <c r="BG412" t="str">
        <f t="shared" si="13"/>
        <v>Normal</v>
      </c>
    </row>
    <row r="413" spans="1:59" x14ac:dyDescent="0.2">
      <c r="A413" t="s">
        <v>42</v>
      </c>
      <c r="B413" t="s">
        <v>43</v>
      </c>
      <c r="C413">
        <v>20230101</v>
      </c>
      <c r="D413">
        <v>2023</v>
      </c>
      <c r="E413">
        <v>52</v>
      </c>
      <c r="F413" t="s">
        <v>311</v>
      </c>
      <c r="G413">
        <v>84</v>
      </c>
      <c r="H413" t="s">
        <v>82</v>
      </c>
      <c r="I413" t="s">
        <v>83</v>
      </c>
      <c r="J413" t="s">
        <v>47</v>
      </c>
      <c r="K413" t="s">
        <v>48</v>
      </c>
      <c r="L413">
        <v>0</v>
      </c>
      <c r="M413" t="s">
        <v>49</v>
      </c>
      <c r="N413" t="s">
        <v>50</v>
      </c>
      <c r="O413">
        <v>0</v>
      </c>
      <c r="P413" t="s">
        <v>49</v>
      </c>
      <c r="Q413" t="s">
        <v>50</v>
      </c>
      <c r="R413" t="s">
        <v>300</v>
      </c>
      <c r="S413" t="s">
        <v>52</v>
      </c>
      <c r="T413" t="b">
        <v>1</v>
      </c>
      <c r="U413" t="s">
        <v>53</v>
      </c>
      <c r="V413" t="s">
        <v>54</v>
      </c>
      <c r="W413">
        <v>4</v>
      </c>
      <c r="X413" t="b">
        <v>0</v>
      </c>
      <c r="Y413" t="s">
        <v>55</v>
      </c>
      <c r="Z413" t="s">
        <v>56</v>
      </c>
      <c r="AA413" t="s">
        <v>57</v>
      </c>
      <c r="AB413">
        <v>0</v>
      </c>
      <c r="AC413" t="s">
        <v>58</v>
      </c>
      <c r="AD413">
        <v>8</v>
      </c>
      <c r="AE413" t="s">
        <v>59</v>
      </c>
      <c r="AF413">
        <v>3012270</v>
      </c>
      <c r="AG413" t="b">
        <v>0</v>
      </c>
      <c r="AH413">
        <v>8</v>
      </c>
      <c r="AI413" t="s">
        <v>59</v>
      </c>
      <c r="AJ413">
        <v>3012270</v>
      </c>
      <c r="AK413" t="b">
        <v>0</v>
      </c>
      <c r="AL413">
        <v>3012270</v>
      </c>
      <c r="AM413" t="b">
        <v>0</v>
      </c>
      <c r="AN413">
        <v>0</v>
      </c>
      <c r="AO413" t="b">
        <v>0</v>
      </c>
      <c r="AQ413">
        <v>717161.59499999997</v>
      </c>
      <c r="AR413">
        <v>717161.59499999997</v>
      </c>
      <c r="AS413">
        <v>0</v>
      </c>
      <c r="AT413" t="b">
        <v>0</v>
      </c>
      <c r="AU413" t="b">
        <v>1</v>
      </c>
      <c r="BA413" t="str">
        <f t="shared" si="12"/>
        <v>Normal</v>
      </c>
      <c r="BG413" t="str">
        <f t="shared" si="13"/>
        <v>Normal</v>
      </c>
    </row>
    <row r="414" spans="1:59" x14ac:dyDescent="0.2">
      <c r="A414" t="s">
        <v>42</v>
      </c>
      <c r="B414" t="s">
        <v>43</v>
      </c>
      <c r="C414">
        <v>20230101</v>
      </c>
      <c r="D414">
        <v>2023</v>
      </c>
      <c r="E414">
        <v>52</v>
      </c>
      <c r="F414" t="s">
        <v>311</v>
      </c>
      <c r="G414">
        <v>96</v>
      </c>
      <c r="H414" t="s">
        <v>84</v>
      </c>
      <c r="I414" t="s">
        <v>85</v>
      </c>
      <c r="J414" t="s">
        <v>47</v>
      </c>
      <c r="K414" t="s">
        <v>48</v>
      </c>
      <c r="L414">
        <v>0</v>
      </c>
      <c r="M414" t="s">
        <v>49</v>
      </c>
      <c r="N414" t="s">
        <v>50</v>
      </c>
      <c r="O414">
        <v>0</v>
      </c>
      <c r="P414" t="s">
        <v>49</v>
      </c>
      <c r="Q414" t="s">
        <v>50</v>
      </c>
      <c r="R414" t="s">
        <v>300</v>
      </c>
      <c r="S414" t="s">
        <v>52</v>
      </c>
      <c r="T414" t="b">
        <v>1</v>
      </c>
      <c r="U414" t="s">
        <v>53</v>
      </c>
      <c r="V414" t="s">
        <v>54</v>
      </c>
      <c r="W414">
        <v>4</v>
      </c>
      <c r="X414" t="b">
        <v>0</v>
      </c>
      <c r="Y414" t="s">
        <v>55</v>
      </c>
      <c r="Z414" t="s">
        <v>56</v>
      </c>
      <c r="AA414" t="s">
        <v>57</v>
      </c>
      <c r="AB414">
        <v>0</v>
      </c>
      <c r="AC414" t="s">
        <v>58</v>
      </c>
      <c r="AD414">
        <v>8</v>
      </c>
      <c r="AE414" t="s">
        <v>59</v>
      </c>
      <c r="AF414">
        <v>2819599248</v>
      </c>
      <c r="AG414" t="b">
        <v>0</v>
      </c>
      <c r="AH414">
        <v>8</v>
      </c>
      <c r="AI414" t="s">
        <v>59</v>
      </c>
      <c r="AJ414">
        <v>2819599248</v>
      </c>
      <c r="AK414" t="b">
        <v>0</v>
      </c>
      <c r="AL414">
        <v>2819599248</v>
      </c>
      <c r="AM414" t="b">
        <v>0</v>
      </c>
      <c r="AN414">
        <v>0</v>
      </c>
      <c r="AO414" t="b">
        <v>0</v>
      </c>
      <c r="AQ414">
        <v>1814183056.427</v>
      </c>
      <c r="AR414">
        <v>1814183056.427</v>
      </c>
      <c r="AS414">
        <v>0</v>
      </c>
      <c r="AT414" t="b">
        <v>0</v>
      </c>
      <c r="AU414" t="b">
        <v>1</v>
      </c>
      <c r="BA414" t="str">
        <f t="shared" si="12"/>
        <v>Normal</v>
      </c>
      <c r="BG414" t="str">
        <f t="shared" si="13"/>
        <v>Normal</v>
      </c>
    </row>
    <row r="415" spans="1:59" x14ac:dyDescent="0.2">
      <c r="A415" t="s">
        <v>42</v>
      </c>
      <c r="B415" t="s">
        <v>43</v>
      </c>
      <c r="C415">
        <v>20230101</v>
      </c>
      <c r="D415">
        <v>2023</v>
      </c>
      <c r="E415">
        <v>52</v>
      </c>
      <c r="F415" t="s">
        <v>311</v>
      </c>
      <c r="G415">
        <v>104</v>
      </c>
      <c r="H415" t="s">
        <v>88</v>
      </c>
      <c r="I415" t="s">
        <v>89</v>
      </c>
      <c r="J415" t="s">
        <v>47</v>
      </c>
      <c r="K415" t="s">
        <v>48</v>
      </c>
      <c r="L415">
        <v>0</v>
      </c>
      <c r="M415" t="s">
        <v>49</v>
      </c>
      <c r="N415" t="s">
        <v>50</v>
      </c>
      <c r="O415">
        <v>0</v>
      </c>
      <c r="P415" t="s">
        <v>49</v>
      </c>
      <c r="Q415" t="s">
        <v>50</v>
      </c>
      <c r="R415" t="s">
        <v>300</v>
      </c>
      <c r="S415" t="s">
        <v>52</v>
      </c>
      <c r="T415" t="b">
        <v>1</v>
      </c>
      <c r="U415" t="s">
        <v>53</v>
      </c>
      <c r="V415" t="s">
        <v>54</v>
      </c>
      <c r="W415">
        <v>4</v>
      </c>
      <c r="X415" t="b">
        <v>0</v>
      </c>
      <c r="Y415" t="s">
        <v>55</v>
      </c>
      <c r="Z415" t="s">
        <v>56</v>
      </c>
      <c r="AA415" t="s">
        <v>57</v>
      </c>
      <c r="AB415">
        <v>0</v>
      </c>
      <c r="AC415" t="s">
        <v>58</v>
      </c>
      <c r="AD415">
        <v>8</v>
      </c>
      <c r="AE415" t="s">
        <v>59</v>
      </c>
      <c r="AF415">
        <v>43725000</v>
      </c>
      <c r="AG415" t="b">
        <v>0</v>
      </c>
      <c r="AH415">
        <v>19</v>
      </c>
      <c r="AI415" t="s">
        <v>60</v>
      </c>
      <c r="AJ415">
        <v>275000</v>
      </c>
      <c r="AK415" t="b">
        <v>0</v>
      </c>
      <c r="AL415">
        <v>43725000</v>
      </c>
      <c r="AM415" t="b">
        <v>0</v>
      </c>
      <c r="AN415">
        <v>0</v>
      </c>
      <c r="AO415" t="b">
        <v>0</v>
      </c>
      <c r="AQ415">
        <v>16999500</v>
      </c>
      <c r="AR415">
        <v>16999500</v>
      </c>
      <c r="AS415">
        <v>0</v>
      </c>
      <c r="AT415" t="b">
        <v>0</v>
      </c>
      <c r="AU415" t="b">
        <v>1</v>
      </c>
      <c r="BA415" t="str">
        <f t="shared" si="12"/>
        <v>Normal</v>
      </c>
      <c r="BG415" t="str">
        <f t="shared" si="13"/>
        <v>Normal</v>
      </c>
    </row>
    <row r="416" spans="1:59" x14ac:dyDescent="0.2">
      <c r="A416" t="s">
        <v>42</v>
      </c>
      <c r="B416" t="s">
        <v>43</v>
      </c>
      <c r="C416">
        <v>20230101</v>
      </c>
      <c r="D416">
        <v>2023</v>
      </c>
      <c r="E416">
        <v>52</v>
      </c>
      <c r="F416" t="s">
        <v>311</v>
      </c>
      <c r="G416">
        <v>120</v>
      </c>
      <c r="H416" t="s">
        <v>92</v>
      </c>
      <c r="I416" t="s">
        <v>93</v>
      </c>
      <c r="J416" t="s">
        <v>47</v>
      </c>
      <c r="K416" t="s">
        <v>48</v>
      </c>
      <c r="L416">
        <v>0</v>
      </c>
      <c r="M416" t="s">
        <v>49</v>
      </c>
      <c r="N416" t="s">
        <v>50</v>
      </c>
      <c r="O416">
        <v>0</v>
      </c>
      <c r="P416" t="s">
        <v>49</v>
      </c>
      <c r="Q416" t="s">
        <v>50</v>
      </c>
      <c r="R416" t="s">
        <v>300</v>
      </c>
      <c r="S416" t="s">
        <v>52</v>
      </c>
      <c r="T416" t="b">
        <v>1</v>
      </c>
      <c r="U416" t="s">
        <v>53</v>
      </c>
      <c r="V416" t="s">
        <v>54</v>
      </c>
      <c r="W416">
        <v>4</v>
      </c>
      <c r="X416" t="b">
        <v>0</v>
      </c>
      <c r="Y416" t="s">
        <v>55</v>
      </c>
      <c r="Z416" t="s">
        <v>56</v>
      </c>
      <c r="AA416" t="s">
        <v>57</v>
      </c>
      <c r="AB416">
        <v>0</v>
      </c>
      <c r="AC416" t="s">
        <v>58</v>
      </c>
      <c r="AD416">
        <v>8</v>
      </c>
      <c r="AE416" t="s">
        <v>59</v>
      </c>
      <c r="AF416">
        <v>3083818500</v>
      </c>
      <c r="AG416" t="b">
        <v>0</v>
      </c>
      <c r="AH416">
        <v>8</v>
      </c>
      <c r="AI416" t="s">
        <v>59</v>
      </c>
      <c r="AJ416">
        <v>3083818500</v>
      </c>
      <c r="AK416" t="b">
        <v>0</v>
      </c>
      <c r="AL416">
        <v>3083818500</v>
      </c>
      <c r="AM416" t="b">
        <v>0</v>
      </c>
      <c r="AN416">
        <v>0</v>
      </c>
      <c r="AO416" t="b">
        <v>0</v>
      </c>
      <c r="AQ416">
        <v>1873394378.45</v>
      </c>
      <c r="AR416">
        <v>1873394378.45</v>
      </c>
      <c r="AS416">
        <v>0</v>
      </c>
      <c r="AT416" t="b">
        <v>0</v>
      </c>
      <c r="AU416" t="b">
        <v>1</v>
      </c>
      <c r="BA416" t="str">
        <f t="shared" si="12"/>
        <v>Normal</v>
      </c>
      <c r="BG416" t="str">
        <f t="shared" si="13"/>
        <v>Normal</v>
      </c>
    </row>
    <row r="417" spans="1:59" x14ac:dyDescent="0.2">
      <c r="A417" t="s">
        <v>42</v>
      </c>
      <c r="B417" t="s">
        <v>43</v>
      </c>
      <c r="C417">
        <v>20230101</v>
      </c>
      <c r="D417">
        <v>2023</v>
      </c>
      <c r="E417">
        <v>52</v>
      </c>
      <c r="F417" t="s">
        <v>311</v>
      </c>
      <c r="G417">
        <v>124</v>
      </c>
      <c r="H417" t="s">
        <v>94</v>
      </c>
      <c r="I417" t="s">
        <v>95</v>
      </c>
      <c r="J417" t="s">
        <v>47</v>
      </c>
      <c r="K417" t="s">
        <v>48</v>
      </c>
      <c r="L417">
        <v>0</v>
      </c>
      <c r="M417" t="s">
        <v>49</v>
      </c>
      <c r="N417" t="s">
        <v>50</v>
      </c>
      <c r="O417">
        <v>0</v>
      </c>
      <c r="P417" t="s">
        <v>49</v>
      </c>
      <c r="Q417" t="s">
        <v>50</v>
      </c>
      <c r="R417" t="s">
        <v>300</v>
      </c>
      <c r="S417" t="s">
        <v>52</v>
      </c>
      <c r="T417" t="b">
        <v>1</v>
      </c>
      <c r="U417" t="s">
        <v>53</v>
      </c>
      <c r="V417" t="s">
        <v>54</v>
      </c>
      <c r="W417">
        <v>4</v>
      </c>
      <c r="X417" t="b">
        <v>0</v>
      </c>
      <c r="Y417" t="s">
        <v>55</v>
      </c>
      <c r="Z417" t="s">
        <v>56</v>
      </c>
      <c r="AA417" t="s">
        <v>57</v>
      </c>
      <c r="AB417">
        <v>0</v>
      </c>
      <c r="AC417" t="s">
        <v>58</v>
      </c>
      <c r="AD417">
        <v>8</v>
      </c>
      <c r="AE417" t="s">
        <v>59</v>
      </c>
      <c r="AF417">
        <v>183082503238.57001</v>
      </c>
      <c r="AG417" t="b">
        <v>1</v>
      </c>
      <c r="AH417">
        <v>-1</v>
      </c>
      <c r="AI417" t="s">
        <v>73</v>
      </c>
      <c r="AJ417">
        <v>0</v>
      </c>
      <c r="AK417" t="b">
        <v>0</v>
      </c>
      <c r="AL417">
        <v>183082503238.57001</v>
      </c>
      <c r="AM417" t="b">
        <v>1</v>
      </c>
      <c r="AN417">
        <v>0</v>
      </c>
      <c r="AO417" t="b">
        <v>0</v>
      </c>
      <c r="AQ417">
        <v>99464941105.395004</v>
      </c>
      <c r="AR417">
        <v>99464941105.395004</v>
      </c>
      <c r="AS417">
        <v>6</v>
      </c>
      <c r="AT417" t="b">
        <v>0</v>
      </c>
      <c r="AU417" t="b">
        <v>1</v>
      </c>
      <c r="BA417" t="str">
        <f t="shared" si="12"/>
        <v>Normal</v>
      </c>
      <c r="BG417" t="str">
        <f t="shared" si="13"/>
        <v>Normal</v>
      </c>
    </row>
    <row r="418" spans="1:59" x14ac:dyDescent="0.2">
      <c r="A418" t="s">
        <v>42</v>
      </c>
      <c r="B418" t="s">
        <v>43</v>
      </c>
      <c r="C418">
        <v>20230101</v>
      </c>
      <c r="D418">
        <v>2023</v>
      </c>
      <c r="E418">
        <v>52</v>
      </c>
      <c r="F418" t="s">
        <v>311</v>
      </c>
      <c r="G418">
        <v>152</v>
      </c>
      <c r="H418" t="s">
        <v>272</v>
      </c>
      <c r="I418" t="s">
        <v>273</v>
      </c>
      <c r="J418" t="s">
        <v>47</v>
      </c>
      <c r="K418" t="s">
        <v>48</v>
      </c>
      <c r="L418">
        <v>0</v>
      </c>
      <c r="M418" t="s">
        <v>49</v>
      </c>
      <c r="N418" t="s">
        <v>50</v>
      </c>
      <c r="O418">
        <v>0</v>
      </c>
      <c r="P418" t="s">
        <v>49</v>
      </c>
      <c r="Q418" t="s">
        <v>50</v>
      </c>
      <c r="R418" t="s">
        <v>300</v>
      </c>
      <c r="S418" t="s">
        <v>52</v>
      </c>
      <c r="T418" t="b">
        <v>1</v>
      </c>
      <c r="U418" t="s">
        <v>53</v>
      </c>
      <c r="V418" t="s">
        <v>54</v>
      </c>
      <c r="W418">
        <v>4</v>
      </c>
      <c r="X418" t="b">
        <v>0</v>
      </c>
      <c r="Y418" t="s">
        <v>55</v>
      </c>
      <c r="Z418" t="s">
        <v>56</v>
      </c>
      <c r="AA418" t="s">
        <v>57</v>
      </c>
      <c r="AB418">
        <v>0</v>
      </c>
      <c r="AC418" t="s">
        <v>58</v>
      </c>
      <c r="AD418">
        <v>-1</v>
      </c>
      <c r="AE418" t="s">
        <v>73</v>
      </c>
      <c r="AF418">
        <v>0</v>
      </c>
      <c r="AG418" t="b">
        <v>0</v>
      </c>
      <c r="AH418">
        <v>-1</v>
      </c>
      <c r="AI418" t="s">
        <v>73</v>
      </c>
      <c r="AJ418">
        <v>0</v>
      </c>
      <c r="AK418" t="b">
        <v>0</v>
      </c>
      <c r="AM418" t="b">
        <v>0</v>
      </c>
      <c r="AN418">
        <v>0</v>
      </c>
      <c r="AO418" t="b">
        <v>0</v>
      </c>
      <c r="AQ418">
        <v>19212069.09</v>
      </c>
      <c r="AR418">
        <v>19212069.09</v>
      </c>
      <c r="AS418">
        <v>0</v>
      </c>
      <c r="AT418" t="b">
        <v>0</v>
      </c>
      <c r="AU418" t="b">
        <v>1</v>
      </c>
      <c r="BA418" t="str">
        <f t="shared" si="12"/>
        <v>Normal</v>
      </c>
      <c r="BG418" t="str">
        <f t="shared" si="13"/>
        <v>Normal</v>
      </c>
    </row>
    <row r="419" spans="1:59" x14ac:dyDescent="0.2">
      <c r="A419" t="s">
        <v>42</v>
      </c>
      <c r="B419" t="s">
        <v>43</v>
      </c>
      <c r="C419">
        <v>20230101</v>
      </c>
      <c r="D419">
        <v>2023</v>
      </c>
      <c r="E419">
        <v>52</v>
      </c>
      <c r="F419" t="s">
        <v>311</v>
      </c>
      <c r="G419">
        <v>156</v>
      </c>
      <c r="H419" t="s">
        <v>96</v>
      </c>
      <c r="I419" t="s">
        <v>97</v>
      </c>
      <c r="J419" t="s">
        <v>47</v>
      </c>
      <c r="K419" t="s">
        <v>48</v>
      </c>
      <c r="L419">
        <v>0</v>
      </c>
      <c r="M419" t="s">
        <v>49</v>
      </c>
      <c r="N419" t="s">
        <v>50</v>
      </c>
      <c r="O419">
        <v>0</v>
      </c>
      <c r="P419" t="s">
        <v>49</v>
      </c>
      <c r="Q419" t="s">
        <v>50</v>
      </c>
      <c r="R419" t="s">
        <v>300</v>
      </c>
      <c r="S419" t="s">
        <v>52</v>
      </c>
      <c r="T419" t="b">
        <v>1</v>
      </c>
      <c r="U419" t="s">
        <v>53</v>
      </c>
      <c r="V419" t="s">
        <v>54</v>
      </c>
      <c r="W419">
        <v>4</v>
      </c>
      <c r="X419" t="b">
        <v>0</v>
      </c>
      <c r="Y419" t="s">
        <v>55</v>
      </c>
      <c r="Z419" t="s">
        <v>56</v>
      </c>
      <c r="AA419" t="s">
        <v>57</v>
      </c>
      <c r="AB419">
        <v>0</v>
      </c>
      <c r="AC419" t="s">
        <v>58</v>
      </c>
      <c r="AD419">
        <v>8</v>
      </c>
      <c r="AE419" t="s">
        <v>59</v>
      </c>
      <c r="AF419">
        <v>1420845300</v>
      </c>
      <c r="AG419" t="b">
        <v>0</v>
      </c>
      <c r="AH419">
        <v>8</v>
      </c>
      <c r="AI419" t="s">
        <v>59</v>
      </c>
      <c r="AJ419">
        <v>1420845300</v>
      </c>
      <c r="AK419" t="b">
        <v>0</v>
      </c>
      <c r="AL419">
        <v>1420845300</v>
      </c>
      <c r="AM419" t="b">
        <v>0</v>
      </c>
      <c r="AN419">
        <v>0</v>
      </c>
      <c r="AO419" t="b">
        <v>0</v>
      </c>
      <c r="AQ419">
        <v>843802125</v>
      </c>
      <c r="AR419">
        <v>843802125</v>
      </c>
      <c r="AS419">
        <v>0</v>
      </c>
      <c r="AT419" t="b">
        <v>0</v>
      </c>
      <c r="AU419" t="b">
        <v>1</v>
      </c>
      <c r="BA419" t="str">
        <f t="shared" si="12"/>
        <v>Normal</v>
      </c>
      <c r="BG419" t="str">
        <f t="shared" si="13"/>
        <v>Normal</v>
      </c>
    </row>
    <row r="420" spans="1:59" x14ac:dyDescent="0.2">
      <c r="A420" t="s">
        <v>42</v>
      </c>
      <c r="B420" t="s">
        <v>43</v>
      </c>
      <c r="C420">
        <v>20230101</v>
      </c>
      <c r="D420">
        <v>2023</v>
      </c>
      <c r="E420">
        <v>52</v>
      </c>
      <c r="F420" t="s">
        <v>311</v>
      </c>
      <c r="G420">
        <v>170</v>
      </c>
      <c r="H420" t="s">
        <v>98</v>
      </c>
      <c r="I420" t="s">
        <v>99</v>
      </c>
      <c r="J420" t="s">
        <v>47</v>
      </c>
      <c r="K420" t="s">
        <v>48</v>
      </c>
      <c r="L420">
        <v>0</v>
      </c>
      <c r="M420" t="s">
        <v>49</v>
      </c>
      <c r="N420" t="s">
        <v>50</v>
      </c>
      <c r="O420">
        <v>0</v>
      </c>
      <c r="P420" t="s">
        <v>49</v>
      </c>
      <c r="Q420" t="s">
        <v>50</v>
      </c>
      <c r="R420" t="s">
        <v>300</v>
      </c>
      <c r="S420" t="s">
        <v>52</v>
      </c>
      <c r="T420" t="b">
        <v>1</v>
      </c>
      <c r="U420" t="s">
        <v>53</v>
      </c>
      <c r="V420" t="s">
        <v>54</v>
      </c>
      <c r="W420">
        <v>4</v>
      </c>
      <c r="X420" t="b">
        <v>0</v>
      </c>
      <c r="Y420" t="s">
        <v>55</v>
      </c>
      <c r="Z420" t="s">
        <v>56</v>
      </c>
      <c r="AA420" t="s">
        <v>57</v>
      </c>
      <c r="AB420">
        <v>0</v>
      </c>
      <c r="AC420" t="s">
        <v>58</v>
      </c>
      <c r="AD420">
        <v>8</v>
      </c>
      <c r="AE420" t="s">
        <v>59</v>
      </c>
      <c r="AF420">
        <v>26411720200</v>
      </c>
      <c r="AG420" t="b">
        <v>0</v>
      </c>
      <c r="AH420">
        <v>12</v>
      </c>
      <c r="AI420" t="s">
        <v>70</v>
      </c>
      <c r="AJ420">
        <v>28567776.699999999</v>
      </c>
      <c r="AK420" t="b">
        <v>0</v>
      </c>
      <c r="AL420">
        <v>26411720200</v>
      </c>
      <c r="AM420" t="b">
        <v>0</v>
      </c>
      <c r="AN420">
        <v>0</v>
      </c>
      <c r="AO420" t="b">
        <v>0</v>
      </c>
      <c r="AQ420">
        <v>12659153725.32</v>
      </c>
      <c r="AR420">
        <v>12659153725.32</v>
      </c>
      <c r="AS420">
        <v>0</v>
      </c>
      <c r="AT420" t="b">
        <v>0</v>
      </c>
      <c r="AU420" t="b">
        <v>1</v>
      </c>
      <c r="BA420" t="str">
        <f t="shared" si="12"/>
        <v>Normal</v>
      </c>
      <c r="BG420" t="str">
        <f t="shared" si="13"/>
        <v>Normal</v>
      </c>
    </row>
    <row r="421" spans="1:59" x14ac:dyDescent="0.2">
      <c r="A421" t="s">
        <v>42</v>
      </c>
      <c r="B421" t="s">
        <v>43</v>
      </c>
      <c r="C421">
        <v>20230101</v>
      </c>
      <c r="D421">
        <v>2023</v>
      </c>
      <c r="E421">
        <v>52</v>
      </c>
      <c r="F421" t="s">
        <v>311</v>
      </c>
      <c r="G421">
        <v>178</v>
      </c>
      <c r="H421" t="s">
        <v>100</v>
      </c>
      <c r="I421" t="s">
        <v>101</v>
      </c>
      <c r="J421" t="s">
        <v>47</v>
      </c>
      <c r="K421" t="s">
        <v>48</v>
      </c>
      <c r="L421">
        <v>0</v>
      </c>
      <c r="M421" t="s">
        <v>49</v>
      </c>
      <c r="N421" t="s">
        <v>50</v>
      </c>
      <c r="O421">
        <v>0</v>
      </c>
      <c r="P421" t="s">
        <v>49</v>
      </c>
      <c r="Q421" t="s">
        <v>50</v>
      </c>
      <c r="R421" t="s">
        <v>300</v>
      </c>
      <c r="S421" t="s">
        <v>52</v>
      </c>
      <c r="T421" t="b">
        <v>1</v>
      </c>
      <c r="U421" t="s">
        <v>53</v>
      </c>
      <c r="V421" t="s">
        <v>54</v>
      </c>
      <c r="W421">
        <v>4</v>
      </c>
      <c r="X421" t="b">
        <v>0</v>
      </c>
      <c r="Y421" t="s">
        <v>55</v>
      </c>
      <c r="Z421" t="s">
        <v>56</v>
      </c>
      <c r="AA421" t="s">
        <v>57</v>
      </c>
      <c r="AB421">
        <v>0</v>
      </c>
      <c r="AC421" t="s">
        <v>58</v>
      </c>
      <c r="AD421">
        <v>8</v>
      </c>
      <c r="AE421" t="s">
        <v>59</v>
      </c>
      <c r="AF421">
        <v>13951740200</v>
      </c>
      <c r="AG421" t="b">
        <v>0</v>
      </c>
      <c r="AH421">
        <v>8</v>
      </c>
      <c r="AI421" t="s">
        <v>59</v>
      </c>
      <c r="AJ421">
        <v>13951740200</v>
      </c>
      <c r="AK421" t="b">
        <v>0</v>
      </c>
      <c r="AL421">
        <v>13951740200</v>
      </c>
      <c r="AM421" t="b">
        <v>0</v>
      </c>
      <c r="AN421">
        <v>0</v>
      </c>
      <c r="AO421" t="b">
        <v>0</v>
      </c>
      <c r="AQ421">
        <v>7967679150.96</v>
      </c>
      <c r="AR421">
        <v>7967679150.96</v>
      </c>
      <c r="AS421">
        <v>0</v>
      </c>
      <c r="AT421" t="b">
        <v>0</v>
      </c>
      <c r="AU421" t="b">
        <v>1</v>
      </c>
      <c r="BA421" t="str">
        <f t="shared" si="12"/>
        <v>Normal</v>
      </c>
      <c r="BG421" t="str">
        <f t="shared" si="13"/>
        <v>Normal</v>
      </c>
    </row>
    <row r="422" spans="1:59" x14ac:dyDescent="0.2">
      <c r="A422" t="s">
        <v>42</v>
      </c>
      <c r="B422" t="s">
        <v>43</v>
      </c>
      <c r="C422">
        <v>20230101</v>
      </c>
      <c r="D422">
        <v>2023</v>
      </c>
      <c r="E422">
        <v>52</v>
      </c>
      <c r="F422" t="s">
        <v>311</v>
      </c>
      <c r="G422">
        <v>180</v>
      </c>
      <c r="H422" t="s">
        <v>102</v>
      </c>
      <c r="I422" t="s">
        <v>103</v>
      </c>
      <c r="J422" t="s">
        <v>47</v>
      </c>
      <c r="K422" t="s">
        <v>48</v>
      </c>
      <c r="L422">
        <v>0</v>
      </c>
      <c r="M422" t="s">
        <v>49</v>
      </c>
      <c r="N422" t="s">
        <v>50</v>
      </c>
      <c r="O422">
        <v>0</v>
      </c>
      <c r="P422" t="s">
        <v>49</v>
      </c>
      <c r="Q422" t="s">
        <v>50</v>
      </c>
      <c r="R422" t="s">
        <v>104</v>
      </c>
      <c r="S422" t="s">
        <v>52</v>
      </c>
      <c r="T422" t="b">
        <v>1</v>
      </c>
      <c r="U422" t="s">
        <v>53</v>
      </c>
      <c r="V422" t="s">
        <v>54</v>
      </c>
      <c r="W422">
        <v>4</v>
      </c>
      <c r="X422" t="b">
        <v>0</v>
      </c>
      <c r="Y422" t="s">
        <v>55</v>
      </c>
      <c r="Z422" t="s">
        <v>56</v>
      </c>
      <c r="AA422" t="s">
        <v>57</v>
      </c>
      <c r="AB422">
        <v>0</v>
      </c>
      <c r="AC422" t="s">
        <v>58</v>
      </c>
      <c r="AD422">
        <v>8</v>
      </c>
      <c r="AE422" t="s">
        <v>59</v>
      </c>
      <c r="AF422">
        <v>5</v>
      </c>
      <c r="AG422" t="b">
        <v>0</v>
      </c>
      <c r="AH422">
        <v>8</v>
      </c>
      <c r="AI422" t="s">
        <v>59</v>
      </c>
      <c r="AJ422">
        <v>5</v>
      </c>
      <c r="AK422" t="b">
        <v>0</v>
      </c>
      <c r="AL422">
        <v>5</v>
      </c>
      <c r="AM422" t="b">
        <v>0</v>
      </c>
      <c r="AN422">
        <v>0</v>
      </c>
      <c r="AO422" t="b">
        <v>0</v>
      </c>
      <c r="AQ422">
        <v>4.8380000000000001</v>
      </c>
      <c r="AR422">
        <v>4.8380000000000001</v>
      </c>
      <c r="AS422">
        <v>0</v>
      </c>
      <c r="AT422" t="b">
        <v>0</v>
      </c>
      <c r="AU422" t="b">
        <v>1</v>
      </c>
      <c r="BA422" t="str">
        <f t="shared" si="12"/>
        <v>Normal</v>
      </c>
      <c r="BG422" t="str">
        <f t="shared" si="13"/>
        <v>Normal</v>
      </c>
    </row>
    <row r="423" spans="1:59" x14ac:dyDescent="0.2">
      <c r="A423" t="s">
        <v>42</v>
      </c>
      <c r="B423" t="s">
        <v>43</v>
      </c>
      <c r="C423">
        <v>20230101</v>
      </c>
      <c r="D423">
        <v>2023</v>
      </c>
      <c r="E423">
        <v>52</v>
      </c>
      <c r="F423" t="s">
        <v>311</v>
      </c>
      <c r="G423">
        <v>188</v>
      </c>
      <c r="H423" t="s">
        <v>312</v>
      </c>
      <c r="I423" t="s">
        <v>313</v>
      </c>
      <c r="J423" t="s">
        <v>47</v>
      </c>
      <c r="K423" t="s">
        <v>48</v>
      </c>
      <c r="L423">
        <v>0</v>
      </c>
      <c r="M423" t="s">
        <v>49</v>
      </c>
      <c r="N423" t="s">
        <v>50</v>
      </c>
      <c r="O423">
        <v>0</v>
      </c>
      <c r="P423" t="s">
        <v>49</v>
      </c>
      <c r="Q423" t="s">
        <v>50</v>
      </c>
      <c r="R423" t="s">
        <v>300</v>
      </c>
      <c r="S423" t="s">
        <v>52</v>
      </c>
      <c r="T423" t="b">
        <v>1</v>
      </c>
      <c r="U423" t="s">
        <v>53</v>
      </c>
      <c r="V423" t="s">
        <v>54</v>
      </c>
      <c r="W423">
        <v>4</v>
      </c>
      <c r="X423" t="b">
        <v>0</v>
      </c>
      <c r="Y423" t="s">
        <v>55</v>
      </c>
      <c r="Z423" t="s">
        <v>56</v>
      </c>
      <c r="AA423" t="s">
        <v>57</v>
      </c>
      <c r="AB423">
        <v>0</v>
      </c>
      <c r="AC423" t="s">
        <v>58</v>
      </c>
      <c r="AD423">
        <v>8</v>
      </c>
      <c r="AE423" t="s">
        <v>59</v>
      </c>
      <c r="AF423">
        <v>91.552000000000007</v>
      </c>
      <c r="AG423" t="b">
        <v>0</v>
      </c>
      <c r="AH423">
        <v>8</v>
      </c>
      <c r="AI423" t="s">
        <v>59</v>
      </c>
      <c r="AJ423">
        <v>91.552000000000007</v>
      </c>
      <c r="AK423" t="b">
        <v>0</v>
      </c>
      <c r="AL423">
        <v>91.552000000000007</v>
      </c>
      <c r="AM423" t="b">
        <v>0</v>
      </c>
      <c r="AN423">
        <v>0</v>
      </c>
      <c r="AO423" t="b">
        <v>0</v>
      </c>
      <c r="AQ423">
        <v>195</v>
      </c>
      <c r="AR423">
        <v>195</v>
      </c>
      <c r="AS423">
        <v>0</v>
      </c>
      <c r="AT423" t="b">
        <v>0</v>
      </c>
      <c r="AU423" t="b">
        <v>1</v>
      </c>
      <c r="BA423" t="str">
        <f t="shared" si="12"/>
        <v>Normal</v>
      </c>
      <c r="BG423" t="str">
        <f t="shared" si="13"/>
        <v>Normal</v>
      </c>
    </row>
    <row r="424" spans="1:59" x14ac:dyDescent="0.2">
      <c r="A424" t="s">
        <v>42</v>
      </c>
      <c r="B424" t="s">
        <v>43</v>
      </c>
      <c r="C424">
        <v>20230101</v>
      </c>
      <c r="D424">
        <v>2023</v>
      </c>
      <c r="E424">
        <v>52</v>
      </c>
      <c r="F424" t="s">
        <v>311</v>
      </c>
      <c r="G424">
        <v>191</v>
      </c>
      <c r="H424" t="s">
        <v>105</v>
      </c>
      <c r="I424" t="s">
        <v>106</v>
      </c>
      <c r="J424" t="s">
        <v>47</v>
      </c>
      <c r="K424" t="s">
        <v>48</v>
      </c>
      <c r="L424">
        <v>0</v>
      </c>
      <c r="M424" t="s">
        <v>49</v>
      </c>
      <c r="N424" t="s">
        <v>50</v>
      </c>
      <c r="O424">
        <v>0</v>
      </c>
      <c r="P424" t="s">
        <v>49</v>
      </c>
      <c r="Q424" t="s">
        <v>50</v>
      </c>
      <c r="R424" t="s">
        <v>300</v>
      </c>
      <c r="S424" t="s">
        <v>52</v>
      </c>
      <c r="T424" t="b">
        <v>1</v>
      </c>
      <c r="U424" t="s">
        <v>53</v>
      </c>
      <c r="V424" t="s">
        <v>54</v>
      </c>
      <c r="W424">
        <v>4</v>
      </c>
      <c r="X424" t="b">
        <v>0</v>
      </c>
      <c r="Y424" t="s">
        <v>55</v>
      </c>
      <c r="Z424" t="s">
        <v>56</v>
      </c>
      <c r="AA424" t="s">
        <v>57</v>
      </c>
      <c r="AB424">
        <v>0</v>
      </c>
      <c r="AC424" t="s">
        <v>58</v>
      </c>
      <c r="AD424">
        <v>8</v>
      </c>
      <c r="AE424" t="s">
        <v>59</v>
      </c>
      <c r="AF424">
        <v>524839089</v>
      </c>
      <c r="AG424" t="b">
        <v>0</v>
      </c>
      <c r="AH424">
        <v>8</v>
      </c>
      <c r="AI424" t="s">
        <v>59</v>
      </c>
      <c r="AJ424">
        <v>524839089</v>
      </c>
      <c r="AK424" t="b">
        <v>0</v>
      </c>
      <c r="AL424">
        <v>524839089</v>
      </c>
      <c r="AM424" t="b">
        <v>0</v>
      </c>
      <c r="AN424">
        <v>0</v>
      </c>
      <c r="AO424" t="b">
        <v>0</v>
      </c>
      <c r="AQ424">
        <v>311326176</v>
      </c>
      <c r="AR424">
        <v>311326176</v>
      </c>
      <c r="AS424">
        <v>0</v>
      </c>
      <c r="AT424" t="b">
        <v>0</v>
      </c>
      <c r="AU424" t="b">
        <v>1</v>
      </c>
      <c r="BA424" t="str">
        <f t="shared" si="12"/>
        <v>Normal</v>
      </c>
      <c r="BG424" t="str">
        <f t="shared" si="13"/>
        <v>Normal</v>
      </c>
    </row>
    <row r="425" spans="1:59" x14ac:dyDescent="0.2">
      <c r="A425" t="s">
        <v>42</v>
      </c>
      <c r="B425" t="s">
        <v>43</v>
      </c>
      <c r="C425">
        <v>20230101</v>
      </c>
      <c r="D425">
        <v>2023</v>
      </c>
      <c r="E425">
        <v>52</v>
      </c>
      <c r="F425" t="s">
        <v>311</v>
      </c>
      <c r="G425">
        <v>203</v>
      </c>
      <c r="H425" t="s">
        <v>107</v>
      </c>
      <c r="I425" t="s">
        <v>108</v>
      </c>
      <c r="J425" t="s">
        <v>47</v>
      </c>
      <c r="K425" t="s">
        <v>48</v>
      </c>
      <c r="L425">
        <v>0</v>
      </c>
      <c r="M425" t="s">
        <v>49</v>
      </c>
      <c r="N425" t="s">
        <v>50</v>
      </c>
      <c r="O425">
        <v>0</v>
      </c>
      <c r="P425" t="s">
        <v>49</v>
      </c>
      <c r="Q425" t="s">
        <v>50</v>
      </c>
      <c r="R425" t="s">
        <v>300</v>
      </c>
      <c r="S425" t="s">
        <v>52</v>
      </c>
      <c r="T425" t="b">
        <v>1</v>
      </c>
      <c r="U425" t="s">
        <v>53</v>
      </c>
      <c r="V425" t="s">
        <v>54</v>
      </c>
      <c r="W425">
        <v>4</v>
      </c>
      <c r="X425" t="b">
        <v>0</v>
      </c>
      <c r="Y425" t="s">
        <v>55</v>
      </c>
      <c r="Z425" t="s">
        <v>56</v>
      </c>
      <c r="AA425" t="s">
        <v>57</v>
      </c>
      <c r="AB425">
        <v>0</v>
      </c>
      <c r="AC425" t="s">
        <v>58</v>
      </c>
      <c r="AD425">
        <v>8</v>
      </c>
      <c r="AE425" t="s">
        <v>59</v>
      </c>
      <c r="AF425">
        <v>814.20299999999997</v>
      </c>
      <c r="AG425" t="b">
        <v>1</v>
      </c>
      <c r="AH425">
        <v>-1</v>
      </c>
      <c r="AI425" t="s">
        <v>73</v>
      </c>
      <c r="AJ425">
        <v>0</v>
      </c>
      <c r="AK425" t="b">
        <v>0</v>
      </c>
      <c r="AL425">
        <v>814.20299999999997</v>
      </c>
      <c r="AM425" t="b">
        <v>1</v>
      </c>
      <c r="AN425">
        <v>0</v>
      </c>
      <c r="AO425" t="b">
        <v>0</v>
      </c>
      <c r="AQ425">
        <v>4697</v>
      </c>
      <c r="AR425">
        <v>4697</v>
      </c>
      <c r="AS425">
        <v>6</v>
      </c>
      <c r="AT425" t="b">
        <v>0</v>
      </c>
      <c r="AU425" t="b">
        <v>1</v>
      </c>
      <c r="BA425" t="str">
        <f t="shared" si="12"/>
        <v>Normal</v>
      </c>
      <c r="BG425" t="str">
        <f t="shared" si="13"/>
        <v>Normal</v>
      </c>
    </row>
    <row r="426" spans="1:59" x14ac:dyDescent="0.2">
      <c r="A426" t="s">
        <v>42</v>
      </c>
      <c r="B426" t="s">
        <v>43</v>
      </c>
      <c r="C426">
        <v>20230101</v>
      </c>
      <c r="D426">
        <v>2023</v>
      </c>
      <c r="E426">
        <v>52</v>
      </c>
      <c r="F426" t="s">
        <v>311</v>
      </c>
      <c r="G426">
        <v>208</v>
      </c>
      <c r="H426" t="s">
        <v>109</v>
      </c>
      <c r="I426" t="s">
        <v>110</v>
      </c>
      <c r="J426" t="s">
        <v>47</v>
      </c>
      <c r="K426" t="s">
        <v>48</v>
      </c>
      <c r="L426">
        <v>0</v>
      </c>
      <c r="M426" t="s">
        <v>49</v>
      </c>
      <c r="N426" t="s">
        <v>50</v>
      </c>
      <c r="O426">
        <v>0</v>
      </c>
      <c r="P426" t="s">
        <v>49</v>
      </c>
      <c r="Q426" t="s">
        <v>50</v>
      </c>
      <c r="R426" t="s">
        <v>300</v>
      </c>
      <c r="S426" t="s">
        <v>52</v>
      </c>
      <c r="T426" t="b">
        <v>1</v>
      </c>
      <c r="U426" t="s">
        <v>53</v>
      </c>
      <c r="V426" t="s">
        <v>54</v>
      </c>
      <c r="W426">
        <v>4</v>
      </c>
      <c r="X426" t="b">
        <v>0</v>
      </c>
      <c r="Y426" t="s">
        <v>55</v>
      </c>
      <c r="Z426" t="s">
        <v>56</v>
      </c>
      <c r="AA426" t="s">
        <v>57</v>
      </c>
      <c r="AB426">
        <v>0</v>
      </c>
      <c r="AC426" t="s">
        <v>58</v>
      </c>
      <c r="AD426">
        <v>-1</v>
      </c>
      <c r="AE426" t="s">
        <v>73</v>
      </c>
      <c r="AF426">
        <v>0</v>
      </c>
      <c r="AG426" t="b">
        <v>0</v>
      </c>
      <c r="AH426">
        <v>-1</v>
      </c>
      <c r="AI426" t="s">
        <v>73</v>
      </c>
      <c r="AJ426">
        <v>0</v>
      </c>
      <c r="AK426" t="b">
        <v>0</v>
      </c>
      <c r="AM426" t="b">
        <v>0</v>
      </c>
      <c r="AN426">
        <v>0</v>
      </c>
      <c r="AO426" t="b">
        <v>0</v>
      </c>
      <c r="AQ426">
        <v>125073807.45900001</v>
      </c>
      <c r="AR426">
        <v>125073807.45900001</v>
      </c>
      <c r="AS426">
        <v>0</v>
      </c>
      <c r="AT426" t="b">
        <v>0</v>
      </c>
      <c r="AU426" t="b">
        <v>1</v>
      </c>
      <c r="BA426" t="str">
        <f t="shared" si="12"/>
        <v>Normal</v>
      </c>
      <c r="BG426" t="str">
        <f t="shared" si="13"/>
        <v>Normal</v>
      </c>
    </row>
    <row r="427" spans="1:59" x14ac:dyDescent="0.2">
      <c r="A427" t="s">
        <v>42</v>
      </c>
      <c r="B427" t="s">
        <v>43</v>
      </c>
      <c r="C427">
        <v>20230101</v>
      </c>
      <c r="D427">
        <v>2023</v>
      </c>
      <c r="E427">
        <v>52</v>
      </c>
      <c r="F427" t="s">
        <v>311</v>
      </c>
      <c r="G427">
        <v>214</v>
      </c>
      <c r="H427" t="s">
        <v>111</v>
      </c>
      <c r="I427" t="s">
        <v>112</v>
      </c>
      <c r="J427" t="s">
        <v>47</v>
      </c>
      <c r="K427" t="s">
        <v>48</v>
      </c>
      <c r="L427">
        <v>0</v>
      </c>
      <c r="M427" t="s">
        <v>49</v>
      </c>
      <c r="N427" t="s">
        <v>50</v>
      </c>
      <c r="O427">
        <v>0</v>
      </c>
      <c r="P427" t="s">
        <v>49</v>
      </c>
      <c r="Q427" t="s">
        <v>50</v>
      </c>
      <c r="R427" t="s">
        <v>300</v>
      </c>
      <c r="S427" t="s">
        <v>52</v>
      </c>
      <c r="T427" t="b">
        <v>1</v>
      </c>
      <c r="U427" t="s">
        <v>53</v>
      </c>
      <c r="V427" t="s">
        <v>54</v>
      </c>
      <c r="W427">
        <v>4</v>
      </c>
      <c r="X427" t="b">
        <v>0</v>
      </c>
      <c r="Y427" t="s">
        <v>55</v>
      </c>
      <c r="Z427" t="s">
        <v>56</v>
      </c>
      <c r="AA427" t="s">
        <v>57</v>
      </c>
      <c r="AB427">
        <v>0</v>
      </c>
      <c r="AC427" t="s">
        <v>58</v>
      </c>
      <c r="AD427">
        <v>-1</v>
      </c>
      <c r="AE427" t="s">
        <v>73</v>
      </c>
      <c r="AF427">
        <v>0</v>
      </c>
      <c r="AG427" t="b">
        <v>0</v>
      </c>
      <c r="AH427">
        <v>-1</v>
      </c>
      <c r="AI427" t="s">
        <v>73</v>
      </c>
      <c r="AJ427">
        <v>0</v>
      </c>
      <c r="AK427" t="b">
        <v>0</v>
      </c>
      <c r="AM427" t="b">
        <v>0</v>
      </c>
      <c r="AN427">
        <v>0</v>
      </c>
      <c r="AO427" t="b">
        <v>0</v>
      </c>
      <c r="AQ427">
        <v>2811</v>
      </c>
      <c r="AR427">
        <v>2811</v>
      </c>
      <c r="AS427">
        <v>0</v>
      </c>
      <c r="AT427" t="b">
        <v>0</v>
      </c>
      <c r="AU427" t="b">
        <v>1</v>
      </c>
      <c r="BA427" t="str">
        <f t="shared" si="12"/>
        <v>Normal</v>
      </c>
      <c r="BG427" t="str">
        <f t="shared" si="13"/>
        <v>Normal</v>
      </c>
    </row>
    <row r="428" spans="1:59" x14ac:dyDescent="0.2">
      <c r="A428" t="s">
        <v>42</v>
      </c>
      <c r="B428" t="s">
        <v>43</v>
      </c>
      <c r="C428">
        <v>20230101</v>
      </c>
      <c r="D428">
        <v>2023</v>
      </c>
      <c r="E428">
        <v>52</v>
      </c>
      <c r="F428" t="s">
        <v>311</v>
      </c>
      <c r="G428">
        <v>218</v>
      </c>
      <c r="H428" t="s">
        <v>113</v>
      </c>
      <c r="I428" t="s">
        <v>114</v>
      </c>
      <c r="J428" t="s">
        <v>47</v>
      </c>
      <c r="K428" t="s">
        <v>48</v>
      </c>
      <c r="L428">
        <v>0</v>
      </c>
      <c r="M428" t="s">
        <v>49</v>
      </c>
      <c r="N428" t="s">
        <v>50</v>
      </c>
      <c r="O428">
        <v>0</v>
      </c>
      <c r="P428" t="s">
        <v>49</v>
      </c>
      <c r="Q428" t="s">
        <v>50</v>
      </c>
      <c r="R428" t="s">
        <v>300</v>
      </c>
      <c r="S428" t="s">
        <v>52</v>
      </c>
      <c r="T428" t="b">
        <v>1</v>
      </c>
      <c r="U428" t="s">
        <v>53</v>
      </c>
      <c r="V428" t="s">
        <v>54</v>
      </c>
      <c r="W428">
        <v>4</v>
      </c>
      <c r="X428" t="b">
        <v>0</v>
      </c>
      <c r="Y428" t="s">
        <v>55</v>
      </c>
      <c r="Z428" t="s">
        <v>56</v>
      </c>
      <c r="AA428" t="s">
        <v>57</v>
      </c>
      <c r="AB428">
        <v>0</v>
      </c>
      <c r="AC428" t="s">
        <v>58</v>
      </c>
      <c r="AD428">
        <v>-1</v>
      </c>
      <c r="AE428" t="s">
        <v>73</v>
      </c>
      <c r="AF428">
        <v>0</v>
      </c>
      <c r="AG428" t="b">
        <v>0</v>
      </c>
      <c r="AH428">
        <v>-1</v>
      </c>
      <c r="AI428" t="s">
        <v>73</v>
      </c>
      <c r="AJ428">
        <v>0</v>
      </c>
      <c r="AK428" t="b">
        <v>0</v>
      </c>
      <c r="AM428" t="b">
        <v>0</v>
      </c>
      <c r="AN428">
        <v>0</v>
      </c>
      <c r="AO428" t="b">
        <v>0</v>
      </c>
      <c r="AQ428">
        <v>7823367067.3999996</v>
      </c>
      <c r="AR428">
        <v>7823367067.3999996</v>
      </c>
      <c r="AS428">
        <v>0</v>
      </c>
      <c r="AT428" t="b">
        <v>0</v>
      </c>
      <c r="AU428" t="b">
        <v>1</v>
      </c>
      <c r="BA428" t="str">
        <f t="shared" si="12"/>
        <v>Normal</v>
      </c>
      <c r="BG428" t="str">
        <f t="shared" si="13"/>
        <v>Normal</v>
      </c>
    </row>
    <row r="429" spans="1:59" x14ac:dyDescent="0.2">
      <c r="A429" t="s">
        <v>42</v>
      </c>
      <c r="B429" t="s">
        <v>43</v>
      </c>
      <c r="C429">
        <v>20230101</v>
      </c>
      <c r="D429">
        <v>2023</v>
      </c>
      <c r="E429">
        <v>52</v>
      </c>
      <c r="F429" t="s">
        <v>311</v>
      </c>
      <c r="G429">
        <v>222</v>
      </c>
      <c r="H429" t="s">
        <v>115</v>
      </c>
      <c r="I429" t="s">
        <v>116</v>
      </c>
      <c r="J429" t="s">
        <v>47</v>
      </c>
      <c r="K429" t="s">
        <v>48</v>
      </c>
      <c r="L429">
        <v>0</v>
      </c>
      <c r="M429" t="s">
        <v>49</v>
      </c>
      <c r="N429" t="s">
        <v>50</v>
      </c>
      <c r="O429">
        <v>0</v>
      </c>
      <c r="P429" t="s">
        <v>49</v>
      </c>
      <c r="Q429" t="s">
        <v>50</v>
      </c>
      <c r="R429" t="s">
        <v>300</v>
      </c>
      <c r="S429" t="s">
        <v>52</v>
      </c>
      <c r="T429" t="b">
        <v>1</v>
      </c>
      <c r="U429" t="s">
        <v>53</v>
      </c>
      <c r="V429" t="s">
        <v>54</v>
      </c>
      <c r="W429">
        <v>4</v>
      </c>
      <c r="X429" t="b">
        <v>0</v>
      </c>
      <c r="Y429" t="s">
        <v>55</v>
      </c>
      <c r="Z429" t="s">
        <v>56</v>
      </c>
      <c r="AA429" t="s">
        <v>57</v>
      </c>
      <c r="AB429">
        <v>0</v>
      </c>
      <c r="AC429" t="s">
        <v>58</v>
      </c>
      <c r="AD429">
        <v>8</v>
      </c>
      <c r="AE429" t="s">
        <v>59</v>
      </c>
      <c r="AF429">
        <v>5900.5</v>
      </c>
      <c r="AG429" t="b">
        <v>0</v>
      </c>
      <c r="AH429">
        <v>8</v>
      </c>
      <c r="AI429" t="s">
        <v>59</v>
      </c>
      <c r="AJ429">
        <v>5900.5</v>
      </c>
      <c r="AK429" t="b">
        <v>0</v>
      </c>
      <c r="AL429">
        <v>5900.5</v>
      </c>
      <c r="AM429" t="b">
        <v>0</v>
      </c>
      <c r="AN429">
        <v>0</v>
      </c>
      <c r="AO429" t="b">
        <v>0</v>
      </c>
      <c r="AQ429">
        <v>6534</v>
      </c>
      <c r="AR429">
        <v>6534</v>
      </c>
      <c r="AS429">
        <v>0</v>
      </c>
      <c r="AT429" t="b">
        <v>0</v>
      </c>
      <c r="AU429" t="b">
        <v>1</v>
      </c>
      <c r="BA429" t="str">
        <f t="shared" si="12"/>
        <v>Normal</v>
      </c>
      <c r="BG429" t="str">
        <f t="shared" si="13"/>
        <v>Normal</v>
      </c>
    </row>
    <row r="430" spans="1:59" x14ac:dyDescent="0.2">
      <c r="A430" t="s">
        <v>42</v>
      </c>
      <c r="B430" t="s">
        <v>43</v>
      </c>
      <c r="C430">
        <v>20230101</v>
      </c>
      <c r="D430">
        <v>2023</v>
      </c>
      <c r="E430">
        <v>52</v>
      </c>
      <c r="F430" t="s">
        <v>311</v>
      </c>
      <c r="G430">
        <v>246</v>
      </c>
      <c r="H430" t="s">
        <v>121</v>
      </c>
      <c r="I430" t="s">
        <v>122</v>
      </c>
      <c r="J430" t="s">
        <v>47</v>
      </c>
      <c r="K430" t="s">
        <v>48</v>
      </c>
      <c r="L430">
        <v>0</v>
      </c>
      <c r="M430" t="s">
        <v>49</v>
      </c>
      <c r="N430" t="s">
        <v>50</v>
      </c>
      <c r="O430">
        <v>0</v>
      </c>
      <c r="P430" t="s">
        <v>49</v>
      </c>
      <c r="Q430" t="s">
        <v>50</v>
      </c>
      <c r="R430" t="s">
        <v>300</v>
      </c>
      <c r="S430" t="s">
        <v>52</v>
      </c>
      <c r="T430" t="b">
        <v>1</v>
      </c>
      <c r="U430" t="s">
        <v>53</v>
      </c>
      <c r="V430" t="s">
        <v>54</v>
      </c>
      <c r="W430">
        <v>4</v>
      </c>
      <c r="X430" t="b">
        <v>0</v>
      </c>
      <c r="Y430" t="s">
        <v>55</v>
      </c>
      <c r="Z430" t="s">
        <v>56</v>
      </c>
      <c r="AA430" t="s">
        <v>57</v>
      </c>
      <c r="AB430">
        <v>0</v>
      </c>
      <c r="AC430" t="s">
        <v>58</v>
      </c>
      <c r="AD430">
        <v>8</v>
      </c>
      <c r="AE430" t="s">
        <v>59</v>
      </c>
      <c r="AF430">
        <v>6</v>
      </c>
      <c r="AG430" t="b">
        <v>0</v>
      </c>
      <c r="AH430">
        <v>8</v>
      </c>
      <c r="AI430" t="s">
        <v>59</v>
      </c>
      <c r="AJ430">
        <v>6</v>
      </c>
      <c r="AK430" t="b">
        <v>0</v>
      </c>
      <c r="AL430">
        <v>6</v>
      </c>
      <c r="AM430" t="b">
        <v>0</v>
      </c>
      <c r="AN430">
        <v>0</v>
      </c>
      <c r="AO430" t="b">
        <v>0</v>
      </c>
      <c r="AQ430">
        <v>5.4059999999999997</v>
      </c>
      <c r="AR430">
        <v>5.4059999999999997</v>
      </c>
      <c r="AS430">
        <v>0</v>
      </c>
      <c r="AT430" t="b">
        <v>0</v>
      </c>
      <c r="AU430" t="b">
        <v>1</v>
      </c>
      <c r="BA430" t="str">
        <f t="shared" si="12"/>
        <v>Normal</v>
      </c>
      <c r="BG430" t="str">
        <f t="shared" si="13"/>
        <v>Normal</v>
      </c>
    </row>
    <row r="431" spans="1:59" x14ac:dyDescent="0.2">
      <c r="A431" t="s">
        <v>42</v>
      </c>
      <c r="B431" t="s">
        <v>43</v>
      </c>
      <c r="C431">
        <v>20230101</v>
      </c>
      <c r="D431">
        <v>2023</v>
      </c>
      <c r="E431">
        <v>52</v>
      </c>
      <c r="F431" t="s">
        <v>311</v>
      </c>
      <c r="G431">
        <v>251</v>
      </c>
      <c r="H431" t="s">
        <v>123</v>
      </c>
      <c r="I431" t="s">
        <v>124</v>
      </c>
      <c r="J431" t="s">
        <v>47</v>
      </c>
      <c r="K431" t="s">
        <v>48</v>
      </c>
      <c r="L431">
        <v>0</v>
      </c>
      <c r="M431" t="s">
        <v>49</v>
      </c>
      <c r="N431" t="s">
        <v>50</v>
      </c>
      <c r="O431">
        <v>0</v>
      </c>
      <c r="P431" t="s">
        <v>49</v>
      </c>
      <c r="Q431" t="s">
        <v>50</v>
      </c>
      <c r="R431" t="s">
        <v>300</v>
      </c>
      <c r="S431" t="s">
        <v>52</v>
      </c>
      <c r="T431" t="b">
        <v>1</v>
      </c>
      <c r="U431" t="s">
        <v>53</v>
      </c>
      <c r="V431" t="s">
        <v>54</v>
      </c>
      <c r="W431">
        <v>4</v>
      </c>
      <c r="X431" t="b">
        <v>0</v>
      </c>
      <c r="Y431" t="s">
        <v>55</v>
      </c>
      <c r="Z431" t="s">
        <v>56</v>
      </c>
      <c r="AA431" t="s">
        <v>57</v>
      </c>
      <c r="AB431">
        <v>0</v>
      </c>
      <c r="AC431" t="s">
        <v>58</v>
      </c>
      <c r="AD431">
        <v>-1</v>
      </c>
      <c r="AE431" t="s">
        <v>73</v>
      </c>
      <c r="AF431">
        <v>0</v>
      </c>
      <c r="AG431" t="b">
        <v>0</v>
      </c>
      <c r="AH431">
        <v>-1</v>
      </c>
      <c r="AI431" t="s">
        <v>73</v>
      </c>
      <c r="AJ431">
        <v>0</v>
      </c>
      <c r="AK431" t="b">
        <v>0</v>
      </c>
      <c r="AM431" t="b">
        <v>0</v>
      </c>
      <c r="AN431">
        <v>0</v>
      </c>
      <c r="AO431" t="b">
        <v>0</v>
      </c>
      <c r="AQ431">
        <v>43219393.039999999</v>
      </c>
      <c r="AR431">
        <v>43219393.039999999</v>
      </c>
      <c r="AS431">
        <v>0</v>
      </c>
      <c r="AT431" t="b">
        <v>0</v>
      </c>
      <c r="AU431" t="b">
        <v>1</v>
      </c>
      <c r="BA431" t="str">
        <f t="shared" si="12"/>
        <v>Normal</v>
      </c>
      <c r="BG431" t="str">
        <f t="shared" si="13"/>
        <v>Normal</v>
      </c>
    </row>
    <row r="432" spans="1:59" x14ac:dyDescent="0.2">
      <c r="A432" t="s">
        <v>42</v>
      </c>
      <c r="B432" t="s">
        <v>43</v>
      </c>
      <c r="C432">
        <v>20230101</v>
      </c>
      <c r="D432">
        <v>2023</v>
      </c>
      <c r="E432">
        <v>52</v>
      </c>
      <c r="F432" t="s">
        <v>311</v>
      </c>
      <c r="G432">
        <v>266</v>
      </c>
      <c r="H432" t="s">
        <v>125</v>
      </c>
      <c r="I432" t="s">
        <v>126</v>
      </c>
      <c r="J432" t="s">
        <v>47</v>
      </c>
      <c r="K432" t="s">
        <v>48</v>
      </c>
      <c r="L432">
        <v>0</v>
      </c>
      <c r="M432" t="s">
        <v>49</v>
      </c>
      <c r="N432" t="s">
        <v>50</v>
      </c>
      <c r="O432">
        <v>0</v>
      </c>
      <c r="P432" t="s">
        <v>49</v>
      </c>
      <c r="Q432" t="s">
        <v>50</v>
      </c>
      <c r="R432" t="s">
        <v>300</v>
      </c>
      <c r="S432" t="s">
        <v>52</v>
      </c>
      <c r="T432" t="b">
        <v>1</v>
      </c>
      <c r="U432" t="s">
        <v>53</v>
      </c>
      <c r="V432" t="s">
        <v>54</v>
      </c>
      <c r="W432">
        <v>4</v>
      </c>
      <c r="X432" t="b">
        <v>0</v>
      </c>
      <c r="Y432" t="s">
        <v>55</v>
      </c>
      <c r="Z432" t="s">
        <v>56</v>
      </c>
      <c r="AA432" t="s">
        <v>57</v>
      </c>
      <c r="AB432">
        <v>0</v>
      </c>
      <c r="AC432" t="s">
        <v>58</v>
      </c>
      <c r="AD432">
        <v>8</v>
      </c>
      <c r="AE432" t="s">
        <v>59</v>
      </c>
      <c r="AF432">
        <v>10663185967</v>
      </c>
      <c r="AG432" t="b">
        <v>0</v>
      </c>
      <c r="AH432">
        <v>19</v>
      </c>
      <c r="AI432" t="s">
        <v>60</v>
      </c>
      <c r="AJ432">
        <v>249566455</v>
      </c>
      <c r="AK432" t="b">
        <v>0</v>
      </c>
      <c r="AL432">
        <v>10663185967</v>
      </c>
      <c r="AM432" t="b">
        <v>0</v>
      </c>
      <c r="AN432">
        <v>0</v>
      </c>
      <c r="AO432" t="b">
        <v>0</v>
      </c>
      <c r="AQ432">
        <v>6579531639.8319998</v>
      </c>
      <c r="AR432">
        <v>6579531639.8319998</v>
      </c>
      <c r="AS432">
        <v>0</v>
      </c>
      <c r="AT432" t="b">
        <v>0</v>
      </c>
      <c r="AU432" t="b">
        <v>1</v>
      </c>
      <c r="BA432" t="str">
        <f t="shared" si="12"/>
        <v>Normal</v>
      </c>
      <c r="BG432" t="str">
        <f t="shared" si="13"/>
        <v>Normal</v>
      </c>
    </row>
    <row r="433" spans="1:59" x14ac:dyDescent="0.2">
      <c r="A433" t="s">
        <v>42</v>
      </c>
      <c r="B433" t="s">
        <v>43</v>
      </c>
      <c r="C433">
        <v>20230101</v>
      </c>
      <c r="D433">
        <v>2023</v>
      </c>
      <c r="E433">
        <v>52</v>
      </c>
      <c r="F433" t="s">
        <v>311</v>
      </c>
      <c r="G433">
        <v>276</v>
      </c>
      <c r="H433" t="s">
        <v>130</v>
      </c>
      <c r="I433" t="s">
        <v>131</v>
      </c>
      <c r="J433" t="s">
        <v>47</v>
      </c>
      <c r="K433" t="s">
        <v>48</v>
      </c>
      <c r="L433">
        <v>0</v>
      </c>
      <c r="M433" t="s">
        <v>49</v>
      </c>
      <c r="N433" t="s">
        <v>50</v>
      </c>
      <c r="O433">
        <v>0</v>
      </c>
      <c r="P433" t="s">
        <v>49</v>
      </c>
      <c r="Q433" t="s">
        <v>50</v>
      </c>
      <c r="R433" t="s">
        <v>300</v>
      </c>
      <c r="S433" t="s">
        <v>52</v>
      </c>
      <c r="T433" t="b">
        <v>1</v>
      </c>
      <c r="U433" t="s">
        <v>53</v>
      </c>
      <c r="V433" t="s">
        <v>54</v>
      </c>
      <c r="W433">
        <v>4</v>
      </c>
      <c r="X433" t="b">
        <v>0</v>
      </c>
      <c r="Y433" t="s">
        <v>55</v>
      </c>
      <c r="Z433" t="s">
        <v>56</v>
      </c>
      <c r="AA433" t="s">
        <v>57</v>
      </c>
      <c r="AB433">
        <v>0</v>
      </c>
      <c r="AC433" t="s">
        <v>58</v>
      </c>
      <c r="AD433">
        <v>8</v>
      </c>
      <c r="AE433" t="s">
        <v>59</v>
      </c>
      <c r="AF433">
        <v>2640400</v>
      </c>
      <c r="AG433" t="b">
        <v>0</v>
      </c>
      <c r="AH433">
        <v>8</v>
      </c>
      <c r="AI433" t="s">
        <v>59</v>
      </c>
      <c r="AJ433">
        <v>2640400</v>
      </c>
      <c r="AK433" t="b">
        <v>0</v>
      </c>
      <c r="AL433">
        <v>2640400</v>
      </c>
      <c r="AM433" t="b">
        <v>0</v>
      </c>
      <c r="AN433">
        <v>0</v>
      </c>
      <c r="AO433" t="b">
        <v>0</v>
      </c>
      <c r="AQ433">
        <v>1238852.81</v>
      </c>
      <c r="AR433">
        <v>1238852.81</v>
      </c>
      <c r="AS433">
        <v>0</v>
      </c>
      <c r="AT433" t="b">
        <v>0</v>
      </c>
      <c r="AU433" t="b">
        <v>1</v>
      </c>
      <c r="BA433" t="str">
        <f t="shared" si="12"/>
        <v>Normal</v>
      </c>
      <c r="BG433" t="str">
        <f t="shared" si="13"/>
        <v>Normal</v>
      </c>
    </row>
    <row r="434" spans="1:59" x14ac:dyDescent="0.2">
      <c r="A434" t="s">
        <v>42</v>
      </c>
      <c r="B434" t="s">
        <v>43</v>
      </c>
      <c r="C434">
        <v>20230101</v>
      </c>
      <c r="D434">
        <v>2023</v>
      </c>
      <c r="E434">
        <v>52</v>
      </c>
      <c r="F434" t="s">
        <v>311</v>
      </c>
      <c r="G434">
        <v>288</v>
      </c>
      <c r="H434" t="s">
        <v>132</v>
      </c>
      <c r="I434" t="s">
        <v>133</v>
      </c>
      <c r="J434" t="s">
        <v>47</v>
      </c>
      <c r="K434" t="s">
        <v>48</v>
      </c>
      <c r="L434">
        <v>0</v>
      </c>
      <c r="M434" t="s">
        <v>49</v>
      </c>
      <c r="N434" t="s">
        <v>50</v>
      </c>
      <c r="O434">
        <v>0</v>
      </c>
      <c r="P434" t="s">
        <v>49</v>
      </c>
      <c r="Q434" t="s">
        <v>50</v>
      </c>
      <c r="R434" t="s">
        <v>51</v>
      </c>
      <c r="S434" t="s">
        <v>52</v>
      </c>
      <c r="T434" t="b">
        <v>1</v>
      </c>
      <c r="U434" t="s">
        <v>53</v>
      </c>
      <c r="V434" t="s">
        <v>54</v>
      </c>
      <c r="W434">
        <v>4</v>
      </c>
      <c r="X434" t="b">
        <v>0</v>
      </c>
      <c r="Y434" t="s">
        <v>55</v>
      </c>
      <c r="Z434" t="s">
        <v>56</v>
      </c>
      <c r="AA434" t="s">
        <v>57</v>
      </c>
      <c r="AB434">
        <v>0</v>
      </c>
      <c r="AC434" t="s">
        <v>58</v>
      </c>
      <c r="AD434">
        <v>8</v>
      </c>
      <c r="AE434" t="s">
        <v>59</v>
      </c>
      <c r="AF434">
        <v>6365810000</v>
      </c>
      <c r="AG434" t="b">
        <v>0</v>
      </c>
      <c r="AH434">
        <v>8</v>
      </c>
      <c r="AI434" t="s">
        <v>59</v>
      </c>
      <c r="AJ434">
        <v>6365810000</v>
      </c>
      <c r="AK434" t="b">
        <v>0</v>
      </c>
      <c r="AL434">
        <v>6365810000</v>
      </c>
      <c r="AM434" t="b">
        <v>0</v>
      </c>
      <c r="AN434">
        <v>0</v>
      </c>
      <c r="AO434" t="b">
        <v>0</v>
      </c>
      <c r="AQ434">
        <v>3984854966.1360002</v>
      </c>
      <c r="AR434">
        <v>3984854966.1360002</v>
      </c>
      <c r="AS434">
        <v>0</v>
      </c>
      <c r="AT434" t="b">
        <v>0</v>
      </c>
      <c r="AU434" t="b">
        <v>1</v>
      </c>
      <c r="BA434" t="str">
        <f t="shared" si="12"/>
        <v>Normal</v>
      </c>
      <c r="BG434" t="str">
        <f t="shared" si="13"/>
        <v>Normal</v>
      </c>
    </row>
    <row r="435" spans="1:59" x14ac:dyDescent="0.2">
      <c r="A435" t="s">
        <v>42</v>
      </c>
      <c r="B435" t="s">
        <v>43</v>
      </c>
      <c r="C435">
        <v>20230101</v>
      </c>
      <c r="D435">
        <v>2023</v>
      </c>
      <c r="E435">
        <v>52</v>
      </c>
      <c r="F435" t="s">
        <v>311</v>
      </c>
      <c r="G435">
        <v>300</v>
      </c>
      <c r="H435" t="s">
        <v>134</v>
      </c>
      <c r="I435" t="s">
        <v>135</v>
      </c>
      <c r="J435" t="s">
        <v>47</v>
      </c>
      <c r="K435" t="s">
        <v>48</v>
      </c>
      <c r="L435">
        <v>0</v>
      </c>
      <c r="M435" t="s">
        <v>49</v>
      </c>
      <c r="N435" t="s">
        <v>50</v>
      </c>
      <c r="O435">
        <v>0</v>
      </c>
      <c r="P435" t="s">
        <v>49</v>
      </c>
      <c r="Q435" t="s">
        <v>50</v>
      </c>
      <c r="R435" t="s">
        <v>300</v>
      </c>
      <c r="S435" t="s">
        <v>52</v>
      </c>
      <c r="T435" t="b">
        <v>1</v>
      </c>
      <c r="U435" t="s">
        <v>53</v>
      </c>
      <c r="V435" t="s">
        <v>54</v>
      </c>
      <c r="W435">
        <v>4</v>
      </c>
      <c r="X435" t="b">
        <v>0</v>
      </c>
      <c r="Y435" t="s">
        <v>55</v>
      </c>
      <c r="Z435" t="s">
        <v>56</v>
      </c>
      <c r="AA435" t="s">
        <v>57</v>
      </c>
      <c r="AB435">
        <v>0</v>
      </c>
      <c r="AC435" t="s">
        <v>58</v>
      </c>
      <c r="AD435">
        <v>8</v>
      </c>
      <c r="AE435" t="s">
        <v>59</v>
      </c>
      <c r="AF435">
        <v>125839000</v>
      </c>
      <c r="AG435" t="b">
        <v>0</v>
      </c>
      <c r="AH435">
        <v>8</v>
      </c>
      <c r="AI435" t="s">
        <v>59</v>
      </c>
      <c r="AJ435">
        <v>125839000</v>
      </c>
      <c r="AK435" t="b">
        <v>0</v>
      </c>
      <c r="AL435">
        <v>125839000</v>
      </c>
      <c r="AM435" t="b">
        <v>0</v>
      </c>
      <c r="AN435">
        <v>0</v>
      </c>
      <c r="AO435" t="b">
        <v>0</v>
      </c>
      <c r="AQ435">
        <v>64441299.081</v>
      </c>
      <c r="AR435">
        <v>64441299.081</v>
      </c>
      <c r="AS435">
        <v>0</v>
      </c>
      <c r="AT435" t="b">
        <v>0</v>
      </c>
      <c r="AU435" t="b">
        <v>1</v>
      </c>
      <c r="BA435" t="str">
        <f t="shared" si="12"/>
        <v>Normal</v>
      </c>
      <c r="BG435" t="str">
        <f t="shared" si="13"/>
        <v>Normal</v>
      </c>
    </row>
    <row r="436" spans="1:59" x14ac:dyDescent="0.2">
      <c r="A436" t="s">
        <v>42</v>
      </c>
      <c r="B436" t="s">
        <v>43</v>
      </c>
      <c r="C436">
        <v>20230101</v>
      </c>
      <c r="D436">
        <v>2023</v>
      </c>
      <c r="E436">
        <v>52</v>
      </c>
      <c r="F436" t="s">
        <v>311</v>
      </c>
      <c r="G436">
        <v>320</v>
      </c>
      <c r="H436" t="s">
        <v>136</v>
      </c>
      <c r="I436" t="s">
        <v>137</v>
      </c>
      <c r="J436" t="s">
        <v>47</v>
      </c>
      <c r="K436" t="s">
        <v>48</v>
      </c>
      <c r="L436">
        <v>0</v>
      </c>
      <c r="M436" t="s">
        <v>49</v>
      </c>
      <c r="N436" t="s">
        <v>50</v>
      </c>
      <c r="O436">
        <v>0</v>
      </c>
      <c r="P436" t="s">
        <v>49</v>
      </c>
      <c r="Q436" t="s">
        <v>50</v>
      </c>
      <c r="R436" t="s">
        <v>300</v>
      </c>
      <c r="S436" t="s">
        <v>52</v>
      </c>
      <c r="T436" t="b">
        <v>1</v>
      </c>
      <c r="U436" t="s">
        <v>53</v>
      </c>
      <c r="V436" t="s">
        <v>54</v>
      </c>
      <c r="W436">
        <v>4</v>
      </c>
      <c r="X436" t="b">
        <v>0</v>
      </c>
      <c r="Y436" t="s">
        <v>55</v>
      </c>
      <c r="Z436" t="s">
        <v>56</v>
      </c>
      <c r="AA436" t="s">
        <v>57</v>
      </c>
      <c r="AB436">
        <v>0</v>
      </c>
      <c r="AC436" t="s">
        <v>58</v>
      </c>
      <c r="AD436">
        <v>8</v>
      </c>
      <c r="AE436" t="s">
        <v>59</v>
      </c>
      <c r="AF436">
        <v>87758700</v>
      </c>
      <c r="AG436" t="b">
        <v>0</v>
      </c>
      <c r="AH436">
        <v>8</v>
      </c>
      <c r="AI436" t="s">
        <v>59</v>
      </c>
      <c r="AJ436">
        <v>87758700</v>
      </c>
      <c r="AK436" t="b">
        <v>0</v>
      </c>
      <c r="AL436">
        <v>87758700</v>
      </c>
      <c r="AM436" t="b">
        <v>0</v>
      </c>
      <c r="AN436">
        <v>0</v>
      </c>
      <c r="AO436" t="b">
        <v>0</v>
      </c>
      <c r="AQ436">
        <v>43584000</v>
      </c>
      <c r="AR436">
        <v>43584000</v>
      </c>
      <c r="AS436">
        <v>0</v>
      </c>
      <c r="AT436" t="b">
        <v>0</v>
      </c>
      <c r="AU436" t="b">
        <v>1</v>
      </c>
      <c r="BA436" t="str">
        <f t="shared" si="12"/>
        <v>Normal</v>
      </c>
      <c r="BG436" t="str">
        <f t="shared" si="13"/>
        <v>Normal</v>
      </c>
    </row>
    <row r="437" spans="1:59" x14ac:dyDescent="0.2">
      <c r="A437" t="s">
        <v>42</v>
      </c>
      <c r="B437" t="s">
        <v>43</v>
      </c>
      <c r="C437">
        <v>20230101</v>
      </c>
      <c r="D437">
        <v>2023</v>
      </c>
      <c r="E437">
        <v>52</v>
      </c>
      <c r="F437" t="s">
        <v>311</v>
      </c>
      <c r="G437">
        <v>328</v>
      </c>
      <c r="H437" t="s">
        <v>276</v>
      </c>
      <c r="I437" t="s">
        <v>277</v>
      </c>
      <c r="J437" t="s">
        <v>47</v>
      </c>
      <c r="K437" t="s">
        <v>48</v>
      </c>
      <c r="L437">
        <v>0</v>
      </c>
      <c r="M437" t="s">
        <v>49</v>
      </c>
      <c r="N437" t="s">
        <v>50</v>
      </c>
      <c r="O437">
        <v>0</v>
      </c>
      <c r="P437" t="s">
        <v>49</v>
      </c>
      <c r="Q437" t="s">
        <v>50</v>
      </c>
      <c r="R437" t="s">
        <v>51</v>
      </c>
      <c r="S437" t="s">
        <v>52</v>
      </c>
      <c r="T437" t="b">
        <v>1</v>
      </c>
      <c r="U437" t="s">
        <v>53</v>
      </c>
      <c r="V437" t="s">
        <v>54</v>
      </c>
      <c r="W437">
        <v>4</v>
      </c>
      <c r="X437" t="b">
        <v>0</v>
      </c>
      <c r="Y437" t="s">
        <v>55</v>
      </c>
      <c r="Z437" t="s">
        <v>56</v>
      </c>
      <c r="AA437" t="s">
        <v>57</v>
      </c>
      <c r="AB437">
        <v>0</v>
      </c>
      <c r="AC437" t="s">
        <v>58</v>
      </c>
      <c r="AD437">
        <v>-1</v>
      </c>
      <c r="AE437" t="s">
        <v>73</v>
      </c>
      <c r="AF437">
        <v>0</v>
      </c>
      <c r="AG437" t="b">
        <v>0</v>
      </c>
      <c r="AH437">
        <v>-1</v>
      </c>
      <c r="AI437" t="s">
        <v>73</v>
      </c>
      <c r="AJ437">
        <v>0</v>
      </c>
      <c r="AK437" t="b">
        <v>0</v>
      </c>
      <c r="AM437" t="b">
        <v>0</v>
      </c>
      <c r="AN437">
        <v>0</v>
      </c>
      <c r="AO437" t="b">
        <v>0</v>
      </c>
      <c r="AQ437">
        <v>7170113162.2519999</v>
      </c>
      <c r="AR437">
        <v>7170113162.2519999</v>
      </c>
      <c r="AS437">
        <v>0</v>
      </c>
      <c r="AT437" t="b">
        <v>0</v>
      </c>
      <c r="AU437" t="b">
        <v>1</v>
      </c>
      <c r="BA437" t="str">
        <f t="shared" si="12"/>
        <v>Normal</v>
      </c>
      <c r="BG437" t="str">
        <f t="shared" si="13"/>
        <v>Normal</v>
      </c>
    </row>
    <row r="438" spans="1:59" x14ac:dyDescent="0.2">
      <c r="A438" t="s">
        <v>42</v>
      </c>
      <c r="B438" t="s">
        <v>43</v>
      </c>
      <c r="C438">
        <v>20230101</v>
      </c>
      <c r="D438">
        <v>2023</v>
      </c>
      <c r="E438">
        <v>52</v>
      </c>
      <c r="F438" t="s">
        <v>311</v>
      </c>
      <c r="G438">
        <v>348</v>
      </c>
      <c r="H438" t="s">
        <v>138</v>
      </c>
      <c r="I438" t="s">
        <v>139</v>
      </c>
      <c r="J438" t="s">
        <v>47</v>
      </c>
      <c r="K438" t="s">
        <v>48</v>
      </c>
      <c r="L438">
        <v>0</v>
      </c>
      <c r="M438" t="s">
        <v>49</v>
      </c>
      <c r="N438" t="s">
        <v>50</v>
      </c>
      <c r="O438">
        <v>0</v>
      </c>
      <c r="P438" t="s">
        <v>49</v>
      </c>
      <c r="Q438" t="s">
        <v>50</v>
      </c>
      <c r="R438" t="s">
        <v>300</v>
      </c>
      <c r="S438" t="s">
        <v>52</v>
      </c>
      <c r="T438" t="b">
        <v>1</v>
      </c>
      <c r="U438" t="s">
        <v>53</v>
      </c>
      <c r="V438" t="s">
        <v>54</v>
      </c>
      <c r="W438">
        <v>4</v>
      </c>
      <c r="X438" t="b">
        <v>0</v>
      </c>
      <c r="Y438" t="s">
        <v>55</v>
      </c>
      <c r="Z438" t="s">
        <v>56</v>
      </c>
      <c r="AA438" t="s">
        <v>57</v>
      </c>
      <c r="AB438">
        <v>0</v>
      </c>
      <c r="AC438" t="s">
        <v>58</v>
      </c>
      <c r="AD438">
        <v>8</v>
      </c>
      <c r="AE438" t="s">
        <v>59</v>
      </c>
      <c r="AF438">
        <v>271429367</v>
      </c>
      <c r="AG438" t="b">
        <v>0</v>
      </c>
      <c r="AH438">
        <v>8</v>
      </c>
      <c r="AI438" t="s">
        <v>59</v>
      </c>
      <c r="AJ438">
        <v>271429367</v>
      </c>
      <c r="AK438" t="b">
        <v>0</v>
      </c>
      <c r="AL438">
        <v>271429367</v>
      </c>
      <c r="AM438" t="b">
        <v>0</v>
      </c>
      <c r="AN438">
        <v>0</v>
      </c>
      <c r="AO438" t="b">
        <v>0</v>
      </c>
      <c r="AQ438">
        <v>162736523</v>
      </c>
      <c r="AR438">
        <v>162736523</v>
      </c>
      <c r="AS438">
        <v>0</v>
      </c>
      <c r="AT438" t="b">
        <v>0</v>
      </c>
      <c r="AU438" t="b">
        <v>1</v>
      </c>
      <c r="BA438" t="str">
        <f t="shared" si="12"/>
        <v>Normal</v>
      </c>
      <c r="BG438" t="str">
        <f t="shared" si="13"/>
        <v>Normal</v>
      </c>
    </row>
    <row r="439" spans="1:59" x14ac:dyDescent="0.2">
      <c r="A439" t="s">
        <v>42</v>
      </c>
      <c r="B439" t="s">
        <v>43</v>
      </c>
      <c r="C439">
        <v>20230101</v>
      </c>
      <c r="D439">
        <v>2023</v>
      </c>
      <c r="E439">
        <v>52</v>
      </c>
      <c r="F439" t="s">
        <v>311</v>
      </c>
      <c r="G439">
        <v>360</v>
      </c>
      <c r="H439" t="s">
        <v>140</v>
      </c>
      <c r="I439" t="s">
        <v>141</v>
      </c>
      <c r="J439" t="s">
        <v>47</v>
      </c>
      <c r="K439" t="s">
        <v>48</v>
      </c>
      <c r="L439">
        <v>0</v>
      </c>
      <c r="M439" t="s">
        <v>49</v>
      </c>
      <c r="N439" t="s">
        <v>50</v>
      </c>
      <c r="O439">
        <v>0</v>
      </c>
      <c r="P439" t="s">
        <v>49</v>
      </c>
      <c r="Q439" t="s">
        <v>50</v>
      </c>
      <c r="R439" t="s">
        <v>300</v>
      </c>
      <c r="S439" t="s">
        <v>52</v>
      </c>
      <c r="T439" t="b">
        <v>1</v>
      </c>
      <c r="U439" t="s">
        <v>53</v>
      </c>
      <c r="V439" t="s">
        <v>54</v>
      </c>
      <c r="W439">
        <v>4</v>
      </c>
      <c r="X439" t="b">
        <v>0</v>
      </c>
      <c r="Y439" t="s">
        <v>55</v>
      </c>
      <c r="Z439" t="s">
        <v>56</v>
      </c>
      <c r="AA439" t="s">
        <v>57</v>
      </c>
      <c r="AB439">
        <v>0</v>
      </c>
      <c r="AC439" t="s">
        <v>58</v>
      </c>
      <c r="AD439">
        <v>8</v>
      </c>
      <c r="AE439" t="s">
        <v>59</v>
      </c>
      <c r="AF439">
        <v>2844781592.4000001</v>
      </c>
      <c r="AG439" t="b">
        <v>0</v>
      </c>
      <c r="AH439">
        <v>8</v>
      </c>
      <c r="AI439" t="s">
        <v>59</v>
      </c>
      <c r="AJ439">
        <v>2844781592.4000001</v>
      </c>
      <c r="AK439" t="b">
        <v>0</v>
      </c>
      <c r="AL439">
        <v>2844781592.4000001</v>
      </c>
      <c r="AM439" t="b">
        <v>0</v>
      </c>
      <c r="AN439">
        <v>0</v>
      </c>
      <c r="AO439" t="b">
        <v>0</v>
      </c>
      <c r="AQ439">
        <v>1749296021.3469999</v>
      </c>
      <c r="AR439">
        <v>1749296021.3469999</v>
      </c>
      <c r="AS439">
        <v>0</v>
      </c>
      <c r="AT439" t="b">
        <v>0</v>
      </c>
      <c r="AU439" t="b">
        <v>1</v>
      </c>
      <c r="BA439" t="str">
        <f t="shared" si="12"/>
        <v>Normal</v>
      </c>
      <c r="BG439" t="str">
        <f t="shared" si="13"/>
        <v>Normal</v>
      </c>
    </row>
    <row r="440" spans="1:59" x14ac:dyDescent="0.2">
      <c r="A440" t="s">
        <v>42</v>
      </c>
      <c r="B440" t="s">
        <v>43</v>
      </c>
      <c r="C440">
        <v>20230101</v>
      </c>
      <c r="D440">
        <v>2023</v>
      </c>
      <c r="E440">
        <v>52</v>
      </c>
      <c r="F440" t="s">
        <v>311</v>
      </c>
      <c r="G440">
        <v>372</v>
      </c>
      <c r="H440" t="s">
        <v>144</v>
      </c>
      <c r="I440" t="s">
        <v>145</v>
      </c>
      <c r="J440" t="s">
        <v>47</v>
      </c>
      <c r="K440" t="s">
        <v>48</v>
      </c>
      <c r="L440">
        <v>0</v>
      </c>
      <c r="M440" t="s">
        <v>49</v>
      </c>
      <c r="N440" t="s">
        <v>50</v>
      </c>
      <c r="O440">
        <v>0</v>
      </c>
      <c r="P440" t="s">
        <v>49</v>
      </c>
      <c r="Q440" t="s">
        <v>50</v>
      </c>
      <c r="R440" t="s">
        <v>300</v>
      </c>
      <c r="S440" t="s">
        <v>52</v>
      </c>
      <c r="T440" t="b">
        <v>1</v>
      </c>
      <c r="U440" t="s">
        <v>53</v>
      </c>
      <c r="V440" t="s">
        <v>54</v>
      </c>
      <c r="W440">
        <v>4</v>
      </c>
      <c r="X440" t="b">
        <v>0</v>
      </c>
      <c r="Y440" t="s">
        <v>55</v>
      </c>
      <c r="Z440" t="s">
        <v>56</v>
      </c>
      <c r="AA440" t="s">
        <v>57</v>
      </c>
      <c r="AB440">
        <v>0</v>
      </c>
      <c r="AC440" t="s">
        <v>58</v>
      </c>
      <c r="AD440">
        <v>8</v>
      </c>
      <c r="AE440" t="s">
        <v>59</v>
      </c>
      <c r="AF440">
        <v>146321911</v>
      </c>
      <c r="AG440" t="b">
        <v>0</v>
      </c>
      <c r="AH440">
        <v>8</v>
      </c>
      <c r="AI440" t="s">
        <v>59</v>
      </c>
      <c r="AJ440">
        <v>146321911</v>
      </c>
      <c r="AK440" t="b">
        <v>0</v>
      </c>
      <c r="AL440">
        <v>146321911</v>
      </c>
      <c r="AM440" t="b">
        <v>0</v>
      </c>
      <c r="AN440">
        <v>0</v>
      </c>
      <c r="AO440" t="b">
        <v>0</v>
      </c>
      <c r="AQ440">
        <v>90392363.364999995</v>
      </c>
      <c r="AR440">
        <v>90392363.364999995</v>
      </c>
      <c r="AS440">
        <v>0</v>
      </c>
      <c r="AT440" t="b">
        <v>0</v>
      </c>
      <c r="AU440" t="b">
        <v>1</v>
      </c>
      <c r="BA440" t="str">
        <f t="shared" si="12"/>
        <v>Normal</v>
      </c>
      <c r="BG440" t="str">
        <f t="shared" si="13"/>
        <v>Normal</v>
      </c>
    </row>
    <row r="441" spans="1:59" x14ac:dyDescent="0.2">
      <c r="A441" t="s">
        <v>42</v>
      </c>
      <c r="B441" t="s">
        <v>43</v>
      </c>
      <c r="C441">
        <v>20230101</v>
      </c>
      <c r="D441">
        <v>2023</v>
      </c>
      <c r="E441">
        <v>52</v>
      </c>
      <c r="F441" t="s">
        <v>311</v>
      </c>
      <c r="G441">
        <v>380</v>
      </c>
      <c r="H441" t="s">
        <v>148</v>
      </c>
      <c r="I441" t="s">
        <v>149</v>
      </c>
      <c r="J441" t="s">
        <v>47</v>
      </c>
      <c r="K441" t="s">
        <v>48</v>
      </c>
      <c r="L441">
        <v>0</v>
      </c>
      <c r="M441" t="s">
        <v>49</v>
      </c>
      <c r="N441" t="s">
        <v>50</v>
      </c>
      <c r="O441">
        <v>0</v>
      </c>
      <c r="P441" t="s">
        <v>49</v>
      </c>
      <c r="Q441" t="s">
        <v>50</v>
      </c>
      <c r="R441" t="s">
        <v>300</v>
      </c>
      <c r="S441" t="s">
        <v>52</v>
      </c>
      <c r="T441" t="b">
        <v>1</v>
      </c>
      <c r="U441" t="s">
        <v>53</v>
      </c>
      <c r="V441" t="s">
        <v>54</v>
      </c>
      <c r="W441">
        <v>4</v>
      </c>
      <c r="X441" t="b">
        <v>0</v>
      </c>
      <c r="Y441" t="s">
        <v>55</v>
      </c>
      <c r="Z441" t="s">
        <v>56</v>
      </c>
      <c r="AA441" t="s">
        <v>57</v>
      </c>
      <c r="AB441">
        <v>0</v>
      </c>
      <c r="AC441" t="s">
        <v>58</v>
      </c>
      <c r="AD441">
        <v>-1</v>
      </c>
      <c r="AE441" t="s">
        <v>73</v>
      </c>
      <c r="AF441">
        <v>0</v>
      </c>
      <c r="AG441" t="b">
        <v>0</v>
      </c>
      <c r="AH441">
        <v>-1</v>
      </c>
      <c r="AI441" t="s">
        <v>73</v>
      </c>
      <c r="AJ441">
        <v>0</v>
      </c>
      <c r="AK441" t="b">
        <v>0</v>
      </c>
      <c r="AM441" t="b">
        <v>0</v>
      </c>
      <c r="AN441">
        <v>0</v>
      </c>
      <c r="AO441" t="b">
        <v>0</v>
      </c>
      <c r="AQ441">
        <v>721964602.70700002</v>
      </c>
      <c r="AR441">
        <v>721964602.70700002</v>
      </c>
      <c r="AS441">
        <v>0</v>
      </c>
      <c r="AT441" t="b">
        <v>0</v>
      </c>
      <c r="AU441" t="b">
        <v>1</v>
      </c>
      <c r="BA441" t="str">
        <f t="shared" si="12"/>
        <v>Normal</v>
      </c>
      <c r="BG441" t="str">
        <f t="shared" si="13"/>
        <v>Normal</v>
      </c>
    </row>
    <row r="442" spans="1:59" x14ac:dyDescent="0.2">
      <c r="A442" t="s">
        <v>42</v>
      </c>
      <c r="B442" t="s">
        <v>43</v>
      </c>
      <c r="C442">
        <v>20230101</v>
      </c>
      <c r="D442">
        <v>2023</v>
      </c>
      <c r="E442">
        <v>52</v>
      </c>
      <c r="F442" t="s">
        <v>311</v>
      </c>
      <c r="G442">
        <v>384</v>
      </c>
      <c r="H442" t="s">
        <v>150</v>
      </c>
      <c r="I442" t="s">
        <v>151</v>
      </c>
      <c r="J442" t="s">
        <v>47</v>
      </c>
      <c r="K442" t="s">
        <v>48</v>
      </c>
      <c r="L442">
        <v>0</v>
      </c>
      <c r="M442" t="s">
        <v>49</v>
      </c>
      <c r="N442" t="s">
        <v>50</v>
      </c>
      <c r="O442">
        <v>0</v>
      </c>
      <c r="P442" t="s">
        <v>49</v>
      </c>
      <c r="Q442" t="s">
        <v>50</v>
      </c>
      <c r="R442" t="s">
        <v>300</v>
      </c>
      <c r="S442" t="s">
        <v>52</v>
      </c>
      <c r="T442" t="b">
        <v>1</v>
      </c>
      <c r="U442" t="s">
        <v>53</v>
      </c>
      <c r="V442" t="s">
        <v>54</v>
      </c>
      <c r="W442">
        <v>4</v>
      </c>
      <c r="X442" t="b">
        <v>0</v>
      </c>
      <c r="Y442" t="s">
        <v>55</v>
      </c>
      <c r="Z442" t="s">
        <v>56</v>
      </c>
      <c r="AA442" t="s">
        <v>57</v>
      </c>
      <c r="AB442">
        <v>0</v>
      </c>
      <c r="AC442" t="s">
        <v>58</v>
      </c>
      <c r="AD442">
        <v>8</v>
      </c>
      <c r="AE442" t="s">
        <v>59</v>
      </c>
      <c r="AF442">
        <v>1115941190</v>
      </c>
      <c r="AG442" t="b">
        <v>0</v>
      </c>
      <c r="AH442">
        <v>8</v>
      </c>
      <c r="AI442" t="s">
        <v>59</v>
      </c>
      <c r="AJ442">
        <v>1115941190</v>
      </c>
      <c r="AK442" t="b">
        <v>0</v>
      </c>
      <c r="AL442">
        <v>1115941190</v>
      </c>
      <c r="AM442" t="b">
        <v>0</v>
      </c>
      <c r="AN442">
        <v>0</v>
      </c>
      <c r="AO442" t="b">
        <v>0</v>
      </c>
      <c r="AQ442">
        <v>647116778.71500003</v>
      </c>
      <c r="AR442">
        <v>647116778.71500003</v>
      </c>
      <c r="AS442">
        <v>0</v>
      </c>
      <c r="AT442" t="b">
        <v>0</v>
      </c>
      <c r="AU442" t="b">
        <v>1</v>
      </c>
      <c r="BA442" t="str">
        <f t="shared" si="12"/>
        <v>Normal</v>
      </c>
      <c r="BG442" t="str">
        <f t="shared" si="13"/>
        <v>Normal</v>
      </c>
    </row>
    <row r="443" spans="1:59" x14ac:dyDescent="0.2">
      <c r="A443" t="s">
        <v>42</v>
      </c>
      <c r="B443" t="s">
        <v>43</v>
      </c>
      <c r="C443">
        <v>20230101</v>
      </c>
      <c r="D443">
        <v>2023</v>
      </c>
      <c r="E443">
        <v>52</v>
      </c>
      <c r="F443" t="s">
        <v>311</v>
      </c>
      <c r="G443">
        <v>398</v>
      </c>
      <c r="H443" t="s">
        <v>152</v>
      </c>
      <c r="I443" t="s">
        <v>153</v>
      </c>
      <c r="J443" t="s">
        <v>47</v>
      </c>
      <c r="K443" t="s">
        <v>48</v>
      </c>
      <c r="L443">
        <v>0</v>
      </c>
      <c r="M443" t="s">
        <v>49</v>
      </c>
      <c r="N443" t="s">
        <v>50</v>
      </c>
      <c r="O443">
        <v>0</v>
      </c>
      <c r="P443" t="s">
        <v>49</v>
      </c>
      <c r="Q443" t="s">
        <v>50</v>
      </c>
      <c r="R443" t="s">
        <v>300</v>
      </c>
      <c r="S443" t="s">
        <v>52</v>
      </c>
      <c r="T443" t="b">
        <v>1</v>
      </c>
      <c r="U443" t="s">
        <v>53</v>
      </c>
      <c r="V443" t="s">
        <v>54</v>
      </c>
      <c r="W443">
        <v>4</v>
      </c>
      <c r="X443" t="b">
        <v>0</v>
      </c>
      <c r="Y443" t="s">
        <v>55</v>
      </c>
      <c r="Z443" t="s">
        <v>56</v>
      </c>
      <c r="AA443" t="s">
        <v>57</v>
      </c>
      <c r="AB443">
        <v>0</v>
      </c>
      <c r="AC443" t="s">
        <v>58</v>
      </c>
      <c r="AD443">
        <v>8</v>
      </c>
      <c r="AE443" t="s">
        <v>59</v>
      </c>
      <c r="AF443">
        <v>70665926869</v>
      </c>
      <c r="AG443" t="b">
        <v>0</v>
      </c>
      <c r="AH443">
        <v>8</v>
      </c>
      <c r="AI443" t="s">
        <v>59</v>
      </c>
      <c r="AJ443">
        <v>70665926869</v>
      </c>
      <c r="AK443" t="b">
        <v>0</v>
      </c>
      <c r="AL443">
        <v>70665926869</v>
      </c>
      <c r="AM443" t="b">
        <v>0</v>
      </c>
      <c r="AN443">
        <v>0</v>
      </c>
      <c r="AO443" t="b">
        <v>0</v>
      </c>
      <c r="AQ443">
        <v>42314945072.75</v>
      </c>
      <c r="AR443">
        <v>42314945072.75</v>
      </c>
      <c r="AS443">
        <v>0</v>
      </c>
      <c r="AT443" t="b">
        <v>0</v>
      </c>
      <c r="AU443" t="b">
        <v>1</v>
      </c>
      <c r="BA443" t="str">
        <f t="shared" si="12"/>
        <v>Normal</v>
      </c>
      <c r="BG443" t="str">
        <f t="shared" si="13"/>
        <v>Normal</v>
      </c>
    </row>
    <row r="444" spans="1:59" x14ac:dyDescent="0.2">
      <c r="A444" t="s">
        <v>42</v>
      </c>
      <c r="B444" t="s">
        <v>43</v>
      </c>
      <c r="C444">
        <v>20230101</v>
      </c>
      <c r="D444">
        <v>2023</v>
      </c>
      <c r="E444">
        <v>52</v>
      </c>
      <c r="F444" t="s">
        <v>311</v>
      </c>
      <c r="G444">
        <v>400</v>
      </c>
      <c r="H444" t="s">
        <v>314</v>
      </c>
      <c r="I444" t="s">
        <v>315</v>
      </c>
      <c r="J444" t="s">
        <v>47</v>
      </c>
      <c r="K444" t="s">
        <v>48</v>
      </c>
      <c r="L444">
        <v>0</v>
      </c>
      <c r="M444" t="s">
        <v>49</v>
      </c>
      <c r="N444" t="s">
        <v>50</v>
      </c>
      <c r="O444">
        <v>0</v>
      </c>
      <c r="P444" t="s">
        <v>49</v>
      </c>
      <c r="Q444" t="s">
        <v>50</v>
      </c>
      <c r="R444" t="s">
        <v>300</v>
      </c>
      <c r="S444" t="s">
        <v>52</v>
      </c>
      <c r="T444" t="b">
        <v>1</v>
      </c>
      <c r="U444" t="s">
        <v>53</v>
      </c>
      <c r="V444" t="s">
        <v>54</v>
      </c>
      <c r="W444">
        <v>4</v>
      </c>
      <c r="X444" t="b">
        <v>0</v>
      </c>
      <c r="Y444" t="s">
        <v>55</v>
      </c>
      <c r="Z444" t="s">
        <v>56</v>
      </c>
      <c r="AA444" t="s">
        <v>57</v>
      </c>
      <c r="AB444">
        <v>0</v>
      </c>
      <c r="AC444" t="s">
        <v>58</v>
      </c>
      <c r="AD444">
        <v>8</v>
      </c>
      <c r="AE444" t="s">
        <v>59</v>
      </c>
      <c r="AF444">
        <v>141396.41099999999</v>
      </c>
      <c r="AG444" t="b">
        <v>1</v>
      </c>
      <c r="AH444">
        <v>-1</v>
      </c>
      <c r="AI444" t="s">
        <v>73</v>
      </c>
      <c r="AJ444">
        <v>0</v>
      </c>
      <c r="AK444" t="b">
        <v>0</v>
      </c>
      <c r="AL444">
        <v>141396.41099999999</v>
      </c>
      <c r="AM444" t="b">
        <v>1</v>
      </c>
      <c r="AN444">
        <v>0</v>
      </c>
      <c r="AO444" t="b">
        <v>0</v>
      </c>
      <c r="AQ444">
        <v>76159.154999999999</v>
      </c>
      <c r="AR444">
        <v>76159.154999999999</v>
      </c>
      <c r="AS444">
        <v>6</v>
      </c>
      <c r="AT444" t="b">
        <v>0</v>
      </c>
      <c r="AU444" t="b">
        <v>1</v>
      </c>
      <c r="BA444" t="str">
        <f t="shared" si="12"/>
        <v>Normal</v>
      </c>
      <c r="BG444" t="str">
        <f t="shared" si="13"/>
        <v>Normal</v>
      </c>
    </row>
    <row r="445" spans="1:59" x14ac:dyDescent="0.2">
      <c r="A445" t="s">
        <v>42</v>
      </c>
      <c r="B445" t="s">
        <v>43</v>
      </c>
      <c r="C445">
        <v>20230101</v>
      </c>
      <c r="D445">
        <v>2023</v>
      </c>
      <c r="E445">
        <v>52</v>
      </c>
      <c r="F445" t="s">
        <v>311</v>
      </c>
      <c r="G445">
        <v>404</v>
      </c>
      <c r="H445" t="s">
        <v>154</v>
      </c>
      <c r="I445" t="s">
        <v>155</v>
      </c>
      <c r="J445" t="s">
        <v>47</v>
      </c>
      <c r="K445" t="s">
        <v>48</v>
      </c>
      <c r="L445">
        <v>0</v>
      </c>
      <c r="M445" t="s">
        <v>49</v>
      </c>
      <c r="N445" t="s">
        <v>50</v>
      </c>
      <c r="O445">
        <v>0</v>
      </c>
      <c r="P445" t="s">
        <v>49</v>
      </c>
      <c r="Q445" t="s">
        <v>50</v>
      </c>
      <c r="R445" t="s">
        <v>300</v>
      </c>
      <c r="S445" t="s">
        <v>52</v>
      </c>
      <c r="T445" t="b">
        <v>1</v>
      </c>
      <c r="U445" t="s">
        <v>53</v>
      </c>
      <c r="V445" t="s">
        <v>54</v>
      </c>
      <c r="W445">
        <v>4</v>
      </c>
      <c r="X445" t="b">
        <v>0</v>
      </c>
      <c r="Y445" t="s">
        <v>55</v>
      </c>
      <c r="Z445" t="s">
        <v>56</v>
      </c>
      <c r="AA445" t="s">
        <v>57</v>
      </c>
      <c r="AB445">
        <v>0</v>
      </c>
      <c r="AC445" t="s">
        <v>58</v>
      </c>
      <c r="AD445">
        <v>8</v>
      </c>
      <c r="AE445" t="s">
        <v>59</v>
      </c>
      <c r="AF445">
        <v>2970</v>
      </c>
      <c r="AG445" t="b">
        <v>0</v>
      </c>
      <c r="AH445">
        <v>8</v>
      </c>
      <c r="AI445" t="s">
        <v>59</v>
      </c>
      <c r="AJ445">
        <v>2970</v>
      </c>
      <c r="AK445" t="b">
        <v>0</v>
      </c>
      <c r="AL445">
        <v>2970</v>
      </c>
      <c r="AM445" t="b">
        <v>0</v>
      </c>
      <c r="AN445">
        <v>0</v>
      </c>
      <c r="AO445" t="b">
        <v>0</v>
      </c>
      <c r="AQ445">
        <v>4429.1000000000004</v>
      </c>
      <c r="AR445">
        <v>4429.1000000000004</v>
      </c>
      <c r="AS445">
        <v>0</v>
      </c>
      <c r="AT445" t="b">
        <v>0</v>
      </c>
      <c r="AU445" t="b">
        <v>1</v>
      </c>
      <c r="BA445" t="str">
        <f t="shared" si="12"/>
        <v>Normal</v>
      </c>
      <c r="BG445" t="str">
        <f t="shared" si="13"/>
        <v>Normal</v>
      </c>
    </row>
    <row r="446" spans="1:59" x14ac:dyDescent="0.2">
      <c r="A446" t="s">
        <v>42</v>
      </c>
      <c r="B446" t="s">
        <v>43</v>
      </c>
      <c r="C446">
        <v>20230101</v>
      </c>
      <c r="D446">
        <v>2023</v>
      </c>
      <c r="E446">
        <v>52</v>
      </c>
      <c r="F446" t="s">
        <v>311</v>
      </c>
      <c r="G446">
        <v>410</v>
      </c>
      <c r="H446" t="s">
        <v>156</v>
      </c>
      <c r="I446" t="s">
        <v>157</v>
      </c>
      <c r="J446" t="s">
        <v>47</v>
      </c>
      <c r="K446" t="s">
        <v>48</v>
      </c>
      <c r="L446">
        <v>0</v>
      </c>
      <c r="M446" t="s">
        <v>49</v>
      </c>
      <c r="N446" t="s">
        <v>50</v>
      </c>
      <c r="O446">
        <v>0</v>
      </c>
      <c r="P446" t="s">
        <v>49</v>
      </c>
      <c r="Q446" t="s">
        <v>50</v>
      </c>
      <c r="R446" t="s">
        <v>300</v>
      </c>
      <c r="S446" t="s">
        <v>52</v>
      </c>
      <c r="T446" t="b">
        <v>1</v>
      </c>
      <c r="U446" t="s">
        <v>53</v>
      </c>
      <c r="V446" t="s">
        <v>54</v>
      </c>
      <c r="W446">
        <v>4</v>
      </c>
      <c r="X446" t="b">
        <v>0</v>
      </c>
      <c r="Y446" t="s">
        <v>55</v>
      </c>
      <c r="Z446" t="s">
        <v>56</v>
      </c>
      <c r="AA446" t="s">
        <v>57</v>
      </c>
      <c r="AB446">
        <v>0</v>
      </c>
      <c r="AC446" t="s">
        <v>58</v>
      </c>
      <c r="AD446">
        <v>8</v>
      </c>
      <c r="AE446" t="s">
        <v>59</v>
      </c>
      <c r="AF446">
        <v>368.9</v>
      </c>
      <c r="AG446" t="b">
        <v>0</v>
      </c>
      <c r="AH446">
        <v>8</v>
      </c>
      <c r="AI446" t="s">
        <v>59</v>
      </c>
      <c r="AJ446">
        <v>368.9</v>
      </c>
      <c r="AK446" t="b">
        <v>0</v>
      </c>
      <c r="AL446">
        <v>368.9</v>
      </c>
      <c r="AM446" t="b">
        <v>0</v>
      </c>
      <c r="AN446">
        <v>0</v>
      </c>
      <c r="AO446" t="b">
        <v>0</v>
      </c>
      <c r="AQ446">
        <v>7078</v>
      </c>
      <c r="AR446">
        <v>7078</v>
      </c>
      <c r="AS446">
        <v>0</v>
      </c>
      <c r="AT446" t="b">
        <v>0</v>
      </c>
      <c r="AU446" t="b">
        <v>1</v>
      </c>
      <c r="BA446" t="str">
        <f t="shared" si="12"/>
        <v>Normal</v>
      </c>
      <c r="BG446" t="str">
        <f t="shared" si="13"/>
        <v>Normal</v>
      </c>
    </row>
    <row r="447" spans="1:59" x14ac:dyDescent="0.2">
      <c r="A447" t="s">
        <v>42</v>
      </c>
      <c r="B447" t="s">
        <v>43</v>
      </c>
      <c r="C447">
        <v>20230101</v>
      </c>
      <c r="D447">
        <v>2023</v>
      </c>
      <c r="E447">
        <v>52</v>
      </c>
      <c r="F447" t="s">
        <v>311</v>
      </c>
      <c r="G447">
        <v>414</v>
      </c>
      <c r="H447" t="s">
        <v>158</v>
      </c>
      <c r="I447" t="s">
        <v>159</v>
      </c>
      <c r="J447" t="s">
        <v>47</v>
      </c>
      <c r="K447" t="s">
        <v>48</v>
      </c>
      <c r="L447">
        <v>0</v>
      </c>
      <c r="M447" t="s">
        <v>49</v>
      </c>
      <c r="N447" t="s">
        <v>50</v>
      </c>
      <c r="O447">
        <v>0</v>
      </c>
      <c r="P447" t="s">
        <v>49</v>
      </c>
      <c r="Q447" t="s">
        <v>50</v>
      </c>
      <c r="R447" t="s">
        <v>300</v>
      </c>
      <c r="S447" t="s">
        <v>52</v>
      </c>
      <c r="T447" t="b">
        <v>1</v>
      </c>
      <c r="U447" t="s">
        <v>53</v>
      </c>
      <c r="V447" t="s">
        <v>54</v>
      </c>
      <c r="W447">
        <v>4</v>
      </c>
      <c r="X447" t="b">
        <v>0</v>
      </c>
      <c r="Y447" t="s">
        <v>55</v>
      </c>
      <c r="Z447" t="s">
        <v>56</v>
      </c>
      <c r="AA447" t="s">
        <v>57</v>
      </c>
      <c r="AB447">
        <v>0</v>
      </c>
      <c r="AC447" t="s">
        <v>58</v>
      </c>
      <c r="AD447">
        <v>8</v>
      </c>
      <c r="AE447" t="s">
        <v>59</v>
      </c>
      <c r="AF447">
        <v>82006660000</v>
      </c>
      <c r="AG447" t="b">
        <v>0</v>
      </c>
      <c r="AH447">
        <v>8</v>
      </c>
      <c r="AI447" t="s">
        <v>59</v>
      </c>
      <c r="AJ447">
        <v>82006660000</v>
      </c>
      <c r="AK447" t="b">
        <v>0</v>
      </c>
      <c r="AL447">
        <v>82006660000</v>
      </c>
      <c r="AM447" t="b">
        <v>0</v>
      </c>
      <c r="AN447">
        <v>0</v>
      </c>
      <c r="AO447" t="b">
        <v>0</v>
      </c>
      <c r="AQ447">
        <v>49827754836.683998</v>
      </c>
      <c r="AR447">
        <v>49827754836.683998</v>
      </c>
      <c r="AS447">
        <v>0</v>
      </c>
      <c r="AT447" t="b">
        <v>0</v>
      </c>
      <c r="AU447" t="b">
        <v>1</v>
      </c>
      <c r="BA447" t="str">
        <f t="shared" si="12"/>
        <v>Normal</v>
      </c>
      <c r="BG447" t="str">
        <f t="shared" si="13"/>
        <v>Normal</v>
      </c>
    </row>
    <row r="448" spans="1:59" x14ac:dyDescent="0.2">
      <c r="A448" t="s">
        <v>42</v>
      </c>
      <c r="B448" t="s">
        <v>43</v>
      </c>
      <c r="C448">
        <v>20230101</v>
      </c>
      <c r="D448">
        <v>2023</v>
      </c>
      <c r="E448">
        <v>52</v>
      </c>
      <c r="F448" t="s">
        <v>311</v>
      </c>
      <c r="G448">
        <v>418</v>
      </c>
      <c r="H448" t="s">
        <v>162</v>
      </c>
      <c r="I448" t="s">
        <v>163</v>
      </c>
      <c r="J448" t="s">
        <v>47</v>
      </c>
      <c r="K448" t="s">
        <v>48</v>
      </c>
      <c r="L448">
        <v>0</v>
      </c>
      <c r="M448" t="s">
        <v>49</v>
      </c>
      <c r="N448" t="s">
        <v>50</v>
      </c>
      <c r="O448">
        <v>0</v>
      </c>
      <c r="P448" t="s">
        <v>49</v>
      </c>
      <c r="Q448" t="s">
        <v>50</v>
      </c>
      <c r="R448" t="s">
        <v>300</v>
      </c>
      <c r="S448" t="s">
        <v>52</v>
      </c>
      <c r="T448" t="b">
        <v>1</v>
      </c>
      <c r="U448" t="s">
        <v>53</v>
      </c>
      <c r="V448" t="s">
        <v>54</v>
      </c>
      <c r="W448">
        <v>4</v>
      </c>
      <c r="X448" t="b">
        <v>0</v>
      </c>
      <c r="Y448" t="s">
        <v>55</v>
      </c>
      <c r="Z448" t="s">
        <v>56</v>
      </c>
      <c r="AA448" t="s">
        <v>57</v>
      </c>
      <c r="AB448">
        <v>0</v>
      </c>
      <c r="AC448" t="s">
        <v>58</v>
      </c>
      <c r="AD448">
        <v>8</v>
      </c>
      <c r="AE448" t="s">
        <v>59</v>
      </c>
      <c r="AF448">
        <v>8895</v>
      </c>
      <c r="AG448" t="b">
        <v>0</v>
      </c>
      <c r="AH448">
        <v>8</v>
      </c>
      <c r="AI448" t="s">
        <v>59</v>
      </c>
      <c r="AJ448">
        <v>8895</v>
      </c>
      <c r="AK448" t="b">
        <v>0</v>
      </c>
      <c r="AL448">
        <v>8895</v>
      </c>
      <c r="AM448" t="b">
        <v>0</v>
      </c>
      <c r="AN448">
        <v>0</v>
      </c>
      <c r="AO448" t="b">
        <v>0</v>
      </c>
      <c r="AQ448">
        <v>1260</v>
      </c>
      <c r="AR448">
        <v>1260</v>
      </c>
      <c r="AS448">
        <v>0</v>
      </c>
      <c r="AT448" t="b">
        <v>0</v>
      </c>
      <c r="AU448" t="b">
        <v>1</v>
      </c>
      <c r="BA448" t="str">
        <f t="shared" si="12"/>
        <v>Normal</v>
      </c>
      <c r="BG448" t="str">
        <f t="shared" si="13"/>
        <v>Normal</v>
      </c>
    </row>
    <row r="449" spans="1:59" x14ac:dyDescent="0.2">
      <c r="A449" t="s">
        <v>42</v>
      </c>
      <c r="B449" t="s">
        <v>43</v>
      </c>
      <c r="C449">
        <v>20230101</v>
      </c>
      <c r="D449">
        <v>2023</v>
      </c>
      <c r="E449">
        <v>52</v>
      </c>
      <c r="F449" t="s">
        <v>311</v>
      </c>
      <c r="G449">
        <v>422</v>
      </c>
      <c r="H449" t="s">
        <v>164</v>
      </c>
      <c r="I449" t="s">
        <v>165</v>
      </c>
      <c r="J449" t="s">
        <v>47</v>
      </c>
      <c r="K449" t="s">
        <v>48</v>
      </c>
      <c r="L449">
        <v>0</v>
      </c>
      <c r="M449" t="s">
        <v>49</v>
      </c>
      <c r="N449" t="s">
        <v>50</v>
      </c>
      <c r="O449">
        <v>0</v>
      </c>
      <c r="P449" t="s">
        <v>49</v>
      </c>
      <c r="Q449" t="s">
        <v>50</v>
      </c>
      <c r="R449" t="s">
        <v>51</v>
      </c>
      <c r="S449" t="s">
        <v>52</v>
      </c>
      <c r="T449" t="b">
        <v>1</v>
      </c>
      <c r="U449" t="s">
        <v>53</v>
      </c>
      <c r="V449" t="s">
        <v>54</v>
      </c>
      <c r="W449">
        <v>4</v>
      </c>
      <c r="X449" t="b">
        <v>0</v>
      </c>
      <c r="Y449" t="s">
        <v>55</v>
      </c>
      <c r="Z449" t="s">
        <v>56</v>
      </c>
      <c r="AA449" t="s">
        <v>57</v>
      </c>
      <c r="AB449">
        <v>0</v>
      </c>
      <c r="AC449" t="s">
        <v>58</v>
      </c>
      <c r="AD449">
        <v>8</v>
      </c>
      <c r="AE449" t="s">
        <v>59</v>
      </c>
      <c r="AF449">
        <v>4530.0820000000003</v>
      </c>
      <c r="AG449" t="b">
        <v>1</v>
      </c>
      <c r="AH449">
        <v>-1</v>
      </c>
      <c r="AI449" t="s">
        <v>73</v>
      </c>
      <c r="AJ449">
        <v>0</v>
      </c>
      <c r="AK449" t="b">
        <v>0</v>
      </c>
      <c r="AL449">
        <v>4530.0820000000003</v>
      </c>
      <c r="AM449" t="b">
        <v>1</v>
      </c>
      <c r="AN449">
        <v>0</v>
      </c>
      <c r="AO449" t="b">
        <v>0</v>
      </c>
      <c r="AQ449">
        <v>2440</v>
      </c>
      <c r="AR449">
        <v>2440</v>
      </c>
      <c r="AS449">
        <v>6</v>
      </c>
      <c r="AT449" t="b">
        <v>0</v>
      </c>
      <c r="AU449" t="b">
        <v>1</v>
      </c>
      <c r="BA449" t="str">
        <f t="shared" si="12"/>
        <v>Normal</v>
      </c>
      <c r="BG449" t="str">
        <f t="shared" si="13"/>
        <v>Normal</v>
      </c>
    </row>
    <row r="450" spans="1:59" x14ac:dyDescent="0.2">
      <c r="A450" t="s">
        <v>42</v>
      </c>
      <c r="B450" t="s">
        <v>43</v>
      </c>
      <c r="C450">
        <v>20230101</v>
      </c>
      <c r="D450">
        <v>2023</v>
      </c>
      <c r="E450">
        <v>52</v>
      </c>
      <c r="F450" t="s">
        <v>311</v>
      </c>
      <c r="G450">
        <v>428</v>
      </c>
      <c r="H450" t="s">
        <v>166</v>
      </c>
      <c r="I450" t="s">
        <v>167</v>
      </c>
      <c r="J450" t="s">
        <v>47</v>
      </c>
      <c r="K450" t="s">
        <v>48</v>
      </c>
      <c r="L450">
        <v>0</v>
      </c>
      <c r="M450" t="s">
        <v>49</v>
      </c>
      <c r="N450" t="s">
        <v>50</v>
      </c>
      <c r="O450">
        <v>0</v>
      </c>
      <c r="P450" t="s">
        <v>49</v>
      </c>
      <c r="Q450" t="s">
        <v>50</v>
      </c>
      <c r="R450" t="s">
        <v>300</v>
      </c>
      <c r="S450" t="s">
        <v>52</v>
      </c>
      <c r="T450" t="b">
        <v>1</v>
      </c>
      <c r="U450" t="s">
        <v>53</v>
      </c>
      <c r="V450" t="s">
        <v>54</v>
      </c>
      <c r="W450">
        <v>4</v>
      </c>
      <c r="X450" t="b">
        <v>0</v>
      </c>
      <c r="Y450" t="s">
        <v>55</v>
      </c>
      <c r="Z450" t="s">
        <v>56</v>
      </c>
      <c r="AA450" t="s">
        <v>57</v>
      </c>
      <c r="AB450">
        <v>0</v>
      </c>
      <c r="AC450" t="s">
        <v>58</v>
      </c>
      <c r="AD450">
        <v>8</v>
      </c>
      <c r="AE450" t="s">
        <v>59</v>
      </c>
      <c r="AF450">
        <v>3688726</v>
      </c>
      <c r="AG450" t="b">
        <v>0</v>
      </c>
      <c r="AH450">
        <v>8</v>
      </c>
      <c r="AI450" t="s">
        <v>59</v>
      </c>
      <c r="AJ450">
        <v>3688726</v>
      </c>
      <c r="AK450" t="b">
        <v>0</v>
      </c>
      <c r="AL450">
        <v>3688726</v>
      </c>
      <c r="AM450" t="b">
        <v>0</v>
      </c>
      <c r="AN450">
        <v>0</v>
      </c>
      <c r="AO450" t="b">
        <v>0</v>
      </c>
      <c r="AQ450">
        <v>1052722.047</v>
      </c>
      <c r="AR450">
        <v>1052722.047</v>
      </c>
      <c r="AS450">
        <v>0</v>
      </c>
      <c r="AT450" t="b">
        <v>0</v>
      </c>
      <c r="AU450" t="b">
        <v>1</v>
      </c>
      <c r="BA450" t="str">
        <f t="shared" si="12"/>
        <v>Normal</v>
      </c>
      <c r="BG450" t="str">
        <f t="shared" si="13"/>
        <v>Normal</v>
      </c>
    </row>
    <row r="451" spans="1:59" x14ac:dyDescent="0.2">
      <c r="A451" t="s">
        <v>42</v>
      </c>
      <c r="B451" t="s">
        <v>43</v>
      </c>
      <c r="C451">
        <v>20230101</v>
      </c>
      <c r="D451">
        <v>2023</v>
      </c>
      <c r="E451">
        <v>52</v>
      </c>
      <c r="F451" t="s">
        <v>311</v>
      </c>
      <c r="G451">
        <v>430</v>
      </c>
      <c r="H451" t="s">
        <v>297</v>
      </c>
      <c r="I451" t="s">
        <v>298</v>
      </c>
      <c r="J451" t="s">
        <v>47</v>
      </c>
      <c r="K451" t="s">
        <v>48</v>
      </c>
      <c r="L451">
        <v>0</v>
      </c>
      <c r="M451" t="s">
        <v>49</v>
      </c>
      <c r="N451" t="s">
        <v>50</v>
      </c>
      <c r="O451">
        <v>0</v>
      </c>
      <c r="P451" t="s">
        <v>49</v>
      </c>
      <c r="Q451" t="s">
        <v>50</v>
      </c>
      <c r="R451" t="s">
        <v>300</v>
      </c>
      <c r="S451" t="s">
        <v>52</v>
      </c>
      <c r="T451" t="b">
        <v>1</v>
      </c>
      <c r="U451" t="s">
        <v>53</v>
      </c>
      <c r="V451" t="s">
        <v>54</v>
      </c>
      <c r="W451">
        <v>4</v>
      </c>
      <c r="X451" t="b">
        <v>0</v>
      </c>
      <c r="Y451" t="s">
        <v>55</v>
      </c>
      <c r="Z451" t="s">
        <v>56</v>
      </c>
      <c r="AA451" t="s">
        <v>57</v>
      </c>
      <c r="AB451">
        <v>0</v>
      </c>
      <c r="AC451" t="s">
        <v>58</v>
      </c>
      <c r="AD451">
        <v>-1</v>
      </c>
      <c r="AE451" t="s">
        <v>73</v>
      </c>
      <c r="AF451">
        <v>0</v>
      </c>
      <c r="AG451" t="b">
        <v>0</v>
      </c>
      <c r="AH451">
        <v>-1</v>
      </c>
      <c r="AI451" t="s">
        <v>73</v>
      </c>
      <c r="AJ451">
        <v>0</v>
      </c>
      <c r="AK451" t="b">
        <v>0</v>
      </c>
      <c r="AM451" t="b">
        <v>0</v>
      </c>
      <c r="AN451">
        <v>0</v>
      </c>
      <c r="AO451" t="b">
        <v>0</v>
      </c>
      <c r="AQ451">
        <v>2830364</v>
      </c>
      <c r="AR451">
        <v>2830364</v>
      </c>
      <c r="AS451">
        <v>0</v>
      </c>
      <c r="AT451" t="b">
        <v>0</v>
      </c>
      <c r="AU451" t="b">
        <v>1</v>
      </c>
      <c r="BA451" t="str">
        <f t="shared" ref="BA451:BA514" si="14">IF(OR(AJ451&lt;AY451,AJ1025&gt;AZ451),"Outlier","Normal")</f>
        <v>Normal</v>
      </c>
      <c r="BG451" t="str">
        <f t="shared" ref="BG451:BG514" si="15">IF(OR(AQ451&lt;BE451,AQ1025&gt;BF451),"Outlier","Normal")</f>
        <v>Normal</v>
      </c>
    </row>
    <row r="452" spans="1:59" x14ac:dyDescent="0.2">
      <c r="A452" t="s">
        <v>42</v>
      </c>
      <c r="B452" t="s">
        <v>43</v>
      </c>
      <c r="C452">
        <v>20230101</v>
      </c>
      <c r="D452">
        <v>2023</v>
      </c>
      <c r="E452">
        <v>52</v>
      </c>
      <c r="F452" t="s">
        <v>311</v>
      </c>
      <c r="G452">
        <v>440</v>
      </c>
      <c r="H452" t="s">
        <v>171</v>
      </c>
      <c r="I452" t="s">
        <v>172</v>
      </c>
      <c r="J452" t="s">
        <v>47</v>
      </c>
      <c r="K452" t="s">
        <v>48</v>
      </c>
      <c r="L452">
        <v>0</v>
      </c>
      <c r="M452" t="s">
        <v>49</v>
      </c>
      <c r="N452" t="s">
        <v>50</v>
      </c>
      <c r="O452">
        <v>0</v>
      </c>
      <c r="P452" t="s">
        <v>49</v>
      </c>
      <c r="Q452" t="s">
        <v>50</v>
      </c>
      <c r="R452" t="s">
        <v>300</v>
      </c>
      <c r="S452" t="s">
        <v>52</v>
      </c>
      <c r="T452" t="b">
        <v>1</v>
      </c>
      <c r="U452" t="s">
        <v>53</v>
      </c>
      <c r="V452" t="s">
        <v>54</v>
      </c>
      <c r="W452">
        <v>4</v>
      </c>
      <c r="X452" t="b">
        <v>0</v>
      </c>
      <c r="Y452" t="s">
        <v>55</v>
      </c>
      <c r="Z452" t="s">
        <v>56</v>
      </c>
      <c r="AA452" t="s">
        <v>57</v>
      </c>
      <c r="AB452">
        <v>0</v>
      </c>
      <c r="AC452" t="s">
        <v>58</v>
      </c>
      <c r="AD452">
        <v>8</v>
      </c>
      <c r="AE452" t="s">
        <v>59</v>
      </c>
      <c r="AF452">
        <v>32491976</v>
      </c>
      <c r="AG452" t="b">
        <v>0</v>
      </c>
      <c r="AH452">
        <v>8</v>
      </c>
      <c r="AI452" t="s">
        <v>59</v>
      </c>
      <c r="AJ452">
        <v>32491976</v>
      </c>
      <c r="AK452" t="b">
        <v>0</v>
      </c>
      <c r="AL452">
        <v>32491976</v>
      </c>
      <c r="AM452" t="b">
        <v>0</v>
      </c>
      <c r="AN452">
        <v>0</v>
      </c>
      <c r="AO452" t="b">
        <v>0</v>
      </c>
      <c r="AQ452">
        <v>19534149</v>
      </c>
      <c r="AR452">
        <v>19534149</v>
      </c>
      <c r="AS452">
        <v>0</v>
      </c>
      <c r="AT452" t="b">
        <v>0</v>
      </c>
      <c r="AU452" t="b">
        <v>1</v>
      </c>
      <c r="BA452" t="str">
        <f t="shared" si="14"/>
        <v>Normal</v>
      </c>
      <c r="BG452" t="str">
        <f t="shared" si="15"/>
        <v>Normal</v>
      </c>
    </row>
    <row r="453" spans="1:59" x14ac:dyDescent="0.2">
      <c r="A453" t="s">
        <v>42</v>
      </c>
      <c r="B453" t="s">
        <v>43</v>
      </c>
      <c r="C453">
        <v>20230101</v>
      </c>
      <c r="D453">
        <v>2023</v>
      </c>
      <c r="E453">
        <v>52</v>
      </c>
      <c r="F453" t="s">
        <v>311</v>
      </c>
      <c r="G453">
        <v>442</v>
      </c>
      <c r="H453" t="s">
        <v>173</v>
      </c>
      <c r="I453" t="s">
        <v>174</v>
      </c>
      <c r="J453" t="s">
        <v>47</v>
      </c>
      <c r="K453" t="s">
        <v>48</v>
      </c>
      <c r="L453">
        <v>0</v>
      </c>
      <c r="M453" t="s">
        <v>49</v>
      </c>
      <c r="N453" t="s">
        <v>50</v>
      </c>
      <c r="O453">
        <v>0</v>
      </c>
      <c r="P453" t="s">
        <v>49</v>
      </c>
      <c r="Q453" t="s">
        <v>50</v>
      </c>
      <c r="R453" t="s">
        <v>300</v>
      </c>
      <c r="S453" t="s">
        <v>52</v>
      </c>
      <c r="T453" t="b">
        <v>1</v>
      </c>
      <c r="U453" t="s">
        <v>53</v>
      </c>
      <c r="V453" t="s">
        <v>54</v>
      </c>
      <c r="W453">
        <v>4</v>
      </c>
      <c r="X453" t="b">
        <v>0</v>
      </c>
      <c r="Y453" t="s">
        <v>55</v>
      </c>
      <c r="Z453" t="s">
        <v>56</v>
      </c>
      <c r="AA453" t="s">
        <v>57</v>
      </c>
      <c r="AB453">
        <v>0</v>
      </c>
      <c r="AC453" t="s">
        <v>58</v>
      </c>
      <c r="AD453">
        <v>8</v>
      </c>
      <c r="AE453" t="s">
        <v>59</v>
      </c>
      <c r="AF453">
        <v>3.3</v>
      </c>
      <c r="AG453" t="b">
        <v>0</v>
      </c>
      <c r="AH453">
        <v>8</v>
      </c>
      <c r="AI453" t="s">
        <v>59</v>
      </c>
      <c r="AJ453">
        <v>3.3</v>
      </c>
      <c r="AK453" t="b">
        <v>0</v>
      </c>
      <c r="AL453">
        <v>3.3</v>
      </c>
      <c r="AM453" t="b">
        <v>0</v>
      </c>
      <c r="AN453">
        <v>0</v>
      </c>
      <c r="AO453" t="b">
        <v>0</v>
      </c>
      <c r="AQ453">
        <v>139.25700000000001</v>
      </c>
      <c r="AR453">
        <v>139.25700000000001</v>
      </c>
      <c r="AS453">
        <v>0</v>
      </c>
      <c r="AT453" t="b">
        <v>0</v>
      </c>
      <c r="AU453" t="b">
        <v>1</v>
      </c>
      <c r="BA453" t="str">
        <f t="shared" si="14"/>
        <v>Normal</v>
      </c>
      <c r="BG453" t="str">
        <f t="shared" si="15"/>
        <v>Normal</v>
      </c>
    </row>
    <row r="454" spans="1:59" x14ac:dyDescent="0.2">
      <c r="A454" t="s">
        <v>42</v>
      </c>
      <c r="B454" t="s">
        <v>43</v>
      </c>
      <c r="C454">
        <v>20230101</v>
      </c>
      <c r="D454">
        <v>2023</v>
      </c>
      <c r="E454">
        <v>52</v>
      </c>
      <c r="F454" t="s">
        <v>311</v>
      </c>
      <c r="G454">
        <v>454</v>
      </c>
      <c r="H454" t="s">
        <v>175</v>
      </c>
      <c r="I454" t="s">
        <v>176</v>
      </c>
      <c r="J454" t="s">
        <v>47</v>
      </c>
      <c r="K454" t="s">
        <v>48</v>
      </c>
      <c r="L454">
        <v>0</v>
      </c>
      <c r="M454" t="s">
        <v>49</v>
      </c>
      <c r="N454" t="s">
        <v>50</v>
      </c>
      <c r="O454">
        <v>0</v>
      </c>
      <c r="P454" t="s">
        <v>49</v>
      </c>
      <c r="Q454" t="s">
        <v>50</v>
      </c>
      <c r="R454" t="s">
        <v>300</v>
      </c>
      <c r="S454" t="s">
        <v>52</v>
      </c>
      <c r="T454" t="b">
        <v>1</v>
      </c>
      <c r="U454" t="s">
        <v>53</v>
      </c>
      <c r="V454" t="s">
        <v>54</v>
      </c>
      <c r="W454">
        <v>4</v>
      </c>
      <c r="X454" t="b">
        <v>0</v>
      </c>
      <c r="Y454" t="s">
        <v>55</v>
      </c>
      <c r="Z454" t="s">
        <v>56</v>
      </c>
      <c r="AA454" t="s">
        <v>57</v>
      </c>
      <c r="AB454">
        <v>0</v>
      </c>
      <c r="AC454" t="s">
        <v>58</v>
      </c>
      <c r="AD454">
        <v>8</v>
      </c>
      <c r="AE454" t="s">
        <v>59</v>
      </c>
      <c r="AF454">
        <v>5</v>
      </c>
      <c r="AG454" t="b">
        <v>0</v>
      </c>
      <c r="AH454">
        <v>40</v>
      </c>
      <c r="AI454" t="s">
        <v>316</v>
      </c>
      <c r="AJ454">
        <v>6</v>
      </c>
      <c r="AK454" t="b">
        <v>0</v>
      </c>
      <c r="AL454">
        <v>5</v>
      </c>
      <c r="AM454" t="b">
        <v>0</v>
      </c>
      <c r="AN454">
        <v>0</v>
      </c>
      <c r="AO454" t="b">
        <v>0</v>
      </c>
      <c r="AQ454">
        <v>4.83</v>
      </c>
      <c r="AR454">
        <v>4.83</v>
      </c>
      <c r="AS454">
        <v>0</v>
      </c>
      <c r="AT454" t="b">
        <v>0</v>
      </c>
      <c r="AU454" t="b">
        <v>1</v>
      </c>
      <c r="BA454" t="str">
        <f t="shared" si="14"/>
        <v>Normal</v>
      </c>
      <c r="BG454" t="str">
        <f t="shared" si="15"/>
        <v>Normal</v>
      </c>
    </row>
    <row r="455" spans="1:59" x14ac:dyDescent="0.2">
      <c r="A455" t="s">
        <v>42</v>
      </c>
      <c r="B455" t="s">
        <v>43</v>
      </c>
      <c r="C455">
        <v>20230101</v>
      </c>
      <c r="D455">
        <v>2023</v>
      </c>
      <c r="E455">
        <v>52</v>
      </c>
      <c r="F455" t="s">
        <v>311</v>
      </c>
      <c r="G455">
        <v>458</v>
      </c>
      <c r="H455" t="s">
        <v>177</v>
      </c>
      <c r="I455" t="s">
        <v>178</v>
      </c>
      <c r="J455" t="s">
        <v>47</v>
      </c>
      <c r="K455" t="s">
        <v>48</v>
      </c>
      <c r="L455">
        <v>0</v>
      </c>
      <c r="M455" t="s">
        <v>49</v>
      </c>
      <c r="N455" t="s">
        <v>50</v>
      </c>
      <c r="O455">
        <v>0</v>
      </c>
      <c r="P455" t="s">
        <v>49</v>
      </c>
      <c r="Q455" t="s">
        <v>50</v>
      </c>
      <c r="R455" t="s">
        <v>300</v>
      </c>
      <c r="S455" t="s">
        <v>52</v>
      </c>
      <c r="T455" t="b">
        <v>1</v>
      </c>
      <c r="U455" t="s">
        <v>53</v>
      </c>
      <c r="V455" t="s">
        <v>54</v>
      </c>
      <c r="W455">
        <v>4</v>
      </c>
      <c r="X455" t="b">
        <v>0</v>
      </c>
      <c r="Y455" t="s">
        <v>55</v>
      </c>
      <c r="Z455" t="s">
        <v>56</v>
      </c>
      <c r="AA455" t="s">
        <v>57</v>
      </c>
      <c r="AB455">
        <v>0</v>
      </c>
      <c r="AC455" t="s">
        <v>58</v>
      </c>
      <c r="AD455">
        <v>8</v>
      </c>
      <c r="AE455" t="s">
        <v>59</v>
      </c>
      <c r="AF455">
        <v>10367873490</v>
      </c>
      <c r="AG455" t="b">
        <v>0</v>
      </c>
      <c r="AH455">
        <v>8</v>
      </c>
      <c r="AI455" t="s">
        <v>59</v>
      </c>
      <c r="AJ455">
        <v>10367873490</v>
      </c>
      <c r="AK455" t="b">
        <v>0</v>
      </c>
      <c r="AL455">
        <v>10367873490</v>
      </c>
      <c r="AM455" t="b">
        <v>0</v>
      </c>
      <c r="AN455">
        <v>0</v>
      </c>
      <c r="AO455" t="b">
        <v>0</v>
      </c>
      <c r="AQ455">
        <v>7004160187.46</v>
      </c>
      <c r="AR455">
        <v>7004160187.46</v>
      </c>
      <c r="AS455">
        <v>0</v>
      </c>
      <c r="AT455" t="b">
        <v>0</v>
      </c>
      <c r="AU455" t="b">
        <v>1</v>
      </c>
      <c r="BA455" t="str">
        <f t="shared" si="14"/>
        <v>Normal</v>
      </c>
      <c r="BG455" t="str">
        <f t="shared" si="15"/>
        <v>Normal</v>
      </c>
    </row>
    <row r="456" spans="1:59" x14ac:dyDescent="0.2">
      <c r="A456" t="s">
        <v>42</v>
      </c>
      <c r="B456" t="s">
        <v>43</v>
      </c>
      <c r="C456">
        <v>20230101</v>
      </c>
      <c r="D456">
        <v>2023</v>
      </c>
      <c r="E456">
        <v>52</v>
      </c>
      <c r="F456" t="s">
        <v>311</v>
      </c>
      <c r="G456">
        <v>478</v>
      </c>
      <c r="H456" t="s">
        <v>317</v>
      </c>
      <c r="I456" t="s">
        <v>318</v>
      </c>
      <c r="J456" t="s">
        <v>47</v>
      </c>
      <c r="K456" t="s">
        <v>48</v>
      </c>
      <c r="L456">
        <v>0</v>
      </c>
      <c r="M456" t="s">
        <v>49</v>
      </c>
      <c r="N456" t="s">
        <v>50</v>
      </c>
      <c r="O456">
        <v>0</v>
      </c>
      <c r="P456" t="s">
        <v>49</v>
      </c>
      <c r="Q456" t="s">
        <v>50</v>
      </c>
      <c r="R456" t="s">
        <v>51</v>
      </c>
      <c r="S456" t="s">
        <v>52</v>
      </c>
      <c r="T456" t="b">
        <v>1</v>
      </c>
      <c r="U456" t="s">
        <v>53</v>
      </c>
      <c r="V456" t="s">
        <v>54</v>
      </c>
      <c r="W456">
        <v>4</v>
      </c>
      <c r="X456" t="b">
        <v>0</v>
      </c>
      <c r="Y456" t="s">
        <v>55</v>
      </c>
      <c r="Z456" t="s">
        <v>56</v>
      </c>
      <c r="AA456" t="s">
        <v>57</v>
      </c>
      <c r="AB456">
        <v>0</v>
      </c>
      <c r="AC456" t="s">
        <v>58</v>
      </c>
      <c r="AD456">
        <v>8</v>
      </c>
      <c r="AE456" t="s">
        <v>59</v>
      </c>
      <c r="AF456">
        <v>7.55</v>
      </c>
      <c r="AG456" t="b">
        <v>0</v>
      </c>
      <c r="AH456">
        <v>8</v>
      </c>
      <c r="AI456" t="s">
        <v>59</v>
      </c>
      <c r="AJ456">
        <v>7.55</v>
      </c>
      <c r="AK456" t="b">
        <v>0</v>
      </c>
      <c r="AL456">
        <v>7.55</v>
      </c>
      <c r="AM456" t="b">
        <v>0</v>
      </c>
      <c r="AN456">
        <v>0</v>
      </c>
      <c r="AO456" t="b">
        <v>0</v>
      </c>
      <c r="AQ456">
        <v>394.20699999999999</v>
      </c>
      <c r="AR456">
        <v>394.20699999999999</v>
      </c>
      <c r="AS456">
        <v>0</v>
      </c>
      <c r="AT456" t="b">
        <v>0</v>
      </c>
      <c r="AU456" t="b">
        <v>1</v>
      </c>
      <c r="BA456" t="str">
        <f t="shared" si="14"/>
        <v>Normal</v>
      </c>
      <c r="BG456" t="str">
        <f t="shared" si="15"/>
        <v>Normal</v>
      </c>
    </row>
    <row r="457" spans="1:59" x14ac:dyDescent="0.2">
      <c r="A457" t="s">
        <v>42</v>
      </c>
      <c r="B457" t="s">
        <v>43</v>
      </c>
      <c r="C457">
        <v>20230101</v>
      </c>
      <c r="D457">
        <v>2023</v>
      </c>
      <c r="E457">
        <v>52</v>
      </c>
      <c r="F457" t="s">
        <v>311</v>
      </c>
      <c r="G457">
        <v>484</v>
      </c>
      <c r="H457" t="s">
        <v>181</v>
      </c>
      <c r="I457" t="s">
        <v>182</v>
      </c>
      <c r="J457" t="s">
        <v>47</v>
      </c>
      <c r="K457" t="s">
        <v>48</v>
      </c>
      <c r="L457">
        <v>0</v>
      </c>
      <c r="M457" t="s">
        <v>49</v>
      </c>
      <c r="N457" t="s">
        <v>50</v>
      </c>
      <c r="O457">
        <v>0</v>
      </c>
      <c r="P457" t="s">
        <v>49</v>
      </c>
      <c r="Q457" t="s">
        <v>50</v>
      </c>
      <c r="R457" t="s">
        <v>300</v>
      </c>
      <c r="S457" t="s">
        <v>52</v>
      </c>
      <c r="T457" t="b">
        <v>1</v>
      </c>
      <c r="U457" t="s">
        <v>53</v>
      </c>
      <c r="V457" t="s">
        <v>54</v>
      </c>
      <c r="W457">
        <v>4</v>
      </c>
      <c r="X457" t="b">
        <v>0</v>
      </c>
      <c r="Y457" t="s">
        <v>55</v>
      </c>
      <c r="Z457" t="s">
        <v>56</v>
      </c>
      <c r="AA457" t="s">
        <v>57</v>
      </c>
      <c r="AB457">
        <v>0</v>
      </c>
      <c r="AC457" t="s">
        <v>58</v>
      </c>
      <c r="AD457">
        <v>8</v>
      </c>
      <c r="AE457" t="s">
        <v>59</v>
      </c>
      <c r="AF457">
        <v>50765602469.529999</v>
      </c>
      <c r="AG457" t="b">
        <v>1</v>
      </c>
      <c r="AH457">
        <v>-1</v>
      </c>
      <c r="AI457" t="s">
        <v>73</v>
      </c>
      <c r="AJ457">
        <v>0</v>
      </c>
      <c r="AK457" t="b">
        <v>0</v>
      </c>
      <c r="AL457">
        <v>50765602469.529999</v>
      </c>
      <c r="AM457" t="b">
        <v>1</v>
      </c>
      <c r="AN457">
        <v>0</v>
      </c>
      <c r="AO457" t="b">
        <v>0</v>
      </c>
      <c r="AQ457">
        <v>27579902888</v>
      </c>
      <c r="AR457">
        <v>27579902888</v>
      </c>
      <c r="AS457">
        <v>6</v>
      </c>
      <c r="AT457" t="b">
        <v>0</v>
      </c>
      <c r="AU457" t="b">
        <v>1</v>
      </c>
      <c r="BA457" t="str">
        <f t="shared" si="14"/>
        <v>Normal</v>
      </c>
      <c r="BG457" t="str">
        <f t="shared" si="15"/>
        <v>Normal</v>
      </c>
    </row>
    <row r="458" spans="1:59" x14ac:dyDescent="0.2">
      <c r="A458" t="s">
        <v>42</v>
      </c>
      <c r="B458" t="s">
        <v>43</v>
      </c>
      <c r="C458">
        <v>20230101</v>
      </c>
      <c r="D458">
        <v>2023</v>
      </c>
      <c r="E458">
        <v>52</v>
      </c>
      <c r="F458" t="s">
        <v>311</v>
      </c>
      <c r="G458">
        <v>496</v>
      </c>
      <c r="H458" t="s">
        <v>183</v>
      </c>
      <c r="I458" t="s">
        <v>184</v>
      </c>
      <c r="J458" t="s">
        <v>47</v>
      </c>
      <c r="K458" t="s">
        <v>48</v>
      </c>
      <c r="L458">
        <v>0</v>
      </c>
      <c r="M458" t="s">
        <v>49</v>
      </c>
      <c r="N458" t="s">
        <v>50</v>
      </c>
      <c r="O458">
        <v>0</v>
      </c>
      <c r="P458" t="s">
        <v>49</v>
      </c>
      <c r="Q458" t="s">
        <v>50</v>
      </c>
      <c r="R458" t="s">
        <v>300</v>
      </c>
      <c r="S458" t="s">
        <v>52</v>
      </c>
      <c r="T458" t="b">
        <v>1</v>
      </c>
      <c r="U458" t="s">
        <v>53</v>
      </c>
      <c r="V458" t="s">
        <v>54</v>
      </c>
      <c r="W458">
        <v>4</v>
      </c>
      <c r="X458" t="b">
        <v>0</v>
      </c>
      <c r="Y458" t="s">
        <v>55</v>
      </c>
      <c r="Z458" t="s">
        <v>56</v>
      </c>
      <c r="AA458" t="s">
        <v>57</v>
      </c>
      <c r="AB458">
        <v>0</v>
      </c>
      <c r="AC458" t="s">
        <v>58</v>
      </c>
      <c r="AD458">
        <v>8</v>
      </c>
      <c r="AE458" t="s">
        <v>59</v>
      </c>
      <c r="AF458">
        <v>643079000</v>
      </c>
      <c r="AG458" t="b">
        <v>0</v>
      </c>
      <c r="AH458">
        <v>19</v>
      </c>
      <c r="AI458" t="s">
        <v>60</v>
      </c>
      <c r="AJ458">
        <v>4730370</v>
      </c>
      <c r="AK458" t="b">
        <v>0</v>
      </c>
      <c r="AL458">
        <v>643079000</v>
      </c>
      <c r="AM458" t="b">
        <v>0</v>
      </c>
      <c r="AN458">
        <v>0</v>
      </c>
      <c r="AO458" t="b">
        <v>0</v>
      </c>
      <c r="AQ458">
        <v>364741781.56999999</v>
      </c>
      <c r="AR458">
        <v>364741781.56999999</v>
      </c>
      <c r="AS458">
        <v>0</v>
      </c>
      <c r="AT458" t="b">
        <v>0</v>
      </c>
      <c r="AU458" t="b">
        <v>1</v>
      </c>
      <c r="BA458" t="str">
        <f t="shared" si="14"/>
        <v>Normal</v>
      </c>
      <c r="BG458" t="str">
        <f t="shared" si="15"/>
        <v>Normal</v>
      </c>
    </row>
    <row r="459" spans="1:59" x14ac:dyDescent="0.2">
      <c r="A459" t="s">
        <v>42</v>
      </c>
      <c r="B459" t="s">
        <v>43</v>
      </c>
      <c r="C459">
        <v>20230101</v>
      </c>
      <c r="D459">
        <v>2023</v>
      </c>
      <c r="E459">
        <v>52</v>
      </c>
      <c r="F459" t="s">
        <v>311</v>
      </c>
      <c r="G459">
        <v>498</v>
      </c>
      <c r="H459" t="s">
        <v>185</v>
      </c>
      <c r="I459" t="s">
        <v>186</v>
      </c>
      <c r="J459" t="s">
        <v>47</v>
      </c>
      <c r="K459" t="s">
        <v>48</v>
      </c>
      <c r="L459">
        <v>0</v>
      </c>
      <c r="M459" t="s">
        <v>49</v>
      </c>
      <c r="N459" t="s">
        <v>50</v>
      </c>
      <c r="O459">
        <v>0</v>
      </c>
      <c r="P459" t="s">
        <v>49</v>
      </c>
      <c r="Q459" t="s">
        <v>50</v>
      </c>
      <c r="R459" t="s">
        <v>300</v>
      </c>
      <c r="S459" t="s">
        <v>52</v>
      </c>
      <c r="T459" t="b">
        <v>1</v>
      </c>
      <c r="U459" t="s">
        <v>53</v>
      </c>
      <c r="V459" t="s">
        <v>54</v>
      </c>
      <c r="W459">
        <v>4</v>
      </c>
      <c r="X459" t="b">
        <v>0</v>
      </c>
      <c r="Y459" t="s">
        <v>55</v>
      </c>
      <c r="Z459" t="s">
        <v>56</v>
      </c>
      <c r="AA459" t="s">
        <v>57</v>
      </c>
      <c r="AB459">
        <v>0</v>
      </c>
      <c r="AC459" t="s">
        <v>58</v>
      </c>
      <c r="AD459">
        <v>8</v>
      </c>
      <c r="AE459" t="s">
        <v>59</v>
      </c>
      <c r="AF459">
        <v>2414205</v>
      </c>
      <c r="AG459" t="b">
        <v>0</v>
      </c>
      <c r="AH459">
        <v>8</v>
      </c>
      <c r="AI459" t="s">
        <v>59</v>
      </c>
      <c r="AJ459">
        <v>2414205</v>
      </c>
      <c r="AK459" t="b">
        <v>0</v>
      </c>
      <c r="AL459">
        <v>2414205</v>
      </c>
      <c r="AM459" t="b">
        <v>0</v>
      </c>
      <c r="AN459">
        <v>0</v>
      </c>
      <c r="AO459" t="b">
        <v>0</v>
      </c>
      <c r="AQ459">
        <v>1054491</v>
      </c>
      <c r="AR459">
        <v>1054491</v>
      </c>
      <c r="AS459">
        <v>0</v>
      </c>
      <c r="AT459" t="b">
        <v>0</v>
      </c>
      <c r="AU459" t="b">
        <v>1</v>
      </c>
      <c r="BA459" t="str">
        <f t="shared" si="14"/>
        <v>Normal</v>
      </c>
      <c r="BG459" t="str">
        <f t="shared" si="15"/>
        <v>Normal</v>
      </c>
    </row>
    <row r="460" spans="1:59" x14ac:dyDescent="0.2">
      <c r="A460" t="s">
        <v>42</v>
      </c>
      <c r="B460" t="s">
        <v>43</v>
      </c>
      <c r="C460">
        <v>20230101</v>
      </c>
      <c r="D460">
        <v>2023</v>
      </c>
      <c r="E460">
        <v>52</v>
      </c>
      <c r="F460" t="s">
        <v>311</v>
      </c>
      <c r="G460">
        <v>508</v>
      </c>
      <c r="H460" t="s">
        <v>319</v>
      </c>
      <c r="I460" t="s">
        <v>320</v>
      </c>
      <c r="J460" t="s">
        <v>47</v>
      </c>
      <c r="K460" t="s">
        <v>48</v>
      </c>
      <c r="L460">
        <v>0</v>
      </c>
      <c r="M460" t="s">
        <v>49</v>
      </c>
      <c r="N460" t="s">
        <v>50</v>
      </c>
      <c r="O460">
        <v>0</v>
      </c>
      <c r="P460" t="s">
        <v>49</v>
      </c>
      <c r="Q460" t="s">
        <v>50</v>
      </c>
      <c r="R460" t="s">
        <v>300</v>
      </c>
      <c r="S460" t="s">
        <v>52</v>
      </c>
      <c r="T460" t="b">
        <v>1</v>
      </c>
      <c r="U460" t="s">
        <v>53</v>
      </c>
      <c r="V460" t="s">
        <v>54</v>
      </c>
      <c r="W460">
        <v>4</v>
      </c>
      <c r="X460" t="b">
        <v>0</v>
      </c>
      <c r="Y460" t="s">
        <v>55</v>
      </c>
      <c r="Z460" t="s">
        <v>56</v>
      </c>
      <c r="AA460" t="s">
        <v>57</v>
      </c>
      <c r="AB460">
        <v>0</v>
      </c>
      <c r="AC460" t="s">
        <v>58</v>
      </c>
      <c r="AD460">
        <v>-1</v>
      </c>
      <c r="AE460" t="s">
        <v>73</v>
      </c>
      <c r="AF460">
        <v>0</v>
      </c>
      <c r="AG460" t="b">
        <v>0</v>
      </c>
      <c r="AH460">
        <v>-1</v>
      </c>
      <c r="AI460" t="s">
        <v>73</v>
      </c>
      <c r="AJ460">
        <v>0</v>
      </c>
      <c r="AK460" t="b">
        <v>0</v>
      </c>
      <c r="AM460" t="b">
        <v>0</v>
      </c>
      <c r="AN460">
        <v>0</v>
      </c>
      <c r="AO460" t="b">
        <v>0</v>
      </c>
      <c r="AQ460">
        <v>104457000</v>
      </c>
      <c r="AR460">
        <v>104457000</v>
      </c>
      <c r="AS460">
        <v>0</v>
      </c>
      <c r="AT460" t="b">
        <v>0</v>
      </c>
      <c r="AU460" t="b">
        <v>1</v>
      </c>
      <c r="BA460" t="str">
        <f t="shared" si="14"/>
        <v>Normal</v>
      </c>
      <c r="BG460" t="str">
        <f t="shared" si="15"/>
        <v>Normal</v>
      </c>
    </row>
    <row r="461" spans="1:59" x14ac:dyDescent="0.2">
      <c r="A461" t="s">
        <v>42</v>
      </c>
      <c r="B461" t="s">
        <v>43</v>
      </c>
      <c r="C461">
        <v>20230101</v>
      </c>
      <c r="D461">
        <v>2023</v>
      </c>
      <c r="E461">
        <v>52</v>
      </c>
      <c r="F461" t="s">
        <v>311</v>
      </c>
      <c r="G461">
        <v>512</v>
      </c>
      <c r="H461" t="s">
        <v>187</v>
      </c>
      <c r="I461" t="s">
        <v>188</v>
      </c>
      <c r="J461" t="s">
        <v>47</v>
      </c>
      <c r="K461" t="s">
        <v>48</v>
      </c>
      <c r="L461">
        <v>0</v>
      </c>
      <c r="M461" t="s">
        <v>49</v>
      </c>
      <c r="N461" t="s">
        <v>50</v>
      </c>
      <c r="O461">
        <v>0</v>
      </c>
      <c r="P461" t="s">
        <v>49</v>
      </c>
      <c r="Q461" t="s">
        <v>50</v>
      </c>
      <c r="R461" t="s">
        <v>300</v>
      </c>
      <c r="S461" t="s">
        <v>52</v>
      </c>
      <c r="T461" t="b">
        <v>1</v>
      </c>
      <c r="U461" t="s">
        <v>53</v>
      </c>
      <c r="V461" t="s">
        <v>54</v>
      </c>
      <c r="W461">
        <v>4</v>
      </c>
      <c r="X461" t="b">
        <v>0</v>
      </c>
      <c r="Y461" t="s">
        <v>55</v>
      </c>
      <c r="Z461" t="s">
        <v>56</v>
      </c>
      <c r="AA461" t="s">
        <v>57</v>
      </c>
      <c r="AB461">
        <v>0</v>
      </c>
      <c r="AC461" t="s">
        <v>58</v>
      </c>
      <c r="AD461">
        <v>8</v>
      </c>
      <c r="AE461" t="s">
        <v>59</v>
      </c>
      <c r="AF461">
        <v>47483152156.144997</v>
      </c>
      <c r="AG461" t="b">
        <v>1</v>
      </c>
      <c r="AH461">
        <v>-1</v>
      </c>
      <c r="AI461" t="s">
        <v>73</v>
      </c>
      <c r="AJ461">
        <v>0</v>
      </c>
      <c r="AK461" t="b">
        <v>0</v>
      </c>
      <c r="AL461">
        <v>47483152156.144997</v>
      </c>
      <c r="AM461" t="b">
        <v>1</v>
      </c>
      <c r="AN461">
        <v>0</v>
      </c>
      <c r="AO461" t="b">
        <v>0</v>
      </c>
      <c r="AQ461">
        <v>25575449143.328999</v>
      </c>
      <c r="AR461">
        <v>25575449143.328999</v>
      </c>
      <c r="AS461">
        <v>6</v>
      </c>
      <c r="AT461" t="b">
        <v>0</v>
      </c>
      <c r="AU461" t="b">
        <v>1</v>
      </c>
      <c r="BA461" t="str">
        <f t="shared" si="14"/>
        <v>Normal</v>
      </c>
      <c r="BG461" t="str">
        <f t="shared" si="15"/>
        <v>Normal</v>
      </c>
    </row>
    <row r="462" spans="1:59" x14ac:dyDescent="0.2">
      <c r="A462" t="s">
        <v>42</v>
      </c>
      <c r="B462" t="s">
        <v>43</v>
      </c>
      <c r="C462">
        <v>20230101</v>
      </c>
      <c r="D462">
        <v>2023</v>
      </c>
      <c r="E462">
        <v>52</v>
      </c>
      <c r="F462" t="s">
        <v>311</v>
      </c>
      <c r="G462">
        <v>516</v>
      </c>
      <c r="H462" t="s">
        <v>189</v>
      </c>
      <c r="I462" t="s">
        <v>190</v>
      </c>
      <c r="J462" t="s">
        <v>47</v>
      </c>
      <c r="K462" t="s">
        <v>48</v>
      </c>
      <c r="L462">
        <v>0</v>
      </c>
      <c r="M462" t="s">
        <v>49</v>
      </c>
      <c r="N462" t="s">
        <v>50</v>
      </c>
      <c r="O462">
        <v>0</v>
      </c>
      <c r="P462" t="s">
        <v>49</v>
      </c>
      <c r="Q462" t="s">
        <v>50</v>
      </c>
      <c r="R462" t="s">
        <v>300</v>
      </c>
      <c r="S462" t="s">
        <v>52</v>
      </c>
      <c r="T462" t="b">
        <v>1</v>
      </c>
      <c r="U462" t="s">
        <v>53</v>
      </c>
      <c r="V462" t="s">
        <v>54</v>
      </c>
      <c r="W462">
        <v>4</v>
      </c>
      <c r="X462" t="b">
        <v>0</v>
      </c>
      <c r="Y462" t="s">
        <v>55</v>
      </c>
      <c r="Z462" t="s">
        <v>56</v>
      </c>
      <c r="AA462" t="s">
        <v>57</v>
      </c>
      <c r="AB462">
        <v>0</v>
      </c>
      <c r="AC462" t="s">
        <v>58</v>
      </c>
      <c r="AD462">
        <v>8</v>
      </c>
      <c r="AE462" t="s">
        <v>59</v>
      </c>
      <c r="AF462">
        <v>6721.69</v>
      </c>
      <c r="AG462" t="b">
        <v>0</v>
      </c>
      <c r="AH462">
        <v>8</v>
      </c>
      <c r="AI462" t="s">
        <v>59</v>
      </c>
      <c r="AJ462">
        <v>6721.69</v>
      </c>
      <c r="AK462" t="b">
        <v>0</v>
      </c>
      <c r="AL462">
        <v>6721.69</v>
      </c>
      <c r="AM462" t="b">
        <v>0</v>
      </c>
      <c r="AN462">
        <v>0</v>
      </c>
      <c r="AO462" t="b">
        <v>0</v>
      </c>
      <c r="AQ462">
        <v>44574.034</v>
      </c>
      <c r="AR462">
        <v>44574.034</v>
      </c>
      <c r="AS462">
        <v>0</v>
      </c>
      <c r="AT462" t="b">
        <v>0</v>
      </c>
      <c r="AU462" t="b">
        <v>1</v>
      </c>
      <c r="BA462" t="str">
        <f t="shared" si="14"/>
        <v>Normal</v>
      </c>
      <c r="BG462" t="str">
        <f t="shared" si="15"/>
        <v>Normal</v>
      </c>
    </row>
    <row r="463" spans="1:59" x14ac:dyDescent="0.2">
      <c r="A463" t="s">
        <v>42</v>
      </c>
      <c r="B463" t="s">
        <v>43</v>
      </c>
      <c r="C463">
        <v>20230101</v>
      </c>
      <c r="D463">
        <v>2023</v>
      </c>
      <c r="E463">
        <v>52</v>
      </c>
      <c r="F463" t="s">
        <v>311</v>
      </c>
      <c r="G463">
        <v>528</v>
      </c>
      <c r="H463" t="s">
        <v>191</v>
      </c>
      <c r="I463" t="s">
        <v>192</v>
      </c>
      <c r="J463" t="s">
        <v>47</v>
      </c>
      <c r="K463" t="s">
        <v>48</v>
      </c>
      <c r="L463">
        <v>0</v>
      </c>
      <c r="M463" t="s">
        <v>49</v>
      </c>
      <c r="N463" t="s">
        <v>50</v>
      </c>
      <c r="O463">
        <v>0</v>
      </c>
      <c r="P463" t="s">
        <v>49</v>
      </c>
      <c r="Q463" t="s">
        <v>50</v>
      </c>
      <c r="R463" t="s">
        <v>300</v>
      </c>
      <c r="S463" t="s">
        <v>52</v>
      </c>
      <c r="T463" t="b">
        <v>1</v>
      </c>
      <c r="U463" t="s">
        <v>53</v>
      </c>
      <c r="V463" t="s">
        <v>54</v>
      </c>
      <c r="W463">
        <v>4</v>
      </c>
      <c r="X463" t="b">
        <v>0</v>
      </c>
      <c r="Y463" t="s">
        <v>55</v>
      </c>
      <c r="Z463" t="s">
        <v>56</v>
      </c>
      <c r="AA463" t="s">
        <v>57</v>
      </c>
      <c r="AB463">
        <v>0</v>
      </c>
      <c r="AC463" t="s">
        <v>58</v>
      </c>
      <c r="AD463">
        <v>-1</v>
      </c>
      <c r="AE463" t="s">
        <v>73</v>
      </c>
      <c r="AF463">
        <v>0</v>
      </c>
      <c r="AG463" t="b">
        <v>0</v>
      </c>
      <c r="AH463">
        <v>-1</v>
      </c>
      <c r="AI463" t="s">
        <v>73</v>
      </c>
      <c r="AJ463">
        <v>0</v>
      </c>
      <c r="AK463" t="b">
        <v>0</v>
      </c>
      <c r="AM463" t="b">
        <v>0</v>
      </c>
      <c r="AN463">
        <v>0</v>
      </c>
      <c r="AO463" t="b">
        <v>0</v>
      </c>
      <c r="AQ463">
        <v>17016724091.663</v>
      </c>
      <c r="AR463">
        <v>17016724091.663</v>
      </c>
      <c r="AS463">
        <v>0</v>
      </c>
      <c r="AT463" t="b">
        <v>0</v>
      </c>
      <c r="AU463" t="b">
        <v>1</v>
      </c>
      <c r="BA463" t="str">
        <f t="shared" si="14"/>
        <v>Normal</v>
      </c>
      <c r="BG463" t="str">
        <f t="shared" si="15"/>
        <v>Normal</v>
      </c>
    </row>
    <row r="464" spans="1:59" x14ac:dyDescent="0.2">
      <c r="A464" t="s">
        <v>42</v>
      </c>
      <c r="B464" t="s">
        <v>43</v>
      </c>
      <c r="C464">
        <v>20230101</v>
      </c>
      <c r="D464">
        <v>2023</v>
      </c>
      <c r="E464">
        <v>52</v>
      </c>
      <c r="F464" t="s">
        <v>311</v>
      </c>
      <c r="G464">
        <v>554</v>
      </c>
      <c r="H464" t="s">
        <v>195</v>
      </c>
      <c r="I464" t="s">
        <v>196</v>
      </c>
      <c r="J464" t="s">
        <v>47</v>
      </c>
      <c r="K464" t="s">
        <v>48</v>
      </c>
      <c r="L464">
        <v>0</v>
      </c>
      <c r="M464" t="s">
        <v>49</v>
      </c>
      <c r="N464" t="s">
        <v>50</v>
      </c>
      <c r="O464">
        <v>0</v>
      </c>
      <c r="P464" t="s">
        <v>49</v>
      </c>
      <c r="Q464" t="s">
        <v>50</v>
      </c>
      <c r="R464" t="s">
        <v>300</v>
      </c>
      <c r="S464" t="s">
        <v>52</v>
      </c>
      <c r="T464" t="b">
        <v>1</v>
      </c>
      <c r="U464" t="s">
        <v>53</v>
      </c>
      <c r="V464" t="s">
        <v>54</v>
      </c>
      <c r="W464">
        <v>4</v>
      </c>
      <c r="X464" t="b">
        <v>0</v>
      </c>
      <c r="Y464" t="s">
        <v>55</v>
      </c>
      <c r="Z464" t="s">
        <v>56</v>
      </c>
      <c r="AA464" t="s">
        <v>57</v>
      </c>
      <c r="AB464">
        <v>0</v>
      </c>
      <c r="AC464" t="s">
        <v>58</v>
      </c>
      <c r="AD464">
        <v>8</v>
      </c>
      <c r="AE464" t="s">
        <v>59</v>
      </c>
      <c r="AF464">
        <v>786721843.30400002</v>
      </c>
      <c r="AG464" t="b">
        <v>1</v>
      </c>
      <c r="AH464">
        <v>-1</v>
      </c>
      <c r="AI464" t="s">
        <v>73</v>
      </c>
      <c r="AJ464">
        <v>0</v>
      </c>
      <c r="AK464" t="b">
        <v>0</v>
      </c>
      <c r="AL464">
        <v>786721843.30400002</v>
      </c>
      <c r="AM464" t="b">
        <v>1</v>
      </c>
      <c r="AN464">
        <v>799540862</v>
      </c>
      <c r="AO464" t="b">
        <v>0</v>
      </c>
      <c r="AQ464">
        <v>492749167.708</v>
      </c>
      <c r="AR464">
        <v>492749167.708</v>
      </c>
      <c r="AS464">
        <v>6</v>
      </c>
      <c r="AT464" t="b">
        <v>0</v>
      </c>
      <c r="AU464" t="b">
        <v>1</v>
      </c>
      <c r="BA464" t="str">
        <f t="shared" si="14"/>
        <v>Normal</v>
      </c>
      <c r="BG464" t="str">
        <f t="shared" si="15"/>
        <v>Normal</v>
      </c>
    </row>
    <row r="465" spans="1:59" x14ac:dyDescent="0.2">
      <c r="A465" t="s">
        <v>42</v>
      </c>
      <c r="B465" t="s">
        <v>43</v>
      </c>
      <c r="C465">
        <v>20230101</v>
      </c>
      <c r="D465">
        <v>2023</v>
      </c>
      <c r="E465">
        <v>52</v>
      </c>
      <c r="F465" t="s">
        <v>311</v>
      </c>
      <c r="G465">
        <v>562</v>
      </c>
      <c r="H465" t="s">
        <v>321</v>
      </c>
      <c r="I465" t="s">
        <v>322</v>
      </c>
      <c r="J465" t="s">
        <v>47</v>
      </c>
      <c r="K465" t="s">
        <v>48</v>
      </c>
      <c r="L465">
        <v>0</v>
      </c>
      <c r="M465" t="s">
        <v>49</v>
      </c>
      <c r="N465" t="s">
        <v>50</v>
      </c>
      <c r="O465">
        <v>0</v>
      </c>
      <c r="P465" t="s">
        <v>49</v>
      </c>
      <c r="Q465" t="s">
        <v>50</v>
      </c>
      <c r="R465" t="s">
        <v>300</v>
      </c>
      <c r="S465" t="s">
        <v>52</v>
      </c>
      <c r="T465" t="b">
        <v>1</v>
      </c>
      <c r="U465" t="s">
        <v>53</v>
      </c>
      <c r="V465" t="s">
        <v>54</v>
      </c>
      <c r="W465">
        <v>4</v>
      </c>
      <c r="X465" t="b">
        <v>0</v>
      </c>
      <c r="Y465" t="s">
        <v>55</v>
      </c>
      <c r="Z465" t="s">
        <v>56</v>
      </c>
      <c r="AA465" t="s">
        <v>57</v>
      </c>
      <c r="AB465">
        <v>0</v>
      </c>
      <c r="AC465" t="s">
        <v>58</v>
      </c>
      <c r="AD465">
        <v>8</v>
      </c>
      <c r="AE465" t="s">
        <v>59</v>
      </c>
      <c r="AF465">
        <v>98</v>
      </c>
      <c r="AG465" t="b">
        <v>0</v>
      </c>
      <c r="AH465">
        <v>8</v>
      </c>
      <c r="AI465" t="s">
        <v>59</v>
      </c>
      <c r="AJ465">
        <v>98</v>
      </c>
      <c r="AK465" t="b">
        <v>0</v>
      </c>
      <c r="AL465">
        <v>98</v>
      </c>
      <c r="AM465" t="b">
        <v>0</v>
      </c>
      <c r="AN465">
        <v>0</v>
      </c>
      <c r="AO465" t="b">
        <v>0</v>
      </c>
      <c r="AQ465">
        <v>51.15</v>
      </c>
      <c r="AR465">
        <v>51.15</v>
      </c>
      <c r="AS465">
        <v>0</v>
      </c>
      <c r="AT465" t="b">
        <v>0</v>
      </c>
      <c r="AU465" t="b">
        <v>1</v>
      </c>
      <c r="BA465" t="str">
        <f t="shared" si="14"/>
        <v>Normal</v>
      </c>
      <c r="BG465" t="str">
        <f t="shared" si="15"/>
        <v>Normal</v>
      </c>
    </row>
    <row r="466" spans="1:59" x14ac:dyDescent="0.2">
      <c r="A466" t="s">
        <v>42</v>
      </c>
      <c r="B466" t="s">
        <v>43</v>
      </c>
      <c r="C466">
        <v>20230101</v>
      </c>
      <c r="D466">
        <v>2023</v>
      </c>
      <c r="E466">
        <v>52</v>
      </c>
      <c r="F466" t="s">
        <v>311</v>
      </c>
      <c r="G466">
        <v>566</v>
      </c>
      <c r="H466" t="s">
        <v>197</v>
      </c>
      <c r="I466" t="s">
        <v>198</v>
      </c>
      <c r="J466" t="s">
        <v>47</v>
      </c>
      <c r="K466" t="s">
        <v>48</v>
      </c>
      <c r="L466">
        <v>0</v>
      </c>
      <c r="M466" t="s">
        <v>49</v>
      </c>
      <c r="N466" t="s">
        <v>50</v>
      </c>
      <c r="O466">
        <v>0</v>
      </c>
      <c r="P466" t="s">
        <v>49</v>
      </c>
      <c r="Q466" t="s">
        <v>50</v>
      </c>
      <c r="R466" t="s">
        <v>300</v>
      </c>
      <c r="S466" t="s">
        <v>52</v>
      </c>
      <c r="T466" t="b">
        <v>1</v>
      </c>
      <c r="U466" t="s">
        <v>53</v>
      </c>
      <c r="V466" t="s">
        <v>54</v>
      </c>
      <c r="W466">
        <v>4</v>
      </c>
      <c r="X466" t="b">
        <v>0</v>
      </c>
      <c r="Y466" t="s">
        <v>55</v>
      </c>
      <c r="Z466" t="s">
        <v>56</v>
      </c>
      <c r="AA466" t="s">
        <v>57</v>
      </c>
      <c r="AB466">
        <v>0</v>
      </c>
      <c r="AC466" t="s">
        <v>58</v>
      </c>
      <c r="AD466">
        <v>-1</v>
      </c>
      <c r="AE466" t="s">
        <v>73</v>
      </c>
      <c r="AF466">
        <v>0</v>
      </c>
      <c r="AG466" t="b">
        <v>0</v>
      </c>
      <c r="AH466">
        <v>-1</v>
      </c>
      <c r="AI466" t="s">
        <v>73</v>
      </c>
      <c r="AJ466">
        <v>0</v>
      </c>
      <c r="AK466" t="b">
        <v>0</v>
      </c>
      <c r="AM466" t="b">
        <v>0</v>
      </c>
      <c r="AN466">
        <v>0</v>
      </c>
      <c r="AO466" t="b">
        <v>0</v>
      </c>
      <c r="AQ466">
        <v>52520992084.760002</v>
      </c>
      <c r="AR466">
        <v>52520992084.760002</v>
      </c>
      <c r="AS466">
        <v>0</v>
      </c>
      <c r="AT466" t="b">
        <v>0</v>
      </c>
      <c r="AU466" t="b">
        <v>1</v>
      </c>
      <c r="BA466" t="str">
        <f t="shared" si="14"/>
        <v>Normal</v>
      </c>
      <c r="BG466" t="str">
        <f t="shared" si="15"/>
        <v>Normal</v>
      </c>
    </row>
    <row r="467" spans="1:59" x14ac:dyDescent="0.2">
      <c r="A467" t="s">
        <v>42</v>
      </c>
      <c r="B467" t="s">
        <v>43</v>
      </c>
      <c r="C467">
        <v>20230101</v>
      </c>
      <c r="D467">
        <v>2023</v>
      </c>
      <c r="E467">
        <v>52</v>
      </c>
      <c r="F467" t="s">
        <v>311</v>
      </c>
      <c r="G467">
        <v>579</v>
      </c>
      <c r="H467" t="s">
        <v>199</v>
      </c>
      <c r="I467" t="s">
        <v>200</v>
      </c>
      <c r="J467" t="s">
        <v>47</v>
      </c>
      <c r="K467" t="s">
        <v>48</v>
      </c>
      <c r="L467">
        <v>0</v>
      </c>
      <c r="M467" t="s">
        <v>49</v>
      </c>
      <c r="N467" t="s">
        <v>50</v>
      </c>
      <c r="O467">
        <v>0</v>
      </c>
      <c r="P467" t="s">
        <v>49</v>
      </c>
      <c r="Q467" t="s">
        <v>50</v>
      </c>
      <c r="R467" t="s">
        <v>300</v>
      </c>
      <c r="S467" t="s">
        <v>52</v>
      </c>
      <c r="T467" t="b">
        <v>1</v>
      </c>
      <c r="U467" t="s">
        <v>53</v>
      </c>
      <c r="V467" t="s">
        <v>54</v>
      </c>
      <c r="W467">
        <v>4</v>
      </c>
      <c r="X467" t="b">
        <v>0</v>
      </c>
      <c r="Y467" t="s">
        <v>55</v>
      </c>
      <c r="Z467" t="s">
        <v>56</v>
      </c>
      <c r="AA467" t="s">
        <v>57</v>
      </c>
      <c r="AB467">
        <v>0</v>
      </c>
      <c r="AC467" t="s">
        <v>58</v>
      </c>
      <c r="AD467">
        <v>8</v>
      </c>
      <c r="AE467" t="s">
        <v>59</v>
      </c>
      <c r="AF467">
        <v>84567982500</v>
      </c>
      <c r="AG467" t="b">
        <v>0</v>
      </c>
      <c r="AH467">
        <v>-1</v>
      </c>
      <c r="AI467" t="s">
        <v>73</v>
      </c>
      <c r="AJ467">
        <v>0</v>
      </c>
      <c r="AK467" t="b">
        <v>0</v>
      </c>
      <c r="AL467">
        <v>84567982500</v>
      </c>
      <c r="AM467" t="b">
        <v>0</v>
      </c>
      <c r="AN467">
        <v>0</v>
      </c>
      <c r="AO467" t="b">
        <v>0</v>
      </c>
      <c r="AQ467">
        <v>50212905016.023003</v>
      </c>
      <c r="AR467">
        <v>50212905016.023003</v>
      </c>
      <c r="AS467">
        <v>0</v>
      </c>
      <c r="AT467" t="b">
        <v>0</v>
      </c>
      <c r="AU467" t="b">
        <v>1</v>
      </c>
      <c r="BA467" t="str">
        <f t="shared" si="14"/>
        <v>Normal</v>
      </c>
      <c r="BG467" t="str">
        <f t="shared" si="15"/>
        <v>Normal</v>
      </c>
    </row>
    <row r="468" spans="1:59" x14ac:dyDescent="0.2">
      <c r="A468" t="s">
        <v>42</v>
      </c>
      <c r="B468" t="s">
        <v>43</v>
      </c>
      <c r="C468">
        <v>20230101</v>
      </c>
      <c r="D468">
        <v>2023</v>
      </c>
      <c r="E468">
        <v>52</v>
      </c>
      <c r="F468" t="s">
        <v>311</v>
      </c>
      <c r="G468">
        <v>586</v>
      </c>
      <c r="H468" t="s">
        <v>201</v>
      </c>
      <c r="I468" t="s">
        <v>202</v>
      </c>
      <c r="J468" t="s">
        <v>47</v>
      </c>
      <c r="K468" t="s">
        <v>48</v>
      </c>
      <c r="L468">
        <v>0</v>
      </c>
      <c r="M468" t="s">
        <v>49</v>
      </c>
      <c r="N468" t="s">
        <v>50</v>
      </c>
      <c r="O468">
        <v>0</v>
      </c>
      <c r="P468" t="s">
        <v>49</v>
      </c>
      <c r="Q468" t="s">
        <v>50</v>
      </c>
      <c r="R468" t="s">
        <v>300</v>
      </c>
      <c r="S468" t="s">
        <v>52</v>
      </c>
      <c r="T468" t="b">
        <v>1</v>
      </c>
      <c r="U468" t="s">
        <v>53</v>
      </c>
      <c r="V468" t="s">
        <v>54</v>
      </c>
      <c r="W468">
        <v>4</v>
      </c>
      <c r="X468" t="b">
        <v>0</v>
      </c>
      <c r="Y468" t="s">
        <v>55</v>
      </c>
      <c r="Z468" t="s">
        <v>56</v>
      </c>
      <c r="AA468" t="s">
        <v>57</v>
      </c>
      <c r="AB468">
        <v>0</v>
      </c>
      <c r="AC468" t="s">
        <v>58</v>
      </c>
      <c r="AD468">
        <v>8</v>
      </c>
      <c r="AE468" t="s">
        <v>59</v>
      </c>
      <c r="AF468">
        <v>43640000</v>
      </c>
      <c r="AG468" t="b">
        <v>0</v>
      </c>
      <c r="AH468">
        <v>21</v>
      </c>
      <c r="AI468" t="s">
        <v>170</v>
      </c>
      <c r="AJ468">
        <v>43640</v>
      </c>
      <c r="AK468" t="b">
        <v>0</v>
      </c>
      <c r="AL468">
        <v>43640000</v>
      </c>
      <c r="AM468" t="b">
        <v>0</v>
      </c>
      <c r="AN468">
        <v>0</v>
      </c>
      <c r="AO468" t="b">
        <v>0</v>
      </c>
      <c r="AQ468">
        <v>26822987.186000001</v>
      </c>
      <c r="AR468">
        <v>26822987.186000001</v>
      </c>
      <c r="AS468">
        <v>0</v>
      </c>
      <c r="AT468" t="b">
        <v>0</v>
      </c>
      <c r="AU468" t="b">
        <v>1</v>
      </c>
      <c r="BA468" t="str">
        <f t="shared" si="14"/>
        <v>Normal</v>
      </c>
      <c r="BG468" t="str">
        <f t="shared" si="15"/>
        <v>Normal</v>
      </c>
    </row>
    <row r="469" spans="1:59" x14ac:dyDescent="0.2">
      <c r="A469" t="s">
        <v>42</v>
      </c>
      <c r="B469" t="s">
        <v>43</v>
      </c>
      <c r="C469">
        <v>20230101</v>
      </c>
      <c r="D469">
        <v>2023</v>
      </c>
      <c r="E469">
        <v>52</v>
      </c>
      <c r="F469" t="s">
        <v>311</v>
      </c>
      <c r="G469">
        <v>598</v>
      </c>
      <c r="H469" t="s">
        <v>203</v>
      </c>
      <c r="I469" t="s">
        <v>204</v>
      </c>
      <c r="J469" t="s">
        <v>47</v>
      </c>
      <c r="K469" t="s">
        <v>48</v>
      </c>
      <c r="L469">
        <v>0</v>
      </c>
      <c r="M469" t="s">
        <v>49</v>
      </c>
      <c r="N469" t="s">
        <v>50</v>
      </c>
      <c r="O469">
        <v>0</v>
      </c>
      <c r="P469" t="s">
        <v>49</v>
      </c>
      <c r="Q469" t="s">
        <v>50</v>
      </c>
      <c r="R469" t="s">
        <v>300</v>
      </c>
      <c r="S469" t="s">
        <v>52</v>
      </c>
      <c r="T469" t="b">
        <v>1</v>
      </c>
      <c r="U469" t="s">
        <v>53</v>
      </c>
      <c r="V469" t="s">
        <v>54</v>
      </c>
      <c r="W469">
        <v>4</v>
      </c>
      <c r="X469" t="b">
        <v>0</v>
      </c>
      <c r="Y469" t="s">
        <v>55</v>
      </c>
      <c r="Z469" t="s">
        <v>56</v>
      </c>
      <c r="AA469" t="s">
        <v>57</v>
      </c>
      <c r="AB469">
        <v>0</v>
      </c>
      <c r="AC469" t="s">
        <v>58</v>
      </c>
      <c r="AD469">
        <v>8</v>
      </c>
      <c r="AE469" t="s">
        <v>59</v>
      </c>
      <c r="AF469">
        <v>45838450</v>
      </c>
      <c r="AG469" t="b">
        <v>0</v>
      </c>
      <c r="AH469">
        <v>7</v>
      </c>
      <c r="AI469" t="s">
        <v>67</v>
      </c>
      <c r="AJ469">
        <v>45838450</v>
      </c>
      <c r="AK469" t="b">
        <v>0</v>
      </c>
      <c r="AL469">
        <v>45838450</v>
      </c>
      <c r="AM469" t="b">
        <v>0</v>
      </c>
      <c r="AN469">
        <v>0</v>
      </c>
      <c r="AO469" t="b">
        <v>0</v>
      </c>
      <c r="AQ469">
        <v>493795936.59200001</v>
      </c>
      <c r="AR469">
        <v>493795936.59200001</v>
      </c>
      <c r="AS469">
        <v>0</v>
      </c>
      <c r="AT469" t="b">
        <v>0</v>
      </c>
      <c r="AU469" t="b">
        <v>1</v>
      </c>
      <c r="BA469" t="str">
        <f t="shared" si="14"/>
        <v>Normal</v>
      </c>
      <c r="BG469" t="str">
        <f t="shared" si="15"/>
        <v>Normal</v>
      </c>
    </row>
    <row r="470" spans="1:59" x14ac:dyDescent="0.2">
      <c r="A470" t="s">
        <v>42</v>
      </c>
      <c r="B470" t="s">
        <v>43</v>
      </c>
      <c r="C470">
        <v>20230101</v>
      </c>
      <c r="D470">
        <v>2023</v>
      </c>
      <c r="E470">
        <v>52</v>
      </c>
      <c r="F470" t="s">
        <v>311</v>
      </c>
      <c r="G470">
        <v>604</v>
      </c>
      <c r="H470" t="s">
        <v>205</v>
      </c>
      <c r="I470" t="s">
        <v>206</v>
      </c>
      <c r="J470" t="s">
        <v>47</v>
      </c>
      <c r="K470" t="s">
        <v>48</v>
      </c>
      <c r="L470">
        <v>0</v>
      </c>
      <c r="M470" t="s">
        <v>49</v>
      </c>
      <c r="N470" t="s">
        <v>50</v>
      </c>
      <c r="O470">
        <v>0</v>
      </c>
      <c r="P470" t="s">
        <v>49</v>
      </c>
      <c r="Q470" t="s">
        <v>50</v>
      </c>
      <c r="R470" t="s">
        <v>300</v>
      </c>
      <c r="S470" t="s">
        <v>52</v>
      </c>
      <c r="T470" t="b">
        <v>1</v>
      </c>
      <c r="U470" t="s">
        <v>53</v>
      </c>
      <c r="V470" t="s">
        <v>54</v>
      </c>
      <c r="W470">
        <v>4</v>
      </c>
      <c r="X470" t="b">
        <v>0</v>
      </c>
      <c r="Y470" t="s">
        <v>55</v>
      </c>
      <c r="Z470" t="s">
        <v>56</v>
      </c>
      <c r="AA470" t="s">
        <v>57</v>
      </c>
      <c r="AB470">
        <v>0</v>
      </c>
      <c r="AC470" t="s">
        <v>58</v>
      </c>
      <c r="AD470">
        <v>8</v>
      </c>
      <c r="AE470" t="s">
        <v>59</v>
      </c>
      <c r="AF470">
        <v>660429776.36000001</v>
      </c>
      <c r="AG470" t="b">
        <v>0</v>
      </c>
      <c r="AH470">
        <v>12</v>
      </c>
      <c r="AI470" t="s">
        <v>70</v>
      </c>
      <c r="AJ470">
        <v>702376.91</v>
      </c>
      <c r="AK470" t="b">
        <v>0</v>
      </c>
      <c r="AL470">
        <v>660429776.36000001</v>
      </c>
      <c r="AM470" t="b">
        <v>0</v>
      </c>
      <c r="AN470">
        <v>0</v>
      </c>
      <c r="AO470" t="b">
        <v>0</v>
      </c>
      <c r="AQ470">
        <v>221631764.68000001</v>
      </c>
      <c r="AR470">
        <v>221631764.68000001</v>
      </c>
      <c r="AS470">
        <v>0</v>
      </c>
      <c r="AT470" t="b">
        <v>0</v>
      </c>
      <c r="AU470" t="b">
        <v>1</v>
      </c>
      <c r="BA470" t="str">
        <f t="shared" si="14"/>
        <v>Normal</v>
      </c>
      <c r="BG470" t="str">
        <f t="shared" si="15"/>
        <v>Normal</v>
      </c>
    </row>
    <row r="471" spans="1:59" x14ac:dyDescent="0.2">
      <c r="A471" t="s">
        <v>42</v>
      </c>
      <c r="B471" t="s">
        <v>43</v>
      </c>
      <c r="C471">
        <v>20230101</v>
      </c>
      <c r="D471">
        <v>2023</v>
      </c>
      <c r="E471">
        <v>52</v>
      </c>
      <c r="F471" t="s">
        <v>311</v>
      </c>
      <c r="G471">
        <v>608</v>
      </c>
      <c r="H471" t="s">
        <v>207</v>
      </c>
      <c r="I471" t="s">
        <v>208</v>
      </c>
      <c r="J471" t="s">
        <v>47</v>
      </c>
      <c r="K471" t="s">
        <v>48</v>
      </c>
      <c r="L471">
        <v>0</v>
      </c>
      <c r="M471" t="s">
        <v>49</v>
      </c>
      <c r="N471" t="s">
        <v>50</v>
      </c>
      <c r="O471">
        <v>0</v>
      </c>
      <c r="P471" t="s">
        <v>49</v>
      </c>
      <c r="Q471" t="s">
        <v>50</v>
      </c>
      <c r="R471" t="s">
        <v>51</v>
      </c>
      <c r="S471" t="s">
        <v>52</v>
      </c>
      <c r="T471" t="b">
        <v>1</v>
      </c>
      <c r="U471" t="s">
        <v>53</v>
      </c>
      <c r="V471" t="s">
        <v>54</v>
      </c>
      <c r="W471">
        <v>4</v>
      </c>
      <c r="X471" t="b">
        <v>0</v>
      </c>
      <c r="Y471" t="s">
        <v>55</v>
      </c>
      <c r="Z471" t="s">
        <v>56</v>
      </c>
      <c r="AA471" t="s">
        <v>57</v>
      </c>
      <c r="AB471">
        <v>0</v>
      </c>
      <c r="AC471" t="s">
        <v>58</v>
      </c>
      <c r="AD471">
        <v>8</v>
      </c>
      <c r="AE471" t="s">
        <v>59</v>
      </c>
      <c r="AF471">
        <v>4017782200</v>
      </c>
      <c r="AG471" t="b">
        <v>0</v>
      </c>
      <c r="AH471">
        <v>7</v>
      </c>
      <c r="AI471" t="s">
        <v>67</v>
      </c>
      <c r="AJ471">
        <v>4017782200</v>
      </c>
      <c r="AK471" t="b">
        <v>0</v>
      </c>
      <c r="AL471">
        <v>4017782200</v>
      </c>
      <c r="AM471" t="b">
        <v>0</v>
      </c>
      <c r="AN471">
        <v>289273900</v>
      </c>
      <c r="AO471" t="b">
        <v>0</v>
      </c>
      <c r="AQ471">
        <v>169108970</v>
      </c>
      <c r="AR471">
        <v>169108970</v>
      </c>
      <c r="AS471">
        <v>0</v>
      </c>
      <c r="AT471" t="b">
        <v>0</v>
      </c>
      <c r="AU471" t="b">
        <v>1</v>
      </c>
      <c r="BA471" t="str">
        <f t="shared" si="14"/>
        <v>Normal</v>
      </c>
      <c r="BG471" t="str">
        <f t="shared" si="15"/>
        <v>Normal</v>
      </c>
    </row>
    <row r="472" spans="1:59" x14ac:dyDescent="0.2">
      <c r="A472" t="s">
        <v>42</v>
      </c>
      <c r="B472" t="s">
        <v>43</v>
      </c>
      <c r="C472">
        <v>20230101</v>
      </c>
      <c r="D472">
        <v>2023</v>
      </c>
      <c r="E472">
        <v>52</v>
      </c>
      <c r="F472" t="s">
        <v>311</v>
      </c>
      <c r="G472">
        <v>616</v>
      </c>
      <c r="H472" t="s">
        <v>209</v>
      </c>
      <c r="I472" t="s">
        <v>210</v>
      </c>
      <c r="J472" t="s">
        <v>47</v>
      </c>
      <c r="K472" t="s">
        <v>48</v>
      </c>
      <c r="L472">
        <v>0</v>
      </c>
      <c r="M472" t="s">
        <v>49</v>
      </c>
      <c r="N472" t="s">
        <v>50</v>
      </c>
      <c r="O472">
        <v>0</v>
      </c>
      <c r="P472" t="s">
        <v>49</v>
      </c>
      <c r="Q472" t="s">
        <v>50</v>
      </c>
      <c r="R472" t="s">
        <v>300</v>
      </c>
      <c r="S472" t="s">
        <v>52</v>
      </c>
      <c r="T472" t="b">
        <v>1</v>
      </c>
      <c r="U472" t="s">
        <v>53</v>
      </c>
      <c r="V472" t="s">
        <v>54</v>
      </c>
      <c r="W472">
        <v>4</v>
      </c>
      <c r="X472" t="b">
        <v>0</v>
      </c>
      <c r="Y472" t="s">
        <v>55</v>
      </c>
      <c r="Z472" t="s">
        <v>56</v>
      </c>
      <c r="AA472" t="s">
        <v>57</v>
      </c>
      <c r="AB472">
        <v>0</v>
      </c>
      <c r="AC472" t="s">
        <v>58</v>
      </c>
      <c r="AD472">
        <v>8</v>
      </c>
      <c r="AE472" t="s">
        <v>59</v>
      </c>
      <c r="AF472">
        <v>180618081.51499999</v>
      </c>
      <c r="AG472" t="b">
        <v>1</v>
      </c>
      <c r="AH472">
        <v>-1</v>
      </c>
      <c r="AI472" t="s">
        <v>73</v>
      </c>
      <c r="AJ472">
        <v>0</v>
      </c>
      <c r="AK472" t="b">
        <v>0</v>
      </c>
      <c r="AL472">
        <v>180618081.51499999</v>
      </c>
      <c r="AM472" t="b">
        <v>1</v>
      </c>
      <c r="AN472">
        <v>0</v>
      </c>
      <c r="AO472" t="b">
        <v>0</v>
      </c>
      <c r="AQ472">
        <v>103485908</v>
      </c>
      <c r="AR472">
        <v>103485908</v>
      </c>
      <c r="AS472">
        <v>6</v>
      </c>
      <c r="AT472" t="b">
        <v>0</v>
      </c>
      <c r="AU472" t="b">
        <v>1</v>
      </c>
      <c r="BA472" t="str">
        <f t="shared" si="14"/>
        <v>Normal</v>
      </c>
      <c r="BG472" t="str">
        <f t="shared" si="15"/>
        <v>Normal</v>
      </c>
    </row>
    <row r="473" spans="1:59" x14ac:dyDescent="0.2">
      <c r="A473" t="s">
        <v>42</v>
      </c>
      <c r="B473" t="s">
        <v>43</v>
      </c>
      <c r="C473">
        <v>20230101</v>
      </c>
      <c r="D473">
        <v>2023</v>
      </c>
      <c r="E473">
        <v>52</v>
      </c>
      <c r="F473" t="s">
        <v>311</v>
      </c>
      <c r="G473">
        <v>626</v>
      </c>
      <c r="H473" t="s">
        <v>213</v>
      </c>
      <c r="I473" t="s">
        <v>214</v>
      </c>
      <c r="J473" t="s">
        <v>47</v>
      </c>
      <c r="K473" t="s">
        <v>48</v>
      </c>
      <c r="L473">
        <v>0</v>
      </c>
      <c r="M473" t="s">
        <v>49</v>
      </c>
      <c r="N473" t="s">
        <v>50</v>
      </c>
      <c r="O473">
        <v>0</v>
      </c>
      <c r="P473" t="s">
        <v>49</v>
      </c>
      <c r="Q473" t="s">
        <v>50</v>
      </c>
      <c r="R473" t="s">
        <v>51</v>
      </c>
      <c r="S473" t="s">
        <v>52</v>
      </c>
      <c r="T473" t="b">
        <v>1</v>
      </c>
      <c r="U473" t="s">
        <v>53</v>
      </c>
      <c r="V473" t="s">
        <v>54</v>
      </c>
      <c r="W473">
        <v>4</v>
      </c>
      <c r="X473" t="b">
        <v>0</v>
      </c>
      <c r="Y473" t="s">
        <v>55</v>
      </c>
      <c r="Z473" t="s">
        <v>56</v>
      </c>
      <c r="AA473" t="s">
        <v>57</v>
      </c>
      <c r="AB473">
        <v>0</v>
      </c>
      <c r="AC473" t="s">
        <v>58</v>
      </c>
      <c r="AD473">
        <v>8</v>
      </c>
      <c r="AE473" t="s">
        <v>59</v>
      </c>
      <c r="AF473">
        <v>182843600</v>
      </c>
      <c r="AG473" t="b">
        <v>0</v>
      </c>
      <c r="AH473">
        <v>8</v>
      </c>
      <c r="AI473" t="s">
        <v>59</v>
      </c>
      <c r="AJ473">
        <v>182843600</v>
      </c>
      <c r="AK473" t="b">
        <v>0</v>
      </c>
      <c r="AL473">
        <v>182843600</v>
      </c>
      <c r="AM473" t="b">
        <v>0</v>
      </c>
      <c r="AN473">
        <v>0</v>
      </c>
      <c r="AO473" t="b">
        <v>0</v>
      </c>
      <c r="AQ473">
        <v>106440435.52</v>
      </c>
      <c r="AR473">
        <v>106440435.52</v>
      </c>
      <c r="AS473">
        <v>0</v>
      </c>
      <c r="AT473" t="b">
        <v>0</v>
      </c>
      <c r="AU473" t="b">
        <v>1</v>
      </c>
      <c r="BA473" t="str">
        <f t="shared" si="14"/>
        <v>Normal</v>
      </c>
      <c r="BG473" t="str">
        <f t="shared" si="15"/>
        <v>Normal</v>
      </c>
    </row>
    <row r="474" spans="1:59" x14ac:dyDescent="0.2">
      <c r="A474" t="s">
        <v>42</v>
      </c>
      <c r="B474" t="s">
        <v>43</v>
      </c>
      <c r="C474">
        <v>20230101</v>
      </c>
      <c r="D474">
        <v>2023</v>
      </c>
      <c r="E474">
        <v>52</v>
      </c>
      <c r="F474" t="s">
        <v>311</v>
      </c>
      <c r="G474">
        <v>634</v>
      </c>
      <c r="H474" t="s">
        <v>216</v>
      </c>
      <c r="I474" t="s">
        <v>217</v>
      </c>
      <c r="J474" t="s">
        <v>47</v>
      </c>
      <c r="K474" t="s">
        <v>48</v>
      </c>
      <c r="L474">
        <v>0</v>
      </c>
      <c r="M474" t="s">
        <v>49</v>
      </c>
      <c r="N474" t="s">
        <v>50</v>
      </c>
      <c r="O474">
        <v>0</v>
      </c>
      <c r="P474" t="s">
        <v>49</v>
      </c>
      <c r="Q474" t="s">
        <v>50</v>
      </c>
      <c r="R474" t="s">
        <v>300</v>
      </c>
      <c r="S474" t="s">
        <v>52</v>
      </c>
      <c r="T474" t="b">
        <v>1</v>
      </c>
      <c r="U474" t="s">
        <v>53</v>
      </c>
      <c r="V474" t="s">
        <v>54</v>
      </c>
      <c r="W474">
        <v>4</v>
      </c>
      <c r="X474" t="b">
        <v>0</v>
      </c>
      <c r="Y474" t="s">
        <v>55</v>
      </c>
      <c r="Z474" t="s">
        <v>56</v>
      </c>
      <c r="AA474" t="s">
        <v>57</v>
      </c>
      <c r="AB474">
        <v>0</v>
      </c>
      <c r="AC474" t="s">
        <v>58</v>
      </c>
      <c r="AD474">
        <v>8</v>
      </c>
      <c r="AE474" t="s">
        <v>59</v>
      </c>
      <c r="AF474">
        <v>31303861376.476002</v>
      </c>
      <c r="AG474" t="b">
        <v>1</v>
      </c>
      <c r="AH474">
        <v>-1</v>
      </c>
      <c r="AI474" t="s">
        <v>73</v>
      </c>
      <c r="AJ474">
        <v>0</v>
      </c>
      <c r="AK474" t="b">
        <v>0</v>
      </c>
      <c r="AL474">
        <v>31303861376.476002</v>
      </c>
      <c r="AM474" t="b">
        <v>1</v>
      </c>
      <c r="AN474">
        <v>0</v>
      </c>
      <c r="AO474" t="b">
        <v>0</v>
      </c>
      <c r="AQ474">
        <v>16860934421.353001</v>
      </c>
      <c r="AR474">
        <v>16860934421.353001</v>
      </c>
      <c r="AS474">
        <v>6</v>
      </c>
      <c r="AT474" t="b">
        <v>0</v>
      </c>
      <c r="AU474" t="b">
        <v>1</v>
      </c>
      <c r="BA474" t="str">
        <f t="shared" si="14"/>
        <v>Normal</v>
      </c>
      <c r="BG474" t="str">
        <f t="shared" si="15"/>
        <v>Normal</v>
      </c>
    </row>
    <row r="475" spans="1:59" x14ac:dyDescent="0.2">
      <c r="A475" t="s">
        <v>42</v>
      </c>
      <c r="B475" t="s">
        <v>43</v>
      </c>
      <c r="C475">
        <v>20230101</v>
      </c>
      <c r="D475">
        <v>2023</v>
      </c>
      <c r="E475">
        <v>52</v>
      </c>
      <c r="F475" t="s">
        <v>311</v>
      </c>
      <c r="G475">
        <v>642</v>
      </c>
      <c r="H475" t="s">
        <v>218</v>
      </c>
      <c r="I475" t="s">
        <v>219</v>
      </c>
      <c r="J475" t="s">
        <v>47</v>
      </c>
      <c r="K475" t="s">
        <v>48</v>
      </c>
      <c r="L475">
        <v>0</v>
      </c>
      <c r="M475" t="s">
        <v>49</v>
      </c>
      <c r="N475" t="s">
        <v>50</v>
      </c>
      <c r="O475">
        <v>0</v>
      </c>
      <c r="P475" t="s">
        <v>49</v>
      </c>
      <c r="Q475" t="s">
        <v>50</v>
      </c>
      <c r="R475" t="s">
        <v>300</v>
      </c>
      <c r="S475" t="s">
        <v>52</v>
      </c>
      <c r="T475" t="b">
        <v>1</v>
      </c>
      <c r="U475" t="s">
        <v>53</v>
      </c>
      <c r="V475" t="s">
        <v>54</v>
      </c>
      <c r="W475">
        <v>4</v>
      </c>
      <c r="X475" t="b">
        <v>0</v>
      </c>
      <c r="Y475" t="s">
        <v>55</v>
      </c>
      <c r="Z475" t="s">
        <v>56</v>
      </c>
      <c r="AA475" t="s">
        <v>57</v>
      </c>
      <c r="AB475">
        <v>0</v>
      </c>
      <c r="AC475" t="s">
        <v>58</v>
      </c>
      <c r="AD475">
        <v>8</v>
      </c>
      <c r="AE475" t="s">
        <v>59</v>
      </c>
      <c r="AF475">
        <v>33984209.600000001</v>
      </c>
      <c r="AG475" t="b">
        <v>0</v>
      </c>
      <c r="AH475">
        <v>8</v>
      </c>
      <c r="AI475" t="s">
        <v>59</v>
      </c>
      <c r="AJ475">
        <v>33984209.600000001</v>
      </c>
      <c r="AK475" t="b">
        <v>0</v>
      </c>
      <c r="AL475">
        <v>33984209.600000001</v>
      </c>
      <c r="AM475" t="b">
        <v>0</v>
      </c>
      <c r="AN475">
        <v>0</v>
      </c>
      <c r="AO475" t="b">
        <v>0</v>
      </c>
      <c r="AQ475">
        <v>18718904.039999999</v>
      </c>
      <c r="AR475">
        <v>18718904.039999999</v>
      </c>
      <c r="AS475">
        <v>0</v>
      </c>
      <c r="AT475" t="b">
        <v>0</v>
      </c>
      <c r="AU475" t="b">
        <v>1</v>
      </c>
      <c r="BA475" t="str">
        <f t="shared" si="14"/>
        <v>Normal</v>
      </c>
      <c r="BG475" t="str">
        <f t="shared" si="15"/>
        <v>Normal</v>
      </c>
    </row>
    <row r="476" spans="1:59" x14ac:dyDescent="0.2">
      <c r="A476" t="s">
        <v>42</v>
      </c>
      <c r="B476" t="s">
        <v>43</v>
      </c>
      <c r="C476">
        <v>20230101</v>
      </c>
      <c r="D476">
        <v>2023</v>
      </c>
      <c r="E476">
        <v>52</v>
      </c>
      <c r="F476" t="s">
        <v>311</v>
      </c>
      <c r="G476">
        <v>682</v>
      </c>
      <c r="H476" t="s">
        <v>224</v>
      </c>
      <c r="I476" t="s">
        <v>225</v>
      </c>
      <c r="J476" t="s">
        <v>47</v>
      </c>
      <c r="K476" t="s">
        <v>48</v>
      </c>
      <c r="L476">
        <v>0</v>
      </c>
      <c r="M476" t="s">
        <v>49</v>
      </c>
      <c r="N476" t="s">
        <v>50</v>
      </c>
      <c r="O476">
        <v>0</v>
      </c>
      <c r="P476" t="s">
        <v>49</v>
      </c>
      <c r="Q476" t="s">
        <v>50</v>
      </c>
      <c r="R476" t="s">
        <v>300</v>
      </c>
      <c r="S476" t="s">
        <v>52</v>
      </c>
      <c r="T476" t="b">
        <v>1</v>
      </c>
      <c r="U476" t="s">
        <v>53</v>
      </c>
      <c r="V476" t="s">
        <v>54</v>
      </c>
      <c r="W476">
        <v>4</v>
      </c>
      <c r="X476" t="b">
        <v>0</v>
      </c>
      <c r="Y476" t="s">
        <v>55</v>
      </c>
      <c r="Z476" t="s">
        <v>56</v>
      </c>
      <c r="AA476" t="s">
        <v>57</v>
      </c>
      <c r="AB476">
        <v>0</v>
      </c>
      <c r="AC476" t="s">
        <v>58</v>
      </c>
      <c r="AD476">
        <v>8</v>
      </c>
      <c r="AE476" t="s">
        <v>59</v>
      </c>
      <c r="AF476">
        <v>323946156311.474</v>
      </c>
      <c r="AG476" t="b">
        <v>1</v>
      </c>
      <c r="AH476">
        <v>-1</v>
      </c>
      <c r="AI476" t="s">
        <v>73</v>
      </c>
      <c r="AJ476">
        <v>0</v>
      </c>
      <c r="AK476" t="b">
        <v>0</v>
      </c>
      <c r="AL476">
        <v>323946156311.474</v>
      </c>
      <c r="AM476" t="b">
        <v>1</v>
      </c>
      <c r="AN476">
        <v>0</v>
      </c>
      <c r="AO476" t="b">
        <v>0</v>
      </c>
      <c r="AQ476">
        <v>175993253253.98901</v>
      </c>
      <c r="AR476">
        <v>175993253253.98901</v>
      </c>
      <c r="AS476">
        <v>6</v>
      </c>
      <c r="AT476" t="b">
        <v>0</v>
      </c>
      <c r="AU476" t="b">
        <v>1</v>
      </c>
      <c r="BA476" t="str">
        <f t="shared" si="14"/>
        <v>Normal</v>
      </c>
      <c r="BG476" t="str">
        <f t="shared" si="15"/>
        <v>Normal</v>
      </c>
    </row>
    <row r="477" spans="1:59" x14ac:dyDescent="0.2">
      <c r="A477" t="s">
        <v>42</v>
      </c>
      <c r="B477" t="s">
        <v>43</v>
      </c>
      <c r="C477">
        <v>20230101</v>
      </c>
      <c r="D477">
        <v>2023</v>
      </c>
      <c r="E477">
        <v>52</v>
      </c>
      <c r="F477" t="s">
        <v>311</v>
      </c>
      <c r="G477">
        <v>686</v>
      </c>
      <c r="H477" t="s">
        <v>226</v>
      </c>
      <c r="I477" t="s">
        <v>227</v>
      </c>
      <c r="J477" t="s">
        <v>47</v>
      </c>
      <c r="K477" t="s">
        <v>48</v>
      </c>
      <c r="L477">
        <v>0</v>
      </c>
      <c r="M477" t="s">
        <v>49</v>
      </c>
      <c r="N477" t="s">
        <v>50</v>
      </c>
      <c r="O477">
        <v>0</v>
      </c>
      <c r="P477" t="s">
        <v>49</v>
      </c>
      <c r="Q477" t="s">
        <v>50</v>
      </c>
      <c r="R477" t="s">
        <v>300</v>
      </c>
      <c r="S477" t="s">
        <v>52</v>
      </c>
      <c r="T477" t="b">
        <v>1</v>
      </c>
      <c r="U477" t="s">
        <v>53</v>
      </c>
      <c r="V477" t="s">
        <v>54</v>
      </c>
      <c r="W477">
        <v>4</v>
      </c>
      <c r="X477" t="b">
        <v>0</v>
      </c>
      <c r="Y477" t="s">
        <v>55</v>
      </c>
      <c r="Z477" t="s">
        <v>56</v>
      </c>
      <c r="AA477" t="s">
        <v>57</v>
      </c>
      <c r="AB477">
        <v>0</v>
      </c>
      <c r="AC477" t="s">
        <v>58</v>
      </c>
      <c r="AD477">
        <v>8</v>
      </c>
      <c r="AE477" t="s">
        <v>59</v>
      </c>
      <c r="AF477">
        <v>63690165</v>
      </c>
      <c r="AG477" t="b">
        <v>0</v>
      </c>
      <c r="AH477">
        <v>8</v>
      </c>
      <c r="AI477" t="s">
        <v>59</v>
      </c>
      <c r="AJ477">
        <v>63690165</v>
      </c>
      <c r="AK477" t="b">
        <v>0</v>
      </c>
      <c r="AL477">
        <v>63690165</v>
      </c>
      <c r="AM477" t="b">
        <v>0</v>
      </c>
      <c r="AN477">
        <v>0</v>
      </c>
      <c r="AO477" t="b">
        <v>0</v>
      </c>
      <c r="AQ477">
        <v>26320322.943</v>
      </c>
      <c r="AR477">
        <v>26320322.943</v>
      </c>
      <c r="AS477">
        <v>0</v>
      </c>
      <c r="AT477" t="b">
        <v>0</v>
      </c>
      <c r="AU477" t="b">
        <v>1</v>
      </c>
      <c r="BA477" t="str">
        <f t="shared" si="14"/>
        <v>Normal</v>
      </c>
      <c r="BG477" t="str">
        <f t="shared" si="15"/>
        <v>Normal</v>
      </c>
    </row>
    <row r="478" spans="1:59" x14ac:dyDescent="0.2">
      <c r="A478" t="s">
        <v>42</v>
      </c>
      <c r="B478" t="s">
        <v>43</v>
      </c>
      <c r="C478">
        <v>20230101</v>
      </c>
      <c r="D478">
        <v>2023</v>
      </c>
      <c r="E478">
        <v>52</v>
      </c>
      <c r="F478" t="s">
        <v>311</v>
      </c>
      <c r="G478">
        <v>688</v>
      </c>
      <c r="H478" t="s">
        <v>228</v>
      </c>
      <c r="I478" t="s">
        <v>229</v>
      </c>
      <c r="J478" t="s">
        <v>47</v>
      </c>
      <c r="K478" t="s">
        <v>48</v>
      </c>
      <c r="L478">
        <v>0</v>
      </c>
      <c r="M478" t="s">
        <v>49</v>
      </c>
      <c r="N478" t="s">
        <v>50</v>
      </c>
      <c r="O478">
        <v>0</v>
      </c>
      <c r="P478" t="s">
        <v>49</v>
      </c>
      <c r="Q478" t="s">
        <v>50</v>
      </c>
      <c r="R478" t="s">
        <v>300</v>
      </c>
      <c r="S478" t="s">
        <v>52</v>
      </c>
      <c r="T478" t="b">
        <v>1</v>
      </c>
      <c r="U478" t="s">
        <v>53</v>
      </c>
      <c r="V478" t="s">
        <v>54</v>
      </c>
      <c r="W478">
        <v>4</v>
      </c>
      <c r="X478" t="b">
        <v>0</v>
      </c>
      <c r="Y478" t="s">
        <v>55</v>
      </c>
      <c r="Z478" t="s">
        <v>56</v>
      </c>
      <c r="AA478" t="s">
        <v>57</v>
      </c>
      <c r="AB478">
        <v>0</v>
      </c>
      <c r="AC478" t="s">
        <v>58</v>
      </c>
      <c r="AD478">
        <v>8</v>
      </c>
      <c r="AE478" t="s">
        <v>59</v>
      </c>
      <c r="AF478">
        <v>25</v>
      </c>
      <c r="AG478" t="b">
        <v>0</v>
      </c>
      <c r="AH478">
        <v>8</v>
      </c>
      <c r="AI478" t="s">
        <v>59</v>
      </c>
      <c r="AJ478">
        <v>25</v>
      </c>
      <c r="AK478" t="b">
        <v>0</v>
      </c>
      <c r="AL478">
        <v>25</v>
      </c>
      <c r="AM478" t="b">
        <v>0</v>
      </c>
      <c r="AN478">
        <v>0</v>
      </c>
      <c r="AO478" t="b">
        <v>0</v>
      </c>
      <c r="AQ478">
        <v>32</v>
      </c>
      <c r="AR478">
        <v>32</v>
      </c>
      <c r="AS478">
        <v>0</v>
      </c>
      <c r="AT478" t="b">
        <v>0</v>
      </c>
      <c r="AU478" t="b">
        <v>1</v>
      </c>
      <c r="BA478" t="str">
        <f t="shared" si="14"/>
        <v>Normal</v>
      </c>
      <c r="BG478" t="str">
        <f t="shared" si="15"/>
        <v>Normal</v>
      </c>
    </row>
    <row r="479" spans="1:59" x14ac:dyDescent="0.2">
      <c r="A479" t="s">
        <v>42</v>
      </c>
      <c r="B479" t="s">
        <v>43</v>
      </c>
      <c r="C479">
        <v>20230101</v>
      </c>
      <c r="D479">
        <v>2023</v>
      </c>
      <c r="E479">
        <v>52</v>
      </c>
      <c r="F479" t="s">
        <v>311</v>
      </c>
      <c r="G479">
        <v>702</v>
      </c>
      <c r="H479" t="s">
        <v>230</v>
      </c>
      <c r="I479" t="s">
        <v>231</v>
      </c>
      <c r="J479" t="s">
        <v>47</v>
      </c>
      <c r="K479" t="s">
        <v>48</v>
      </c>
      <c r="L479">
        <v>0</v>
      </c>
      <c r="M479" t="s">
        <v>49</v>
      </c>
      <c r="N479" t="s">
        <v>50</v>
      </c>
      <c r="O479">
        <v>0</v>
      </c>
      <c r="P479" t="s">
        <v>49</v>
      </c>
      <c r="Q479" t="s">
        <v>50</v>
      </c>
      <c r="R479" t="s">
        <v>300</v>
      </c>
      <c r="S479" t="s">
        <v>52</v>
      </c>
      <c r="T479" t="b">
        <v>1</v>
      </c>
      <c r="U479" t="s">
        <v>53</v>
      </c>
      <c r="V479" t="s">
        <v>54</v>
      </c>
      <c r="W479">
        <v>4</v>
      </c>
      <c r="X479" t="b">
        <v>0</v>
      </c>
      <c r="Y479" t="s">
        <v>55</v>
      </c>
      <c r="Z479" t="s">
        <v>56</v>
      </c>
      <c r="AA479" t="s">
        <v>57</v>
      </c>
      <c r="AB479">
        <v>0</v>
      </c>
      <c r="AC479" t="s">
        <v>58</v>
      </c>
      <c r="AD479">
        <v>-1</v>
      </c>
      <c r="AE479" t="s">
        <v>73</v>
      </c>
      <c r="AF479">
        <v>0</v>
      </c>
      <c r="AG479" t="b">
        <v>0</v>
      </c>
      <c r="AH479">
        <v>-1</v>
      </c>
      <c r="AI479" t="s">
        <v>73</v>
      </c>
      <c r="AJ479">
        <v>0</v>
      </c>
      <c r="AK479" t="b">
        <v>0</v>
      </c>
      <c r="AM479" t="b">
        <v>0</v>
      </c>
      <c r="AN479">
        <v>0</v>
      </c>
      <c r="AO479" t="b">
        <v>0</v>
      </c>
      <c r="AQ479">
        <v>3929750.585</v>
      </c>
      <c r="AR479">
        <v>3929750.585</v>
      </c>
      <c r="AS479">
        <v>0</v>
      </c>
      <c r="AT479" t="b">
        <v>0</v>
      </c>
      <c r="AU479" t="b">
        <v>1</v>
      </c>
      <c r="BA479" t="str">
        <f t="shared" si="14"/>
        <v>Normal</v>
      </c>
      <c r="BG479" t="str">
        <f t="shared" si="15"/>
        <v>Normal</v>
      </c>
    </row>
    <row r="480" spans="1:59" x14ac:dyDescent="0.2">
      <c r="A480" t="s">
        <v>42</v>
      </c>
      <c r="B480" t="s">
        <v>43</v>
      </c>
      <c r="C480">
        <v>20230101</v>
      </c>
      <c r="D480">
        <v>2023</v>
      </c>
      <c r="E480">
        <v>52</v>
      </c>
      <c r="F480" t="s">
        <v>311</v>
      </c>
      <c r="G480">
        <v>703</v>
      </c>
      <c r="H480" t="s">
        <v>232</v>
      </c>
      <c r="I480" t="s">
        <v>233</v>
      </c>
      <c r="J480" t="s">
        <v>47</v>
      </c>
      <c r="K480" t="s">
        <v>48</v>
      </c>
      <c r="L480">
        <v>0</v>
      </c>
      <c r="M480" t="s">
        <v>49</v>
      </c>
      <c r="N480" t="s">
        <v>50</v>
      </c>
      <c r="O480">
        <v>0</v>
      </c>
      <c r="P480" t="s">
        <v>49</v>
      </c>
      <c r="Q480" t="s">
        <v>50</v>
      </c>
      <c r="R480" t="s">
        <v>300</v>
      </c>
      <c r="S480" t="s">
        <v>52</v>
      </c>
      <c r="T480" t="b">
        <v>1</v>
      </c>
      <c r="U480" t="s">
        <v>53</v>
      </c>
      <c r="V480" t="s">
        <v>54</v>
      </c>
      <c r="W480">
        <v>4</v>
      </c>
      <c r="X480" t="b">
        <v>0</v>
      </c>
      <c r="Y480" t="s">
        <v>55</v>
      </c>
      <c r="Z480" t="s">
        <v>56</v>
      </c>
      <c r="AA480" t="s">
        <v>57</v>
      </c>
      <c r="AB480">
        <v>0</v>
      </c>
      <c r="AC480" t="s">
        <v>58</v>
      </c>
      <c r="AD480">
        <v>8</v>
      </c>
      <c r="AE480" t="s">
        <v>59</v>
      </c>
      <c r="AF480">
        <v>1503530</v>
      </c>
      <c r="AG480" t="b">
        <v>0</v>
      </c>
      <c r="AH480">
        <v>8</v>
      </c>
      <c r="AI480" t="s">
        <v>59</v>
      </c>
      <c r="AJ480">
        <v>1503530</v>
      </c>
      <c r="AK480" t="b">
        <v>0</v>
      </c>
      <c r="AL480">
        <v>1503530</v>
      </c>
      <c r="AM480" t="b">
        <v>0</v>
      </c>
      <c r="AN480">
        <v>0</v>
      </c>
      <c r="AO480" t="b">
        <v>0</v>
      </c>
      <c r="AQ480">
        <v>945941.36499999999</v>
      </c>
      <c r="AR480">
        <v>945941.36499999999</v>
      </c>
      <c r="AS480">
        <v>0</v>
      </c>
      <c r="AT480" t="b">
        <v>0</v>
      </c>
      <c r="AU480" t="b">
        <v>1</v>
      </c>
      <c r="BA480" t="str">
        <f t="shared" si="14"/>
        <v>Normal</v>
      </c>
      <c r="BG480" t="str">
        <f t="shared" si="15"/>
        <v>Normal</v>
      </c>
    </row>
    <row r="481" spans="1:59" x14ac:dyDescent="0.2">
      <c r="A481" t="s">
        <v>42</v>
      </c>
      <c r="B481" t="s">
        <v>43</v>
      </c>
      <c r="C481">
        <v>20230101</v>
      </c>
      <c r="D481">
        <v>2023</v>
      </c>
      <c r="E481">
        <v>52</v>
      </c>
      <c r="F481" t="s">
        <v>311</v>
      </c>
      <c r="G481">
        <v>704</v>
      </c>
      <c r="H481" t="s">
        <v>234</v>
      </c>
      <c r="I481" t="s">
        <v>235</v>
      </c>
      <c r="J481" t="s">
        <v>47</v>
      </c>
      <c r="K481" t="s">
        <v>48</v>
      </c>
      <c r="L481">
        <v>0</v>
      </c>
      <c r="M481" t="s">
        <v>49</v>
      </c>
      <c r="N481" t="s">
        <v>50</v>
      </c>
      <c r="O481">
        <v>0</v>
      </c>
      <c r="P481" t="s">
        <v>49</v>
      </c>
      <c r="Q481" t="s">
        <v>50</v>
      </c>
      <c r="R481" t="s">
        <v>300</v>
      </c>
      <c r="S481" t="s">
        <v>52</v>
      </c>
      <c r="T481" t="b">
        <v>1</v>
      </c>
      <c r="U481" t="s">
        <v>53</v>
      </c>
      <c r="V481" t="s">
        <v>54</v>
      </c>
      <c r="W481">
        <v>4</v>
      </c>
      <c r="X481" t="b">
        <v>0</v>
      </c>
      <c r="Y481" t="s">
        <v>55</v>
      </c>
      <c r="Z481" t="s">
        <v>56</v>
      </c>
      <c r="AA481" t="s">
        <v>57</v>
      </c>
      <c r="AB481">
        <v>0</v>
      </c>
      <c r="AC481" t="s">
        <v>58</v>
      </c>
      <c r="AD481">
        <v>8</v>
      </c>
      <c r="AE481" t="s">
        <v>59</v>
      </c>
      <c r="AF481">
        <v>2572804842.5419998</v>
      </c>
      <c r="AG481" t="b">
        <v>1</v>
      </c>
      <c r="AH481">
        <v>-1</v>
      </c>
      <c r="AI481" t="s">
        <v>73</v>
      </c>
      <c r="AJ481">
        <v>0</v>
      </c>
      <c r="AK481" t="b">
        <v>0</v>
      </c>
      <c r="AL481">
        <v>2572804842.5419998</v>
      </c>
      <c r="AM481" t="b">
        <v>1</v>
      </c>
      <c r="AN481">
        <v>0</v>
      </c>
      <c r="AO481" t="b">
        <v>0</v>
      </c>
      <c r="AQ481">
        <v>1552801697.22</v>
      </c>
      <c r="AR481">
        <v>1552801697.22</v>
      </c>
      <c r="AS481">
        <v>6</v>
      </c>
      <c r="AT481" t="b">
        <v>0</v>
      </c>
      <c r="AU481" t="b">
        <v>1</v>
      </c>
      <c r="BA481" t="str">
        <f t="shared" si="14"/>
        <v>Normal</v>
      </c>
      <c r="BG481" t="str">
        <f t="shared" si="15"/>
        <v>Normal</v>
      </c>
    </row>
    <row r="482" spans="1:59" x14ac:dyDescent="0.2">
      <c r="A482" t="s">
        <v>42</v>
      </c>
      <c r="B482" t="s">
        <v>43</v>
      </c>
      <c r="C482">
        <v>20230101</v>
      </c>
      <c r="D482">
        <v>2023</v>
      </c>
      <c r="E482">
        <v>52</v>
      </c>
      <c r="F482" t="s">
        <v>311</v>
      </c>
      <c r="G482">
        <v>705</v>
      </c>
      <c r="H482" t="s">
        <v>236</v>
      </c>
      <c r="I482" t="s">
        <v>237</v>
      </c>
      <c r="J482" t="s">
        <v>47</v>
      </c>
      <c r="K482" t="s">
        <v>48</v>
      </c>
      <c r="L482">
        <v>0</v>
      </c>
      <c r="M482" t="s">
        <v>49</v>
      </c>
      <c r="N482" t="s">
        <v>50</v>
      </c>
      <c r="O482">
        <v>0</v>
      </c>
      <c r="P482" t="s">
        <v>49</v>
      </c>
      <c r="Q482" t="s">
        <v>50</v>
      </c>
      <c r="R482" t="s">
        <v>300</v>
      </c>
      <c r="S482" t="s">
        <v>52</v>
      </c>
      <c r="T482" t="b">
        <v>1</v>
      </c>
      <c r="U482" t="s">
        <v>53</v>
      </c>
      <c r="V482" t="s">
        <v>54</v>
      </c>
      <c r="W482">
        <v>4</v>
      </c>
      <c r="X482" t="b">
        <v>0</v>
      </c>
      <c r="Y482" t="s">
        <v>55</v>
      </c>
      <c r="Z482" t="s">
        <v>56</v>
      </c>
      <c r="AA482" t="s">
        <v>57</v>
      </c>
      <c r="AB482">
        <v>0</v>
      </c>
      <c r="AC482" t="s">
        <v>58</v>
      </c>
      <c r="AD482">
        <v>8</v>
      </c>
      <c r="AE482" t="s">
        <v>59</v>
      </c>
      <c r="AF482">
        <v>1046.83</v>
      </c>
      <c r="AG482" t="b">
        <v>0</v>
      </c>
      <c r="AH482">
        <v>8</v>
      </c>
      <c r="AI482" t="s">
        <v>59</v>
      </c>
      <c r="AJ482">
        <v>1046.83</v>
      </c>
      <c r="AK482" t="b">
        <v>0</v>
      </c>
      <c r="AL482">
        <v>1046.83</v>
      </c>
      <c r="AM482" t="b">
        <v>0</v>
      </c>
      <c r="AN482">
        <v>0</v>
      </c>
      <c r="AO482" t="b">
        <v>0</v>
      </c>
      <c r="AQ482">
        <v>32047.382000000001</v>
      </c>
      <c r="AR482">
        <v>32047.382000000001</v>
      </c>
      <c r="AS482">
        <v>0</v>
      </c>
      <c r="AT482" t="b">
        <v>0</v>
      </c>
      <c r="AU482" t="b">
        <v>1</v>
      </c>
      <c r="BA482" t="str">
        <f t="shared" si="14"/>
        <v>Normal</v>
      </c>
      <c r="BG482" t="str">
        <f t="shared" si="15"/>
        <v>Normal</v>
      </c>
    </row>
    <row r="483" spans="1:59" x14ac:dyDescent="0.2">
      <c r="A483" t="s">
        <v>42</v>
      </c>
      <c r="B483" t="s">
        <v>43</v>
      </c>
      <c r="C483">
        <v>20230101</v>
      </c>
      <c r="D483">
        <v>2023</v>
      </c>
      <c r="E483">
        <v>52</v>
      </c>
      <c r="F483" t="s">
        <v>311</v>
      </c>
      <c r="G483">
        <v>710</v>
      </c>
      <c r="H483" t="s">
        <v>238</v>
      </c>
      <c r="I483" t="s">
        <v>239</v>
      </c>
      <c r="J483" t="s">
        <v>47</v>
      </c>
      <c r="K483" t="s">
        <v>48</v>
      </c>
      <c r="L483">
        <v>0</v>
      </c>
      <c r="M483" t="s">
        <v>49</v>
      </c>
      <c r="N483" t="s">
        <v>50</v>
      </c>
      <c r="O483">
        <v>0</v>
      </c>
      <c r="P483" t="s">
        <v>49</v>
      </c>
      <c r="Q483" t="s">
        <v>50</v>
      </c>
      <c r="R483" t="s">
        <v>300</v>
      </c>
      <c r="S483" t="s">
        <v>52</v>
      </c>
      <c r="T483" t="b">
        <v>1</v>
      </c>
      <c r="U483" t="s">
        <v>53</v>
      </c>
      <c r="V483" t="s">
        <v>54</v>
      </c>
      <c r="W483">
        <v>4</v>
      </c>
      <c r="X483" t="b">
        <v>0</v>
      </c>
      <c r="Y483" t="s">
        <v>55</v>
      </c>
      <c r="Z483" t="s">
        <v>56</v>
      </c>
      <c r="AA483" t="s">
        <v>57</v>
      </c>
      <c r="AB483">
        <v>0</v>
      </c>
      <c r="AC483" t="s">
        <v>58</v>
      </c>
      <c r="AD483">
        <v>-1</v>
      </c>
      <c r="AE483" t="s">
        <v>73</v>
      </c>
      <c r="AF483">
        <v>0</v>
      </c>
      <c r="AG483" t="b">
        <v>0</v>
      </c>
      <c r="AH483">
        <v>-1</v>
      </c>
      <c r="AI483" t="s">
        <v>73</v>
      </c>
      <c r="AJ483">
        <v>0</v>
      </c>
      <c r="AK483" t="b">
        <v>0</v>
      </c>
      <c r="AM483" t="b">
        <v>0</v>
      </c>
      <c r="AN483">
        <v>0</v>
      </c>
      <c r="AO483" t="b">
        <v>0</v>
      </c>
      <c r="AQ483">
        <v>286163.90899999999</v>
      </c>
      <c r="AR483">
        <v>286163.90899999999</v>
      </c>
      <c r="AS483">
        <v>0</v>
      </c>
      <c r="AT483" t="b">
        <v>0</v>
      </c>
      <c r="AU483" t="b">
        <v>1</v>
      </c>
      <c r="BA483" t="str">
        <f t="shared" si="14"/>
        <v>Normal</v>
      </c>
      <c r="BG483" t="str">
        <f t="shared" si="15"/>
        <v>Normal</v>
      </c>
    </row>
    <row r="484" spans="1:59" x14ac:dyDescent="0.2">
      <c r="A484" t="s">
        <v>42</v>
      </c>
      <c r="B484" t="s">
        <v>43</v>
      </c>
      <c r="C484">
        <v>20230101</v>
      </c>
      <c r="D484">
        <v>2023</v>
      </c>
      <c r="E484">
        <v>52</v>
      </c>
      <c r="F484" t="s">
        <v>311</v>
      </c>
      <c r="G484">
        <v>724</v>
      </c>
      <c r="H484" t="s">
        <v>240</v>
      </c>
      <c r="I484" t="s">
        <v>241</v>
      </c>
      <c r="J484" t="s">
        <v>47</v>
      </c>
      <c r="K484" t="s">
        <v>48</v>
      </c>
      <c r="L484">
        <v>0</v>
      </c>
      <c r="M484" t="s">
        <v>49</v>
      </c>
      <c r="N484" t="s">
        <v>50</v>
      </c>
      <c r="O484">
        <v>0</v>
      </c>
      <c r="P484" t="s">
        <v>49</v>
      </c>
      <c r="Q484" t="s">
        <v>50</v>
      </c>
      <c r="R484" t="s">
        <v>300</v>
      </c>
      <c r="S484" t="s">
        <v>52</v>
      </c>
      <c r="T484" t="b">
        <v>1</v>
      </c>
      <c r="U484" t="s">
        <v>53</v>
      </c>
      <c r="V484" t="s">
        <v>54</v>
      </c>
      <c r="W484">
        <v>4</v>
      </c>
      <c r="X484" t="b">
        <v>0</v>
      </c>
      <c r="Y484" t="s">
        <v>55</v>
      </c>
      <c r="Z484" t="s">
        <v>56</v>
      </c>
      <c r="AA484" t="s">
        <v>57</v>
      </c>
      <c r="AB484">
        <v>0</v>
      </c>
      <c r="AC484" t="s">
        <v>58</v>
      </c>
      <c r="AD484">
        <v>-1</v>
      </c>
      <c r="AE484" t="s">
        <v>73</v>
      </c>
      <c r="AF484">
        <v>0</v>
      </c>
      <c r="AG484" t="b">
        <v>0</v>
      </c>
      <c r="AH484">
        <v>-1</v>
      </c>
      <c r="AI484" t="s">
        <v>73</v>
      </c>
      <c r="AJ484">
        <v>0</v>
      </c>
      <c r="AK484" t="b">
        <v>0</v>
      </c>
      <c r="AM484" t="b">
        <v>0</v>
      </c>
      <c r="AN484">
        <v>0</v>
      </c>
      <c r="AO484" t="b">
        <v>0</v>
      </c>
      <c r="AQ484">
        <v>1493815319.9070001</v>
      </c>
      <c r="AR484">
        <v>1493815319.9070001</v>
      </c>
      <c r="AS484">
        <v>0</v>
      </c>
      <c r="AT484" t="b">
        <v>0</v>
      </c>
      <c r="AU484" t="b">
        <v>1</v>
      </c>
      <c r="BA484" t="str">
        <f t="shared" si="14"/>
        <v>Normal</v>
      </c>
      <c r="BG484" t="str">
        <f t="shared" si="15"/>
        <v>Normal</v>
      </c>
    </row>
    <row r="485" spans="1:59" x14ac:dyDescent="0.2">
      <c r="A485" t="s">
        <v>42</v>
      </c>
      <c r="B485" t="s">
        <v>43</v>
      </c>
      <c r="C485">
        <v>20230101</v>
      </c>
      <c r="D485">
        <v>2023</v>
      </c>
      <c r="E485">
        <v>52</v>
      </c>
      <c r="F485" t="s">
        <v>311</v>
      </c>
      <c r="G485">
        <v>740</v>
      </c>
      <c r="H485" t="s">
        <v>281</v>
      </c>
      <c r="I485" t="s">
        <v>282</v>
      </c>
      <c r="J485" t="s">
        <v>47</v>
      </c>
      <c r="K485" t="s">
        <v>48</v>
      </c>
      <c r="L485">
        <v>0</v>
      </c>
      <c r="M485" t="s">
        <v>49</v>
      </c>
      <c r="N485" t="s">
        <v>50</v>
      </c>
      <c r="O485">
        <v>0</v>
      </c>
      <c r="P485" t="s">
        <v>49</v>
      </c>
      <c r="Q485" t="s">
        <v>50</v>
      </c>
      <c r="R485" t="s">
        <v>127</v>
      </c>
      <c r="S485" t="s">
        <v>52</v>
      </c>
      <c r="T485" t="b">
        <v>1</v>
      </c>
      <c r="U485" t="s">
        <v>53</v>
      </c>
      <c r="V485" t="s">
        <v>54</v>
      </c>
      <c r="W485">
        <v>4</v>
      </c>
      <c r="X485" t="b">
        <v>0</v>
      </c>
      <c r="Y485" t="s">
        <v>55</v>
      </c>
      <c r="Z485" t="s">
        <v>56</v>
      </c>
      <c r="AA485" t="s">
        <v>57</v>
      </c>
      <c r="AB485">
        <v>0</v>
      </c>
      <c r="AC485" t="s">
        <v>58</v>
      </c>
      <c r="AD485">
        <v>8</v>
      </c>
      <c r="AE485" t="s">
        <v>59</v>
      </c>
      <c r="AF485">
        <v>5593.5</v>
      </c>
      <c r="AG485" t="b">
        <v>0</v>
      </c>
      <c r="AH485">
        <v>7</v>
      </c>
      <c r="AI485" t="s">
        <v>67</v>
      </c>
      <c r="AJ485">
        <v>90</v>
      </c>
      <c r="AK485" t="b">
        <v>0</v>
      </c>
      <c r="AM485" t="b">
        <v>0</v>
      </c>
      <c r="AN485">
        <v>5586</v>
      </c>
      <c r="AO485" t="b">
        <v>0</v>
      </c>
      <c r="AQ485">
        <v>34601.67</v>
      </c>
      <c r="AR485">
        <v>34601.67</v>
      </c>
      <c r="AS485">
        <v>0</v>
      </c>
      <c r="AT485" t="b">
        <v>0</v>
      </c>
      <c r="AU485" t="b">
        <v>1</v>
      </c>
      <c r="BA485" t="str">
        <f t="shared" si="14"/>
        <v>Normal</v>
      </c>
      <c r="BG485" t="str">
        <f t="shared" si="15"/>
        <v>Normal</v>
      </c>
    </row>
    <row r="486" spans="1:59" x14ac:dyDescent="0.2">
      <c r="A486" t="s">
        <v>42</v>
      </c>
      <c r="B486" t="s">
        <v>43</v>
      </c>
      <c r="C486">
        <v>20230101</v>
      </c>
      <c r="D486">
        <v>2023</v>
      </c>
      <c r="E486">
        <v>52</v>
      </c>
      <c r="F486" t="s">
        <v>311</v>
      </c>
      <c r="G486">
        <v>752</v>
      </c>
      <c r="H486" t="s">
        <v>244</v>
      </c>
      <c r="I486" t="s">
        <v>245</v>
      </c>
      <c r="J486" t="s">
        <v>47</v>
      </c>
      <c r="K486" t="s">
        <v>48</v>
      </c>
      <c r="L486">
        <v>0</v>
      </c>
      <c r="M486" t="s">
        <v>49</v>
      </c>
      <c r="N486" t="s">
        <v>50</v>
      </c>
      <c r="O486">
        <v>0</v>
      </c>
      <c r="P486" t="s">
        <v>49</v>
      </c>
      <c r="Q486" t="s">
        <v>50</v>
      </c>
      <c r="R486" t="s">
        <v>300</v>
      </c>
      <c r="S486" t="s">
        <v>52</v>
      </c>
      <c r="T486" t="b">
        <v>1</v>
      </c>
      <c r="U486" t="s">
        <v>53</v>
      </c>
      <c r="V486" t="s">
        <v>54</v>
      </c>
      <c r="W486">
        <v>4</v>
      </c>
      <c r="X486" t="b">
        <v>0</v>
      </c>
      <c r="Y486" t="s">
        <v>55</v>
      </c>
      <c r="Z486" t="s">
        <v>56</v>
      </c>
      <c r="AA486" t="s">
        <v>57</v>
      </c>
      <c r="AB486">
        <v>0</v>
      </c>
      <c r="AC486" t="s">
        <v>58</v>
      </c>
      <c r="AD486">
        <v>8</v>
      </c>
      <c r="AE486" t="s">
        <v>59</v>
      </c>
      <c r="AF486">
        <v>11467.123</v>
      </c>
      <c r="AG486" t="b">
        <v>1</v>
      </c>
      <c r="AH486">
        <v>-1</v>
      </c>
      <c r="AI486" t="s">
        <v>73</v>
      </c>
      <c r="AJ486">
        <v>0</v>
      </c>
      <c r="AK486" t="b">
        <v>0</v>
      </c>
      <c r="AL486">
        <v>11467.123</v>
      </c>
      <c r="AM486" t="b">
        <v>1</v>
      </c>
      <c r="AN486">
        <v>0</v>
      </c>
      <c r="AO486" t="b">
        <v>0</v>
      </c>
      <c r="AQ486">
        <v>71723.694000000003</v>
      </c>
      <c r="AR486">
        <v>71723.694000000003</v>
      </c>
      <c r="AS486">
        <v>6</v>
      </c>
      <c r="AT486" t="b">
        <v>0</v>
      </c>
      <c r="AU486" t="b">
        <v>1</v>
      </c>
      <c r="BA486" t="str">
        <f t="shared" si="14"/>
        <v>Normal</v>
      </c>
      <c r="BG486" t="str">
        <f t="shared" si="15"/>
        <v>Normal</v>
      </c>
    </row>
    <row r="487" spans="1:59" x14ac:dyDescent="0.2">
      <c r="A487" t="s">
        <v>42</v>
      </c>
      <c r="B487" t="s">
        <v>43</v>
      </c>
      <c r="C487">
        <v>20230101</v>
      </c>
      <c r="D487">
        <v>2023</v>
      </c>
      <c r="E487">
        <v>52</v>
      </c>
      <c r="F487" t="s">
        <v>311</v>
      </c>
      <c r="G487">
        <v>757</v>
      </c>
      <c r="H487" t="s">
        <v>246</v>
      </c>
      <c r="I487" t="s">
        <v>247</v>
      </c>
      <c r="J487" t="s">
        <v>47</v>
      </c>
      <c r="K487" t="s">
        <v>48</v>
      </c>
      <c r="L487">
        <v>0</v>
      </c>
      <c r="M487" t="s">
        <v>49</v>
      </c>
      <c r="N487" t="s">
        <v>50</v>
      </c>
      <c r="O487">
        <v>0</v>
      </c>
      <c r="P487" t="s">
        <v>49</v>
      </c>
      <c r="Q487" t="s">
        <v>50</v>
      </c>
      <c r="R487" t="s">
        <v>300</v>
      </c>
      <c r="S487" t="s">
        <v>52</v>
      </c>
      <c r="T487" t="b">
        <v>1</v>
      </c>
      <c r="U487" t="s">
        <v>53</v>
      </c>
      <c r="V487" t="s">
        <v>54</v>
      </c>
      <c r="W487">
        <v>4</v>
      </c>
      <c r="X487" t="b">
        <v>0</v>
      </c>
      <c r="Y487" t="s">
        <v>55</v>
      </c>
      <c r="Z487" t="s">
        <v>56</v>
      </c>
      <c r="AA487" t="s">
        <v>57</v>
      </c>
      <c r="AB487">
        <v>0</v>
      </c>
      <c r="AC487" t="s">
        <v>58</v>
      </c>
      <c r="AD487">
        <v>8</v>
      </c>
      <c r="AE487" t="s">
        <v>59</v>
      </c>
      <c r="AF487">
        <v>270</v>
      </c>
      <c r="AG487" t="b">
        <v>0</v>
      </c>
      <c r="AH487">
        <v>7</v>
      </c>
      <c r="AI487" t="s">
        <v>67</v>
      </c>
      <c r="AJ487">
        <v>301</v>
      </c>
      <c r="AK487" t="b">
        <v>0</v>
      </c>
      <c r="AL487">
        <v>270</v>
      </c>
      <c r="AM487" t="b">
        <v>0</v>
      </c>
      <c r="AN487">
        <v>0</v>
      </c>
      <c r="AO487" t="b">
        <v>0</v>
      </c>
      <c r="AQ487">
        <v>3345.4769999999999</v>
      </c>
      <c r="AR487">
        <v>3345.4769999999999</v>
      </c>
      <c r="AS487">
        <v>0</v>
      </c>
      <c r="AT487" t="b">
        <v>0</v>
      </c>
      <c r="AU487" t="b">
        <v>1</v>
      </c>
      <c r="BA487" t="str">
        <f t="shared" si="14"/>
        <v>Normal</v>
      </c>
      <c r="BG487" t="str">
        <f t="shared" si="15"/>
        <v>Normal</v>
      </c>
    </row>
    <row r="488" spans="1:59" x14ac:dyDescent="0.2">
      <c r="A488" t="s">
        <v>42</v>
      </c>
      <c r="B488" t="s">
        <v>43</v>
      </c>
      <c r="C488">
        <v>20230101</v>
      </c>
      <c r="D488">
        <v>2023</v>
      </c>
      <c r="E488">
        <v>52</v>
      </c>
      <c r="F488" t="s">
        <v>311</v>
      </c>
      <c r="G488">
        <v>764</v>
      </c>
      <c r="H488" t="s">
        <v>248</v>
      </c>
      <c r="I488" t="s">
        <v>249</v>
      </c>
      <c r="J488" t="s">
        <v>47</v>
      </c>
      <c r="K488" t="s">
        <v>48</v>
      </c>
      <c r="L488">
        <v>0</v>
      </c>
      <c r="M488" t="s">
        <v>49</v>
      </c>
      <c r="N488" t="s">
        <v>50</v>
      </c>
      <c r="O488">
        <v>0</v>
      </c>
      <c r="P488" t="s">
        <v>49</v>
      </c>
      <c r="Q488" t="s">
        <v>50</v>
      </c>
      <c r="R488" t="s">
        <v>300</v>
      </c>
      <c r="S488" t="s">
        <v>52</v>
      </c>
      <c r="T488" t="b">
        <v>1</v>
      </c>
      <c r="U488" t="s">
        <v>53</v>
      </c>
      <c r="V488" t="s">
        <v>54</v>
      </c>
      <c r="W488">
        <v>4</v>
      </c>
      <c r="X488" t="b">
        <v>0</v>
      </c>
      <c r="Y488" t="s">
        <v>55</v>
      </c>
      <c r="Z488" t="s">
        <v>56</v>
      </c>
      <c r="AA488" t="s">
        <v>57</v>
      </c>
      <c r="AB488">
        <v>0</v>
      </c>
      <c r="AC488" t="s">
        <v>58</v>
      </c>
      <c r="AD488">
        <v>8</v>
      </c>
      <c r="AE488" t="s">
        <v>59</v>
      </c>
      <c r="AF488">
        <v>593044283.67400002</v>
      </c>
      <c r="AG488" t="b">
        <v>1</v>
      </c>
      <c r="AH488">
        <v>-1</v>
      </c>
      <c r="AI488" t="s">
        <v>73</v>
      </c>
      <c r="AJ488">
        <v>0</v>
      </c>
      <c r="AK488" t="b">
        <v>0</v>
      </c>
      <c r="AL488">
        <v>593044283.67400002</v>
      </c>
      <c r="AM488" t="b">
        <v>1</v>
      </c>
      <c r="AN488">
        <v>0</v>
      </c>
      <c r="AO488" t="b">
        <v>0</v>
      </c>
      <c r="AQ488">
        <v>357486570.611</v>
      </c>
      <c r="AR488">
        <v>357486570.611</v>
      </c>
      <c r="AS488">
        <v>6</v>
      </c>
      <c r="AT488" t="b">
        <v>0</v>
      </c>
      <c r="AU488" t="b">
        <v>1</v>
      </c>
      <c r="BA488" t="str">
        <f t="shared" si="14"/>
        <v>Normal</v>
      </c>
      <c r="BG488" t="str">
        <f t="shared" si="15"/>
        <v>Normal</v>
      </c>
    </row>
    <row r="489" spans="1:59" x14ac:dyDescent="0.2">
      <c r="A489" t="s">
        <v>42</v>
      </c>
      <c r="B489" t="s">
        <v>43</v>
      </c>
      <c r="C489">
        <v>20230101</v>
      </c>
      <c r="D489">
        <v>2023</v>
      </c>
      <c r="E489">
        <v>52</v>
      </c>
      <c r="F489" t="s">
        <v>311</v>
      </c>
      <c r="G489">
        <v>768</v>
      </c>
      <c r="H489" t="s">
        <v>323</v>
      </c>
      <c r="I489" t="s">
        <v>324</v>
      </c>
      <c r="J489" t="s">
        <v>47</v>
      </c>
      <c r="K489" t="s">
        <v>48</v>
      </c>
      <c r="L489">
        <v>0</v>
      </c>
      <c r="M489" t="s">
        <v>49</v>
      </c>
      <c r="N489" t="s">
        <v>50</v>
      </c>
      <c r="O489">
        <v>0</v>
      </c>
      <c r="P489" t="s">
        <v>49</v>
      </c>
      <c r="Q489" t="s">
        <v>50</v>
      </c>
      <c r="R489" t="s">
        <v>51</v>
      </c>
      <c r="S489" t="s">
        <v>52</v>
      </c>
      <c r="T489" t="b">
        <v>1</v>
      </c>
      <c r="U489" t="s">
        <v>53</v>
      </c>
      <c r="V489" t="s">
        <v>54</v>
      </c>
      <c r="W489">
        <v>4</v>
      </c>
      <c r="X489" t="b">
        <v>0</v>
      </c>
      <c r="Y489" t="s">
        <v>55</v>
      </c>
      <c r="Z489" t="s">
        <v>56</v>
      </c>
      <c r="AA489" t="s">
        <v>57</v>
      </c>
      <c r="AB489">
        <v>0</v>
      </c>
      <c r="AC489" t="s">
        <v>58</v>
      </c>
      <c r="AD489">
        <v>8</v>
      </c>
      <c r="AE489" t="s">
        <v>59</v>
      </c>
      <c r="AF489">
        <v>26</v>
      </c>
      <c r="AG489" t="b">
        <v>0</v>
      </c>
      <c r="AH489">
        <v>8</v>
      </c>
      <c r="AI489" t="s">
        <v>59</v>
      </c>
      <c r="AJ489">
        <v>26</v>
      </c>
      <c r="AK489" t="b">
        <v>0</v>
      </c>
      <c r="AL489">
        <v>26</v>
      </c>
      <c r="AM489" t="b">
        <v>0</v>
      </c>
      <c r="AN489">
        <v>0</v>
      </c>
      <c r="AO489" t="b">
        <v>0</v>
      </c>
      <c r="AQ489">
        <v>790.20500000000004</v>
      </c>
      <c r="AR489">
        <v>790.20500000000004</v>
      </c>
      <c r="AS489">
        <v>0</v>
      </c>
      <c r="AT489" t="b">
        <v>0</v>
      </c>
      <c r="AU489" t="b">
        <v>1</v>
      </c>
      <c r="BA489" t="str">
        <f t="shared" si="14"/>
        <v>Normal</v>
      </c>
      <c r="BG489" t="str">
        <f t="shared" si="15"/>
        <v>Normal</v>
      </c>
    </row>
    <row r="490" spans="1:59" x14ac:dyDescent="0.2">
      <c r="A490" t="s">
        <v>42</v>
      </c>
      <c r="B490" t="s">
        <v>43</v>
      </c>
      <c r="C490">
        <v>20230101</v>
      </c>
      <c r="D490">
        <v>2023</v>
      </c>
      <c r="E490">
        <v>52</v>
      </c>
      <c r="F490" t="s">
        <v>311</v>
      </c>
      <c r="G490">
        <v>780</v>
      </c>
      <c r="H490" t="s">
        <v>252</v>
      </c>
      <c r="I490" t="s">
        <v>253</v>
      </c>
      <c r="J490" t="s">
        <v>47</v>
      </c>
      <c r="K490" t="s">
        <v>48</v>
      </c>
      <c r="L490">
        <v>0</v>
      </c>
      <c r="M490" t="s">
        <v>49</v>
      </c>
      <c r="N490" t="s">
        <v>50</v>
      </c>
      <c r="O490">
        <v>0</v>
      </c>
      <c r="P490" t="s">
        <v>49</v>
      </c>
      <c r="Q490" t="s">
        <v>50</v>
      </c>
      <c r="R490" t="s">
        <v>104</v>
      </c>
      <c r="S490" t="s">
        <v>52</v>
      </c>
      <c r="T490" t="b">
        <v>1</v>
      </c>
      <c r="U490" t="s">
        <v>53</v>
      </c>
      <c r="V490" t="s">
        <v>54</v>
      </c>
      <c r="W490">
        <v>4</v>
      </c>
      <c r="X490" t="b">
        <v>0</v>
      </c>
      <c r="Y490" t="s">
        <v>55</v>
      </c>
      <c r="Z490" t="s">
        <v>56</v>
      </c>
      <c r="AA490" t="s">
        <v>57</v>
      </c>
      <c r="AB490">
        <v>0</v>
      </c>
      <c r="AC490" t="s">
        <v>58</v>
      </c>
      <c r="AD490">
        <v>-1</v>
      </c>
      <c r="AE490" t="s">
        <v>73</v>
      </c>
      <c r="AF490">
        <v>0</v>
      </c>
      <c r="AG490" t="b">
        <v>0</v>
      </c>
      <c r="AH490">
        <v>-1</v>
      </c>
      <c r="AI490" t="s">
        <v>73</v>
      </c>
      <c r="AJ490">
        <v>0</v>
      </c>
      <c r="AK490" t="b">
        <v>0</v>
      </c>
      <c r="AM490" t="b">
        <v>0</v>
      </c>
      <c r="AN490">
        <v>0</v>
      </c>
      <c r="AO490" t="b">
        <v>0</v>
      </c>
      <c r="AQ490">
        <v>1149385610</v>
      </c>
      <c r="AR490">
        <v>1149385610</v>
      </c>
      <c r="AS490">
        <v>0</v>
      </c>
      <c r="AT490" t="b">
        <v>0</v>
      </c>
      <c r="AU490" t="b">
        <v>1</v>
      </c>
      <c r="BA490" t="str">
        <f t="shared" si="14"/>
        <v>Normal</v>
      </c>
      <c r="BG490" t="str">
        <f t="shared" si="15"/>
        <v>Normal</v>
      </c>
    </row>
    <row r="491" spans="1:59" x14ac:dyDescent="0.2">
      <c r="A491" t="s">
        <v>42</v>
      </c>
      <c r="B491" t="s">
        <v>43</v>
      </c>
      <c r="C491">
        <v>20230101</v>
      </c>
      <c r="D491">
        <v>2023</v>
      </c>
      <c r="E491">
        <v>52</v>
      </c>
      <c r="F491" t="s">
        <v>311</v>
      </c>
      <c r="G491">
        <v>784</v>
      </c>
      <c r="H491" t="s">
        <v>254</v>
      </c>
      <c r="I491" t="s">
        <v>255</v>
      </c>
      <c r="J491" t="s">
        <v>47</v>
      </c>
      <c r="K491" t="s">
        <v>48</v>
      </c>
      <c r="L491">
        <v>0</v>
      </c>
      <c r="M491" t="s">
        <v>49</v>
      </c>
      <c r="N491" t="s">
        <v>50</v>
      </c>
      <c r="O491">
        <v>0</v>
      </c>
      <c r="P491" t="s">
        <v>49</v>
      </c>
      <c r="Q491" t="s">
        <v>50</v>
      </c>
      <c r="R491" t="s">
        <v>300</v>
      </c>
      <c r="S491" t="s">
        <v>52</v>
      </c>
      <c r="T491" t="b">
        <v>1</v>
      </c>
      <c r="U491" t="s">
        <v>53</v>
      </c>
      <c r="V491" t="s">
        <v>54</v>
      </c>
      <c r="W491">
        <v>4</v>
      </c>
      <c r="X491" t="b">
        <v>0</v>
      </c>
      <c r="Y491" t="s">
        <v>55</v>
      </c>
      <c r="Z491" t="s">
        <v>56</v>
      </c>
      <c r="AA491" t="s">
        <v>57</v>
      </c>
      <c r="AB491">
        <v>0</v>
      </c>
      <c r="AC491" t="s">
        <v>58</v>
      </c>
      <c r="AD491">
        <v>-1</v>
      </c>
      <c r="AE491" t="s">
        <v>73</v>
      </c>
      <c r="AF491">
        <v>0</v>
      </c>
      <c r="AG491" t="b">
        <v>0</v>
      </c>
      <c r="AH491">
        <v>-1</v>
      </c>
      <c r="AI491" t="s">
        <v>73</v>
      </c>
      <c r="AJ491">
        <v>0</v>
      </c>
      <c r="AK491" t="b">
        <v>0</v>
      </c>
      <c r="AM491" t="b">
        <v>0</v>
      </c>
      <c r="AN491">
        <v>0</v>
      </c>
      <c r="AO491" t="b">
        <v>0</v>
      </c>
      <c r="AQ491">
        <v>162767463924.95099</v>
      </c>
      <c r="AR491">
        <v>162767463924.95099</v>
      </c>
      <c r="AS491">
        <v>0</v>
      </c>
      <c r="AT491" t="b">
        <v>0</v>
      </c>
      <c r="AU491" t="b">
        <v>1</v>
      </c>
      <c r="BA491" t="str">
        <f t="shared" si="14"/>
        <v>Normal</v>
      </c>
      <c r="BG491" t="str">
        <f t="shared" si="15"/>
        <v>Normal</v>
      </c>
    </row>
    <row r="492" spans="1:59" x14ac:dyDescent="0.2">
      <c r="A492" t="s">
        <v>42</v>
      </c>
      <c r="B492" t="s">
        <v>43</v>
      </c>
      <c r="C492">
        <v>20230101</v>
      </c>
      <c r="D492">
        <v>2023</v>
      </c>
      <c r="E492">
        <v>52</v>
      </c>
      <c r="F492" t="s">
        <v>311</v>
      </c>
      <c r="G492">
        <v>788</v>
      </c>
      <c r="H492" t="s">
        <v>256</v>
      </c>
      <c r="I492" t="s">
        <v>257</v>
      </c>
      <c r="J492" t="s">
        <v>47</v>
      </c>
      <c r="K492" t="s">
        <v>48</v>
      </c>
      <c r="L492">
        <v>0</v>
      </c>
      <c r="M492" t="s">
        <v>49</v>
      </c>
      <c r="N492" t="s">
        <v>50</v>
      </c>
      <c r="O492">
        <v>0</v>
      </c>
      <c r="P492" t="s">
        <v>49</v>
      </c>
      <c r="Q492" t="s">
        <v>50</v>
      </c>
      <c r="R492" t="s">
        <v>300</v>
      </c>
      <c r="S492" t="s">
        <v>52</v>
      </c>
      <c r="T492" t="b">
        <v>1</v>
      </c>
      <c r="U492" t="s">
        <v>53</v>
      </c>
      <c r="V492" t="s">
        <v>54</v>
      </c>
      <c r="W492">
        <v>4</v>
      </c>
      <c r="X492" t="b">
        <v>0</v>
      </c>
      <c r="Y492" t="s">
        <v>55</v>
      </c>
      <c r="Z492" t="s">
        <v>56</v>
      </c>
      <c r="AA492" t="s">
        <v>57</v>
      </c>
      <c r="AB492">
        <v>0</v>
      </c>
      <c r="AC492" t="s">
        <v>58</v>
      </c>
      <c r="AD492">
        <v>8</v>
      </c>
      <c r="AE492" t="s">
        <v>59</v>
      </c>
      <c r="AF492">
        <v>1312046520</v>
      </c>
      <c r="AG492" t="b">
        <v>0</v>
      </c>
      <c r="AH492">
        <v>8</v>
      </c>
      <c r="AI492" t="s">
        <v>59</v>
      </c>
      <c r="AJ492">
        <v>1312046520</v>
      </c>
      <c r="AK492" t="b">
        <v>0</v>
      </c>
      <c r="AL492">
        <v>1312046520</v>
      </c>
      <c r="AM492" t="b">
        <v>0</v>
      </c>
      <c r="AN492">
        <v>0</v>
      </c>
      <c r="AO492" t="b">
        <v>0</v>
      </c>
      <c r="AQ492">
        <v>793987189.16900003</v>
      </c>
      <c r="AR492">
        <v>793987189.16900003</v>
      </c>
      <c r="AS492">
        <v>0</v>
      </c>
      <c r="AT492" t="b">
        <v>0</v>
      </c>
      <c r="AU492" t="b">
        <v>1</v>
      </c>
      <c r="BA492" t="str">
        <f t="shared" si="14"/>
        <v>Normal</v>
      </c>
      <c r="BG492" t="str">
        <f t="shared" si="15"/>
        <v>Normal</v>
      </c>
    </row>
    <row r="493" spans="1:59" x14ac:dyDescent="0.2">
      <c r="A493" t="s">
        <v>42</v>
      </c>
      <c r="B493" t="s">
        <v>43</v>
      </c>
      <c r="C493">
        <v>20230101</v>
      </c>
      <c r="D493">
        <v>2023</v>
      </c>
      <c r="E493">
        <v>52</v>
      </c>
      <c r="F493" t="s">
        <v>311</v>
      </c>
      <c r="G493">
        <v>800</v>
      </c>
      <c r="H493" t="s">
        <v>258</v>
      </c>
      <c r="I493" t="s">
        <v>259</v>
      </c>
      <c r="J493" t="s">
        <v>47</v>
      </c>
      <c r="K493" t="s">
        <v>48</v>
      </c>
      <c r="L493">
        <v>0</v>
      </c>
      <c r="M493" t="s">
        <v>49</v>
      </c>
      <c r="N493" t="s">
        <v>50</v>
      </c>
      <c r="O493">
        <v>0</v>
      </c>
      <c r="P493" t="s">
        <v>49</v>
      </c>
      <c r="Q493" t="s">
        <v>50</v>
      </c>
      <c r="R493" t="s">
        <v>300</v>
      </c>
      <c r="S493" t="s">
        <v>52</v>
      </c>
      <c r="T493" t="b">
        <v>1</v>
      </c>
      <c r="U493" t="s">
        <v>53</v>
      </c>
      <c r="V493" t="s">
        <v>54</v>
      </c>
      <c r="W493">
        <v>4</v>
      </c>
      <c r="X493" t="b">
        <v>0</v>
      </c>
      <c r="Y493" t="s">
        <v>55</v>
      </c>
      <c r="Z493" t="s">
        <v>56</v>
      </c>
      <c r="AA493" t="s">
        <v>57</v>
      </c>
      <c r="AB493">
        <v>0</v>
      </c>
      <c r="AC493" t="s">
        <v>58</v>
      </c>
      <c r="AD493">
        <v>8</v>
      </c>
      <c r="AE493" t="s">
        <v>59</v>
      </c>
      <c r="AF493">
        <v>8500</v>
      </c>
      <c r="AG493" t="b">
        <v>0</v>
      </c>
      <c r="AH493">
        <v>8</v>
      </c>
      <c r="AI493" t="s">
        <v>59</v>
      </c>
      <c r="AJ493">
        <v>8500</v>
      </c>
      <c r="AK493" t="b">
        <v>0</v>
      </c>
      <c r="AL493">
        <v>8500</v>
      </c>
      <c r="AM493" t="b">
        <v>0</v>
      </c>
      <c r="AN493">
        <v>0</v>
      </c>
      <c r="AO493" t="b">
        <v>0</v>
      </c>
      <c r="AQ493">
        <v>4746.9399999999996</v>
      </c>
      <c r="AR493">
        <v>4746.9399999999996</v>
      </c>
      <c r="AS493">
        <v>0</v>
      </c>
      <c r="AT493" t="b">
        <v>0</v>
      </c>
      <c r="AU493" t="b">
        <v>1</v>
      </c>
      <c r="BA493" t="str">
        <f t="shared" si="14"/>
        <v>Normal</v>
      </c>
      <c r="BG493" t="str">
        <f t="shared" si="15"/>
        <v>Normal</v>
      </c>
    </row>
    <row r="494" spans="1:59" x14ac:dyDescent="0.2">
      <c r="A494" t="s">
        <v>42</v>
      </c>
      <c r="B494" t="s">
        <v>43</v>
      </c>
      <c r="C494">
        <v>20230101</v>
      </c>
      <c r="D494">
        <v>2023</v>
      </c>
      <c r="E494">
        <v>52</v>
      </c>
      <c r="F494" t="s">
        <v>311</v>
      </c>
      <c r="G494">
        <v>804</v>
      </c>
      <c r="H494" t="s">
        <v>260</v>
      </c>
      <c r="I494" t="s">
        <v>261</v>
      </c>
      <c r="J494" t="s">
        <v>47</v>
      </c>
      <c r="K494" t="s">
        <v>48</v>
      </c>
      <c r="L494">
        <v>0</v>
      </c>
      <c r="M494" t="s">
        <v>49</v>
      </c>
      <c r="N494" t="s">
        <v>50</v>
      </c>
      <c r="O494">
        <v>0</v>
      </c>
      <c r="P494" t="s">
        <v>49</v>
      </c>
      <c r="Q494" t="s">
        <v>50</v>
      </c>
      <c r="R494" t="s">
        <v>300</v>
      </c>
      <c r="S494" t="s">
        <v>52</v>
      </c>
      <c r="T494" t="b">
        <v>1</v>
      </c>
      <c r="U494" t="s">
        <v>53</v>
      </c>
      <c r="V494" t="s">
        <v>54</v>
      </c>
      <c r="W494">
        <v>4</v>
      </c>
      <c r="X494" t="b">
        <v>0</v>
      </c>
      <c r="Y494" t="s">
        <v>55</v>
      </c>
      <c r="Z494" t="s">
        <v>56</v>
      </c>
      <c r="AA494" t="s">
        <v>57</v>
      </c>
      <c r="AB494">
        <v>0</v>
      </c>
      <c r="AC494" t="s">
        <v>58</v>
      </c>
      <c r="AD494">
        <v>8</v>
      </c>
      <c r="AE494" t="s">
        <v>59</v>
      </c>
      <c r="AF494">
        <v>16321050</v>
      </c>
      <c r="AG494" t="b">
        <v>0</v>
      </c>
      <c r="AH494">
        <v>8</v>
      </c>
      <c r="AI494" t="s">
        <v>59</v>
      </c>
      <c r="AJ494">
        <v>16321050</v>
      </c>
      <c r="AK494" t="b">
        <v>0</v>
      </c>
      <c r="AL494">
        <v>16321050</v>
      </c>
      <c r="AM494" t="b">
        <v>0</v>
      </c>
      <c r="AN494">
        <v>0</v>
      </c>
      <c r="AO494" t="b">
        <v>0</v>
      </c>
      <c r="AQ494">
        <v>9624330.6300000008</v>
      </c>
      <c r="AR494">
        <v>9624330.6300000008</v>
      </c>
      <c r="AS494">
        <v>0</v>
      </c>
      <c r="AT494" t="b">
        <v>0</v>
      </c>
      <c r="AU494" t="b">
        <v>1</v>
      </c>
      <c r="BA494" t="str">
        <f t="shared" si="14"/>
        <v>Normal</v>
      </c>
      <c r="BG494" t="str">
        <f t="shared" si="15"/>
        <v>Normal</v>
      </c>
    </row>
    <row r="495" spans="1:59" x14ac:dyDescent="0.2">
      <c r="A495" t="s">
        <v>42</v>
      </c>
      <c r="B495" t="s">
        <v>43</v>
      </c>
      <c r="C495">
        <v>20230101</v>
      </c>
      <c r="D495">
        <v>2023</v>
      </c>
      <c r="E495">
        <v>52</v>
      </c>
      <c r="F495" t="s">
        <v>311</v>
      </c>
      <c r="G495">
        <v>818</v>
      </c>
      <c r="H495" t="s">
        <v>262</v>
      </c>
      <c r="I495" t="s">
        <v>263</v>
      </c>
      <c r="J495" t="s">
        <v>47</v>
      </c>
      <c r="K495" t="s">
        <v>48</v>
      </c>
      <c r="L495">
        <v>0</v>
      </c>
      <c r="M495" t="s">
        <v>49</v>
      </c>
      <c r="N495" t="s">
        <v>50</v>
      </c>
      <c r="O495">
        <v>0</v>
      </c>
      <c r="P495" t="s">
        <v>49</v>
      </c>
      <c r="Q495" t="s">
        <v>50</v>
      </c>
      <c r="R495" t="s">
        <v>300</v>
      </c>
      <c r="S495" t="s">
        <v>52</v>
      </c>
      <c r="T495" t="b">
        <v>1</v>
      </c>
      <c r="U495" t="s">
        <v>53</v>
      </c>
      <c r="V495" t="s">
        <v>54</v>
      </c>
      <c r="W495">
        <v>4</v>
      </c>
      <c r="X495" t="b">
        <v>0</v>
      </c>
      <c r="Y495" t="s">
        <v>55</v>
      </c>
      <c r="Z495" t="s">
        <v>56</v>
      </c>
      <c r="AA495" t="s">
        <v>57</v>
      </c>
      <c r="AB495">
        <v>0</v>
      </c>
      <c r="AC495" t="s">
        <v>58</v>
      </c>
      <c r="AD495">
        <v>8</v>
      </c>
      <c r="AE495" t="s">
        <v>59</v>
      </c>
      <c r="AF495">
        <v>4856420660.3739996</v>
      </c>
      <c r="AG495" t="b">
        <v>1</v>
      </c>
      <c r="AH495">
        <v>-1</v>
      </c>
      <c r="AI495" t="s">
        <v>73</v>
      </c>
      <c r="AJ495">
        <v>0</v>
      </c>
      <c r="AK495" t="b">
        <v>0</v>
      </c>
      <c r="AL495">
        <v>4856420660.3739996</v>
      </c>
      <c r="AM495" t="b">
        <v>1</v>
      </c>
      <c r="AN495">
        <v>0</v>
      </c>
      <c r="AO495" t="b">
        <v>0</v>
      </c>
      <c r="AQ495">
        <v>2638393000</v>
      </c>
      <c r="AR495">
        <v>2638393000</v>
      </c>
      <c r="AS495">
        <v>6</v>
      </c>
      <c r="AT495" t="b">
        <v>0</v>
      </c>
      <c r="AU495" t="b">
        <v>1</v>
      </c>
      <c r="BA495" t="str">
        <f t="shared" si="14"/>
        <v>Normal</v>
      </c>
      <c r="BG495" t="str">
        <f t="shared" si="15"/>
        <v>Normal</v>
      </c>
    </row>
    <row r="496" spans="1:59" x14ac:dyDescent="0.2">
      <c r="A496" t="s">
        <v>42</v>
      </c>
      <c r="B496" t="s">
        <v>43</v>
      </c>
      <c r="C496">
        <v>20230101</v>
      </c>
      <c r="D496">
        <v>2023</v>
      </c>
      <c r="E496">
        <v>52</v>
      </c>
      <c r="F496" t="s">
        <v>311</v>
      </c>
      <c r="G496">
        <v>826</v>
      </c>
      <c r="H496" t="s">
        <v>264</v>
      </c>
      <c r="I496" t="s">
        <v>265</v>
      </c>
      <c r="J496" t="s">
        <v>47</v>
      </c>
      <c r="K496" t="s">
        <v>48</v>
      </c>
      <c r="L496">
        <v>0</v>
      </c>
      <c r="M496" t="s">
        <v>49</v>
      </c>
      <c r="N496" t="s">
        <v>50</v>
      </c>
      <c r="O496">
        <v>0</v>
      </c>
      <c r="P496" t="s">
        <v>49</v>
      </c>
      <c r="Q496" t="s">
        <v>50</v>
      </c>
      <c r="R496" t="s">
        <v>300</v>
      </c>
      <c r="S496" t="s">
        <v>52</v>
      </c>
      <c r="T496" t="b">
        <v>1</v>
      </c>
      <c r="U496" t="s">
        <v>53</v>
      </c>
      <c r="V496" t="s">
        <v>54</v>
      </c>
      <c r="W496">
        <v>4</v>
      </c>
      <c r="X496" t="b">
        <v>0</v>
      </c>
      <c r="Y496" t="s">
        <v>55</v>
      </c>
      <c r="Z496" t="s">
        <v>56</v>
      </c>
      <c r="AA496" t="s">
        <v>57</v>
      </c>
      <c r="AB496">
        <v>0</v>
      </c>
      <c r="AC496" t="s">
        <v>58</v>
      </c>
      <c r="AD496">
        <v>-1</v>
      </c>
      <c r="AE496" t="s">
        <v>73</v>
      </c>
      <c r="AF496">
        <v>0</v>
      </c>
      <c r="AG496" t="b">
        <v>0</v>
      </c>
      <c r="AH496">
        <v>-1</v>
      </c>
      <c r="AI496" t="s">
        <v>73</v>
      </c>
      <c r="AJ496">
        <v>0</v>
      </c>
      <c r="AK496" t="b">
        <v>0</v>
      </c>
      <c r="AM496" t="b">
        <v>0</v>
      </c>
      <c r="AN496">
        <v>0</v>
      </c>
      <c r="AO496" t="b">
        <v>0</v>
      </c>
      <c r="AQ496">
        <v>21100693176.915001</v>
      </c>
      <c r="AR496">
        <v>21100693176.915001</v>
      </c>
      <c r="AS496">
        <v>0</v>
      </c>
      <c r="AT496" t="b">
        <v>0</v>
      </c>
      <c r="AU496" t="b">
        <v>1</v>
      </c>
      <c r="BA496" t="str">
        <f t="shared" si="14"/>
        <v>Normal</v>
      </c>
      <c r="BG496" t="str">
        <f t="shared" si="15"/>
        <v>Normal</v>
      </c>
    </row>
    <row r="497" spans="1:59" x14ac:dyDescent="0.2">
      <c r="A497" t="s">
        <v>42</v>
      </c>
      <c r="B497" t="s">
        <v>43</v>
      </c>
      <c r="C497">
        <v>20230101</v>
      </c>
      <c r="D497">
        <v>2023</v>
      </c>
      <c r="E497">
        <v>52</v>
      </c>
      <c r="F497" t="s">
        <v>311</v>
      </c>
      <c r="G497">
        <v>834</v>
      </c>
      <c r="H497" t="s">
        <v>266</v>
      </c>
      <c r="I497" t="s">
        <v>267</v>
      </c>
      <c r="J497" t="s">
        <v>47</v>
      </c>
      <c r="K497" t="s">
        <v>48</v>
      </c>
      <c r="L497">
        <v>0</v>
      </c>
      <c r="M497" t="s">
        <v>49</v>
      </c>
      <c r="N497" t="s">
        <v>50</v>
      </c>
      <c r="O497">
        <v>0</v>
      </c>
      <c r="P497" t="s">
        <v>49</v>
      </c>
      <c r="Q497" t="s">
        <v>50</v>
      </c>
      <c r="R497" t="s">
        <v>300</v>
      </c>
      <c r="S497" t="s">
        <v>52</v>
      </c>
      <c r="T497" t="b">
        <v>1</v>
      </c>
      <c r="U497" t="s">
        <v>53</v>
      </c>
      <c r="V497" t="s">
        <v>54</v>
      </c>
      <c r="W497">
        <v>4</v>
      </c>
      <c r="X497" t="b">
        <v>0</v>
      </c>
      <c r="Y497" t="s">
        <v>55</v>
      </c>
      <c r="Z497" t="s">
        <v>56</v>
      </c>
      <c r="AA497" t="s">
        <v>57</v>
      </c>
      <c r="AB497">
        <v>0</v>
      </c>
      <c r="AC497" t="s">
        <v>58</v>
      </c>
      <c r="AD497">
        <v>8</v>
      </c>
      <c r="AE497" t="s">
        <v>59</v>
      </c>
      <c r="AF497">
        <v>1090843</v>
      </c>
      <c r="AG497" t="b">
        <v>0</v>
      </c>
      <c r="AH497">
        <v>8</v>
      </c>
      <c r="AI497" t="s">
        <v>59</v>
      </c>
      <c r="AJ497">
        <v>1090843</v>
      </c>
      <c r="AK497" t="b">
        <v>0</v>
      </c>
      <c r="AL497">
        <v>1090843</v>
      </c>
      <c r="AM497" t="b">
        <v>0</v>
      </c>
      <c r="AN497">
        <v>0</v>
      </c>
      <c r="AO497" t="b">
        <v>0</v>
      </c>
      <c r="AQ497">
        <v>683260.39</v>
      </c>
      <c r="AR497">
        <v>683260.39</v>
      </c>
      <c r="AS497">
        <v>0</v>
      </c>
      <c r="AT497" t="b">
        <v>0</v>
      </c>
      <c r="AU497" t="b">
        <v>1</v>
      </c>
      <c r="BA497" t="str">
        <f t="shared" si="14"/>
        <v>Normal</v>
      </c>
      <c r="BG497" t="str">
        <f t="shared" si="15"/>
        <v>Normal</v>
      </c>
    </row>
    <row r="498" spans="1:59" x14ac:dyDescent="0.2">
      <c r="A498" t="s">
        <v>42</v>
      </c>
      <c r="B498" t="s">
        <v>43</v>
      </c>
      <c r="C498">
        <v>20230101</v>
      </c>
      <c r="D498">
        <v>2023</v>
      </c>
      <c r="E498">
        <v>52</v>
      </c>
      <c r="F498" t="s">
        <v>311</v>
      </c>
      <c r="G498">
        <v>842</v>
      </c>
      <c r="H498" t="s">
        <v>268</v>
      </c>
      <c r="I498" t="s">
        <v>268</v>
      </c>
      <c r="J498" t="s">
        <v>47</v>
      </c>
      <c r="K498" t="s">
        <v>48</v>
      </c>
      <c r="L498">
        <v>0</v>
      </c>
      <c r="M498" t="s">
        <v>49</v>
      </c>
      <c r="N498" t="s">
        <v>50</v>
      </c>
      <c r="O498">
        <v>0</v>
      </c>
      <c r="P498" t="s">
        <v>49</v>
      </c>
      <c r="Q498" t="s">
        <v>50</v>
      </c>
      <c r="R498" t="s">
        <v>300</v>
      </c>
      <c r="S498" t="s">
        <v>52</v>
      </c>
      <c r="T498" t="b">
        <v>1</v>
      </c>
      <c r="U498" t="s">
        <v>53</v>
      </c>
      <c r="V498" t="s">
        <v>54</v>
      </c>
      <c r="W498">
        <v>4</v>
      </c>
      <c r="X498" t="b">
        <v>0</v>
      </c>
      <c r="Y498" t="s">
        <v>55</v>
      </c>
      <c r="Z498" t="s">
        <v>56</v>
      </c>
      <c r="AA498" t="s">
        <v>57</v>
      </c>
      <c r="AB498">
        <v>0</v>
      </c>
      <c r="AC498" t="s">
        <v>58</v>
      </c>
      <c r="AD498">
        <v>8</v>
      </c>
      <c r="AE498" t="s">
        <v>59</v>
      </c>
      <c r="AF498">
        <v>235677354408</v>
      </c>
      <c r="AG498" t="b">
        <v>0</v>
      </c>
      <c r="AH498">
        <v>19</v>
      </c>
      <c r="AI498" t="s">
        <v>60</v>
      </c>
      <c r="AJ498">
        <v>1482247512</v>
      </c>
      <c r="AK498" t="b">
        <v>0</v>
      </c>
      <c r="AL498">
        <v>235677354408</v>
      </c>
      <c r="AM498" t="b">
        <v>0</v>
      </c>
      <c r="AN498">
        <v>0</v>
      </c>
      <c r="AO498" t="b">
        <v>0</v>
      </c>
      <c r="AQ498">
        <v>117160520564</v>
      </c>
      <c r="AR498">
        <v>117160520564</v>
      </c>
      <c r="AS498">
        <v>0</v>
      </c>
      <c r="AT498" t="b">
        <v>0</v>
      </c>
      <c r="AU498" t="b">
        <v>1</v>
      </c>
      <c r="BA498" t="str">
        <f t="shared" si="14"/>
        <v>Normal</v>
      </c>
      <c r="BG498" t="str">
        <f t="shared" si="15"/>
        <v>Normal</v>
      </c>
    </row>
    <row r="499" spans="1:59" x14ac:dyDescent="0.2">
      <c r="A499" t="s">
        <v>42</v>
      </c>
      <c r="B499" t="s">
        <v>43</v>
      </c>
      <c r="C499">
        <v>20230101</v>
      </c>
      <c r="D499">
        <v>2023</v>
      </c>
      <c r="E499">
        <v>52</v>
      </c>
      <c r="F499" t="s">
        <v>311</v>
      </c>
      <c r="G499">
        <v>882</v>
      </c>
      <c r="H499" t="s">
        <v>269</v>
      </c>
      <c r="I499" t="s">
        <v>270</v>
      </c>
      <c r="J499" t="s">
        <v>47</v>
      </c>
      <c r="K499" t="s">
        <v>48</v>
      </c>
      <c r="L499">
        <v>0</v>
      </c>
      <c r="M499" t="s">
        <v>49</v>
      </c>
      <c r="N499" t="s">
        <v>50</v>
      </c>
      <c r="O499">
        <v>0</v>
      </c>
      <c r="P499" t="s">
        <v>49</v>
      </c>
      <c r="Q499" t="s">
        <v>50</v>
      </c>
      <c r="R499" t="s">
        <v>51</v>
      </c>
      <c r="S499" t="s">
        <v>52</v>
      </c>
      <c r="T499" t="b">
        <v>1</v>
      </c>
      <c r="U499" t="s">
        <v>53</v>
      </c>
      <c r="V499" t="s">
        <v>54</v>
      </c>
      <c r="W499">
        <v>4</v>
      </c>
      <c r="X499" t="b">
        <v>0</v>
      </c>
      <c r="Y499" t="s">
        <v>55</v>
      </c>
      <c r="Z499" t="s">
        <v>56</v>
      </c>
      <c r="AA499" t="s">
        <v>57</v>
      </c>
      <c r="AB499">
        <v>0</v>
      </c>
      <c r="AC499" t="s">
        <v>58</v>
      </c>
      <c r="AD499">
        <v>8</v>
      </c>
      <c r="AE499" t="s">
        <v>59</v>
      </c>
      <c r="AF499">
        <v>14400</v>
      </c>
      <c r="AG499" t="b">
        <v>0</v>
      </c>
      <c r="AH499">
        <v>7</v>
      </c>
      <c r="AI499" t="s">
        <v>67</v>
      </c>
      <c r="AJ499">
        <v>14400</v>
      </c>
      <c r="AK499" t="b">
        <v>0</v>
      </c>
      <c r="AL499">
        <v>14400</v>
      </c>
      <c r="AM499" t="b">
        <v>0</v>
      </c>
      <c r="AN499">
        <v>0</v>
      </c>
      <c r="AO499" t="b">
        <v>0</v>
      </c>
      <c r="AQ499">
        <v>11746.793</v>
      </c>
      <c r="AR499">
        <v>11746.793</v>
      </c>
      <c r="AS499">
        <v>0</v>
      </c>
      <c r="AT499" t="b">
        <v>0</v>
      </c>
      <c r="AU499" t="b">
        <v>1</v>
      </c>
      <c r="BA499" t="str">
        <f t="shared" si="14"/>
        <v>Normal</v>
      </c>
      <c r="BG499" t="str">
        <f t="shared" si="15"/>
        <v>Normal</v>
      </c>
    </row>
    <row r="500" spans="1:59" x14ac:dyDescent="0.2">
      <c r="A500" t="s">
        <v>42</v>
      </c>
      <c r="B500" t="s">
        <v>43</v>
      </c>
      <c r="C500">
        <v>20230101</v>
      </c>
      <c r="D500">
        <v>2023</v>
      </c>
      <c r="E500">
        <v>52</v>
      </c>
      <c r="F500" t="s">
        <v>311</v>
      </c>
      <c r="G500">
        <v>894</v>
      </c>
      <c r="H500" t="s">
        <v>285</v>
      </c>
      <c r="I500" t="s">
        <v>286</v>
      </c>
      <c r="J500" t="s">
        <v>47</v>
      </c>
      <c r="K500" t="s">
        <v>48</v>
      </c>
      <c r="L500">
        <v>0</v>
      </c>
      <c r="M500" t="s">
        <v>49</v>
      </c>
      <c r="N500" t="s">
        <v>50</v>
      </c>
      <c r="O500">
        <v>0</v>
      </c>
      <c r="P500" t="s">
        <v>49</v>
      </c>
      <c r="Q500" t="s">
        <v>50</v>
      </c>
      <c r="R500" t="s">
        <v>300</v>
      </c>
      <c r="S500" t="s">
        <v>52</v>
      </c>
      <c r="T500" t="b">
        <v>1</v>
      </c>
      <c r="U500" t="s">
        <v>53</v>
      </c>
      <c r="V500" t="s">
        <v>54</v>
      </c>
      <c r="W500">
        <v>4</v>
      </c>
      <c r="X500" t="b">
        <v>0</v>
      </c>
      <c r="Y500" t="s">
        <v>55</v>
      </c>
      <c r="Z500" t="s">
        <v>56</v>
      </c>
      <c r="AA500" t="s">
        <v>57</v>
      </c>
      <c r="AB500">
        <v>0</v>
      </c>
      <c r="AC500" t="s">
        <v>58</v>
      </c>
      <c r="AD500">
        <v>8</v>
      </c>
      <c r="AE500" t="s">
        <v>59</v>
      </c>
      <c r="AF500">
        <v>1530</v>
      </c>
      <c r="AG500" t="b">
        <v>0</v>
      </c>
      <c r="AH500">
        <v>7</v>
      </c>
      <c r="AI500" t="s">
        <v>67</v>
      </c>
      <c r="AJ500">
        <v>663</v>
      </c>
      <c r="AK500" t="b">
        <v>0</v>
      </c>
      <c r="AL500">
        <v>1530</v>
      </c>
      <c r="AM500" t="b">
        <v>0</v>
      </c>
      <c r="AN500">
        <v>0</v>
      </c>
      <c r="AO500" t="b">
        <v>0</v>
      </c>
      <c r="AQ500">
        <v>11364.210999999999</v>
      </c>
      <c r="AR500">
        <v>11364.210999999999</v>
      </c>
      <c r="AS500">
        <v>0</v>
      </c>
      <c r="AT500" t="b">
        <v>0</v>
      </c>
      <c r="AU500" t="b">
        <v>1</v>
      </c>
      <c r="BA500" t="str">
        <f t="shared" si="14"/>
        <v>Normal</v>
      </c>
      <c r="BG500" t="str">
        <f t="shared" si="15"/>
        <v>Normal</v>
      </c>
    </row>
    <row r="501" spans="1:59" x14ac:dyDescent="0.2">
      <c r="A501" t="s">
        <v>42</v>
      </c>
      <c r="B501" t="s">
        <v>43</v>
      </c>
      <c r="C501">
        <v>20240101</v>
      </c>
      <c r="D501">
        <v>2024</v>
      </c>
      <c r="E501">
        <v>52</v>
      </c>
      <c r="F501" t="s">
        <v>325</v>
      </c>
      <c r="G501">
        <v>24</v>
      </c>
      <c r="H501" t="s">
        <v>45</v>
      </c>
      <c r="I501" t="s">
        <v>46</v>
      </c>
      <c r="J501" t="s">
        <v>47</v>
      </c>
      <c r="K501" t="s">
        <v>48</v>
      </c>
      <c r="L501">
        <v>0</v>
      </c>
      <c r="M501" t="s">
        <v>49</v>
      </c>
      <c r="N501" t="s">
        <v>50</v>
      </c>
      <c r="O501">
        <v>0</v>
      </c>
      <c r="P501" t="s">
        <v>49</v>
      </c>
      <c r="Q501" t="s">
        <v>50</v>
      </c>
      <c r="R501" t="s">
        <v>300</v>
      </c>
      <c r="S501" t="s">
        <v>52</v>
      </c>
      <c r="T501" t="b">
        <v>1</v>
      </c>
      <c r="U501" t="s">
        <v>53</v>
      </c>
      <c r="V501" t="s">
        <v>54</v>
      </c>
      <c r="W501">
        <v>4</v>
      </c>
      <c r="X501" t="b">
        <v>0</v>
      </c>
      <c r="Y501" t="s">
        <v>55</v>
      </c>
      <c r="Z501" t="s">
        <v>56</v>
      </c>
      <c r="AA501" t="s">
        <v>57</v>
      </c>
      <c r="AB501">
        <v>0</v>
      </c>
      <c r="AC501" t="s">
        <v>58</v>
      </c>
      <c r="AD501">
        <v>8</v>
      </c>
      <c r="AE501" t="s">
        <v>59</v>
      </c>
      <c r="AF501">
        <v>391760460</v>
      </c>
      <c r="AG501" t="b">
        <v>0</v>
      </c>
      <c r="AH501">
        <v>8</v>
      </c>
      <c r="AI501" t="s">
        <v>59</v>
      </c>
      <c r="AJ501">
        <v>391760460</v>
      </c>
      <c r="AK501" t="b">
        <v>0</v>
      </c>
      <c r="AL501">
        <v>391760460</v>
      </c>
      <c r="AM501" t="b">
        <v>0</v>
      </c>
      <c r="AN501">
        <v>0</v>
      </c>
      <c r="AO501" t="b">
        <v>0</v>
      </c>
      <c r="AQ501">
        <v>31257304278.029999</v>
      </c>
      <c r="AR501">
        <v>31257304278.029999</v>
      </c>
      <c r="AS501">
        <v>0</v>
      </c>
      <c r="AT501" t="b">
        <v>0</v>
      </c>
      <c r="AU501" t="b">
        <v>1</v>
      </c>
      <c r="BA501" t="str">
        <f t="shared" si="14"/>
        <v>Normal</v>
      </c>
      <c r="BG501" t="str">
        <f t="shared" si="15"/>
        <v>Normal</v>
      </c>
    </row>
    <row r="502" spans="1:59" x14ac:dyDescent="0.2">
      <c r="A502" t="s">
        <v>42</v>
      </c>
      <c r="B502" t="s">
        <v>43</v>
      </c>
      <c r="C502">
        <v>20240101</v>
      </c>
      <c r="D502">
        <v>2024</v>
      </c>
      <c r="E502">
        <v>52</v>
      </c>
      <c r="F502" t="s">
        <v>325</v>
      </c>
      <c r="G502">
        <v>31</v>
      </c>
      <c r="H502" t="s">
        <v>61</v>
      </c>
      <c r="I502" t="s">
        <v>62</v>
      </c>
      <c r="J502" t="s">
        <v>47</v>
      </c>
      <c r="K502" t="s">
        <v>48</v>
      </c>
      <c r="L502">
        <v>0</v>
      </c>
      <c r="M502" t="s">
        <v>49</v>
      </c>
      <c r="N502" t="s">
        <v>50</v>
      </c>
      <c r="O502">
        <v>0</v>
      </c>
      <c r="P502" t="s">
        <v>49</v>
      </c>
      <c r="Q502" t="s">
        <v>50</v>
      </c>
      <c r="R502" t="s">
        <v>300</v>
      </c>
      <c r="S502" t="s">
        <v>52</v>
      </c>
      <c r="T502" t="b">
        <v>1</v>
      </c>
      <c r="U502" t="s">
        <v>53</v>
      </c>
      <c r="V502" t="s">
        <v>54</v>
      </c>
      <c r="W502">
        <v>4</v>
      </c>
      <c r="X502" t="b">
        <v>0</v>
      </c>
      <c r="Y502" t="s">
        <v>55</v>
      </c>
      <c r="Z502" t="s">
        <v>56</v>
      </c>
      <c r="AA502" t="s">
        <v>57</v>
      </c>
      <c r="AB502">
        <v>0</v>
      </c>
      <c r="AC502" t="s">
        <v>58</v>
      </c>
      <c r="AD502">
        <v>8</v>
      </c>
      <c r="AE502" t="s">
        <v>59</v>
      </c>
      <c r="AF502">
        <v>23596170696</v>
      </c>
      <c r="AG502" t="b">
        <v>0</v>
      </c>
      <c r="AH502">
        <v>8</v>
      </c>
      <c r="AI502" t="s">
        <v>59</v>
      </c>
      <c r="AJ502">
        <v>23596170696</v>
      </c>
      <c r="AK502" t="b">
        <v>0</v>
      </c>
      <c r="AL502">
        <v>23596170696</v>
      </c>
      <c r="AM502" t="b">
        <v>0</v>
      </c>
      <c r="AN502">
        <v>0</v>
      </c>
      <c r="AO502" t="b">
        <v>0</v>
      </c>
      <c r="AQ502">
        <v>14437355994.08</v>
      </c>
      <c r="AR502">
        <v>14437355994.08</v>
      </c>
      <c r="AS502">
        <v>0</v>
      </c>
      <c r="AT502" t="b">
        <v>0</v>
      </c>
      <c r="AU502" t="b">
        <v>1</v>
      </c>
      <c r="BA502" t="str">
        <f t="shared" si="14"/>
        <v>Normal</v>
      </c>
      <c r="BG502" t="str">
        <f t="shared" si="15"/>
        <v>Normal</v>
      </c>
    </row>
    <row r="503" spans="1:59" x14ac:dyDescent="0.2">
      <c r="A503" t="s">
        <v>42</v>
      </c>
      <c r="B503" t="s">
        <v>43</v>
      </c>
      <c r="C503">
        <v>20240101</v>
      </c>
      <c r="D503">
        <v>2024</v>
      </c>
      <c r="E503">
        <v>52</v>
      </c>
      <c r="F503" t="s">
        <v>325</v>
      </c>
      <c r="G503">
        <v>32</v>
      </c>
      <c r="H503" t="s">
        <v>63</v>
      </c>
      <c r="I503" t="s">
        <v>64</v>
      </c>
      <c r="J503" t="s">
        <v>47</v>
      </c>
      <c r="K503" t="s">
        <v>48</v>
      </c>
      <c r="L503">
        <v>0</v>
      </c>
      <c r="M503" t="s">
        <v>49</v>
      </c>
      <c r="N503" t="s">
        <v>50</v>
      </c>
      <c r="O503">
        <v>0</v>
      </c>
      <c r="P503" t="s">
        <v>49</v>
      </c>
      <c r="Q503" t="s">
        <v>50</v>
      </c>
      <c r="R503" t="s">
        <v>300</v>
      </c>
      <c r="S503" t="s">
        <v>52</v>
      </c>
      <c r="T503" t="b">
        <v>1</v>
      </c>
      <c r="U503" t="s">
        <v>53</v>
      </c>
      <c r="V503" t="s">
        <v>54</v>
      </c>
      <c r="W503">
        <v>4</v>
      </c>
      <c r="X503" t="b">
        <v>0</v>
      </c>
      <c r="Y503" t="s">
        <v>55</v>
      </c>
      <c r="Z503" t="s">
        <v>56</v>
      </c>
      <c r="AA503" t="s">
        <v>57</v>
      </c>
      <c r="AB503">
        <v>0</v>
      </c>
      <c r="AC503" t="s">
        <v>58</v>
      </c>
      <c r="AD503">
        <v>8</v>
      </c>
      <c r="AE503" t="s">
        <v>59</v>
      </c>
      <c r="AF503">
        <v>8686507120</v>
      </c>
      <c r="AG503" t="b">
        <v>0</v>
      </c>
      <c r="AH503">
        <v>8</v>
      </c>
      <c r="AI503" t="s">
        <v>59</v>
      </c>
      <c r="AJ503">
        <v>8686507120</v>
      </c>
      <c r="AK503" t="b">
        <v>0</v>
      </c>
      <c r="AL503">
        <v>8686507120</v>
      </c>
      <c r="AM503" t="b">
        <v>0</v>
      </c>
      <c r="AN503">
        <v>0</v>
      </c>
      <c r="AO503" t="b">
        <v>0</v>
      </c>
      <c r="AQ503">
        <v>4931109474.6599998</v>
      </c>
      <c r="AR503">
        <v>4931109474.6599998</v>
      </c>
      <c r="AS503">
        <v>0</v>
      </c>
      <c r="AT503" t="b">
        <v>0</v>
      </c>
      <c r="AU503" t="b">
        <v>1</v>
      </c>
      <c r="BA503" t="str">
        <f t="shared" si="14"/>
        <v>Normal</v>
      </c>
      <c r="BG503" t="str">
        <f t="shared" si="15"/>
        <v>Normal</v>
      </c>
    </row>
    <row r="504" spans="1:59" x14ac:dyDescent="0.2">
      <c r="A504" t="s">
        <v>42</v>
      </c>
      <c r="B504" t="s">
        <v>43</v>
      </c>
      <c r="C504">
        <v>20240101</v>
      </c>
      <c r="D504">
        <v>2024</v>
      </c>
      <c r="E504">
        <v>52</v>
      </c>
      <c r="F504" t="s">
        <v>325</v>
      </c>
      <c r="G504">
        <v>36</v>
      </c>
      <c r="H504" t="s">
        <v>65</v>
      </c>
      <c r="I504" t="s">
        <v>66</v>
      </c>
      <c r="J504" t="s">
        <v>47</v>
      </c>
      <c r="K504" t="s">
        <v>48</v>
      </c>
      <c r="L504">
        <v>0</v>
      </c>
      <c r="M504" t="s">
        <v>49</v>
      </c>
      <c r="N504" t="s">
        <v>50</v>
      </c>
      <c r="O504">
        <v>0</v>
      </c>
      <c r="P504" t="s">
        <v>49</v>
      </c>
      <c r="Q504" t="s">
        <v>50</v>
      </c>
      <c r="R504" t="s">
        <v>300</v>
      </c>
      <c r="S504" t="s">
        <v>52</v>
      </c>
      <c r="T504" t="b">
        <v>1</v>
      </c>
      <c r="U504" t="s">
        <v>53</v>
      </c>
      <c r="V504" t="s">
        <v>54</v>
      </c>
      <c r="W504">
        <v>4</v>
      </c>
      <c r="X504" t="b">
        <v>0</v>
      </c>
      <c r="Y504" t="s">
        <v>55</v>
      </c>
      <c r="Z504" t="s">
        <v>56</v>
      </c>
      <c r="AA504" t="s">
        <v>57</v>
      </c>
      <c r="AB504">
        <v>0</v>
      </c>
      <c r="AC504" t="s">
        <v>58</v>
      </c>
      <c r="AD504">
        <v>8</v>
      </c>
      <c r="AE504" t="s">
        <v>59</v>
      </c>
      <c r="AF504">
        <v>13791172716</v>
      </c>
      <c r="AG504" t="b">
        <v>0</v>
      </c>
      <c r="AH504">
        <v>7</v>
      </c>
      <c r="AI504" t="s">
        <v>67</v>
      </c>
      <c r="AJ504">
        <v>13791172716</v>
      </c>
      <c r="AK504" t="b">
        <v>0</v>
      </c>
      <c r="AM504" t="b">
        <v>0</v>
      </c>
      <c r="AN504">
        <v>11062078.973999999</v>
      </c>
      <c r="AO504" t="b">
        <v>0</v>
      </c>
      <c r="AQ504">
        <v>7064711970.2510004</v>
      </c>
      <c r="AR504">
        <v>7064711970.2510004</v>
      </c>
      <c r="AS504">
        <v>0</v>
      </c>
      <c r="AT504" t="b">
        <v>0</v>
      </c>
      <c r="AU504" t="b">
        <v>1</v>
      </c>
      <c r="BA504" t="str">
        <f t="shared" si="14"/>
        <v>Normal</v>
      </c>
      <c r="BG504" t="str">
        <f t="shared" si="15"/>
        <v>Normal</v>
      </c>
    </row>
    <row r="505" spans="1:59" x14ac:dyDescent="0.2">
      <c r="A505" t="s">
        <v>42</v>
      </c>
      <c r="B505" t="s">
        <v>43</v>
      </c>
      <c r="C505">
        <v>20240101</v>
      </c>
      <c r="D505">
        <v>2024</v>
      </c>
      <c r="E505">
        <v>52</v>
      </c>
      <c r="F505" t="s">
        <v>325</v>
      </c>
      <c r="G505">
        <v>52</v>
      </c>
      <c r="H505" t="s">
        <v>68</v>
      </c>
      <c r="I505" t="s">
        <v>69</v>
      </c>
      <c r="J505" t="s">
        <v>47</v>
      </c>
      <c r="K505" t="s">
        <v>48</v>
      </c>
      <c r="L505">
        <v>0</v>
      </c>
      <c r="M505" t="s">
        <v>49</v>
      </c>
      <c r="N505" t="s">
        <v>50</v>
      </c>
      <c r="O505">
        <v>0</v>
      </c>
      <c r="P505" t="s">
        <v>49</v>
      </c>
      <c r="Q505" t="s">
        <v>50</v>
      </c>
      <c r="R505" t="s">
        <v>300</v>
      </c>
      <c r="S505" t="s">
        <v>52</v>
      </c>
      <c r="T505" t="b">
        <v>1</v>
      </c>
      <c r="U505" t="s">
        <v>53</v>
      </c>
      <c r="V505" t="s">
        <v>54</v>
      </c>
      <c r="W505">
        <v>4</v>
      </c>
      <c r="X505" t="b">
        <v>0</v>
      </c>
      <c r="Y505" t="s">
        <v>55</v>
      </c>
      <c r="Z505" t="s">
        <v>56</v>
      </c>
      <c r="AA505" t="s">
        <v>57</v>
      </c>
      <c r="AB505">
        <v>0</v>
      </c>
      <c r="AC505" t="s">
        <v>58</v>
      </c>
      <c r="AD505">
        <v>8</v>
      </c>
      <c r="AE505" t="s">
        <v>59</v>
      </c>
      <c r="AF505">
        <v>24238000</v>
      </c>
      <c r="AG505" t="b">
        <v>0</v>
      </c>
      <c r="AH505">
        <v>8</v>
      </c>
      <c r="AI505" t="s">
        <v>59</v>
      </c>
      <c r="AJ505">
        <v>24238000</v>
      </c>
      <c r="AK505" t="b">
        <v>0</v>
      </c>
      <c r="AL505">
        <v>24238000</v>
      </c>
      <c r="AM505" t="b">
        <v>0</v>
      </c>
      <c r="AN505">
        <v>0</v>
      </c>
      <c r="AO505" t="b">
        <v>0</v>
      </c>
      <c r="AQ505">
        <v>13633480</v>
      </c>
      <c r="AR505">
        <v>13633480</v>
      </c>
      <c r="AS505">
        <v>0</v>
      </c>
      <c r="AT505" t="b">
        <v>0</v>
      </c>
      <c r="AU505" t="b">
        <v>1</v>
      </c>
      <c r="BA505" t="str">
        <f t="shared" si="14"/>
        <v>Normal</v>
      </c>
      <c r="BG505" t="str">
        <f t="shared" si="15"/>
        <v>Normal</v>
      </c>
    </row>
    <row r="506" spans="1:59" x14ac:dyDescent="0.2">
      <c r="A506" t="s">
        <v>42</v>
      </c>
      <c r="B506" t="s">
        <v>43</v>
      </c>
      <c r="C506">
        <v>20240101</v>
      </c>
      <c r="D506">
        <v>2024</v>
      </c>
      <c r="E506">
        <v>52</v>
      </c>
      <c r="F506" t="s">
        <v>325</v>
      </c>
      <c r="G506">
        <v>56</v>
      </c>
      <c r="H506" t="s">
        <v>71</v>
      </c>
      <c r="I506" t="s">
        <v>72</v>
      </c>
      <c r="J506" t="s">
        <v>47</v>
      </c>
      <c r="K506" t="s">
        <v>48</v>
      </c>
      <c r="L506">
        <v>0</v>
      </c>
      <c r="M506" t="s">
        <v>49</v>
      </c>
      <c r="N506" t="s">
        <v>50</v>
      </c>
      <c r="O506">
        <v>0</v>
      </c>
      <c r="P506" t="s">
        <v>49</v>
      </c>
      <c r="Q506" t="s">
        <v>50</v>
      </c>
      <c r="R506" t="s">
        <v>300</v>
      </c>
      <c r="S506" t="s">
        <v>52</v>
      </c>
      <c r="T506" t="b">
        <v>1</v>
      </c>
      <c r="U506" t="s">
        <v>53</v>
      </c>
      <c r="V506" t="s">
        <v>54</v>
      </c>
      <c r="W506">
        <v>4</v>
      </c>
      <c r="X506" t="b">
        <v>0</v>
      </c>
      <c r="Y506" t="s">
        <v>55</v>
      </c>
      <c r="Z506" t="s">
        <v>56</v>
      </c>
      <c r="AA506" t="s">
        <v>57</v>
      </c>
      <c r="AB506">
        <v>0</v>
      </c>
      <c r="AC506" t="s">
        <v>58</v>
      </c>
      <c r="AD506">
        <v>-1</v>
      </c>
      <c r="AE506" t="s">
        <v>73</v>
      </c>
      <c r="AF506">
        <v>0</v>
      </c>
      <c r="AG506" t="b">
        <v>0</v>
      </c>
      <c r="AH506">
        <v>-1</v>
      </c>
      <c r="AI506" t="s">
        <v>73</v>
      </c>
      <c r="AJ506">
        <v>0</v>
      </c>
      <c r="AK506" t="b">
        <v>0</v>
      </c>
      <c r="AM506" t="b">
        <v>0</v>
      </c>
      <c r="AN506">
        <v>0</v>
      </c>
      <c r="AO506" t="b">
        <v>0</v>
      </c>
      <c r="AQ506">
        <v>51327789.243000001</v>
      </c>
      <c r="AR506">
        <v>51327789.243000001</v>
      </c>
      <c r="AS506">
        <v>0</v>
      </c>
      <c r="AT506" t="b">
        <v>0</v>
      </c>
      <c r="AU506" t="b">
        <v>1</v>
      </c>
      <c r="BA506" t="str">
        <f t="shared" si="14"/>
        <v>Normal</v>
      </c>
      <c r="BG506" t="str">
        <f t="shared" si="15"/>
        <v>Normal</v>
      </c>
    </row>
    <row r="507" spans="1:59" x14ac:dyDescent="0.2">
      <c r="A507" t="s">
        <v>42</v>
      </c>
      <c r="B507" t="s">
        <v>43</v>
      </c>
      <c r="C507">
        <v>20240101</v>
      </c>
      <c r="D507">
        <v>2024</v>
      </c>
      <c r="E507">
        <v>52</v>
      </c>
      <c r="F507" t="s">
        <v>325</v>
      </c>
      <c r="G507">
        <v>68</v>
      </c>
      <c r="H507" t="s">
        <v>74</v>
      </c>
      <c r="I507" t="s">
        <v>75</v>
      </c>
      <c r="J507" t="s">
        <v>47</v>
      </c>
      <c r="K507" t="s">
        <v>48</v>
      </c>
      <c r="L507">
        <v>0</v>
      </c>
      <c r="M507" t="s">
        <v>49</v>
      </c>
      <c r="N507" t="s">
        <v>50</v>
      </c>
      <c r="O507">
        <v>0</v>
      </c>
      <c r="P507" t="s">
        <v>49</v>
      </c>
      <c r="Q507" t="s">
        <v>50</v>
      </c>
      <c r="R507" t="s">
        <v>300</v>
      </c>
      <c r="S507" t="s">
        <v>52</v>
      </c>
      <c r="T507" t="b">
        <v>1</v>
      </c>
      <c r="U507" t="s">
        <v>53</v>
      </c>
      <c r="V507" t="s">
        <v>54</v>
      </c>
      <c r="W507">
        <v>4</v>
      </c>
      <c r="X507" t="b">
        <v>0</v>
      </c>
      <c r="Y507" t="s">
        <v>55</v>
      </c>
      <c r="Z507" t="s">
        <v>56</v>
      </c>
      <c r="AA507" t="s">
        <v>57</v>
      </c>
      <c r="AB507">
        <v>0</v>
      </c>
      <c r="AC507" t="s">
        <v>58</v>
      </c>
      <c r="AD507">
        <v>8</v>
      </c>
      <c r="AE507" t="s">
        <v>59</v>
      </c>
      <c r="AF507">
        <v>3036654</v>
      </c>
      <c r="AG507" t="b">
        <v>0</v>
      </c>
      <c r="AH507">
        <v>8</v>
      </c>
      <c r="AI507" t="s">
        <v>59</v>
      </c>
      <c r="AJ507">
        <v>3036654</v>
      </c>
      <c r="AK507" t="b">
        <v>0</v>
      </c>
      <c r="AL507">
        <v>3036654</v>
      </c>
      <c r="AM507" t="b">
        <v>0</v>
      </c>
      <c r="AN507">
        <v>3036654</v>
      </c>
      <c r="AO507" t="b">
        <v>0</v>
      </c>
      <c r="AQ507">
        <v>1419208.15</v>
      </c>
      <c r="AR507">
        <v>1419208.15</v>
      </c>
      <c r="AS507">
        <v>0</v>
      </c>
      <c r="AT507" t="b">
        <v>0</v>
      </c>
      <c r="AU507" t="b">
        <v>1</v>
      </c>
      <c r="BA507" t="str">
        <f t="shared" si="14"/>
        <v>Normal</v>
      </c>
      <c r="BG507" t="str">
        <f t="shared" si="15"/>
        <v>Normal</v>
      </c>
    </row>
    <row r="508" spans="1:59" x14ac:dyDescent="0.2">
      <c r="A508" t="s">
        <v>42</v>
      </c>
      <c r="B508" t="s">
        <v>43</v>
      </c>
      <c r="C508">
        <v>20240101</v>
      </c>
      <c r="D508">
        <v>2024</v>
      </c>
      <c r="E508">
        <v>52</v>
      </c>
      <c r="F508" t="s">
        <v>325</v>
      </c>
      <c r="G508">
        <v>70</v>
      </c>
      <c r="H508" t="s">
        <v>76</v>
      </c>
      <c r="I508" t="s">
        <v>77</v>
      </c>
      <c r="J508" t="s">
        <v>47</v>
      </c>
      <c r="K508" t="s">
        <v>48</v>
      </c>
      <c r="L508">
        <v>0</v>
      </c>
      <c r="M508" t="s">
        <v>49</v>
      </c>
      <c r="N508" t="s">
        <v>50</v>
      </c>
      <c r="O508">
        <v>0</v>
      </c>
      <c r="P508" t="s">
        <v>49</v>
      </c>
      <c r="Q508" t="s">
        <v>50</v>
      </c>
      <c r="R508" t="s">
        <v>300</v>
      </c>
      <c r="S508" t="s">
        <v>52</v>
      </c>
      <c r="T508" t="b">
        <v>1</v>
      </c>
      <c r="U508" t="s">
        <v>53</v>
      </c>
      <c r="V508" t="s">
        <v>54</v>
      </c>
      <c r="W508">
        <v>4</v>
      </c>
      <c r="X508" t="b">
        <v>0</v>
      </c>
      <c r="Y508" t="s">
        <v>55</v>
      </c>
      <c r="Z508" t="s">
        <v>56</v>
      </c>
      <c r="AA508" t="s">
        <v>57</v>
      </c>
      <c r="AB508">
        <v>0</v>
      </c>
      <c r="AC508" t="s">
        <v>58</v>
      </c>
      <c r="AD508">
        <v>8</v>
      </c>
      <c r="AE508" t="s">
        <v>59</v>
      </c>
      <c r="AF508">
        <v>7881026.7999999998</v>
      </c>
      <c r="AG508" t="b">
        <v>0</v>
      </c>
      <c r="AH508">
        <v>8</v>
      </c>
      <c r="AI508" t="s">
        <v>59</v>
      </c>
      <c r="AJ508">
        <v>7881026.7999999998</v>
      </c>
      <c r="AK508" t="b">
        <v>0</v>
      </c>
      <c r="AL508">
        <v>7881026.7999999998</v>
      </c>
      <c r="AM508" t="b">
        <v>0</v>
      </c>
      <c r="AN508">
        <v>0</v>
      </c>
      <c r="AO508" t="b">
        <v>0</v>
      </c>
      <c r="AQ508">
        <v>4664390.3049999997</v>
      </c>
      <c r="AR508">
        <v>4664390.3049999997</v>
      </c>
      <c r="AS508">
        <v>0</v>
      </c>
      <c r="AT508" t="b">
        <v>0</v>
      </c>
      <c r="AU508" t="b">
        <v>1</v>
      </c>
      <c r="BA508" t="str">
        <f t="shared" si="14"/>
        <v>Normal</v>
      </c>
      <c r="BG508" t="str">
        <f t="shared" si="15"/>
        <v>Normal</v>
      </c>
    </row>
    <row r="509" spans="1:59" x14ac:dyDescent="0.2">
      <c r="A509" t="s">
        <v>42</v>
      </c>
      <c r="B509" t="s">
        <v>43</v>
      </c>
      <c r="C509">
        <v>20240101</v>
      </c>
      <c r="D509">
        <v>2024</v>
      </c>
      <c r="E509">
        <v>52</v>
      </c>
      <c r="F509" t="s">
        <v>325</v>
      </c>
      <c r="G509">
        <v>76</v>
      </c>
      <c r="H509" t="s">
        <v>80</v>
      </c>
      <c r="I509" t="s">
        <v>81</v>
      </c>
      <c r="J509" t="s">
        <v>47</v>
      </c>
      <c r="K509" t="s">
        <v>48</v>
      </c>
      <c r="L509">
        <v>0</v>
      </c>
      <c r="M509" t="s">
        <v>49</v>
      </c>
      <c r="N509" t="s">
        <v>50</v>
      </c>
      <c r="O509">
        <v>0</v>
      </c>
      <c r="P509" t="s">
        <v>49</v>
      </c>
      <c r="Q509" t="s">
        <v>50</v>
      </c>
      <c r="R509" t="s">
        <v>300</v>
      </c>
      <c r="S509" t="s">
        <v>52</v>
      </c>
      <c r="T509" t="b">
        <v>1</v>
      </c>
      <c r="U509" t="s">
        <v>53</v>
      </c>
      <c r="V509" t="s">
        <v>54</v>
      </c>
      <c r="W509">
        <v>4</v>
      </c>
      <c r="X509" t="b">
        <v>0</v>
      </c>
      <c r="Y509" t="s">
        <v>55</v>
      </c>
      <c r="Z509" t="s">
        <v>56</v>
      </c>
      <c r="AA509" t="s">
        <v>57</v>
      </c>
      <c r="AB509">
        <v>0</v>
      </c>
      <c r="AC509" t="s">
        <v>58</v>
      </c>
      <c r="AD509">
        <v>8</v>
      </c>
      <c r="AE509" t="s">
        <v>59</v>
      </c>
      <c r="AF509">
        <v>89660869085.669998</v>
      </c>
      <c r="AG509" t="b">
        <v>1</v>
      </c>
      <c r="AH509">
        <v>-1</v>
      </c>
      <c r="AI509" t="s">
        <v>73</v>
      </c>
      <c r="AJ509">
        <v>0</v>
      </c>
      <c r="AK509" t="b">
        <v>0</v>
      </c>
      <c r="AL509">
        <v>89660869085.669998</v>
      </c>
      <c r="AM509" t="b">
        <v>1</v>
      </c>
      <c r="AN509">
        <v>0</v>
      </c>
      <c r="AO509" t="b">
        <v>0</v>
      </c>
      <c r="AQ509">
        <v>44842761197</v>
      </c>
      <c r="AR509">
        <v>44842761197</v>
      </c>
      <c r="AS509">
        <v>6</v>
      </c>
      <c r="AT509" t="b">
        <v>0</v>
      </c>
      <c r="AU509" t="b">
        <v>1</v>
      </c>
      <c r="BA509" t="str">
        <f t="shared" si="14"/>
        <v>Normal</v>
      </c>
      <c r="BG509" t="str">
        <f t="shared" si="15"/>
        <v>Normal</v>
      </c>
    </row>
    <row r="510" spans="1:59" x14ac:dyDescent="0.2">
      <c r="A510" t="s">
        <v>42</v>
      </c>
      <c r="B510" t="s">
        <v>43</v>
      </c>
      <c r="C510">
        <v>20240101</v>
      </c>
      <c r="D510">
        <v>2024</v>
      </c>
      <c r="E510">
        <v>52</v>
      </c>
      <c r="F510" t="s">
        <v>325</v>
      </c>
      <c r="G510">
        <v>96</v>
      </c>
      <c r="H510" t="s">
        <v>84</v>
      </c>
      <c r="I510" t="s">
        <v>85</v>
      </c>
      <c r="J510" t="s">
        <v>47</v>
      </c>
      <c r="K510" t="s">
        <v>48</v>
      </c>
      <c r="L510">
        <v>0</v>
      </c>
      <c r="M510" t="s">
        <v>49</v>
      </c>
      <c r="N510" t="s">
        <v>50</v>
      </c>
      <c r="O510">
        <v>0</v>
      </c>
      <c r="P510" t="s">
        <v>49</v>
      </c>
      <c r="Q510" t="s">
        <v>50</v>
      </c>
      <c r="R510" t="s">
        <v>300</v>
      </c>
      <c r="S510" t="s">
        <v>52</v>
      </c>
      <c r="T510" t="b">
        <v>1</v>
      </c>
      <c r="U510" t="s">
        <v>53</v>
      </c>
      <c r="V510" t="s">
        <v>54</v>
      </c>
      <c r="W510">
        <v>4</v>
      </c>
      <c r="X510" t="b">
        <v>0</v>
      </c>
      <c r="Y510" t="s">
        <v>55</v>
      </c>
      <c r="Z510" t="s">
        <v>56</v>
      </c>
      <c r="AA510" t="s">
        <v>57</v>
      </c>
      <c r="AB510">
        <v>0</v>
      </c>
      <c r="AC510" t="s">
        <v>58</v>
      </c>
      <c r="AD510">
        <v>8</v>
      </c>
      <c r="AE510" t="s">
        <v>59</v>
      </c>
      <c r="AF510">
        <v>3341658000</v>
      </c>
      <c r="AG510" t="b">
        <v>0</v>
      </c>
      <c r="AH510">
        <v>8</v>
      </c>
      <c r="AI510" t="s">
        <v>59</v>
      </c>
      <c r="AJ510">
        <v>3341658000</v>
      </c>
      <c r="AK510" t="b">
        <v>0</v>
      </c>
      <c r="AL510">
        <v>3341658000</v>
      </c>
      <c r="AM510" t="b">
        <v>0</v>
      </c>
      <c r="AN510">
        <v>0</v>
      </c>
      <c r="AO510" t="b">
        <v>0</v>
      </c>
      <c r="AQ510">
        <v>2100528154.694</v>
      </c>
      <c r="AR510">
        <v>2100528154.694</v>
      </c>
      <c r="AS510">
        <v>0</v>
      </c>
      <c r="AT510" t="b">
        <v>0</v>
      </c>
      <c r="AU510" t="b">
        <v>1</v>
      </c>
      <c r="BA510" t="str">
        <f t="shared" si="14"/>
        <v>Normal</v>
      </c>
      <c r="BG510" t="str">
        <f t="shared" si="15"/>
        <v>Normal</v>
      </c>
    </row>
    <row r="511" spans="1:59" x14ac:dyDescent="0.2">
      <c r="A511" t="s">
        <v>42</v>
      </c>
      <c r="B511" t="s">
        <v>43</v>
      </c>
      <c r="C511">
        <v>20240101</v>
      </c>
      <c r="D511">
        <v>2024</v>
      </c>
      <c r="E511">
        <v>52</v>
      </c>
      <c r="F511" t="s">
        <v>325</v>
      </c>
      <c r="G511">
        <v>124</v>
      </c>
      <c r="H511" t="s">
        <v>94</v>
      </c>
      <c r="I511" t="s">
        <v>95</v>
      </c>
      <c r="J511" t="s">
        <v>47</v>
      </c>
      <c r="K511" t="s">
        <v>48</v>
      </c>
      <c r="L511">
        <v>0</v>
      </c>
      <c r="M511" t="s">
        <v>49</v>
      </c>
      <c r="N511" t="s">
        <v>50</v>
      </c>
      <c r="O511">
        <v>0</v>
      </c>
      <c r="P511" t="s">
        <v>49</v>
      </c>
      <c r="Q511" t="s">
        <v>50</v>
      </c>
      <c r="R511" t="s">
        <v>300</v>
      </c>
      <c r="S511" t="s">
        <v>52</v>
      </c>
      <c r="T511" t="b">
        <v>1</v>
      </c>
      <c r="U511" t="s">
        <v>53</v>
      </c>
      <c r="V511" t="s">
        <v>54</v>
      </c>
      <c r="W511">
        <v>4</v>
      </c>
      <c r="X511" t="b">
        <v>0</v>
      </c>
      <c r="Y511" t="s">
        <v>55</v>
      </c>
      <c r="Z511" t="s">
        <v>56</v>
      </c>
      <c r="AA511" t="s">
        <v>57</v>
      </c>
      <c r="AB511">
        <v>0</v>
      </c>
      <c r="AC511" t="s">
        <v>58</v>
      </c>
      <c r="AD511">
        <v>8</v>
      </c>
      <c r="AE511" t="s">
        <v>59</v>
      </c>
      <c r="AF511">
        <v>187181071024.32599</v>
      </c>
      <c r="AG511" t="b">
        <v>1</v>
      </c>
      <c r="AH511">
        <v>-1</v>
      </c>
      <c r="AI511" t="s">
        <v>73</v>
      </c>
      <c r="AJ511">
        <v>0</v>
      </c>
      <c r="AK511" t="b">
        <v>0</v>
      </c>
      <c r="AL511">
        <v>187181071024.32599</v>
      </c>
      <c r="AM511" t="b">
        <v>1</v>
      </c>
      <c r="AN511">
        <v>0</v>
      </c>
      <c r="AO511" t="b">
        <v>0</v>
      </c>
      <c r="AQ511">
        <v>103880264107.119</v>
      </c>
      <c r="AR511">
        <v>103880264107.119</v>
      </c>
      <c r="AS511">
        <v>6</v>
      </c>
      <c r="AT511" t="b">
        <v>0</v>
      </c>
      <c r="AU511" t="b">
        <v>1</v>
      </c>
      <c r="BA511" t="str">
        <f t="shared" si="14"/>
        <v>Normal</v>
      </c>
      <c r="BG511" t="str">
        <f t="shared" si="15"/>
        <v>Normal</v>
      </c>
    </row>
    <row r="512" spans="1:59" x14ac:dyDescent="0.2">
      <c r="A512" t="s">
        <v>42</v>
      </c>
      <c r="B512" t="s">
        <v>43</v>
      </c>
      <c r="C512">
        <v>20240101</v>
      </c>
      <c r="D512">
        <v>2024</v>
      </c>
      <c r="E512">
        <v>52</v>
      </c>
      <c r="F512" t="s">
        <v>325</v>
      </c>
      <c r="G512">
        <v>144</v>
      </c>
      <c r="H512" t="s">
        <v>326</v>
      </c>
      <c r="I512" t="s">
        <v>327</v>
      </c>
      <c r="J512" t="s">
        <v>47</v>
      </c>
      <c r="K512" t="s">
        <v>48</v>
      </c>
      <c r="L512">
        <v>0</v>
      </c>
      <c r="M512" t="s">
        <v>49</v>
      </c>
      <c r="N512" t="s">
        <v>50</v>
      </c>
      <c r="O512">
        <v>0</v>
      </c>
      <c r="P512" t="s">
        <v>49</v>
      </c>
      <c r="Q512" t="s">
        <v>50</v>
      </c>
      <c r="R512" t="s">
        <v>300</v>
      </c>
      <c r="S512" t="s">
        <v>52</v>
      </c>
      <c r="T512" t="b">
        <v>1</v>
      </c>
      <c r="U512" t="s">
        <v>53</v>
      </c>
      <c r="V512" t="s">
        <v>54</v>
      </c>
      <c r="W512">
        <v>4</v>
      </c>
      <c r="X512" t="b">
        <v>0</v>
      </c>
      <c r="Y512" t="s">
        <v>55</v>
      </c>
      <c r="Z512" t="s">
        <v>56</v>
      </c>
      <c r="AA512" t="s">
        <v>57</v>
      </c>
      <c r="AB512">
        <v>0</v>
      </c>
      <c r="AC512" t="s">
        <v>58</v>
      </c>
      <c r="AD512">
        <v>8</v>
      </c>
      <c r="AE512" t="s">
        <v>59</v>
      </c>
      <c r="AF512">
        <v>120</v>
      </c>
      <c r="AG512" t="b">
        <v>0</v>
      </c>
      <c r="AH512">
        <v>8</v>
      </c>
      <c r="AI512" t="s">
        <v>59</v>
      </c>
      <c r="AJ512">
        <v>120</v>
      </c>
      <c r="AK512" t="b">
        <v>0</v>
      </c>
      <c r="AL512">
        <v>120</v>
      </c>
      <c r="AM512" t="b">
        <v>0</v>
      </c>
      <c r="AN512">
        <v>0</v>
      </c>
      <c r="AO512" t="b">
        <v>0</v>
      </c>
      <c r="AQ512">
        <v>3431.74</v>
      </c>
      <c r="AR512">
        <v>3431.74</v>
      </c>
      <c r="AS512">
        <v>0</v>
      </c>
      <c r="AT512" t="b">
        <v>0</v>
      </c>
      <c r="AU512" t="b">
        <v>1</v>
      </c>
      <c r="BA512" t="str">
        <f t="shared" si="14"/>
        <v>Normal</v>
      </c>
      <c r="BG512" t="str">
        <f t="shared" si="15"/>
        <v>Normal</v>
      </c>
    </row>
    <row r="513" spans="1:59" x14ac:dyDescent="0.2">
      <c r="A513" t="s">
        <v>42</v>
      </c>
      <c r="B513" t="s">
        <v>43</v>
      </c>
      <c r="C513">
        <v>20240101</v>
      </c>
      <c r="D513">
        <v>2024</v>
      </c>
      <c r="E513">
        <v>52</v>
      </c>
      <c r="F513" t="s">
        <v>325</v>
      </c>
      <c r="G513">
        <v>152</v>
      </c>
      <c r="H513" t="s">
        <v>272</v>
      </c>
      <c r="I513" t="s">
        <v>273</v>
      </c>
      <c r="J513" t="s">
        <v>47</v>
      </c>
      <c r="K513" t="s">
        <v>48</v>
      </c>
      <c r="L513">
        <v>0</v>
      </c>
      <c r="M513" t="s">
        <v>49</v>
      </c>
      <c r="N513" t="s">
        <v>50</v>
      </c>
      <c r="O513">
        <v>0</v>
      </c>
      <c r="P513" t="s">
        <v>49</v>
      </c>
      <c r="Q513" t="s">
        <v>50</v>
      </c>
      <c r="R513" t="s">
        <v>300</v>
      </c>
      <c r="S513" t="s">
        <v>52</v>
      </c>
      <c r="T513" t="b">
        <v>1</v>
      </c>
      <c r="U513" t="s">
        <v>53</v>
      </c>
      <c r="V513" t="s">
        <v>54</v>
      </c>
      <c r="W513">
        <v>4</v>
      </c>
      <c r="X513" t="b">
        <v>0</v>
      </c>
      <c r="Y513" t="s">
        <v>55</v>
      </c>
      <c r="Z513" t="s">
        <v>56</v>
      </c>
      <c r="AA513" t="s">
        <v>57</v>
      </c>
      <c r="AB513">
        <v>0</v>
      </c>
      <c r="AC513" t="s">
        <v>58</v>
      </c>
      <c r="AD513">
        <v>8</v>
      </c>
      <c r="AE513" t="s">
        <v>59</v>
      </c>
      <c r="AF513">
        <v>24610200</v>
      </c>
      <c r="AG513" t="b">
        <v>0</v>
      </c>
      <c r="AH513">
        <v>8</v>
      </c>
      <c r="AI513" t="s">
        <v>59</v>
      </c>
      <c r="AJ513">
        <v>24610200</v>
      </c>
      <c r="AK513" t="b">
        <v>0</v>
      </c>
      <c r="AL513">
        <v>24610200</v>
      </c>
      <c r="AM513" t="b">
        <v>0</v>
      </c>
      <c r="AN513">
        <v>0</v>
      </c>
      <c r="AO513" t="b">
        <v>0</v>
      </c>
      <c r="AQ513">
        <v>10113086.01</v>
      </c>
      <c r="AR513">
        <v>10113086.01</v>
      </c>
      <c r="AS513">
        <v>0</v>
      </c>
      <c r="AT513" t="b">
        <v>0</v>
      </c>
      <c r="AU513" t="b">
        <v>1</v>
      </c>
      <c r="BA513" t="str">
        <f t="shared" si="14"/>
        <v>Normal</v>
      </c>
      <c r="BG513" t="str">
        <f t="shared" si="15"/>
        <v>Normal</v>
      </c>
    </row>
    <row r="514" spans="1:59" x14ac:dyDescent="0.2">
      <c r="A514" t="s">
        <v>42</v>
      </c>
      <c r="B514" t="s">
        <v>43</v>
      </c>
      <c r="C514">
        <v>20240101</v>
      </c>
      <c r="D514">
        <v>2024</v>
      </c>
      <c r="E514">
        <v>52</v>
      </c>
      <c r="F514" t="s">
        <v>325</v>
      </c>
      <c r="G514">
        <v>156</v>
      </c>
      <c r="H514" t="s">
        <v>96</v>
      </c>
      <c r="I514" t="s">
        <v>97</v>
      </c>
      <c r="J514" t="s">
        <v>47</v>
      </c>
      <c r="K514" t="s">
        <v>48</v>
      </c>
      <c r="L514">
        <v>0</v>
      </c>
      <c r="M514" t="s">
        <v>49</v>
      </c>
      <c r="N514" t="s">
        <v>50</v>
      </c>
      <c r="O514">
        <v>0</v>
      </c>
      <c r="P514" t="s">
        <v>49</v>
      </c>
      <c r="Q514" t="s">
        <v>50</v>
      </c>
      <c r="R514" t="s">
        <v>300</v>
      </c>
      <c r="S514" t="s">
        <v>52</v>
      </c>
      <c r="T514" t="b">
        <v>1</v>
      </c>
      <c r="U514" t="s">
        <v>53</v>
      </c>
      <c r="V514" t="s">
        <v>54</v>
      </c>
      <c r="W514">
        <v>4</v>
      </c>
      <c r="X514" t="b">
        <v>0</v>
      </c>
      <c r="Y514" t="s">
        <v>55</v>
      </c>
      <c r="Z514" t="s">
        <v>56</v>
      </c>
      <c r="AA514" t="s">
        <v>57</v>
      </c>
      <c r="AB514">
        <v>0</v>
      </c>
      <c r="AC514" t="s">
        <v>58</v>
      </c>
      <c r="AD514">
        <v>8</v>
      </c>
      <c r="AE514" t="s">
        <v>59</v>
      </c>
      <c r="AF514">
        <v>2089129800</v>
      </c>
      <c r="AG514" t="b">
        <v>0</v>
      </c>
      <c r="AH514">
        <v>19</v>
      </c>
      <c r="AI514" t="s">
        <v>60</v>
      </c>
      <c r="AJ514">
        <v>15230715</v>
      </c>
      <c r="AK514" t="b">
        <v>0</v>
      </c>
      <c r="AL514">
        <v>2089129800</v>
      </c>
      <c r="AM514" t="b">
        <v>0</v>
      </c>
      <c r="AN514">
        <v>0</v>
      </c>
      <c r="AO514" t="b">
        <v>0</v>
      </c>
      <c r="AQ514">
        <v>1178947474</v>
      </c>
      <c r="AR514">
        <v>1178947474</v>
      </c>
      <c r="AS514">
        <v>0</v>
      </c>
      <c r="AT514" t="b">
        <v>0</v>
      </c>
      <c r="AU514" t="b">
        <v>1</v>
      </c>
      <c r="BA514" t="str">
        <f t="shared" si="14"/>
        <v>Normal</v>
      </c>
      <c r="BG514" t="str">
        <f t="shared" si="15"/>
        <v>Normal</v>
      </c>
    </row>
    <row r="515" spans="1:59" x14ac:dyDescent="0.2">
      <c r="A515" t="s">
        <v>42</v>
      </c>
      <c r="B515" t="s">
        <v>43</v>
      </c>
      <c r="C515">
        <v>20240101</v>
      </c>
      <c r="D515">
        <v>2024</v>
      </c>
      <c r="E515">
        <v>52</v>
      </c>
      <c r="F515" t="s">
        <v>325</v>
      </c>
      <c r="G515">
        <v>170</v>
      </c>
      <c r="H515" t="s">
        <v>98</v>
      </c>
      <c r="I515" t="s">
        <v>99</v>
      </c>
      <c r="J515" t="s">
        <v>47</v>
      </c>
      <c r="K515" t="s">
        <v>48</v>
      </c>
      <c r="L515">
        <v>0</v>
      </c>
      <c r="M515" t="s">
        <v>49</v>
      </c>
      <c r="N515" t="s">
        <v>50</v>
      </c>
      <c r="O515">
        <v>0</v>
      </c>
      <c r="P515" t="s">
        <v>49</v>
      </c>
      <c r="Q515" t="s">
        <v>50</v>
      </c>
      <c r="R515" t="s">
        <v>300</v>
      </c>
      <c r="S515" t="s">
        <v>52</v>
      </c>
      <c r="T515" t="b">
        <v>1</v>
      </c>
      <c r="U515" t="s">
        <v>53</v>
      </c>
      <c r="V515" t="s">
        <v>54</v>
      </c>
      <c r="W515">
        <v>4</v>
      </c>
      <c r="X515" t="b">
        <v>0</v>
      </c>
      <c r="Y515" t="s">
        <v>55</v>
      </c>
      <c r="Z515" t="s">
        <v>56</v>
      </c>
      <c r="AA515" t="s">
        <v>57</v>
      </c>
      <c r="AB515">
        <v>0</v>
      </c>
      <c r="AC515" t="s">
        <v>58</v>
      </c>
      <c r="AD515">
        <v>8</v>
      </c>
      <c r="AE515" t="s">
        <v>59</v>
      </c>
      <c r="AF515">
        <v>25433273400</v>
      </c>
      <c r="AG515" t="b">
        <v>0</v>
      </c>
      <c r="AH515">
        <v>12</v>
      </c>
      <c r="AI515" t="s">
        <v>70</v>
      </c>
      <c r="AJ515">
        <v>27509485.800000001</v>
      </c>
      <c r="AK515" t="b">
        <v>0</v>
      </c>
      <c r="AL515">
        <v>25433273400</v>
      </c>
      <c r="AM515" t="b">
        <v>0</v>
      </c>
      <c r="AN515">
        <v>0</v>
      </c>
      <c r="AO515" t="b">
        <v>0</v>
      </c>
      <c r="AQ515">
        <v>12062242730.01</v>
      </c>
      <c r="AR515">
        <v>12062242730.01</v>
      </c>
      <c r="AS515">
        <v>0</v>
      </c>
      <c r="AT515" t="b">
        <v>0</v>
      </c>
      <c r="AU515" t="b">
        <v>1</v>
      </c>
      <c r="BA515" t="str">
        <f t="shared" ref="BA515:BA578" si="16">IF(OR(AJ515&lt;AY515,AJ1089&gt;AZ515),"Outlier","Normal")</f>
        <v>Normal</v>
      </c>
      <c r="BG515" t="str">
        <f t="shared" ref="BG515:BG576" si="17">IF(OR(AQ515&lt;BE515,AQ1089&gt;BF515),"Outlier","Normal")</f>
        <v>Normal</v>
      </c>
    </row>
    <row r="516" spans="1:59" x14ac:dyDescent="0.2">
      <c r="A516" t="s">
        <v>42</v>
      </c>
      <c r="B516" t="s">
        <v>43</v>
      </c>
      <c r="C516">
        <v>20240101</v>
      </c>
      <c r="D516">
        <v>2024</v>
      </c>
      <c r="E516">
        <v>52</v>
      </c>
      <c r="F516" t="s">
        <v>325</v>
      </c>
      <c r="G516">
        <v>191</v>
      </c>
      <c r="H516" t="s">
        <v>105</v>
      </c>
      <c r="I516" t="s">
        <v>106</v>
      </c>
      <c r="J516" t="s">
        <v>47</v>
      </c>
      <c r="K516" t="s">
        <v>48</v>
      </c>
      <c r="L516">
        <v>0</v>
      </c>
      <c r="M516" t="s">
        <v>49</v>
      </c>
      <c r="N516" t="s">
        <v>50</v>
      </c>
      <c r="O516">
        <v>0</v>
      </c>
      <c r="P516" t="s">
        <v>49</v>
      </c>
      <c r="Q516" t="s">
        <v>50</v>
      </c>
      <c r="R516" t="s">
        <v>300</v>
      </c>
      <c r="S516" t="s">
        <v>52</v>
      </c>
      <c r="T516" t="b">
        <v>1</v>
      </c>
      <c r="U516" t="s">
        <v>53</v>
      </c>
      <c r="V516" t="s">
        <v>54</v>
      </c>
      <c r="W516">
        <v>4</v>
      </c>
      <c r="X516" t="b">
        <v>0</v>
      </c>
      <c r="Y516" t="s">
        <v>55</v>
      </c>
      <c r="Z516" t="s">
        <v>56</v>
      </c>
      <c r="AA516" t="s">
        <v>57</v>
      </c>
      <c r="AB516">
        <v>0</v>
      </c>
      <c r="AC516" t="s">
        <v>58</v>
      </c>
      <c r="AD516">
        <v>8</v>
      </c>
      <c r="AE516" t="s">
        <v>59</v>
      </c>
      <c r="AF516">
        <v>1267246500.0999999</v>
      </c>
      <c r="AG516" t="b">
        <v>0</v>
      </c>
      <c r="AH516">
        <v>8</v>
      </c>
      <c r="AI516" t="s">
        <v>59</v>
      </c>
      <c r="AJ516">
        <v>1267246500.0999999</v>
      </c>
      <c r="AK516" t="b">
        <v>0</v>
      </c>
      <c r="AL516">
        <v>1267246500.0999999</v>
      </c>
      <c r="AM516" t="b">
        <v>0</v>
      </c>
      <c r="AN516">
        <v>0</v>
      </c>
      <c r="AO516" t="b">
        <v>0</v>
      </c>
      <c r="AQ516">
        <v>773594230</v>
      </c>
      <c r="AR516">
        <v>773594230</v>
      </c>
      <c r="AS516">
        <v>0</v>
      </c>
      <c r="AT516" t="b">
        <v>0</v>
      </c>
      <c r="AU516" t="b">
        <v>1</v>
      </c>
      <c r="BA516" t="str">
        <f t="shared" si="16"/>
        <v>Normal</v>
      </c>
      <c r="BG516" t="str">
        <f t="shared" si="17"/>
        <v>Normal</v>
      </c>
    </row>
    <row r="517" spans="1:59" x14ac:dyDescent="0.2">
      <c r="A517" t="s">
        <v>42</v>
      </c>
      <c r="B517" t="s">
        <v>43</v>
      </c>
      <c r="C517">
        <v>20240101</v>
      </c>
      <c r="D517">
        <v>2024</v>
      </c>
      <c r="E517">
        <v>52</v>
      </c>
      <c r="F517" t="s">
        <v>325</v>
      </c>
      <c r="G517">
        <v>203</v>
      </c>
      <c r="H517" t="s">
        <v>107</v>
      </c>
      <c r="I517" t="s">
        <v>108</v>
      </c>
      <c r="J517" t="s">
        <v>47</v>
      </c>
      <c r="K517" t="s">
        <v>48</v>
      </c>
      <c r="L517">
        <v>0</v>
      </c>
      <c r="M517" t="s">
        <v>49</v>
      </c>
      <c r="N517" t="s">
        <v>50</v>
      </c>
      <c r="O517">
        <v>0</v>
      </c>
      <c r="P517" t="s">
        <v>49</v>
      </c>
      <c r="Q517" t="s">
        <v>50</v>
      </c>
      <c r="R517" t="s">
        <v>300</v>
      </c>
      <c r="S517" t="s">
        <v>52</v>
      </c>
      <c r="T517" t="b">
        <v>1</v>
      </c>
      <c r="U517" t="s">
        <v>53</v>
      </c>
      <c r="V517" t="s">
        <v>54</v>
      </c>
      <c r="W517">
        <v>4</v>
      </c>
      <c r="X517" t="b">
        <v>0</v>
      </c>
      <c r="Y517" t="s">
        <v>55</v>
      </c>
      <c r="Z517" t="s">
        <v>56</v>
      </c>
      <c r="AA517" t="s">
        <v>57</v>
      </c>
      <c r="AB517">
        <v>0</v>
      </c>
      <c r="AC517" t="s">
        <v>58</v>
      </c>
      <c r="AD517">
        <v>-1</v>
      </c>
      <c r="AE517" t="s">
        <v>73</v>
      </c>
      <c r="AF517">
        <v>0</v>
      </c>
      <c r="AG517" t="b">
        <v>0</v>
      </c>
      <c r="AH517">
        <v>-1</v>
      </c>
      <c r="AI517" t="s">
        <v>73</v>
      </c>
      <c r="AJ517">
        <v>0</v>
      </c>
      <c r="AK517" t="b">
        <v>0</v>
      </c>
      <c r="AM517" t="b">
        <v>0</v>
      </c>
      <c r="AN517">
        <v>0</v>
      </c>
      <c r="AO517" t="b">
        <v>0</v>
      </c>
      <c r="AQ517">
        <v>12120</v>
      </c>
      <c r="AR517">
        <v>12120</v>
      </c>
      <c r="AS517">
        <v>0</v>
      </c>
      <c r="AT517" t="b">
        <v>0</v>
      </c>
      <c r="AU517" t="b">
        <v>1</v>
      </c>
      <c r="BA517" t="str">
        <f t="shared" si="16"/>
        <v>Normal</v>
      </c>
      <c r="BG517" t="str">
        <f t="shared" si="17"/>
        <v>Normal</v>
      </c>
    </row>
    <row r="518" spans="1:59" x14ac:dyDescent="0.2">
      <c r="A518" t="s">
        <v>42</v>
      </c>
      <c r="B518" t="s">
        <v>43</v>
      </c>
      <c r="C518">
        <v>20240101</v>
      </c>
      <c r="D518">
        <v>2024</v>
      </c>
      <c r="E518">
        <v>52</v>
      </c>
      <c r="F518" t="s">
        <v>325</v>
      </c>
      <c r="G518">
        <v>208</v>
      </c>
      <c r="H518" t="s">
        <v>109</v>
      </c>
      <c r="I518" t="s">
        <v>110</v>
      </c>
      <c r="J518" t="s">
        <v>47</v>
      </c>
      <c r="K518" t="s">
        <v>48</v>
      </c>
      <c r="L518">
        <v>0</v>
      </c>
      <c r="M518" t="s">
        <v>49</v>
      </c>
      <c r="N518" t="s">
        <v>50</v>
      </c>
      <c r="O518">
        <v>0</v>
      </c>
      <c r="P518" t="s">
        <v>49</v>
      </c>
      <c r="Q518" t="s">
        <v>50</v>
      </c>
      <c r="R518" t="s">
        <v>300</v>
      </c>
      <c r="S518" t="s">
        <v>52</v>
      </c>
      <c r="T518" t="b">
        <v>1</v>
      </c>
      <c r="U518" t="s">
        <v>53</v>
      </c>
      <c r="V518" t="s">
        <v>54</v>
      </c>
      <c r="W518">
        <v>4</v>
      </c>
      <c r="X518" t="b">
        <v>0</v>
      </c>
      <c r="Y518" t="s">
        <v>55</v>
      </c>
      <c r="Z518" t="s">
        <v>56</v>
      </c>
      <c r="AA518" t="s">
        <v>57</v>
      </c>
      <c r="AB518">
        <v>0</v>
      </c>
      <c r="AC518" t="s">
        <v>58</v>
      </c>
      <c r="AD518">
        <v>-1</v>
      </c>
      <c r="AE518" t="s">
        <v>73</v>
      </c>
      <c r="AF518">
        <v>0</v>
      </c>
      <c r="AG518" t="b">
        <v>0</v>
      </c>
      <c r="AH518">
        <v>-1</v>
      </c>
      <c r="AI518" t="s">
        <v>73</v>
      </c>
      <c r="AJ518">
        <v>0</v>
      </c>
      <c r="AK518" t="b">
        <v>0</v>
      </c>
      <c r="AM518" t="b">
        <v>0</v>
      </c>
      <c r="AN518">
        <v>0</v>
      </c>
      <c r="AO518" t="b">
        <v>0</v>
      </c>
      <c r="AQ518">
        <v>396230751.76999998</v>
      </c>
      <c r="AR518">
        <v>396230751.76999998</v>
      </c>
      <c r="AS518">
        <v>0</v>
      </c>
      <c r="AT518" t="b">
        <v>0</v>
      </c>
      <c r="AU518" t="b">
        <v>1</v>
      </c>
      <c r="BA518" t="str">
        <f t="shared" si="16"/>
        <v>Normal</v>
      </c>
      <c r="BG518" t="str">
        <f t="shared" si="17"/>
        <v>Normal</v>
      </c>
    </row>
    <row r="519" spans="1:59" x14ac:dyDescent="0.2">
      <c r="A519" t="s">
        <v>42</v>
      </c>
      <c r="B519" t="s">
        <v>43</v>
      </c>
      <c r="C519">
        <v>20240101</v>
      </c>
      <c r="D519">
        <v>2024</v>
      </c>
      <c r="E519">
        <v>52</v>
      </c>
      <c r="F519" t="s">
        <v>325</v>
      </c>
      <c r="G519">
        <v>214</v>
      </c>
      <c r="H519" t="s">
        <v>111</v>
      </c>
      <c r="I519" t="s">
        <v>112</v>
      </c>
      <c r="J519" t="s">
        <v>47</v>
      </c>
      <c r="K519" t="s">
        <v>48</v>
      </c>
      <c r="L519">
        <v>0</v>
      </c>
      <c r="M519" t="s">
        <v>49</v>
      </c>
      <c r="N519" t="s">
        <v>50</v>
      </c>
      <c r="O519">
        <v>0</v>
      </c>
      <c r="P519" t="s">
        <v>49</v>
      </c>
      <c r="Q519" t="s">
        <v>50</v>
      </c>
      <c r="R519" t="s">
        <v>300</v>
      </c>
      <c r="S519" t="s">
        <v>52</v>
      </c>
      <c r="T519" t="b">
        <v>1</v>
      </c>
      <c r="U519" t="s">
        <v>53</v>
      </c>
      <c r="V519" t="s">
        <v>54</v>
      </c>
      <c r="W519">
        <v>4</v>
      </c>
      <c r="X519" t="b">
        <v>0</v>
      </c>
      <c r="Y519" t="s">
        <v>55</v>
      </c>
      <c r="Z519" t="s">
        <v>56</v>
      </c>
      <c r="AA519" t="s">
        <v>57</v>
      </c>
      <c r="AB519">
        <v>0</v>
      </c>
      <c r="AC519" t="s">
        <v>58</v>
      </c>
      <c r="AD519">
        <v>8</v>
      </c>
      <c r="AE519" t="s">
        <v>59</v>
      </c>
      <c r="AF519">
        <v>54</v>
      </c>
      <c r="AG519" t="b">
        <v>0</v>
      </c>
      <c r="AH519">
        <v>5</v>
      </c>
      <c r="AI519" t="s">
        <v>292</v>
      </c>
      <c r="AJ519">
        <v>250</v>
      </c>
      <c r="AK519" t="b">
        <v>0</v>
      </c>
      <c r="AL519">
        <v>54</v>
      </c>
      <c r="AM519" t="b">
        <v>0</v>
      </c>
      <c r="AN519">
        <v>0</v>
      </c>
      <c r="AO519" t="b">
        <v>0</v>
      </c>
      <c r="AQ519">
        <v>3365</v>
      </c>
      <c r="AR519">
        <v>3365</v>
      </c>
      <c r="AS519">
        <v>0</v>
      </c>
      <c r="AT519" t="b">
        <v>0</v>
      </c>
      <c r="AU519" t="b">
        <v>1</v>
      </c>
      <c r="BA519" t="str">
        <f t="shared" si="16"/>
        <v>Normal</v>
      </c>
      <c r="BG519" t="str">
        <f t="shared" si="17"/>
        <v>Normal</v>
      </c>
    </row>
    <row r="520" spans="1:59" x14ac:dyDescent="0.2">
      <c r="A520" t="s">
        <v>42</v>
      </c>
      <c r="B520" t="s">
        <v>43</v>
      </c>
      <c r="C520">
        <v>20240101</v>
      </c>
      <c r="D520">
        <v>2024</v>
      </c>
      <c r="E520">
        <v>52</v>
      </c>
      <c r="F520" t="s">
        <v>325</v>
      </c>
      <c r="G520">
        <v>218</v>
      </c>
      <c r="H520" t="s">
        <v>113</v>
      </c>
      <c r="I520" t="s">
        <v>114</v>
      </c>
      <c r="J520" t="s">
        <v>47</v>
      </c>
      <c r="K520" t="s">
        <v>48</v>
      </c>
      <c r="L520">
        <v>0</v>
      </c>
      <c r="M520" t="s">
        <v>49</v>
      </c>
      <c r="N520" t="s">
        <v>50</v>
      </c>
      <c r="O520">
        <v>0</v>
      </c>
      <c r="P520" t="s">
        <v>49</v>
      </c>
      <c r="Q520" t="s">
        <v>50</v>
      </c>
      <c r="R520" t="s">
        <v>300</v>
      </c>
      <c r="S520" t="s">
        <v>52</v>
      </c>
      <c r="T520" t="b">
        <v>1</v>
      </c>
      <c r="U520" t="s">
        <v>53</v>
      </c>
      <c r="V520" t="s">
        <v>54</v>
      </c>
      <c r="W520">
        <v>4</v>
      </c>
      <c r="X520" t="b">
        <v>0</v>
      </c>
      <c r="Y520" t="s">
        <v>55</v>
      </c>
      <c r="Z520" t="s">
        <v>56</v>
      </c>
      <c r="AA520" t="s">
        <v>57</v>
      </c>
      <c r="AB520">
        <v>0</v>
      </c>
      <c r="AC520" t="s">
        <v>58</v>
      </c>
      <c r="AD520">
        <v>8</v>
      </c>
      <c r="AE520" t="s">
        <v>59</v>
      </c>
      <c r="AF520">
        <v>17091526369</v>
      </c>
      <c r="AG520" t="b">
        <v>0</v>
      </c>
      <c r="AH520">
        <v>-1</v>
      </c>
      <c r="AI520" t="s">
        <v>73</v>
      </c>
      <c r="AJ520">
        <v>0</v>
      </c>
      <c r="AK520" t="b">
        <v>0</v>
      </c>
      <c r="AL520">
        <v>17091526369</v>
      </c>
      <c r="AM520" t="b">
        <v>0</v>
      </c>
      <c r="AN520">
        <v>0</v>
      </c>
      <c r="AO520" t="b">
        <v>0</v>
      </c>
      <c r="AQ520">
        <v>7834790006.3999996</v>
      </c>
      <c r="AR520">
        <v>7834790006.3999996</v>
      </c>
      <c r="AS520">
        <v>0</v>
      </c>
      <c r="AT520" t="b">
        <v>0</v>
      </c>
      <c r="AU520" t="b">
        <v>1</v>
      </c>
      <c r="BA520" t="str">
        <f t="shared" si="16"/>
        <v>Normal</v>
      </c>
      <c r="BG520" t="str">
        <f t="shared" si="17"/>
        <v>Normal</v>
      </c>
    </row>
    <row r="521" spans="1:59" x14ac:dyDescent="0.2">
      <c r="A521" t="s">
        <v>42</v>
      </c>
      <c r="B521" t="s">
        <v>43</v>
      </c>
      <c r="C521">
        <v>20240101</v>
      </c>
      <c r="D521">
        <v>2024</v>
      </c>
      <c r="E521">
        <v>52</v>
      </c>
      <c r="F521" t="s">
        <v>325</v>
      </c>
      <c r="G521">
        <v>233</v>
      </c>
      <c r="H521" t="s">
        <v>117</v>
      </c>
      <c r="I521" t="s">
        <v>118</v>
      </c>
      <c r="J521" t="s">
        <v>47</v>
      </c>
      <c r="K521" t="s">
        <v>48</v>
      </c>
      <c r="L521">
        <v>0</v>
      </c>
      <c r="M521" t="s">
        <v>49</v>
      </c>
      <c r="N521" t="s">
        <v>50</v>
      </c>
      <c r="O521">
        <v>0</v>
      </c>
      <c r="P521" t="s">
        <v>49</v>
      </c>
      <c r="Q521" t="s">
        <v>50</v>
      </c>
      <c r="R521" t="s">
        <v>300</v>
      </c>
      <c r="S521" t="s">
        <v>52</v>
      </c>
      <c r="T521" t="b">
        <v>1</v>
      </c>
      <c r="U521" t="s">
        <v>53</v>
      </c>
      <c r="V521" t="s">
        <v>54</v>
      </c>
      <c r="W521">
        <v>4</v>
      </c>
      <c r="X521" t="b">
        <v>0</v>
      </c>
      <c r="Y521" t="s">
        <v>55</v>
      </c>
      <c r="Z521" t="s">
        <v>56</v>
      </c>
      <c r="AA521" t="s">
        <v>57</v>
      </c>
      <c r="AB521">
        <v>0</v>
      </c>
      <c r="AC521" t="s">
        <v>58</v>
      </c>
      <c r="AD521">
        <v>8</v>
      </c>
      <c r="AE521" t="s">
        <v>59</v>
      </c>
      <c r="AF521">
        <v>6</v>
      </c>
      <c r="AG521" t="b">
        <v>0</v>
      </c>
      <c r="AH521">
        <v>8</v>
      </c>
      <c r="AI521" t="s">
        <v>59</v>
      </c>
      <c r="AJ521">
        <v>6</v>
      </c>
      <c r="AK521" t="b">
        <v>0</v>
      </c>
      <c r="AL521">
        <v>6</v>
      </c>
      <c r="AM521" t="b">
        <v>0</v>
      </c>
      <c r="AN521">
        <v>0</v>
      </c>
      <c r="AO521" t="b">
        <v>0</v>
      </c>
      <c r="AQ521">
        <v>65.23</v>
      </c>
      <c r="AR521">
        <v>65.23</v>
      </c>
      <c r="AS521">
        <v>0</v>
      </c>
      <c r="AT521" t="b">
        <v>0</v>
      </c>
      <c r="AU521" t="b">
        <v>1</v>
      </c>
      <c r="BA521" t="str">
        <f t="shared" si="16"/>
        <v>Normal</v>
      </c>
      <c r="BG521" t="str">
        <f t="shared" si="17"/>
        <v>Normal</v>
      </c>
    </row>
    <row r="522" spans="1:59" x14ac:dyDescent="0.2">
      <c r="A522" t="s">
        <v>42</v>
      </c>
      <c r="B522" t="s">
        <v>43</v>
      </c>
      <c r="C522">
        <v>20240101</v>
      </c>
      <c r="D522">
        <v>2024</v>
      </c>
      <c r="E522">
        <v>52</v>
      </c>
      <c r="F522" t="s">
        <v>325</v>
      </c>
      <c r="G522">
        <v>242</v>
      </c>
      <c r="H522" t="s">
        <v>119</v>
      </c>
      <c r="I522" t="s">
        <v>120</v>
      </c>
      <c r="J522" t="s">
        <v>47</v>
      </c>
      <c r="K522" t="s">
        <v>48</v>
      </c>
      <c r="L522">
        <v>0</v>
      </c>
      <c r="M522" t="s">
        <v>49</v>
      </c>
      <c r="N522" t="s">
        <v>50</v>
      </c>
      <c r="O522">
        <v>0</v>
      </c>
      <c r="P522" t="s">
        <v>49</v>
      </c>
      <c r="Q522" t="s">
        <v>50</v>
      </c>
      <c r="R522" t="s">
        <v>300</v>
      </c>
      <c r="S522" t="s">
        <v>52</v>
      </c>
      <c r="T522" t="b">
        <v>1</v>
      </c>
      <c r="U522" t="s">
        <v>53</v>
      </c>
      <c r="V522" t="s">
        <v>54</v>
      </c>
      <c r="W522">
        <v>4</v>
      </c>
      <c r="X522" t="b">
        <v>0</v>
      </c>
      <c r="Y522" t="s">
        <v>55</v>
      </c>
      <c r="Z522" t="s">
        <v>56</v>
      </c>
      <c r="AA522" t="s">
        <v>57</v>
      </c>
      <c r="AB522">
        <v>0</v>
      </c>
      <c r="AC522" t="s">
        <v>58</v>
      </c>
      <c r="AD522">
        <v>8</v>
      </c>
      <c r="AE522" t="s">
        <v>59</v>
      </c>
      <c r="AF522">
        <v>42900</v>
      </c>
      <c r="AG522" t="b">
        <v>0</v>
      </c>
      <c r="AH522">
        <v>8</v>
      </c>
      <c r="AI522" t="s">
        <v>59</v>
      </c>
      <c r="AJ522">
        <v>42900</v>
      </c>
      <c r="AK522" t="b">
        <v>0</v>
      </c>
      <c r="AL522">
        <v>42900</v>
      </c>
      <c r="AM522" t="b">
        <v>0</v>
      </c>
      <c r="AN522">
        <v>0</v>
      </c>
      <c r="AO522" t="b">
        <v>0</v>
      </c>
      <c r="AQ522">
        <v>69694.483999999997</v>
      </c>
      <c r="AR522">
        <v>69694.483999999997</v>
      </c>
      <c r="AS522">
        <v>0</v>
      </c>
      <c r="AT522" t="b">
        <v>0</v>
      </c>
      <c r="AU522" t="b">
        <v>1</v>
      </c>
      <c r="BA522" t="str">
        <f t="shared" si="16"/>
        <v>Normal</v>
      </c>
      <c r="BG522" t="str">
        <f t="shared" si="17"/>
        <v>Normal</v>
      </c>
    </row>
    <row r="523" spans="1:59" x14ac:dyDescent="0.2">
      <c r="A523" t="s">
        <v>42</v>
      </c>
      <c r="B523" t="s">
        <v>43</v>
      </c>
      <c r="C523">
        <v>20240101</v>
      </c>
      <c r="D523">
        <v>2024</v>
      </c>
      <c r="E523">
        <v>52</v>
      </c>
      <c r="F523" t="s">
        <v>325</v>
      </c>
      <c r="G523">
        <v>246</v>
      </c>
      <c r="H523" t="s">
        <v>121</v>
      </c>
      <c r="I523" t="s">
        <v>122</v>
      </c>
      <c r="J523" t="s">
        <v>47</v>
      </c>
      <c r="K523" t="s">
        <v>48</v>
      </c>
      <c r="L523">
        <v>0</v>
      </c>
      <c r="M523" t="s">
        <v>49</v>
      </c>
      <c r="N523" t="s">
        <v>50</v>
      </c>
      <c r="O523">
        <v>0</v>
      </c>
      <c r="P523" t="s">
        <v>49</v>
      </c>
      <c r="Q523" t="s">
        <v>50</v>
      </c>
      <c r="R523" t="s">
        <v>300</v>
      </c>
      <c r="S523" t="s">
        <v>52</v>
      </c>
      <c r="T523" t="b">
        <v>1</v>
      </c>
      <c r="U523" t="s">
        <v>53</v>
      </c>
      <c r="V523" t="s">
        <v>54</v>
      </c>
      <c r="W523">
        <v>4</v>
      </c>
      <c r="X523" t="b">
        <v>0</v>
      </c>
      <c r="Y523" t="s">
        <v>55</v>
      </c>
      <c r="Z523" t="s">
        <v>56</v>
      </c>
      <c r="AA523" t="s">
        <v>57</v>
      </c>
      <c r="AB523">
        <v>0</v>
      </c>
      <c r="AC523" t="s">
        <v>58</v>
      </c>
      <c r="AD523">
        <v>8</v>
      </c>
      <c r="AE523" t="s">
        <v>59</v>
      </c>
      <c r="AF523">
        <v>248</v>
      </c>
      <c r="AG523" t="b">
        <v>0</v>
      </c>
      <c r="AH523">
        <v>8</v>
      </c>
      <c r="AI523" t="s">
        <v>59</v>
      </c>
      <c r="AJ523">
        <v>248</v>
      </c>
      <c r="AK523" t="b">
        <v>0</v>
      </c>
      <c r="AL523">
        <v>248</v>
      </c>
      <c r="AM523" t="b">
        <v>0</v>
      </c>
      <c r="AN523">
        <v>0</v>
      </c>
      <c r="AO523" t="b">
        <v>0</v>
      </c>
      <c r="AQ523">
        <v>288.166</v>
      </c>
      <c r="AR523">
        <v>288.166</v>
      </c>
      <c r="AS523">
        <v>0</v>
      </c>
      <c r="AT523" t="b">
        <v>0</v>
      </c>
      <c r="AU523" t="b">
        <v>1</v>
      </c>
      <c r="BA523" t="str">
        <f t="shared" si="16"/>
        <v>Normal</v>
      </c>
      <c r="BG523" t="str">
        <f t="shared" si="17"/>
        <v>Normal</v>
      </c>
    </row>
    <row r="524" spans="1:59" x14ac:dyDescent="0.2">
      <c r="A524" t="s">
        <v>42</v>
      </c>
      <c r="B524" t="s">
        <v>43</v>
      </c>
      <c r="C524">
        <v>20240101</v>
      </c>
      <c r="D524">
        <v>2024</v>
      </c>
      <c r="E524">
        <v>52</v>
      </c>
      <c r="F524" t="s">
        <v>325</v>
      </c>
      <c r="G524">
        <v>251</v>
      </c>
      <c r="H524" t="s">
        <v>123</v>
      </c>
      <c r="I524" t="s">
        <v>124</v>
      </c>
      <c r="J524" t="s">
        <v>47</v>
      </c>
      <c r="K524" t="s">
        <v>48</v>
      </c>
      <c r="L524">
        <v>0</v>
      </c>
      <c r="M524" t="s">
        <v>49</v>
      </c>
      <c r="N524" t="s">
        <v>50</v>
      </c>
      <c r="O524">
        <v>0</v>
      </c>
      <c r="P524" t="s">
        <v>49</v>
      </c>
      <c r="Q524" t="s">
        <v>50</v>
      </c>
      <c r="R524" t="s">
        <v>300</v>
      </c>
      <c r="S524" t="s">
        <v>52</v>
      </c>
      <c r="T524" t="b">
        <v>1</v>
      </c>
      <c r="U524" t="s">
        <v>53</v>
      </c>
      <c r="V524" t="s">
        <v>54</v>
      </c>
      <c r="W524">
        <v>4</v>
      </c>
      <c r="X524" t="b">
        <v>0</v>
      </c>
      <c r="Y524" t="s">
        <v>55</v>
      </c>
      <c r="Z524" t="s">
        <v>56</v>
      </c>
      <c r="AA524" t="s">
        <v>57</v>
      </c>
      <c r="AB524">
        <v>0</v>
      </c>
      <c r="AC524" t="s">
        <v>58</v>
      </c>
      <c r="AD524">
        <v>8</v>
      </c>
      <c r="AE524" t="s">
        <v>59</v>
      </c>
      <c r="AF524">
        <v>24440664.903000001</v>
      </c>
      <c r="AG524" t="b">
        <v>1</v>
      </c>
      <c r="AH524">
        <v>-1</v>
      </c>
      <c r="AI524" t="s">
        <v>73</v>
      </c>
      <c r="AJ524">
        <v>0</v>
      </c>
      <c r="AK524" t="b">
        <v>0</v>
      </c>
      <c r="AL524">
        <v>24440664.903000001</v>
      </c>
      <c r="AM524" t="b">
        <v>1</v>
      </c>
      <c r="AN524">
        <v>0</v>
      </c>
      <c r="AO524" t="b">
        <v>0</v>
      </c>
      <c r="AQ524">
        <v>16103887.030999999</v>
      </c>
      <c r="AR524">
        <v>16103887.030999999</v>
      </c>
      <c r="AS524">
        <v>6</v>
      </c>
      <c r="AT524" t="b">
        <v>0</v>
      </c>
      <c r="AU524" t="b">
        <v>1</v>
      </c>
      <c r="BA524" t="str">
        <f t="shared" si="16"/>
        <v>Normal</v>
      </c>
      <c r="BG524" t="str">
        <f t="shared" si="17"/>
        <v>Normal</v>
      </c>
    </row>
    <row r="525" spans="1:59" x14ac:dyDescent="0.2">
      <c r="A525" t="s">
        <v>42</v>
      </c>
      <c r="B525" t="s">
        <v>43</v>
      </c>
      <c r="C525">
        <v>20240101</v>
      </c>
      <c r="D525">
        <v>2024</v>
      </c>
      <c r="E525">
        <v>52</v>
      </c>
      <c r="F525" t="s">
        <v>325</v>
      </c>
      <c r="G525">
        <v>270</v>
      </c>
      <c r="H525" t="s">
        <v>307</v>
      </c>
      <c r="I525" t="s">
        <v>308</v>
      </c>
      <c r="J525" t="s">
        <v>47</v>
      </c>
      <c r="K525" t="s">
        <v>48</v>
      </c>
      <c r="L525">
        <v>0</v>
      </c>
      <c r="M525" t="s">
        <v>49</v>
      </c>
      <c r="N525" t="s">
        <v>50</v>
      </c>
      <c r="O525">
        <v>0</v>
      </c>
      <c r="P525" t="s">
        <v>49</v>
      </c>
      <c r="Q525" t="s">
        <v>50</v>
      </c>
      <c r="R525" t="s">
        <v>300</v>
      </c>
      <c r="S525" t="s">
        <v>52</v>
      </c>
      <c r="T525" t="b">
        <v>1</v>
      </c>
      <c r="U525" t="s">
        <v>53</v>
      </c>
      <c r="V525" t="s">
        <v>54</v>
      </c>
      <c r="W525">
        <v>4</v>
      </c>
      <c r="X525" t="b">
        <v>0</v>
      </c>
      <c r="Y525" t="s">
        <v>55</v>
      </c>
      <c r="Z525" t="s">
        <v>56</v>
      </c>
      <c r="AA525" t="s">
        <v>57</v>
      </c>
      <c r="AB525">
        <v>0</v>
      </c>
      <c r="AC525" t="s">
        <v>58</v>
      </c>
      <c r="AD525">
        <v>8</v>
      </c>
      <c r="AE525" t="s">
        <v>59</v>
      </c>
      <c r="AF525">
        <v>2813</v>
      </c>
      <c r="AG525" t="b">
        <v>0</v>
      </c>
      <c r="AH525">
        <v>8</v>
      </c>
      <c r="AI525" t="s">
        <v>59</v>
      </c>
      <c r="AJ525">
        <v>2813</v>
      </c>
      <c r="AK525" t="b">
        <v>0</v>
      </c>
      <c r="AL525">
        <v>2813</v>
      </c>
      <c r="AM525" t="b">
        <v>0</v>
      </c>
      <c r="AN525">
        <v>0</v>
      </c>
      <c r="AO525" t="b">
        <v>0</v>
      </c>
      <c r="AQ525">
        <v>1094.0429999999999</v>
      </c>
      <c r="AR525">
        <v>1094.0429999999999</v>
      </c>
      <c r="AS525">
        <v>0</v>
      </c>
      <c r="AT525" t="b">
        <v>0</v>
      </c>
      <c r="AU525" t="b">
        <v>1</v>
      </c>
      <c r="BA525" t="str">
        <f t="shared" si="16"/>
        <v>Normal</v>
      </c>
      <c r="BG525" t="str">
        <f t="shared" si="17"/>
        <v>Normal</v>
      </c>
    </row>
    <row r="526" spans="1:59" x14ac:dyDescent="0.2">
      <c r="A526" t="s">
        <v>42</v>
      </c>
      <c r="B526" t="s">
        <v>43</v>
      </c>
      <c r="C526">
        <v>20240101</v>
      </c>
      <c r="D526">
        <v>2024</v>
      </c>
      <c r="E526">
        <v>52</v>
      </c>
      <c r="F526" t="s">
        <v>325</v>
      </c>
      <c r="G526">
        <v>276</v>
      </c>
      <c r="H526" t="s">
        <v>130</v>
      </c>
      <c r="I526" t="s">
        <v>131</v>
      </c>
      <c r="J526" t="s">
        <v>47</v>
      </c>
      <c r="K526" t="s">
        <v>48</v>
      </c>
      <c r="L526">
        <v>0</v>
      </c>
      <c r="M526" t="s">
        <v>49</v>
      </c>
      <c r="N526" t="s">
        <v>50</v>
      </c>
      <c r="O526">
        <v>0</v>
      </c>
      <c r="P526" t="s">
        <v>49</v>
      </c>
      <c r="Q526" t="s">
        <v>50</v>
      </c>
      <c r="R526" t="s">
        <v>300</v>
      </c>
      <c r="S526" t="s">
        <v>52</v>
      </c>
      <c r="T526" t="b">
        <v>1</v>
      </c>
      <c r="U526" t="s">
        <v>53</v>
      </c>
      <c r="V526" t="s">
        <v>54</v>
      </c>
      <c r="W526">
        <v>4</v>
      </c>
      <c r="X526" t="b">
        <v>0</v>
      </c>
      <c r="Y526" t="s">
        <v>55</v>
      </c>
      <c r="Z526" t="s">
        <v>56</v>
      </c>
      <c r="AA526" t="s">
        <v>57</v>
      </c>
      <c r="AB526">
        <v>0</v>
      </c>
      <c r="AC526" t="s">
        <v>58</v>
      </c>
      <c r="AD526">
        <v>-1</v>
      </c>
      <c r="AE526" t="s">
        <v>73</v>
      </c>
      <c r="AF526">
        <v>0</v>
      </c>
      <c r="AG526" t="b">
        <v>0</v>
      </c>
      <c r="AH526">
        <v>-1</v>
      </c>
      <c r="AI526" t="s">
        <v>73</v>
      </c>
      <c r="AJ526">
        <v>0</v>
      </c>
      <c r="AK526" t="b">
        <v>0</v>
      </c>
      <c r="AM526" t="b">
        <v>0</v>
      </c>
      <c r="AN526">
        <v>0</v>
      </c>
      <c r="AO526" t="b">
        <v>0</v>
      </c>
      <c r="AQ526">
        <v>1134014.5160000001</v>
      </c>
      <c r="AR526">
        <v>1134014.5160000001</v>
      </c>
      <c r="AS526">
        <v>0</v>
      </c>
      <c r="AT526" t="b">
        <v>0</v>
      </c>
      <c r="AU526" t="b">
        <v>1</v>
      </c>
      <c r="BA526" t="str">
        <f t="shared" si="16"/>
        <v>Normal</v>
      </c>
      <c r="BG526" t="str">
        <f t="shared" si="17"/>
        <v>Normal</v>
      </c>
    </row>
    <row r="527" spans="1:59" x14ac:dyDescent="0.2">
      <c r="A527" t="s">
        <v>42</v>
      </c>
      <c r="B527" t="s">
        <v>43</v>
      </c>
      <c r="C527">
        <v>20240101</v>
      </c>
      <c r="D527">
        <v>2024</v>
      </c>
      <c r="E527">
        <v>52</v>
      </c>
      <c r="F527" t="s">
        <v>325</v>
      </c>
      <c r="G527">
        <v>300</v>
      </c>
      <c r="H527" t="s">
        <v>134</v>
      </c>
      <c r="I527" t="s">
        <v>135</v>
      </c>
      <c r="J527" t="s">
        <v>47</v>
      </c>
      <c r="K527" t="s">
        <v>48</v>
      </c>
      <c r="L527">
        <v>0</v>
      </c>
      <c r="M527" t="s">
        <v>49</v>
      </c>
      <c r="N527" t="s">
        <v>50</v>
      </c>
      <c r="O527">
        <v>0</v>
      </c>
      <c r="P527" t="s">
        <v>49</v>
      </c>
      <c r="Q527" t="s">
        <v>50</v>
      </c>
      <c r="R527" t="s">
        <v>300</v>
      </c>
      <c r="S527" t="s">
        <v>52</v>
      </c>
      <c r="T527" t="b">
        <v>1</v>
      </c>
      <c r="U527" t="s">
        <v>53</v>
      </c>
      <c r="V527" t="s">
        <v>54</v>
      </c>
      <c r="W527">
        <v>4</v>
      </c>
      <c r="X527" t="b">
        <v>0</v>
      </c>
      <c r="Y527" t="s">
        <v>55</v>
      </c>
      <c r="Z527" t="s">
        <v>56</v>
      </c>
      <c r="AA527" t="s">
        <v>57</v>
      </c>
      <c r="AB527">
        <v>0</v>
      </c>
      <c r="AC527" t="s">
        <v>58</v>
      </c>
      <c r="AD527">
        <v>8</v>
      </c>
      <c r="AE527" t="s">
        <v>59</v>
      </c>
      <c r="AF527">
        <v>81595300</v>
      </c>
      <c r="AG527" t="b">
        <v>0</v>
      </c>
      <c r="AH527">
        <v>8</v>
      </c>
      <c r="AI527" t="s">
        <v>59</v>
      </c>
      <c r="AJ527">
        <v>81595300</v>
      </c>
      <c r="AK527" t="b">
        <v>0</v>
      </c>
      <c r="AL527">
        <v>81595300</v>
      </c>
      <c r="AM527" t="b">
        <v>0</v>
      </c>
      <c r="AN527">
        <v>0</v>
      </c>
      <c r="AO527" t="b">
        <v>0</v>
      </c>
      <c r="AQ527">
        <v>42743484.702</v>
      </c>
      <c r="AR527">
        <v>42743484.702</v>
      </c>
      <c r="AS527">
        <v>0</v>
      </c>
      <c r="AT527" t="b">
        <v>0</v>
      </c>
      <c r="AU527" t="b">
        <v>1</v>
      </c>
      <c r="BA527" t="str">
        <f t="shared" si="16"/>
        <v>Normal</v>
      </c>
      <c r="BG527" t="str">
        <f t="shared" si="17"/>
        <v>Normal</v>
      </c>
    </row>
    <row r="528" spans="1:59" x14ac:dyDescent="0.2">
      <c r="A528" t="s">
        <v>42</v>
      </c>
      <c r="B528" t="s">
        <v>43</v>
      </c>
      <c r="C528">
        <v>20240101</v>
      </c>
      <c r="D528">
        <v>2024</v>
      </c>
      <c r="E528">
        <v>52</v>
      </c>
      <c r="F528" t="s">
        <v>325</v>
      </c>
      <c r="G528">
        <v>320</v>
      </c>
      <c r="H528" t="s">
        <v>136</v>
      </c>
      <c r="I528" t="s">
        <v>137</v>
      </c>
      <c r="J528" t="s">
        <v>47</v>
      </c>
      <c r="K528" t="s">
        <v>48</v>
      </c>
      <c r="L528">
        <v>0</v>
      </c>
      <c r="M528" t="s">
        <v>49</v>
      </c>
      <c r="N528" t="s">
        <v>50</v>
      </c>
      <c r="O528">
        <v>0</v>
      </c>
      <c r="P528" t="s">
        <v>49</v>
      </c>
      <c r="Q528" t="s">
        <v>50</v>
      </c>
      <c r="R528" t="s">
        <v>300</v>
      </c>
      <c r="S528" t="s">
        <v>52</v>
      </c>
      <c r="T528" t="b">
        <v>1</v>
      </c>
      <c r="U528" t="s">
        <v>53</v>
      </c>
      <c r="V528" t="s">
        <v>54</v>
      </c>
      <c r="W528">
        <v>4</v>
      </c>
      <c r="X528" t="b">
        <v>0</v>
      </c>
      <c r="Y528" t="s">
        <v>55</v>
      </c>
      <c r="Z528" t="s">
        <v>56</v>
      </c>
      <c r="AA528" t="s">
        <v>57</v>
      </c>
      <c r="AB528">
        <v>0</v>
      </c>
      <c r="AC528" t="s">
        <v>58</v>
      </c>
      <c r="AD528">
        <v>8</v>
      </c>
      <c r="AE528" t="s">
        <v>59</v>
      </c>
      <c r="AF528">
        <v>175536878</v>
      </c>
      <c r="AG528" t="b">
        <v>0</v>
      </c>
      <c r="AH528">
        <v>8</v>
      </c>
      <c r="AI528" t="s">
        <v>59</v>
      </c>
      <c r="AJ528">
        <v>175536878</v>
      </c>
      <c r="AK528" t="b">
        <v>0</v>
      </c>
      <c r="AL528">
        <v>175536878</v>
      </c>
      <c r="AM528" t="b">
        <v>0</v>
      </c>
      <c r="AN528">
        <v>0</v>
      </c>
      <c r="AO528" t="b">
        <v>0</v>
      </c>
      <c r="AQ528">
        <v>79249884</v>
      </c>
      <c r="AR528">
        <v>79249884</v>
      </c>
      <c r="AS528">
        <v>0</v>
      </c>
      <c r="AT528" t="b">
        <v>0</v>
      </c>
      <c r="AU528" t="b">
        <v>1</v>
      </c>
      <c r="BA528" t="str">
        <f t="shared" si="16"/>
        <v>Normal</v>
      </c>
      <c r="BG528" t="str">
        <f t="shared" si="17"/>
        <v>Normal</v>
      </c>
    </row>
    <row r="529" spans="1:59" x14ac:dyDescent="0.2">
      <c r="A529" t="s">
        <v>42</v>
      </c>
      <c r="B529" t="s">
        <v>43</v>
      </c>
      <c r="C529">
        <v>20240101</v>
      </c>
      <c r="D529">
        <v>2024</v>
      </c>
      <c r="E529">
        <v>52</v>
      </c>
      <c r="F529" t="s">
        <v>325</v>
      </c>
      <c r="G529">
        <v>328</v>
      </c>
      <c r="H529" t="s">
        <v>276</v>
      </c>
      <c r="I529" t="s">
        <v>277</v>
      </c>
      <c r="J529" t="s">
        <v>47</v>
      </c>
      <c r="K529" t="s">
        <v>48</v>
      </c>
      <c r="L529">
        <v>0</v>
      </c>
      <c r="M529" t="s">
        <v>49</v>
      </c>
      <c r="N529" t="s">
        <v>50</v>
      </c>
      <c r="O529">
        <v>0</v>
      </c>
      <c r="P529" t="s">
        <v>49</v>
      </c>
      <c r="Q529" t="s">
        <v>50</v>
      </c>
      <c r="R529" t="s">
        <v>51</v>
      </c>
      <c r="S529" t="s">
        <v>52</v>
      </c>
      <c r="T529" t="b">
        <v>1</v>
      </c>
      <c r="U529" t="s">
        <v>53</v>
      </c>
      <c r="V529" t="s">
        <v>54</v>
      </c>
      <c r="W529">
        <v>4</v>
      </c>
      <c r="X529" t="b">
        <v>0</v>
      </c>
      <c r="Y529" t="s">
        <v>55</v>
      </c>
      <c r="Z529" t="s">
        <v>56</v>
      </c>
      <c r="AA529" t="s">
        <v>57</v>
      </c>
      <c r="AB529">
        <v>0</v>
      </c>
      <c r="AC529" t="s">
        <v>58</v>
      </c>
      <c r="AD529">
        <v>8</v>
      </c>
      <c r="AE529" t="s">
        <v>59</v>
      </c>
      <c r="AF529">
        <v>16620929331</v>
      </c>
      <c r="AG529" t="b">
        <v>0</v>
      </c>
      <c r="AH529">
        <v>8</v>
      </c>
      <c r="AI529" t="s">
        <v>59</v>
      </c>
      <c r="AJ529">
        <v>16620929331</v>
      </c>
      <c r="AK529" t="b">
        <v>0</v>
      </c>
      <c r="AL529">
        <v>16620929331</v>
      </c>
      <c r="AM529" t="b">
        <v>0</v>
      </c>
      <c r="AN529">
        <v>0</v>
      </c>
      <c r="AO529" t="b">
        <v>0</v>
      </c>
      <c r="AQ529">
        <v>18174887650.994999</v>
      </c>
      <c r="AR529">
        <v>18174887650.994999</v>
      </c>
      <c r="AS529">
        <v>0</v>
      </c>
      <c r="AT529" t="b">
        <v>0</v>
      </c>
      <c r="AU529" t="b">
        <v>1</v>
      </c>
      <c r="BA529" t="str">
        <f t="shared" si="16"/>
        <v>Normal</v>
      </c>
      <c r="BG529" t="str">
        <f t="shared" si="17"/>
        <v>Normal</v>
      </c>
    </row>
    <row r="530" spans="1:59" x14ac:dyDescent="0.2">
      <c r="A530" t="s">
        <v>42</v>
      </c>
      <c r="B530" t="s">
        <v>43</v>
      </c>
      <c r="C530">
        <v>20240101</v>
      </c>
      <c r="D530">
        <v>2024</v>
      </c>
      <c r="E530">
        <v>52</v>
      </c>
      <c r="F530" t="s">
        <v>325</v>
      </c>
      <c r="G530">
        <v>348</v>
      </c>
      <c r="H530" t="s">
        <v>138</v>
      </c>
      <c r="I530" t="s">
        <v>139</v>
      </c>
      <c r="J530" t="s">
        <v>47</v>
      </c>
      <c r="K530" t="s">
        <v>48</v>
      </c>
      <c r="L530">
        <v>0</v>
      </c>
      <c r="M530" t="s">
        <v>49</v>
      </c>
      <c r="N530" t="s">
        <v>50</v>
      </c>
      <c r="O530">
        <v>0</v>
      </c>
      <c r="P530" t="s">
        <v>49</v>
      </c>
      <c r="Q530" t="s">
        <v>50</v>
      </c>
      <c r="R530" t="s">
        <v>300</v>
      </c>
      <c r="S530" t="s">
        <v>52</v>
      </c>
      <c r="T530" t="b">
        <v>1</v>
      </c>
      <c r="U530" t="s">
        <v>53</v>
      </c>
      <c r="V530" t="s">
        <v>54</v>
      </c>
      <c r="W530">
        <v>4</v>
      </c>
      <c r="X530" t="b">
        <v>0</v>
      </c>
      <c r="Y530" t="s">
        <v>55</v>
      </c>
      <c r="Z530" t="s">
        <v>56</v>
      </c>
      <c r="AA530" t="s">
        <v>57</v>
      </c>
      <c r="AB530">
        <v>0</v>
      </c>
      <c r="AC530" t="s">
        <v>58</v>
      </c>
      <c r="AD530">
        <v>8</v>
      </c>
      <c r="AE530" t="s">
        <v>59</v>
      </c>
      <c r="AF530">
        <v>103179818</v>
      </c>
      <c r="AG530" t="b">
        <v>0</v>
      </c>
      <c r="AH530">
        <v>8</v>
      </c>
      <c r="AI530" t="s">
        <v>59</v>
      </c>
      <c r="AJ530">
        <v>103179818</v>
      </c>
      <c r="AK530" t="b">
        <v>0</v>
      </c>
      <c r="AL530">
        <v>103179818</v>
      </c>
      <c r="AM530" t="b">
        <v>0</v>
      </c>
      <c r="AN530">
        <v>0</v>
      </c>
      <c r="AO530" t="b">
        <v>0</v>
      </c>
      <c r="AQ530">
        <v>63143741</v>
      </c>
      <c r="AR530">
        <v>63143741</v>
      </c>
      <c r="AS530">
        <v>0</v>
      </c>
      <c r="AT530" t="b">
        <v>0</v>
      </c>
      <c r="AU530" t="b">
        <v>1</v>
      </c>
      <c r="BA530" t="str">
        <f t="shared" si="16"/>
        <v>Normal</v>
      </c>
      <c r="BG530" t="str">
        <f t="shared" si="17"/>
        <v>Normal</v>
      </c>
    </row>
    <row r="531" spans="1:59" x14ac:dyDescent="0.2">
      <c r="A531" t="s">
        <v>42</v>
      </c>
      <c r="B531" t="s">
        <v>43</v>
      </c>
      <c r="C531">
        <v>20240101</v>
      </c>
      <c r="D531">
        <v>2024</v>
      </c>
      <c r="E531">
        <v>52</v>
      </c>
      <c r="F531" t="s">
        <v>325</v>
      </c>
      <c r="G531">
        <v>360</v>
      </c>
      <c r="H531" t="s">
        <v>140</v>
      </c>
      <c r="I531" t="s">
        <v>141</v>
      </c>
      <c r="J531" t="s">
        <v>47</v>
      </c>
      <c r="K531" t="s">
        <v>48</v>
      </c>
      <c r="L531">
        <v>0</v>
      </c>
      <c r="M531" t="s">
        <v>49</v>
      </c>
      <c r="N531" t="s">
        <v>50</v>
      </c>
      <c r="O531">
        <v>0</v>
      </c>
      <c r="P531" t="s">
        <v>49</v>
      </c>
      <c r="Q531" t="s">
        <v>50</v>
      </c>
      <c r="R531" t="s">
        <v>300</v>
      </c>
      <c r="S531" t="s">
        <v>52</v>
      </c>
      <c r="T531" t="b">
        <v>1</v>
      </c>
      <c r="U531" t="s">
        <v>53</v>
      </c>
      <c r="V531" t="s">
        <v>54</v>
      </c>
      <c r="W531">
        <v>4</v>
      </c>
      <c r="X531" t="b">
        <v>0</v>
      </c>
      <c r="Y531" t="s">
        <v>55</v>
      </c>
      <c r="Z531" t="s">
        <v>56</v>
      </c>
      <c r="AA531" t="s">
        <v>57</v>
      </c>
      <c r="AB531">
        <v>0</v>
      </c>
      <c r="AC531" t="s">
        <v>58</v>
      </c>
      <c r="AD531">
        <v>8</v>
      </c>
      <c r="AE531" t="s">
        <v>59</v>
      </c>
      <c r="AF531">
        <v>3620106197.8000002</v>
      </c>
      <c r="AG531" t="b">
        <v>0</v>
      </c>
      <c r="AH531">
        <v>8</v>
      </c>
      <c r="AI531" t="s">
        <v>59</v>
      </c>
      <c r="AJ531">
        <v>3620106197.8000002</v>
      </c>
      <c r="AK531" t="b">
        <v>0</v>
      </c>
      <c r="AL531">
        <v>3620106197.8000002</v>
      </c>
      <c r="AM531" t="b">
        <v>0</v>
      </c>
      <c r="AN531">
        <v>0</v>
      </c>
      <c r="AO531" t="b">
        <v>0</v>
      </c>
      <c r="AQ531">
        <v>2228458183.3000002</v>
      </c>
      <c r="AR531">
        <v>2228458183.3000002</v>
      </c>
      <c r="AS531">
        <v>0</v>
      </c>
      <c r="AT531" t="b">
        <v>0</v>
      </c>
      <c r="AU531" t="b">
        <v>1</v>
      </c>
      <c r="BA531" t="str">
        <f t="shared" si="16"/>
        <v>Normal</v>
      </c>
      <c r="BG531" t="str">
        <f t="shared" si="17"/>
        <v>Normal</v>
      </c>
    </row>
    <row r="532" spans="1:59" x14ac:dyDescent="0.2">
      <c r="A532" t="s">
        <v>42</v>
      </c>
      <c r="B532" t="s">
        <v>43</v>
      </c>
      <c r="C532">
        <v>20240101</v>
      </c>
      <c r="D532">
        <v>2024</v>
      </c>
      <c r="E532">
        <v>52</v>
      </c>
      <c r="F532" t="s">
        <v>325</v>
      </c>
      <c r="G532">
        <v>372</v>
      </c>
      <c r="H532" t="s">
        <v>144</v>
      </c>
      <c r="I532" t="s">
        <v>145</v>
      </c>
      <c r="J532" t="s">
        <v>47</v>
      </c>
      <c r="K532" t="s">
        <v>48</v>
      </c>
      <c r="L532">
        <v>0</v>
      </c>
      <c r="M532" t="s">
        <v>49</v>
      </c>
      <c r="N532" t="s">
        <v>50</v>
      </c>
      <c r="O532">
        <v>0</v>
      </c>
      <c r="P532" t="s">
        <v>49</v>
      </c>
      <c r="Q532" t="s">
        <v>50</v>
      </c>
      <c r="R532" t="s">
        <v>300</v>
      </c>
      <c r="S532" t="s">
        <v>52</v>
      </c>
      <c r="T532" t="b">
        <v>1</v>
      </c>
      <c r="U532" t="s">
        <v>53</v>
      </c>
      <c r="V532" t="s">
        <v>54</v>
      </c>
      <c r="W532">
        <v>4</v>
      </c>
      <c r="X532" t="b">
        <v>0</v>
      </c>
      <c r="Y532" t="s">
        <v>55</v>
      </c>
      <c r="Z532" t="s">
        <v>56</v>
      </c>
      <c r="AA532" t="s">
        <v>57</v>
      </c>
      <c r="AB532">
        <v>0</v>
      </c>
      <c r="AC532" t="s">
        <v>58</v>
      </c>
      <c r="AD532">
        <v>8</v>
      </c>
      <c r="AE532" t="s">
        <v>59</v>
      </c>
      <c r="AF532">
        <v>39253</v>
      </c>
      <c r="AG532" t="b">
        <v>0</v>
      </c>
      <c r="AH532">
        <v>8</v>
      </c>
      <c r="AI532" t="s">
        <v>59</v>
      </c>
      <c r="AJ532">
        <v>39253</v>
      </c>
      <c r="AK532" t="b">
        <v>0</v>
      </c>
      <c r="AL532">
        <v>39253</v>
      </c>
      <c r="AM532" t="b">
        <v>0</v>
      </c>
      <c r="AN532">
        <v>0</v>
      </c>
      <c r="AO532" t="b">
        <v>0</v>
      </c>
      <c r="AQ532">
        <v>74126.826000000001</v>
      </c>
      <c r="AR532">
        <v>74126.826000000001</v>
      </c>
      <c r="AS532">
        <v>0</v>
      </c>
      <c r="AT532" t="b">
        <v>0</v>
      </c>
      <c r="AU532" t="b">
        <v>1</v>
      </c>
      <c r="BA532" t="str">
        <f t="shared" si="16"/>
        <v>Normal</v>
      </c>
      <c r="BG532" t="str">
        <f t="shared" si="17"/>
        <v>Normal</v>
      </c>
    </row>
    <row r="533" spans="1:59" x14ac:dyDescent="0.2">
      <c r="A533" t="s">
        <v>42</v>
      </c>
      <c r="B533" t="s">
        <v>43</v>
      </c>
      <c r="C533">
        <v>20240101</v>
      </c>
      <c r="D533">
        <v>2024</v>
      </c>
      <c r="E533">
        <v>52</v>
      </c>
      <c r="F533" t="s">
        <v>325</v>
      </c>
      <c r="G533">
        <v>380</v>
      </c>
      <c r="H533" t="s">
        <v>148</v>
      </c>
      <c r="I533" t="s">
        <v>149</v>
      </c>
      <c r="J533" t="s">
        <v>47</v>
      </c>
      <c r="K533" t="s">
        <v>48</v>
      </c>
      <c r="L533">
        <v>0</v>
      </c>
      <c r="M533" t="s">
        <v>49</v>
      </c>
      <c r="N533" t="s">
        <v>50</v>
      </c>
      <c r="O533">
        <v>0</v>
      </c>
      <c r="P533" t="s">
        <v>49</v>
      </c>
      <c r="Q533" t="s">
        <v>50</v>
      </c>
      <c r="R533" t="s">
        <v>300</v>
      </c>
      <c r="S533" t="s">
        <v>52</v>
      </c>
      <c r="T533" t="b">
        <v>1</v>
      </c>
      <c r="U533" t="s">
        <v>53</v>
      </c>
      <c r="V533" t="s">
        <v>54</v>
      </c>
      <c r="W533">
        <v>4</v>
      </c>
      <c r="X533" t="b">
        <v>0</v>
      </c>
      <c r="Y533" t="s">
        <v>55</v>
      </c>
      <c r="Z533" t="s">
        <v>56</v>
      </c>
      <c r="AA533" t="s">
        <v>57</v>
      </c>
      <c r="AB533">
        <v>0</v>
      </c>
      <c r="AC533" t="s">
        <v>58</v>
      </c>
      <c r="AD533">
        <v>8</v>
      </c>
      <c r="AE533" t="s">
        <v>59</v>
      </c>
      <c r="AF533">
        <v>1392422034</v>
      </c>
      <c r="AG533" t="b">
        <v>0</v>
      </c>
      <c r="AH533">
        <v>8</v>
      </c>
      <c r="AI533" t="s">
        <v>59</v>
      </c>
      <c r="AJ533">
        <v>1392422034</v>
      </c>
      <c r="AK533" t="b">
        <v>0</v>
      </c>
      <c r="AL533">
        <v>1392422034</v>
      </c>
      <c r="AM533" t="b">
        <v>0</v>
      </c>
      <c r="AN533">
        <v>0</v>
      </c>
      <c r="AO533" t="b">
        <v>0</v>
      </c>
      <c r="AQ533">
        <v>617963519.70299995</v>
      </c>
      <c r="AR533">
        <v>617963519.70299995</v>
      </c>
      <c r="AS533">
        <v>0</v>
      </c>
      <c r="AT533" t="b">
        <v>0</v>
      </c>
      <c r="AU533" t="b">
        <v>1</v>
      </c>
      <c r="BA533" t="str">
        <f t="shared" si="16"/>
        <v>Normal</v>
      </c>
      <c r="BG533" t="str">
        <f t="shared" si="17"/>
        <v>Normal</v>
      </c>
    </row>
    <row r="534" spans="1:59" x14ac:dyDescent="0.2">
      <c r="A534" t="s">
        <v>42</v>
      </c>
      <c r="B534" t="s">
        <v>43</v>
      </c>
      <c r="C534">
        <v>20240101</v>
      </c>
      <c r="D534">
        <v>2024</v>
      </c>
      <c r="E534">
        <v>52</v>
      </c>
      <c r="F534" t="s">
        <v>325</v>
      </c>
      <c r="G534">
        <v>384</v>
      </c>
      <c r="H534" t="s">
        <v>150</v>
      </c>
      <c r="I534" t="s">
        <v>151</v>
      </c>
      <c r="J534" t="s">
        <v>47</v>
      </c>
      <c r="K534" t="s">
        <v>48</v>
      </c>
      <c r="L534">
        <v>0</v>
      </c>
      <c r="M534" t="s">
        <v>49</v>
      </c>
      <c r="N534" t="s">
        <v>50</v>
      </c>
      <c r="O534">
        <v>0</v>
      </c>
      <c r="P534" t="s">
        <v>49</v>
      </c>
      <c r="Q534" t="s">
        <v>50</v>
      </c>
      <c r="R534" t="s">
        <v>300</v>
      </c>
      <c r="S534" t="s">
        <v>52</v>
      </c>
      <c r="T534" t="b">
        <v>1</v>
      </c>
      <c r="U534" t="s">
        <v>53</v>
      </c>
      <c r="V534" t="s">
        <v>54</v>
      </c>
      <c r="W534">
        <v>4</v>
      </c>
      <c r="X534" t="b">
        <v>0</v>
      </c>
      <c r="Y534" t="s">
        <v>55</v>
      </c>
      <c r="Z534" t="s">
        <v>56</v>
      </c>
      <c r="AA534" t="s">
        <v>57</v>
      </c>
      <c r="AB534">
        <v>0</v>
      </c>
      <c r="AC534" t="s">
        <v>58</v>
      </c>
      <c r="AD534">
        <v>8</v>
      </c>
      <c r="AE534" t="s">
        <v>59</v>
      </c>
      <c r="AF534">
        <v>1395406917</v>
      </c>
      <c r="AG534" t="b">
        <v>0</v>
      </c>
      <c r="AH534">
        <v>8</v>
      </c>
      <c r="AI534" t="s">
        <v>59</v>
      </c>
      <c r="AJ534">
        <v>1395406917</v>
      </c>
      <c r="AK534" t="b">
        <v>0</v>
      </c>
      <c r="AL534">
        <v>1395406917</v>
      </c>
      <c r="AM534" t="b">
        <v>0</v>
      </c>
      <c r="AN534">
        <v>0</v>
      </c>
      <c r="AO534" t="b">
        <v>0</v>
      </c>
      <c r="AQ534">
        <v>799801181.46000004</v>
      </c>
      <c r="AR534">
        <v>799801181.46000004</v>
      </c>
      <c r="AS534">
        <v>0</v>
      </c>
      <c r="AT534" t="b">
        <v>0</v>
      </c>
      <c r="AU534" t="b">
        <v>1</v>
      </c>
      <c r="BA534" t="str">
        <f t="shared" si="16"/>
        <v>Normal</v>
      </c>
      <c r="BG534" t="str">
        <f t="shared" si="17"/>
        <v>Normal</v>
      </c>
    </row>
    <row r="535" spans="1:59" x14ac:dyDescent="0.2">
      <c r="A535" t="s">
        <v>42</v>
      </c>
      <c r="B535" t="s">
        <v>43</v>
      </c>
      <c r="C535">
        <v>20240101</v>
      </c>
      <c r="D535">
        <v>2024</v>
      </c>
      <c r="E535">
        <v>52</v>
      </c>
      <c r="F535" t="s">
        <v>325</v>
      </c>
      <c r="G535">
        <v>398</v>
      </c>
      <c r="H535" t="s">
        <v>152</v>
      </c>
      <c r="I535" t="s">
        <v>153</v>
      </c>
      <c r="J535" t="s">
        <v>47</v>
      </c>
      <c r="K535" t="s">
        <v>48</v>
      </c>
      <c r="L535">
        <v>0</v>
      </c>
      <c r="M535" t="s">
        <v>49</v>
      </c>
      <c r="N535" t="s">
        <v>50</v>
      </c>
      <c r="O535">
        <v>0</v>
      </c>
      <c r="P535" t="s">
        <v>49</v>
      </c>
      <c r="Q535" t="s">
        <v>50</v>
      </c>
      <c r="R535" t="s">
        <v>300</v>
      </c>
      <c r="S535" t="s">
        <v>52</v>
      </c>
      <c r="T535" t="b">
        <v>1</v>
      </c>
      <c r="U535" t="s">
        <v>53</v>
      </c>
      <c r="V535" t="s">
        <v>54</v>
      </c>
      <c r="W535">
        <v>4</v>
      </c>
      <c r="X535" t="b">
        <v>0</v>
      </c>
      <c r="Y535" t="s">
        <v>55</v>
      </c>
      <c r="Z535" t="s">
        <v>56</v>
      </c>
      <c r="AA535" t="s">
        <v>57</v>
      </c>
      <c r="AB535">
        <v>0</v>
      </c>
      <c r="AC535" t="s">
        <v>58</v>
      </c>
      <c r="AD535">
        <v>8</v>
      </c>
      <c r="AE535" t="s">
        <v>59</v>
      </c>
      <c r="AF535">
        <v>71022759850</v>
      </c>
      <c r="AG535" t="b">
        <v>0</v>
      </c>
      <c r="AH535">
        <v>8</v>
      </c>
      <c r="AI535" t="s">
        <v>59</v>
      </c>
      <c r="AJ535">
        <v>71022759850</v>
      </c>
      <c r="AK535" t="b">
        <v>0</v>
      </c>
      <c r="AL535">
        <v>71022759850</v>
      </c>
      <c r="AM535" t="b">
        <v>0</v>
      </c>
      <c r="AN535">
        <v>0</v>
      </c>
      <c r="AO535" t="b">
        <v>0</v>
      </c>
      <c r="AQ535">
        <v>42878761294.660004</v>
      </c>
      <c r="AR535">
        <v>42878761294.660004</v>
      </c>
      <c r="AS535">
        <v>0</v>
      </c>
      <c r="AT535" t="b">
        <v>0</v>
      </c>
      <c r="AU535" t="b">
        <v>1</v>
      </c>
      <c r="BA535" t="str">
        <f t="shared" si="16"/>
        <v>Normal</v>
      </c>
      <c r="BG535" t="str">
        <f t="shared" si="17"/>
        <v>Normal</v>
      </c>
    </row>
    <row r="536" spans="1:59" x14ac:dyDescent="0.2">
      <c r="A536" t="s">
        <v>42</v>
      </c>
      <c r="B536" t="s">
        <v>43</v>
      </c>
      <c r="C536">
        <v>20240101</v>
      </c>
      <c r="D536">
        <v>2024</v>
      </c>
      <c r="E536">
        <v>52</v>
      </c>
      <c r="F536" t="s">
        <v>325</v>
      </c>
      <c r="G536">
        <v>404</v>
      </c>
      <c r="H536" t="s">
        <v>154</v>
      </c>
      <c r="I536" t="s">
        <v>155</v>
      </c>
      <c r="J536" t="s">
        <v>47</v>
      </c>
      <c r="K536" t="s">
        <v>48</v>
      </c>
      <c r="L536">
        <v>0</v>
      </c>
      <c r="M536" t="s">
        <v>49</v>
      </c>
      <c r="N536" t="s">
        <v>50</v>
      </c>
      <c r="O536">
        <v>0</v>
      </c>
      <c r="P536" t="s">
        <v>49</v>
      </c>
      <c r="Q536" t="s">
        <v>50</v>
      </c>
      <c r="R536" t="s">
        <v>300</v>
      </c>
      <c r="S536" t="s">
        <v>52</v>
      </c>
      <c r="T536" t="b">
        <v>1</v>
      </c>
      <c r="U536" t="s">
        <v>53</v>
      </c>
      <c r="V536" t="s">
        <v>54</v>
      </c>
      <c r="W536">
        <v>4</v>
      </c>
      <c r="X536" t="b">
        <v>0</v>
      </c>
      <c r="Y536" t="s">
        <v>55</v>
      </c>
      <c r="Z536" t="s">
        <v>56</v>
      </c>
      <c r="AA536" t="s">
        <v>57</v>
      </c>
      <c r="AB536">
        <v>0</v>
      </c>
      <c r="AC536" t="s">
        <v>58</v>
      </c>
      <c r="AD536">
        <v>8</v>
      </c>
      <c r="AE536" t="s">
        <v>59</v>
      </c>
      <c r="AF536">
        <v>2916</v>
      </c>
      <c r="AG536" t="b">
        <v>0</v>
      </c>
      <c r="AH536">
        <v>8</v>
      </c>
      <c r="AI536" t="s">
        <v>59</v>
      </c>
      <c r="AJ536">
        <v>2916</v>
      </c>
      <c r="AK536" t="b">
        <v>0</v>
      </c>
      <c r="AL536">
        <v>2916</v>
      </c>
      <c r="AM536" t="b">
        <v>0</v>
      </c>
      <c r="AN536">
        <v>0</v>
      </c>
      <c r="AO536" t="b">
        <v>0</v>
      </c>
      <c r="AQ536">
        <v>4745.6639999999998</v>
      </c>
      <c r="AR536">
        <v>4745.6639999999998</v>
      </c>
      <c r="AS536">
        <v>0</v>
      </c>
      <c r="AT536" t="b">
        <v>0</v>
      </c>
      <c r="AU536" t="b">
        <v>1</v>
      </c>
      <c r="BA536" t="str">
        <f t="shared" si="16"/>
        <v>Normal</v>
      </c>
      <c r="BG536" t="str">
        <f t="shared" si="17"/>
        <v>Normal</v>
      </c>
    </row>
    <row r="537" spans="1:59" x14ac:dyDescent="0.2">
      <c r="A537" t="s">
        <v>42</v>
      </c>
      <c r="B537" t="s">
        <v>43</v>
      </c>
      <c r="C537">
        <v>20240101</v>
      </c>
      <c r="D537">
        <v>2024</v>
      </c>
      <c r="E537">
        <v>52</v>
      </c>
      <c r="F537" t="s">
        <v>325</v>
      </c>
      <c r="G537">
        <v>410</v>
      </c>
      <c r="H537" t="s">
        <v>156</v>
      </c>
      <c r="I537" t="s">
        <v>157</v>
      </c>
      <c r="J537" t="s">
        <v>47</v>
      </c>
      <c r="K537" t="s">
        <v>48</v>
      </c>
      <c r="L537">
        <v>0</v>
      </c>
      <c r="M537" t="s">
        <v>49</v>
      </c>
      <c r="N537" t="s">
        <v>50</v>
      </c>
      <c r="O537">
        <v>0</v>
      </c>
      <c r="P537" t="s">
        <v>49</v>
      </c>
      <c r="Q537" t="s">
        <v>50</v>
      </c>
      <c r="R537" t="s">
        <v>300</v>
      </c>
      <c r="S537" t="s">
        <v>52</v>
      </c>
      <c r="T537" t="b">
        <v>1</v>
      </c>
      <c r="U537" t="s">
        <v>53</v>
      </c>
      <c r="V537" t="s">
        <v>54</v>
      </c>
      <c r="W537">
        <v>4</v>
      </c>
      <c r="X537" t="b">
        <v>0</v>
      </c>
      <c r="Y537" t="s">
        <v>55</v>
      </c>
      <c r="Z537" t="s">
        <v>56</v>
      </c>
      <c r="AA537" t="s">
        <v>57</v>
      </c>
      <c r="AB537">
        <v>0</v>
      </c>
      <c r="AC537" t="s">
        <v>58</v>
      </c>
      <c r="AD537">
        <v>8</v>
      </c>
      <c r="AE537" t="s">
        <v>59</v>
      </c>
      <c r="AF537">
        <v>6.8</v>
      </c>
      <c r="AG537" t="b">
        <v>0</v>
      </c>
      <c r="AH537">
        <v>8</v>
      </c>
      <c r="AI537" t="s">
        <v>59</v>
      </c>
      <c r="AJ537">
        <v>6.8</v>
      </c>
      <c r="AK537" t="b">
        <v>0</v>
      </c>
      <c r="AL537">
        <v>6.8</v>
      </c>
      <c r="AM537" t="b">
        <v>0</v>
      </c>
      <c r="AN537">
        <v>0</v>
      </c>
      <c r="AO537" t="b">
        <v>0</v>
      </c>
      <c r="AQ537">
        <v>50</v>
      </c>
      <c r="AR537">
        <v>50</v>
      </c>
      <c r="AS537">
        <v>0</v>
      </c>
      <c r="AT537" t="b">
        <v>0</v>
      </c>
      <c r="AU537" t="b">
        <v>1</v>
      </c>
      <c r="BA537" t="str">
        <f t="shared" si="16"/>
        <v>Normal</v>
      </c>
      <c r="BG537" t="str">
        <f t="shared" si="17"/>
        <v>Normal</v>
      </c>
    </row>
    <row r="538" spans="1:59" x14ac:dyDescent="0.2">
      <c r="A538" t="s">
        <v>42</v>
      </c>
      <c r="B538" t="s">
        <v>43</v>
      </c>
      <c r="C538">
        <v>20240101</v>
      </c>
      <c r="D538">
        <v>2024</v>
      </c>
      <c r="E538">
        <v>52</v>
      </c>
      <c r="F538" t="s">
        <v>325</v>
      </c>
      <c r="G538">
        <v>414</v>
      </c>
      <c r="H538" t="s">
        <v>158</v>
      </c>
      <c r="I538" t="s">
        <v>159</v>
      </c>
      <c r="J538" t="s">
        <v>47</v>
      </c>
      <c r="K538" t="s">
        <v>48</v>
      </c>
      <c r="L538">
        <v>0</v>
      </c>
      <c r="M538" t="s">
        <v>49</v>
      </c>
      <c r="N538" t="s">
        <v>50</v>
      </c>
      <c r="O538">
        <v>0</v>
      </c>
      <c r="P538" t="s">
        <v>49</v>
      </c>
      <c r="Q538" t="s">
        <v>50</v>
      </c>
      <c r="R538" t="s">
        <v>300</v>
      </c>
      <c r="S538" t="s">
        <v>52</v>
      </c>
      <c r="T538" t="b">
        <v>1</v>
      </c>
      <c r="U538" t="s">
        <v>53</v>
      </c>
      <c r="V538" t="s">
        <v>54</v>
      </c>
      <c r="W538">
        <v>4</v>
      </c>
      <c r="X538" t="b">
        <v>0</v>
      </c>
      <c r="Y538" t="s">
        <v>55</v>
      </c>
      <c r="Z538" t="s">
        <v>56</v>
      </c>
      <c r="AA538" t="s">
        <v>57</v>
      </c>
      <c r="AB538">
        <v>0</v>
      </c>
      <c r="AC538" t="s">
        <v>58</v>
      </c>
      <c r="AD538">
        <v>-1</v>
      </c>
      <c r="AE538" t="s">
        <v>73</v>
      </c>
      <c r="AF538">
        <v>0</v>
      </c>
      <c r="AG538" t="b">
        <v>0</v>
      </c>
      <c r="AH538">
        <v>-1</v>
      </c>
      <c r="AI538" t="s">
        <v>73</v>
      </c>
      <c r="AJ538">
        <v>0</v>
      </c>
      <c r="AK538" t="b">
        <v>0</v>
      </c>
      <c r="AM538" t="b">
        <v>0</v>
      </c>
      <c r="AN538">
        <v>0</v>
      </c>
      <c r="AO538" t="b">
        <v>0</v>
      </c>
      <c r="AQ538">
        <v>35530010116</v>
      </c>
      <c r="AR538">
        <v>35530010116</v>
      </c>
      <c r="AS538">
        <v>0</v>
      </c>
      <c r="AT538" t="b">
        <v>0</v>
      </c>
      <c r="AU538" t="b">
        <v>1</v>
      </c>
      <c r="BA538" t="str">
        <f t="shared" si="16"/>
        <v>Normal</v>
      </c>
      <c r="BG538" t="str">
        <f t="shared" si="17"/>
        <v>Normal</v>
      </c>
    </row>
    <row r="539" spans="1:59" x14ac:dyDescent="0.2">
      <c r="A539" t="s">
        <v>42</v>
      </c>
      <c r="B539" t="s">
        <v>43</v>
      </c>
      <c r="C539">
        <v>20240101</v>
      </c>
      <c r="D539">
        <v>2024</v>
      </c>
      <c r="E539">
        <v>52</v>
      </c>
      <c r="F539" t="s">
        <v>325</v>
      </c>
      <c r="G539">
        <v>428</v>
      </c>
      <c r="H539" t="s">
        <v>166</v>
      </c>
      <c r="I539" t="s">
        <v>167</v>
      </c>
      <c r="J539" t="s">
        <v>47</v>
      </c>
      <c r="K539" t="s">
        <v>48</v>
      </c>
      <c r="L539">
        <v>0</v>
      </c>
      <c r="M539" t="s">
        <v>49</v>
      </c>
      <c r="N539" t="s">
        <v>50</v>
      </c>
      <c r="O539">
        <v>0</v>
      </c>
      <c r="P539" t="s">
        <v>49</v>
      </c>
      <c r="Q539" t="s">
        <v>50</v>
      </c>
      <c r="R539" t="s">
        <v>300</v>
      </c>
      <c r="S539" t="s">
        <v>52</v>
      </c>
      <c r="T539" t="b">
        <v>1</v>
      </c>
      <c r="U539" t="s">
        <v>53</v>
      </c>
      <c r="V539" t="s">
        <v>54</v>
      </c>
      <c r="W539">
        <v>4</v>
      </c>
      <c r="X539" t="b">
        <v>0</v>
      </c>
      <c r="Y539" t="s">
        <v>55</v>
      </c>
      <c r="Z539" t="s">
        <v>56</v>
      </c>
      <c r="AA539" t="s">
        <v>57</v>
      </c>
      <c r="AB539">
        <v>0</v>
      </c>
      <c r="AC539" t="s">
        <v>58</v>
      </c>
      <c r="AD539">
        <v>8</v>
      </c>
      <c r="AE539" t="s">
        <v>59</v>
      </c>
      <c r="AF539">
        <v>2590945</v>
      </c>
      <c r="AG539" t="b">
        <v>0</v>
      </c>
      <c r="AH539">
        <v>8</v>
      </c>
      <c r="AI539" t="s">
        <v>59</v>
      </c>
      <c r="AJ539">
        <v>2590945</v>
      </c>
      <c r="AK539" t="b">
        <v>0</v>
      </c>
      <c r="AL539">
        <v>2590945</v>
      </c>
      <c r="AM539" t="b">
        <v>0</v>
      </c>
      <c r="AN539">
        <v>0</v>
      </c>
      <c r="AO539" t="b">
        <v>0</v>
      </c>
      <c r="AQ539">
        <v>687543.272</v>
      </c>
      <c r="AR539">
        <v>687543.272</v>
      </c>
      <c r="AS539">
        <v>0</v>
      </c>
      <c r="AT539" t="b">
        <v>0</v>
      </c>
      <c r="AU539" t="b">
        <v>1</v>
      </c>
      <c r="BA539" t="str">
        <f t="shared" si="16"/>
        <v>Normal</v>
      </c>
      <c r="BG539" t="str">
        <f t="shared" si="17"/>
        <v>Normal</v>
      </c>
    </row>
    <row r="540" spans="1:59" x14ac:dyDescent="0.2">
      <c r="A540" t="s">
        <v>42</v>
      </c>
      <c r="B540" t="s">
        <v>43</v>
      </c>
      <c r="C540">
        <v>20240101</v>
      </c>
      <c r="D540">
        <v>2024</v>
      </c>
      <c r="E540">
        <v>52</v>
      </c>
      <c r="F540" t="s">
        <v>325</v>
      </c>
      <c r="G540">
        <v>458</v>
      </c>
      <c r="H540" t="s">
        <v>177</v>
      </c>
      <c r="I540" t="s">
        <v>178</v>
      </c>
      <c r="J540" t="s">
        <v>47</v>
      </c>
      <c r="K540" t="s">
        <v>48</v>
      </c>
      <c r="L540">
        <v>0</v>
      </c>
      <c r="M540" t="s">
        <v>49</v>
      </c>
      <c r="N540" t="s">
        <v>50</v>
      </c>
      <c r="O540">
        <v>0</v>
      </c>
      <c r="P540" t="s">
        <v>49</v>
      </c>
      <c r="Q540" t="s">
        <v>50</v>
      </c>
      <c r="R540" t="s">
        <v>300</v>
      </c>
      <c r="S540" t="s">
        <v>52</v>
      </c>
      <c r="T540" t="b">
        <v>1</v>
      </c>
      <c r="U540" t="s">
        <v>53</v>
      </c>
      <c r="V540" t="s">
        <v>54</v>
      </c>
      <c r="W540">
        <v>4</v>
      </c>
      <c r="X540" t="b">
        <v>0</v>
      </c>
      <c r="Y540" t="s">
        <v>55</v>
      </c>
      <c r="Z540" t="s">
        <v>56</v>
      </c>
      <c r="AA540" t="s">
        <v>57</v>
      </c>
      <c r="AB540">
        <v>0</v>
      </c>
      <c r="AC540" t="s">
        <v>58</v>
      </c>
      <c r="AD540">
        <v>8</v>
      </c>
      <c r="AE540" t="s">
        <v>59</v>
      </c>
      <c r="AF540">
        <v>9491339957</v>
      </c>
      <c r="AG540" t="b">
        <v>0</v>
      </c>
      <c r="AH540">
        <v>8</v>
      </c>
      <c r="AI540" t="s">
        <v>59</v>
      </c>
      <c r="AJ540">
        <v>9491339957</v>
      </c>
      <c r="AK540" t="b">
        <v>0</v>
      </c>
      <c r="AL540">
        <v>9491339957</v>
      </c>
      <c r="AM540" t="b">
        <v>0</v>
      </c>
      <c r="AN540">
        <v>0</v>
      </c>
      <c r="AO540" t="b">
        <v>0</v>
      </c>
      <c r="AQ540">
        <v>6238601096.7119999</v>
      </c>
      <c r="AR540">
        <v>6238601096.7119999</v>
      </c>
      <c r="AS540">
        <v>0</v>
      </c>
      <c r="AT540" t="b">
        <v>0</v>
      </c>
      <c r="AU540" t="b">
        <v>1</v>
      </c>
      <c r="BA540" t="str">
        <f t="shared" si="16"/>
        <v>Normal</v>
      </c>
      <c r="BG540" t="str">
        <f t="shared" si="17"/>
        <v>Normal</v>
      </c>
    </row>
    <row r="541" spans="1:59" x14ac:dyDescent="0.2">
      <c r="A541" t="s">
        <v>42</v>
      </c>
      <c r="B541" t="s">
        <v>43</v>
      </c>
      <c r="C541">
        <v>20240101</v>
      </c>
      <c r="D541">
        <v>2024</v>
      </c>
      <c r="E541">
        <v>52</v>
      </c>
      <c r="F541" t="s">
        <v>325</v>
      </c>
      <c r="G541">
        <v>484</v>
      </c>
      <c r="H541" t="s">
        <v>181</v>
      </c>
      <c r="I541" t="s">
        <v>182</v>
      </c>
      <c r="J541" t="s">
        <v>47</v>
      </c>
      <c r="K541" t="s">
        <v>48</v>
      </c>
      <c r="L541">
        <v>0</v>
      </c>
      <c r="M541" t="s">
        <v>49</v>
      </c>
      <c r="N541" t="s">
        <v>50</v>
      </c>
      <c r="O541">
        <v>0</v>
      </c>
      <c r="P541" t="s">
        <v>49</v>
      </c>
      <c r="Q541" t="s">
        <v>50</v>
      </c>
      <c r="R541" t="s">
        <v>300</v>
      </c>
      <c r="S541" t="s">
        <v>52</v>
      </c>
      <c r="T541" t="b">
        <v>1</v>
      </c>
      <c r="U541" t="s">
        <v>53</v>
      </c>
      <c r="V541" t="s">
        <v>54</v>
      </c>
      <c r="W541">
        <v>4</v>
      </c>
      <c r="X541" t="b">
        <v>0</v>
      </c>
      <c r="Y541" t="s">
        <v>55</v>
      </c>
      <c r="Z541" t="s">
        <v>56</v>
      </c>
      <c r="AA541" t="s">
        <v>57</v>
      </c>
      <c r="AB541">
        <v>0</v>
      </c>
      <c r="AC541" t="s">
        <v>58</v>
      </c>
      <c r="AD541">
        <v>8</v>
      </c>
      <c r="AE541" t="s">
        <v>59</v>
      </c>
      <c r="AF541">
        <v>39114513944.514</v>
      </c>
      <c r="AG541" t="b">
        <v>1</v>
      </c>
      <c r="AH541">
        <v>-1</v>
      </c>
      <c r="AI541" t="s">
        <v>73</v>
      </c>
      <c r="AJ541">
        <v>0</v>
      </c>
      <c r="AK541" t="b">
        <v>0</v>
      </c>
      <c r="AL541">
        <v>39114513944.514</v>
      </c>
      <c r="AM541" t="b">
        <v>1</v>
      </c>
      <c r="AN541">
        <v>0</v>
      </c>
      <c r="AO541" t="b">
        <v>0</v>
      </c>
      <c r="AQ541">
        <v>21707462281</v>
      </c>
      <c r="AR541">
        <v>21707462281</v>
      </c>
      <c r="AS541">
        <v>6</v>
      </c>
      <c r="AT541" t="b">
        <v>0</v>
      </c>
      <c r="AU541" t="b">
        <v>1</v>
      </c>
      <c r="BA541" t="str">
        <f t="shared" si="16"/>
        <v>Normal</v>
      </c>
      <c r="BG541" t="str">
        <f t="shared" si="17"/>
        <v>Normal</v>
      </c>
    </row>
    <row r="542" spans="1:59" x14ac:dyDescent="0.2">
      <c r="A542" t="s">
        <v>42</v>
      </c>
      <c r="B542" t="s">
        <v>43</v>
      </c>
      <c r="C542">
        <v>20240101</v>
      </c>
      <c r="D542">
        <v>2024</v>
      </c>
      <c r="E542">
        <v>52</v>
      </c>
      <c r="F542" t="s">
        <v>325</v>
      </c>
      <c r="G542">
        <v>498</v>
      </c>
      <c r="H542" t="s">
        <v>185</v>
      </c>
      <c r="I542" t="s">
        <v>186</v>
      </c>
      <c r="J542" t="s">
        <v>47</v>
      </c>
      <c r="K542" t="s">
        <v>48</v>
      </c>
      <c r="L542">
        <v>0</v>
      </c>
      <c r="M542" t="s">
        <v>49</v>
      </c>
      <c r="N542" t="s">
        <v>50</v>
      </c>
      <c r="O542">
        <v>0</v>
      </c>
      <c r="P542" t="s">
        <v>49</v>
      </c>
      <c r="Q542" t="s">
        <v>50</v>
      </c>
      <c r="R542" t="s">
        <v>300</v>
      </c>
      <c r="S542" t="s">
        <v>52</v>
      </c>
      <c r="T542" t="b">
        <v>1</v>
      </c>
      <c r="U542" t="s">
        <v>53</v>
      </c>
      <c r="V542" t="s">
        <v>54</v>
      </c>
      <c r="W542">
        <v>4</v>
      </c>
      <c r="X542" t="b">
        <v>0</v>
      </c>
      <c r="Y542" t="s">
        <v>55</v>
      </c>
      <c r="Z542" t="s">
        <v>56</v>
      </c>
      <c r="AA542" t="s">
        <v>57</v>
      </c>
      <c r="AB542">
        <v>0</v>
      </c>
      <c r="AC542" t="s">
        <v>58</v>
      </c>
      <c r="AD542">
        <v>8</v>
      </c>
      <c r="AE542" t="s">
        <v>59</v>
      </c>
      <c r="AF542">
        <v>1583990</v>
      </c>
      <c r="AG542" t="b">
        <v>0</v>
      </c>
      <c r="AH542">
        <v>8</v>
      </c>
      <c r="AI542" t="s">
        <v>59</v>
      </c>
      <c r="AJ542">
        <v>1583990</v>
      </c>
      <c r="AK542" t="b">
        <v>0</v>
      </c>
      <c r="AL542">
        <v>1583990</v>
      </c>
      <c r="AM542" t="b">
        <v>0</v>
      </c>
      <c r="AN542">
        <v>0</v>
      </c>
      <c r="AO542" t="b">
        <v>0</v>
      </c>
      <c r="AQ542">
        <v>628303</v>
      </c>
      <c r="AR542">
        <v>628303</v>
      </c>
      <c r="AS542">
        <v>0</v>
      </c>
      <c r="AT542" t="b">
        <v>0</v>
      </c>
      <c r="AU542" t="b">
        <v>1</v>
      </c>
      <c r="BA542" t="str">
        <f t="shared" si="16"/>
        <v>Normal</v>
      </c>
      <c r="BG542" t="str">
        <f t="shared" si="17"/>
        <v>Normal</v>
      </c>
    </row>
    <row r="543" spans="1:59" x14ac:dyDescent="0.2">
      <c r="A543" t="s">
        <v>42</v>
      </c>
      <c r="B543" t="s">
        <v>43</v>
      </c>
      <c r="C543">
        <v>20240101</v>
      </c>
      <c r="D543">
        <v>2024</v>
      </c>
      <c r="E543">
        <v>52</v>
      </c>
      <c r="F543" t="s">
        <v>325</v>
      </c>
      <c r="G543">
        <v>508</v>
      </c>
      <c r="H543" t="s">
        <v>319</v>
      </c>
      <c r="I543" t="s">
        <v>320</v>
      </c>
      <c r="J543" t="s">
        <v>47</v>
      </c>
      <c r="K543" t="s">
        <v>48</v>
      </c>
      <c r="L543">
        <v>0</v>
      </c>
      <c r="M543" t="s">
        <v>49</v>
      </c>
      <c r="N543" t="s">
        <v>50</v>
      </c>
      <c r="O543">
        <v>0</v>
      </c>
      <c r="P543" t="s">
        <v>49</v>
      </c>
      <c r="Q543" t="s">
        <v>50</v>
      </c>
      <c r="R543" t="s">
        <v>300</v>
      </c>
      <c r="S543" t="s">
        <v>52</v>
      </c>
      <c r="T543" t="b">
        <v>1</v>
      </c>
      <c r="U543" t="s">
        <v>53</v>
      </c>
      <c r="V543" t="s">
        <v>54</v>
      </c>
      <c r="W543">
        <v>4</v>
      </c>
      <c r="X543" t="b">
        <v>0</v>
      </c>
      <c r="Y543" t="s">
        <v>55</v>
      </c>
      <c r="Z543" t="s">
        <v>56</v>
      </c>
      <c r="AA543" t="s">
        <v>57</v>
      </c>
      <c r="AB543">
        <v>0</v>
      </c>
      <c r="AC543" t="s">
        <v>58</v>
      </c>
      <c r="AD543">
        <v>8</v>
      </c>
      <c r="AE543" t="s">
        <v>59</v>
      </c>
      <c r="AF543">
        <v>1262390</v>
      </c>
      <c r="AG543" t="b">
        <v>0</v>
      </c>
      <c r="AH543">
        <v>8</v>
      </c>
      <c r="AI543" t="s">
        <v>59</v>
      </c>
      <c r="AJ543">
        <v>1262390</v>
      </c>
      <c r="AK543" t="b">
        <v>0</v>
      </c>
      <c r="AL543">
        <v>1262390</v>
      </c>
      <c r="AM543" t="b">
        <v>0</v>
      </c>
      <c r="AN543">
        <v>0</v>
      </c>
      <c r="AO543" t="b">
        <v>0</v>
      </c>
      <c r="AQ543">
        <v>95515041</v>
      </c>
      <c r="AR543">
        <v>95515041</v>
      </c>
      <c r="AS543">
        <v>0</v>
      </c>
      <c r="AT543" t="b">
        <v>0</v>
      </c>
      <c r="AU543" t="b">
        <v>1</v>
      </c>
      <c r="BA543" t="str">
        <f t="shared" si="16"/>
        <v>Normal</v>
      </c>
      <c r="BG543" t="str">
        <f t="shared" si="17"/>
        <v>Normal</v>
      </c>
    </row>
    <row r="544" spans="1:59" x14ac:dyDescent="0.2">
      <c r="A544" t="s">
        <v>42</v>
      </c>
      <c r="B544" t="s">
        <v>43</v>
      </c>
      <c r="C544">
        <v>20240101</v>
      </c>
      <c r="D544">
        <v>2024</v>
      </c>
      <c r="E544">
        <v>52</v>
      </c>
      <c r="F544" t="s">
        <v>325</v>
      </c>
      <c r="G544">
        <v>516</v>
      </c>
      <c r="H544" t="s">
        <v>189</v>
      </c>
      <c r="I544" t="s">
        <v>190</v>
      </c>
      <c r="J544" t="s">
        <v>47</v>
      </c>
      <c r="K544" t="s">
        <v>48</v>
      </c>
      <c r="L544">
        <v>0</v>
      </c>
      <c r="M544" t="s">
        <v>49</v>
      </c>
      <c r="N544" t="s">
        <v>50</v>
      </c>
      <c r="O544">
        <v>0</v>
      </c>
      <c r="P544" t="s">
        <v>49</v>
      </c>
      <c r="Q544" t="s">
        <v>50</v>
      </c>
      <c r="R544" t="s">
        <v>300</v>
      </c>
      <c r="S544" t="s">
        <v>52</v>
      </c>
      <c r="T544" t="b">
        <v>1</v>
      </c>
      <c r="U544" t="s">
        <v>53</v>
      </c>
      <c r="V544" t="s">
        <v>54</v>
      </c>
      <c r="W544">
        <v>4</v>
      </c>
      <c r="X544" t="b">
        <v>0</v>
      </c>
      <c r="Y544" t="s">
        <v>55</v>
      </c>
      <c r="Z544" t="s">
        <v>56</v>
      </c>
      <c r="AA544" t="s">
        <v>57</v>
      </c>
      <c r="AB544">
        <v>0</v>
      </c>
      <c r="AC544" t="s">
        <v>58</v>
      </c>
      <c r="AD544">
        <v>-1</v>
      </c>
      <c r="AE544" t="s">
        <v>73</v>
      </c>
      <c r="AF544">
        <v>0</v>
      </c>
      <c r="AG544" t="b">
        <v>0</v>
      </c>
      <c r="AH544">
        <v>-1</v>
      </c>
      <c r="AI544" t="s">
        <v>73</v>
      </c>
      <c r="AJ544">
        <v>0</v>
      </c>
      <c r="AK544" t="b">
        <v>0</v>
      </c>
      <c r="AM544" t="b">
        <v>0</v>
      </c>
      <c r="AN544">
        <v>0</v>
      </c>
      <c r="AO544" t="b">
        <v>0</v>
      </c>
      <c r="AP544">
        <v>21881.578000000001</v>
      </c>
      <c r="AQ544">
        <v>21881.578000000001</v>
      </c>
      <c r="AR544">
        <v>21881.578000000001</v>
      </c>
      <c r="AS544">
        <v>0</v>
      </c>
      <c r="AT544" t="b">
        <v>0</v>
      </c>
      <c r="AU544" t="b">
        <v>1</v>
      </c>
      <c r="BA544" t="str">
        <f t="shared" si="16"/>
        <v>Normal</v>
      </c>
      <c r="BG544" t="str">
        <f t="shared" si="17"/>
        <v>Normal</v>
      </c>
    </row>
    <row r="545" spans="1:59" x14ac:dyDescent="0.2">
      <c r="A545" t="s">
        <v>42</v>
      </c>
      <c r="B545" t="s">
        <v>43</v>
      </c>
      <c r="C545">
        <v>20240101</v>
      </c>
      <c r="D545">
        <v>2024</v>
      </c>
      <c r="E545">
        <v>52</v>
      </c>
      <c r="F545" t="s">
        <v>325</v>
      </c>
      <c r="G545">
        <v>528</v>
      </c>
      <c r="H545" t="s">
        <v>191</v>
      </c>
      <c r="I545" t="s">
        <v>192</v>
      </c>
      <c r="J545" t="s">
        <v>47</v>
      </c>
      <c r="K545" t="s">
        <v>48</v>
      </c>
      <c r="L545">
        <v>0</v>
      </c>
      <c r="M545" t="s">
        <v>49</v>
      </c>
      <c r="N545" t="s">
        <v>50</v>
      </c>
      <c r="O545">
        <v>0</v>
      </c>
      <c r="P545" t="s">
        <v>49</v>
      </c>
      <c r="Q545" t="s">
        <v>50</v>
      </c>
      <c r="R545" t="s">
        <v>300</v>
      </c>
      <c r="S545" t="s">
        <v>52</v>
      </c>
      <c r="T545" t="b">
        <v>1</v>
      </c>
      <c r="U545" t="s">
        <v>53</v>
      </c>
      <c r="V545" t="s">
        <v>54</v>
      </c>
      <c r="W545">
        <v>4</v>
      </c>
      <c r="X545" t="b">
        <v>0</v>
      </c>
      <c r="Y545" t="s">
        <v>55</v>
      </c>
      <c r="Z545" t="s">
        <v>56</v>
      </c>
      <c r="AA545" t="s">
        <v>57</v>
      </c>
      <c r="AB545">
        <v>0</v>
      </c>
      <c r="AC545" t="s">
        <v>58</v>
      </c>
      <c r="AD545">
        <v>8</v>
      </c>
      <c r="AE545" t="s">
        <v>59</v>
      </c>
      <c r="AF545">
        <v>28308945932</v>
      </c>
      <c r="AG545" t="b">
        <v>0</v>
      </c>
      <c r="AH545">
        <v>8</v>
      </c>
      <c r="AI545" t="s">
        <v>59</v>
      </c>
      <c r="AJ545">
        <v>28308945932</v>
      </c>
      <c r="AK545" t="b">
        <v>0</v>
      </c>
      <c r="AL545">
        <v>28308945932</v>
      </c>
      <c r="AM545" t="b">
        <v>0</v>
      </c>
      <c r="AN545">
        <v>0</v>
      </c>
      <c r="AO545" t="b">
        <v>0</v>
      </c>
      <c r="AQ545">
        <v>17039634176.931</v>
      </c>
      <c r="AR545">
        <v>17039634176.931</v>
      </c>
      <c r="AS545">
        <v>0</v>
      </c>
      <c r="AT545" t="b">
        <v>0</v>
      </c>
      <c r="AU545" t="b">
        <v>1</v>
      </c>
      <c r="BA545" t="str">
        <f t="shared" si="16"/>
        <v>Normal</v>
      </c>
      <c r="BG545" t="str">
        <f t="shared" si="17"/>
        <v>Normal</v>
      </c>
    </row>
    <row r="546" spans="1:59" x14ac:dyDescent="0.2">
      <c r="A546" t="s">
        <v>42</v>
      </c>
      <c r="B546" t="s">
        <v>43</v>
      </c>
      <c r="C546">
        <v>20240101</v>
      </c>
      <c r="D546">
        <v>2024</v>
      </c>
      <c r="E546">
        <v>52</v>
      </c>
      <c r="F546" t="s">
        <v>325</v>
      </c>
      <c r="G546">
        <v>554</v>
      </c>
      <c r="H546" t="s">
        <v>195</v>
      </c>
      <c r="I546" t="s">
        <v>196</v>
      </c>
      <c r="J546" t="s">
        <v>47</v>
      </c>
      <c r="K546" t="s">
        <v>48</v>
      </c>
      <c r="L546">
        <v>0</v>
      </c>
      <c r="M546" t="s">
        <v>49</v>
      </c>
      <c r="N546" t="s">
        <v>50</v>
      </c>
      <c r="O546">
        <v>0</v>
      </c>
      <c r="P546" t="s">
        <v>49</v>
      </c>
      <c r="Q546" t="s">
        <v>50</v>
      </c>
      <c r="R546" t="s">
        <v>300</v>
      </c>
      <c r="S546" t="s">
        <v>52</v>
      </c>
      <c r="T546" t="b">
        <v>1</v>
      </c>
      <c r="U546" t="s">
        <v>53</v>
      </c>
      <c r="V546" t="s">
        <v>54</v>
      </c>
      <c r="W546">
        <v>4</v>
      </c>
      <c r="X546" t="b">
        <v>0</v>
      </c>
      <c r="Y546" t="s">
        <v>55</v>
      </c>
      <c r="Z546" t="s">
        <v>56</v>
      </c>
      <c r="AA546" t="s">
        <v>57</v>
      </c>
      <c r="AB546">
        <v>0</v>
      </c>
      <c r="AC546" t="s">
        <v>58</v>
      </c>
      <c r="AD546">
        <v>8</v>
      </c>
      <c r="AE546" t="s">
        <v>59</v>
      </c>
      <c r="AF546">
        <v>719483682.12899995</v>
      </c>
      <c r="AG546" t="b">
        <v>1</v>
      </c>
      <c r="AH546">
        <v>-1</v>
      </c>
      <c r="AI546" t="s">
        <v>73</v>
      </c>
      <c r="AJ546">
        <v>0</v>
      </c>
      <c r="AK546" t="b">
        <v>0</v>
      </c>
      <c r="AL546">
        <v>719483682.12899995</v>
      </c>
      <c r="AM546" t="b">
        <v>1</v>
      </c>
      <c r="AN546">
        <v>725303735</v>
      </c>
      <c r="AO546" t="b">
        <v>0</v>
      </c>
      <c r="AQ546">
        <v>423230611.23699999</v>
      </c>
      <c r="AR546">
        <v>423230611.23699999</v>
      </c>
      <c r="AS546">
        <v>6</v>
      </c>
      <c r="AT546" t="b">
        <v>0</v>
      </c>
      <c r="AU546" t="b">
        <v>1</v>
      </c>
      <c r="BA546" t="str">
        <f t="shared" si="16"/>
        <v>Normal</v>
      </c>
      <c r="BG546" t="str">
        <f t="shared" si="17"/>
        <v>Normal</v>
      </c>
    </row>
    <row r="547" spans="1:59" x14ac:dyDescent="0.2">
      <c r="A547" t="s">
        <v>42</v>
      </c>
      <c r="B547" t="s">
        <v>43</v>
      </c>
      <c r="C547">
        <v>20240101</v>
      </c>
      <c r="D547">
        <v>2024</v>
      </c>
      <c r="E547">
        <v>52</v>
      </c>
      <c r="F547" t="s">
        <v>325</v>
      </c>
      <c r="G547">
        <v>562</v>
      </c>
      <c r="H547" t="s">
        <v>321</v>
      </c>
      <c r="I547" t="s">
        <v>322</v>
      </c>
      <c r="J547" t="s">
        <v>47</v>
      </c>
      <c r="K547" t="s">
        <v>48</v>
      </c>
      <c r="L547">
        <v>0</v>
      </c>
      <c r="M547" t="s">
        <v>49</v>
      </c>
      <c r="N547" t="s">
        <v>50</v>
      </c>
      <c r="O547">
        <v>0</v>
      </c>
      <c r="P547" t="s">
        <v>49</v>
      </c>
      <c r="Q547" t="s">
        <v>50</v>
      </c>
      <c r="R547" t="s">
        <v>300</v>
      </c>
      <c r="S547" t="s">
        <v>52</v>
      </c>
      <c r="T547" t="b">
        <v>1</v>
      </c>
      <c r="U547" t="s">
        <v>53</v>
      </c>
      <c r="V547" t="s">
        <v>54</v>
      </c>
      <c r="W547">
        <v>4</v>
      </c>
      <c r="X547" t="b">
        <v>0</v>
      </c>
      <c r="Y547" t="s">
        <v>55</v>
      </c>
      <c r="Z547" t="s">
        <v>56</v>
      </c>
      <c r="AA547" t="s">
        <v>57</v>
      </c>
      <c r="AB547">
        <v>0</v>
      </c>
      <c r="AC547" t="s">
        <v>58</v>
      </c>
      <c r="AD547">
        <v>8</v>
      </c>
      <c r="AE547" t="s">
        <v>59</v>
      </c>
      <c r="AF547">
        <v>1453006415</v>
      </c>
      <c r="AG547" t="b">
        <v>0</v>
      </c>
      <c r="AH547">
        <v>8</v>
      </c>
      <c r="AI547" t="s">
        <v>59</v>
      </c>
      <c r="AJ547">
        <v>1453006415</v>
      </c>
      <c r="AK547" t="b">
        <v>0</v>
      </c>
      <c r="AL547">
        <v>1453006415</v>
      </c>
      <c r="AM547" t="b">
        <v>0</v>
      </c>
      <c r="AN547">
        <v>0</v>
      </c>
      <c r="AO547" t="b">
        <v>0</v>
      </c>
      <c r="AQ547">
        <v>748936604.204</v>
      </c>
      <c r="AR547">
        <v>748936604.204</v>
      </c>
      <c r="AS547">
        <v>0</v>
      </c>
      <c r="AT547" t="b">
        <v>0</v>
      </c>
      <c r="AU547" t="b">
        <v>1</v>
      </c>
      <c r="BA547" t="str">
        <f t="shared" si="16"/>
        <v>Normal</v>
      </c>
      <c r="BG547" t="str">
        <f t="shared" si="17"/>
        <v>Normal</v>
      </c>
    </row>
    <row r="548" spans="1:59" x14ac:dyDescent="0.2">
      <c r="A548" t="s">
        <v>42</v>
      </c>
      <c r="B548" t="s">
        <v>43</v>
      </c>
      <c r="C548">
        <v>20240101</v>
      </c>
      <c r="D548">
        <v>2024</v>
      </c>
      <c r="E548">
        <v>52</v>
      </c>
      <c r="F548" t="s">
        <v>325</v>
      </c>
      <c r="G548">
        <v>566</v>
      </c>
      <c r="H548" t="s">
        <v>197</v>
      </c>
      <c r="I548" t="s">
        <v>198</v>
      </c>
      <c r="J548" t="s">
        <v>47</v>
      </c>
      <c r="K548" t="s">
        <v>48</v>
      </c>
      <c r="L548">
        <v>0</v>
      </c>
      <c r="M548" t="s">
        <v>49</v>
      </c>
      <c r="N548" t="s">
        <v>50</v>
      </c>
      <c r="O548">
        <v>0</v>
      </c>
      <c r="P548" t="s">
        <v>49</v>
      </c>
      <c r="Q548" t="s">
        <v>50</v>
      </c>
      <c r="R548" t="s">
        <v>300</v>
      </c>
      <c r="S548" t="s">
        <v>52</v>
      </c>
      <c r="T548" t="b">
        <v>1</v>
      </c>
      <c r="U548" t="s">
        <v>53</v>
      </c>
      <c r="V548" t="s">
        <v>54</v>
      </c>
      <c r="W548">
        <v>4</v>
      </c>
      <c r="X548" t="b">
        <v>0</v>
      </c>
      <c r="Y548" t="s">
        <v>55</v>
      </c>
      <c r="Z548" t="s">
        <v>56</v>
      </c>
      <c r="AA548" t="s">
        <v>57</v>
      </c>
      <c r="AB548">
        <v>0</v>
      </c>
      <c r="AC548" t="s">
        <v>58</v>
      </c>
      <c r="AD548">
        <v>-1</v>
      </c>
      <c r="AE548" t="s">
        <v>73</v>
      </c>
      <c r="AF548">
        <v>0</v>
      </c>
      <c r="AG548" t="b">
        <v>0</v>
      </c>
      <c r="AH548">
        <v>-1</v>
      </c>
      <c r="AI548" t="s">
        <v>73</v>
      </c>
      <c r="AJ548">
        <v>0</v>
      </c>
      <c r="AK548" t="b">
        <v>0</v>
      </c>
      <c r="AM548" t="b">
        <v>0</v>
      </c>
      <c r="AN548">
        <v>0</v>
      </c>
      <c r="AO548" t="b">
        <v>0</v>
      </c>
      <c r="AQ548">
        <v>37380669161.523003</v>
      </c>
      <c r="AR548">
        <v>37380669161.523003</v>
      </c>
      <c r="AS548">
        <v>0</v>
      </c>
      <c r="AT548" t="b">
        <v>0</v>
      </c>
      <c r="AU548" t="b">
        <v>1</v>
      </c>
      <c r="BA548" t="str">
        <f t="shared" si="16"/>
        <v>Normal</v>
      </c>
      <c r="BG548" t="str">
        <f t="shared" si="17"/>
        <v>Normal</v>
      </c>
    </row>
    <row r="549" spans="1:59" x14ac:dyDescent="0.2">
      <c r="A549" t="s">
        <v>42</v>
      </c>
      <c r="B549" t="s">
        <v>43</v>
      </c>
      <c r="C549">
        <v>20240101</v>
      </c>
      <c r="D549">
        <v>2024</v>
      </c>
      <c r="E549">
        <v>52</v>
      </c>
      <c r="F549" t="s">
        <v>325</v>
      </c>
      <c r="G549">
        <v>579</v>
      </c>
      <c r="H549" t="s">
        <v>199</v>
      </c>
      <c r="I549" t="s">
        <v>200</v>
      </c>
      <c r="J549" t="s">
        <v>47</v>
      </c>
      <c r="K549" t="s">
        <v>48</v>
      </c>
      <c r="L549">
        <v>0</v>
      </c>
      <c r="M549" t="s">
        <v>49</v>
      </c>
      <c r="N549" t="s">
        <v>50</v>
      </c>
      <c r="O549">
        <v>0</v>
      </c>
      <c r="P549" t="s">
        <v>49</v>
      </c>
      <c r="Q549" t="s">
        <v>50</v>
      </c>
      <c r="R549" t="s">
        <v>300</v>
      </c>
      <c r="S549" t="s">
        <v>52</v>
      </c>
      <c r="T549" t="b">
        <v>1</v>
      </c>
      <c r="U549" t="s">
        <v>53</v>
      </c>
      <c r="V549" t="s">
        <v>54</v>
      </c>
      <c r="W549">
        <v>4</v>
      </c>
      <c r="X549" t="b">
        <v>0</v>
      </c>
      <c r="Y549" t="s">
        <v>55</v>
      </c>
      <c r="Z549" t="s">
        <v>56</v>
      </c>
      <c r="AA549" t="s">
        <v>57</v>
      </c>
      <c r="AB549">
        <v>0</v>
      </c>
      <c r="AC549" t="s">
        <v>58</v>
      </c>
      <c r="AD549">
        <v>8</v>
      </c>
      <c r="AE549" t="s">
        <v>59</v>
      </c>
      <c r="AF549">
        <v>84025184200</v>
      </c>
      <c r="AG549" t="b">
        <v>0</v>
      </c>
      <c r="AH549">
        <v>-1</v>
      </c>
      <c r="AI549" t="s">
        <v>73</v>
      </c>
      <c r="AJ549">
        <v>0</v>
      </c>
      <c r="AK549" t="b">
        <v>0</v>
      </c>
      <c r="AL549">
        <v>84025184200</v>
      </c>
      <c r="AM549" t="b">
        <v>0</v>
      </c>
      <c r="AN549">
        <v>0</v>
      </c>
      <c r="AO549" t="b">
        <v>0</v>
      </c>
      <c r="AQ549">
        <v>49293154558.329002</v>
      </c>
      <c r="AR549">
        <v>49293154558.329002</v>
      </c>
      <c r="AS549">
        <v>0</v>
      </c>
      <c r="AT549" t="b">
        <v>0</v>
      </c>
      <c r="AU549" t="b">
        <v>1</v>
      </c>
      <c r="BA549" t="str">
        <f t="shared" si="16"/>
        <v>Normal</v>
      </c>
      <c r="BG549" t="str">
        <f t="shared" si="17"/>
        <v>Normal</v>
      </c>
    </row>
    <row r="550" spans="1:59" x14ac:dyDescent="0.2">
      <c r="A550" t="s">
        <v>42</v>
      </c>
      <c r="B550" t="s">
        <v>43</v>
      </c>
      <c r="C550">
        <v>20240101</v>
      </c>
      <c r="D550">
        <v>2024</v>
      </c>
      <c r="E550">
        <v>52</v>
      </c>
      <c r="F550" t="s">
        <v>325</v>
      </c>
      <c r="G550">
        <v>586</v>
      </c>
      <c r="H550" t="s">
        <v>201</v>
      </c>
      <c r="I550" t="s">
        <v>202</v>
      </c>
      <c r="J550" t="s">
        <v>47</v>
      </c>
      <c r="K550" t="s">
        <v>48</v>
      </c>
      <c r="L550">
        <v>0</v>
      </c>
      <c r="M550" t="s">
        <v>49</v>
      </c>
      <c r="N550" t="s">
        <v>50</v>
      </c>
      <c r="O550">
        <v>0</v>
      </c>
      <c r="P550" t="s">
        <v>49</v>
      </c>
      <c r="Q550" t="s">
        <v>50</v>
      </c>
      <c r="R550" t="s">
        <v>300</v>
      </c>
      <c r="S550" t="s">
        <v>52</v>
      </c>
      <c r="T550" t="b">
        <v>1</v>
      </c>
      <c r="U550" t="s">
        <v>53</v>
      </c>
      <c r="V550" t="s">
        <v>54</v>
      </c>
      <c r="W550">
        <v>4</v>
      </c>
      <c r="X550" t="b">
        <v>0</v>
      </c>
      <c r="Y550" t="s">
        <v>55</v>
      </c>
      <c r="Z550" t="s">
        <v>56</v>
      </c>
      <c r="AA550" t="s">
        <v>57</v>
      </c>
      <c r="AB550">
        <v>0</v>
      </c>
      <c r="AC550" t="s">
        <v>58</v>
      </c>
      <c r="AD550">
        <v>8</v>
      </c>
      <c r="AE550" t="s">
        <v>59</v>
      </c>
      <c r="AF550">
        <v>105219000</v>
      </c>
      <c r="AG550" t="b">
        <v>0</v>
      </c>
      <c r="AH550">
        <v>21</v>
      </c>
      <c r="AI550" t="s">
        <v>170</v>
      </c>
      <c r="AJ550">
        <v>105219</v>
      </c>
      <c r="AK550" t="b">
        <v>0</v>
      </c>
      <c r="AL550">
        <v>105219000</v>
      </c>
      <c r="AM550" t="b">
        <v>0</v>
      </c>
      <c r="AN550">
        <v>0</v>
      </c>
      <c r="AO550" t="b">
        <v>0</v>
      </c>
      <c r="AQ550">
        <v>67590587.630999997</v>
      </c>
      <c r="AR550">
        <v>67590587.630999997</v>
      </c>
      <c r="AS550">
        <v>0</v>
      </c>
      <c r="AT550" t="b">
        <v>0</v>
      </c>
      <c r="AU550" t="b">
        <v>1</v>
      </c>
      <c r="BA550" t="str">
        <f t="shared" si="16"/>
        <v>Normal</v>
      </c>
      <c r="BG550" t="str">
        <f t="shared" si="17"/>
        <v>Normal</v>
      </c>
    </row>
    <row r="551" spans="1:59" x14ac:dyDescent="0.2">
      <c r="A551" t="s">
        <v>42</v>
      </c>
      <c r="B551" t="s">
        <v>43</v>
      </c>
      <c r="C551">
        <v>20240101</v>
      </c>
      <c r="D551">
        <v>2024</v>
      </c>
      <c r="E551">
        <v>52</v>
      </c>
      <c r="F551" t="s">
        <v>325</v>
      </c>
      <c r="G551">
        <v>604</v>
      </c>
      <c r="H551" t="s">
        <v>205</v>
      </c>
      <c r="I551" t="s">
        <v>206</v>
      </c>
      <c r="J551" t="s">
        <v>47</v>
      </c>
      <c r="K551" t="s">
        <v>48</v>
      </c>
      <c r="L551">
        <v>0</v>
      </c>
      <c r="M551" t="s">
        <v>49</v>
      </c>
      <c r="N551" t="s">
        <v>50</v>
      </c>
      <c r="O551">
        <v>0</v>
      </c>
      <c r="P551" t="s">
        <v>49</v>
      </c>
      <c r="Q551" t="s">
        <v>50</v>
      </c>
      <c r="R551" t="s">
        <v>300</v>
      </c>
      <c r="S551" t="s">
        <v>52</v>
      </c>
      <c r="T551" t="b">
        <v>1</v>
      </c>
      <c r="U551" t="s">
        <v>53</v>
      </c>
      <c r="V551" t="s">
        <v>54</v>
      </c>
      <c r="W551">
        <v>4</v>
      </c>
      <c r="X551" t="b">
        <v>0</v>
      </c>
      <c r="Y551" t="s">
        <v>55</v>
      </c>
      <c r="Z551" t="s">
        <v>56</v>
      </c>
      <c r="AA551" t="s">
        <v>57</v>
      </c>
      <c r="AB551">
        <v>0</v>
      </c>
      <c r="AC551" t="s">
        <v>58</v>
      </c>
      <c r="AD551">
        <v>8</v>
      </c>
      <c r="AE551" t="s">
        <v>59</v>
      </c>
      <c r="AF551">
        <v>972572371</v>
      </c>
      <c r="AG551" t="b">
        <v>0</v>
      </c>
      <c r="AH551">
        <v>12</v>
      </c>
      <c r="AI551" t="s">
        <v>70</v>
      </c>
      <c r="AJ551">
        <v>1035854.98</v>
      </c>
      <c r="AK551" t="b">
        <v>0</v>
      </c>
      <c r="AL551">
        <v>972572371</v>
      </c>
      <c r="AM551" t="b">
        <v>0</v>
      </c>
      <c r="AN551">
        <v>0</v>
      </c>
      <c r="AO551" t="b">
        <v>0</v>
      </c>
      <c r="AQ551">
        <v>317674708.75</v>
      </c>
      <c r="AR551">
        <v>317674708.75</v>
      </c>
      <c r="AS551">
        <v>0</v>
      </c>
      <c r="AT551" t="b">
        <v>0</v>
      </c>
      <c r="AU551" t="b">
        <v>1</v>
      </c>
      <c r="BA551" t="str">
        <f t="shared" si="16"/>
        <v>Normal</v>
      </c>
      <c r="BG551" t="str">
        <f t="shared" si="17"/>
        <v>Normal</v>
      </c>
    </row>
    <row r="552" spans="1:59" x14ac:dyDescent="0.2">
      <c r="A552" t="s">
        <v>42</v>
      </c>
      <c r="B552" t="s">
        <v>43</v>
      </c>
      <c r="C552">
        <v>20240101</v>
      </c>
      <c r="D552">
        <v>2024</v>
      </c>
      <c r="E552">
        <v>52</v>
      </c>
      <c r="F552" t="s">
        <v>325</v>
      </c>
      <c r="G552">
        <v>608</v>
      </c>
      <c r="H552" t="s">
        <v>207</v>
      </c>
      <c r="I552" t="s">
        <v>208</v>
      </c>
      <c r="J552" t="s">
        <v>47</v>
      </c>
      <c r="K552" t="s">
        <v>48</v>
      </c>
      <c r="L552">
        <v>0</v>
      </c>
      <c r="M552" t="s">
        <v>49</v>
      </c>
      <c r="N552" t="s">
        <v>50</v>
      </c>
      <c r="O552">
        <v>0</v>
      </c>
      <c r="P552" t="s">
        <v>49</v>
      </c>
      <c r="Q552" t="s">
        <v>50</v>
      </c>
      <c r="R552" t="s">
        <v>300</v>
      </c>
      <c r="S552" t="s">
        <v>52</v>
      </c>
      <c r="T552" t="b">
        <v>1</v>
      </c>
      <c r="U552" t="s">
        <v>53</v>
      </c>
      <c r="V552" t="s">
        <v>54</v>
      </c>
      <c r="W552">
        <v>4</v>
      </c>
      <c r="X552" t="b">
        <v>0</v>
      </c>
      <c r="Y552" t="s">
        <v>55</v>
      </c>
      <c r="Z552" t="s">
        <v>56</v>
      </c>
      <c r="AA552" t="s">
        <v>57</v>
      </c>
      <c r="AB552">
        <v>0</v>
      </c>
      <c r="AC552" t="s">
        <v>58</v>
      </c>
      <c r="AD552">
        <v>8</v>
      </c>
      <c r="AE552" t="s">
        <v>59</v>
      </c>
      <c r="AF552">
        <v>284114200</v>
      </c>
      <c r="AG552" t="b">
        <v>0</v>
      </c>
      <c r="AH552">
        <v>8</v>
      </c>
      <c r="AI552" t="s">
        <v>59</v>
      </c>
      <c r="AJ552">
        <v>284114200</v>
      </c>
      <c r="AK552" t="b">
        <v>0</v>
      </c>
      <c r="AL552">
        <v>284114200</v>
      </c>
      <c r="AM552" t="b">
        <v>0</v>
      </c>
      <c r="AN552">
        <v>284114200</v>
      </c>
      <c r="AO552" t="b">
        <v>0</v>
      </c>
      <c r="AQ552">
        <v>168274610</v>
      </c>
      <c r="AR552">
        <v>168274610</v>
      </c>
      <c r="AS552">
        <v>0</v>
      </c>
      <c r="AT552" t="b">
        <v>0</v>
      </c>
      <c r="AU552" t="b">
        <v>1</v>
      </c>
      <c r="BA552" t="str">
        <f t="shared" si="16"/>
        <v>Normal</v>
      </c>
      <c r="BG552" t="str">
        <f t="shared" si="17"/>
        <v>Normal</v>
      </c>
    </row>
    <row r="553" spans="1:59" x14ac:dyDescent="0.2">
      <c r="A553" t="s">
        <v>42</v>
      </c>
      <c r="B553" t="s">
        <v>43</v>
      </c>
      <c r="C553">
        <v>20240101</v>
      </c>
      <c r="D553">
        <v>2024</v>
      </c>
      <c r="E553">
        <v>52</v>
      </c>
      <c r="F553" t="s">
        <v>325</v>
      </c>
      <c r="G553">
        <v>616</v>
      </c>
      <c r="H553" t="s">
        <v>209</v>
      </c>
      <c r="I553" t="s">
        <v>210</v>
      </c>
      <c r="J553" t="s">
        <v>47</v>
      </c>
      <c r="K553" t="s">
        <v>48</v>
      </c>
      <c r="L553">
        <v>0</v>
      </c>
      <c r="M553" t="s">
        <v>49</v>
      </c>
      <c r="N553" t="s">
        <v>50</v>
      </c>
      <c r="O553">
        <v>0</v>
      </c>
      <c r="P553" t="s">
        <v>49</v>
      </c>
      <c r="Q553" t="s">
        <v>50</v>
      </c>
      <c r="R553" t="s">
        <v>300</v>
      </c>
      <c r="S553" t="s">
        <v>52</v>
      </c>
      <c r="T553" t="b">
        <v>1</v>
      </c>
      <c r="U553" t="s">
        <v>53</v>
      </c>
      <c r="V553" t="s">
        <v>54</v>
      </c>
      <c r="W553">
        <v>4</v>
      </c>
      <c r="X553" t="b">
        <v>0</v>
      </c>
      <c r="Y553" t="s">
        <v>55</v>
      </c>
      <c r="Z553" t="s">
        <v>56</v>
      </c>
      <c r="AA553" t="s">
        <v>57</v>
      </c>
      <c r="AB553">
        <v>0</v>
      </c>
      <c r="AC553" t="s">
        <v>58</v>
      </c>
      <c r="AD553">
        <v>8</v>
      </c>
      <c r="AE553" t="s">
        <v>59</v>
      </c>
      <c r="AF553">
        <v>182634768.60699999</v>
      </c>
      <c r="AG553" t="b">
        <v>1</v>
      </c>
      <c r="AH553">
        <v>-1</v>
      </c>
      <c r="AI553" t="s">
        <v>73</v>
      </c>
      <c r="AJ553">
        <v>0</v>
      </c>
      <c r="AK553" t="b">
        <v>0</v>
      </c>
      <c r="AL553">
        <v>182634768.60699999</v>
      </c>
      <c r="AM553" t="b">
        <v>1</v>
      </c>
      <c r="AN553">
        <v>0</v>
      </c>
      <c r="AO553" t="b">
        <v>0</v>
      </c>
      <c r="AQ553">
        <v>101266882</v>
      </c>
      <c r="AR553">
        <v>101266882</v>
      </c>
      <c r="AS553">
        <v>6</v>
      </c>
      <c r="AT553" t="b">
        <v>0</v>
      </c>
      <c r="AU553" t="b">
        <v>1</v>
      </c>
      <c r="BA553" t="str">
        <f t="shared" si="16"/>
        <v>Normal</v>
      </c>
      <c r="BG553" t="str">
        <f t="shared" si="17"/>
        <v>Normal</v>
      </c>
    </row>
    <row r="554" spans="1:59" x14ac:dyDescent="0.2">
      <c r="A554" t="s">
        <v>42</v>
      </c>
      <c r="B554" t="s">
        <v>43</v>
      </c>
      <c r="C554">
        <v>20240101</v>
      </c>
      <c r="D554">
        <v>2024</v>
      </c>
      <c r="E554">
        <v>52</v>
      </c>
      <c r="F554" t="s">
        <v>325</v>
      </c>
      <c r="G554">
        <v>634</v>
      </c>
      <c r="H554" t="s">
        <v>216</v>
      </c>
      <c r="I554" t="s">
        <v>217</v>
      </c>
      <c r="J554" t="s">
        <v>47</v>
      </c>
      <c r="K554" t="s">
        <v>48</v>
      </c>
      <c r="L554">
        <v>0</v>
      </c>
      <c r="M554" t="s">
        <v>49</v>
      </c>
      <c r="N554" t="s">
        <v>50</v>
      </c>
      <c r="O554">
        <v>0</v>
      </c>
      <c r="P554" t="s">
        <v>49</v>
      </c>
      <c r="Q554" t="s">
        <v>50</v>
      </c>
      <c r="R554" t="s">
        <v>300</v>
      </c>
      <c r="S554" t="s">
        <v>52</v>
      </c>
      <c r="T554" t="b">
        <v>1</v>
      </c>
      <c r="U554" t="s">
        <v>53</v>
      </c>
      <c r="V554" t="s">
        <v>54</v>
      </c>
      <c r="W554">
        <v>4</v>
      </c>
      <c r="X554" t="b">
        <v>0</v>
      </c>
      <c r="Y554" t="s">
        <v>55</v>
      </c>
      <c r="Z554" t="s">
        <v>56</v>
      </c>
      <c r="AA554" t="s">
        <v>57</v>
      </c>
      <c r="AB554">
        <v>0</v>
      </c>
      <c r="AC554" t="s">
        <v>58</v>
      </c>
      <c r="AD554">
        <v>8</v>
      </c>
      <c r="AE554" t="s">
        <v>59</v>
      </c>
      <c r="AF554">
        <v>25242378811.333</v>
      </c>
      <c r="AG554" t="b">
        <v>1</v>
      </c>
      <c r="AH554">
        <v>-1</v>
      </c>
      <c r="AI554" t="s">
        <v>73</v>
      </c>
      <c r="AJ554">
        <v>0</v>
      </c>
      <c r="AK554" t="b">
        <v>0</v>
      </c>
      <c r="AL554">
        <v>25242378811.333</v>
      </c>
      <c r="AM554" t="b">
        <v>1</v>
      </c>
      <c r="AN554">
        <v>0</v>
      </c>
      <c r="AO554" t="b">
        <v>0</v>
      </c>
      <c r="AQ554">
        <v>14965923895.882999</v>
      </c>
      <c r="AR554">
        <v>14965923895.882999</v>
      </c>
      <c r="AS554">
        <v>6</v>
      </c>
      <c r="AT554" t="b">
        <v>0</v>
      </c>
      <c r="AU554" t="b">
        <v>1</v>
      </c>
      <c r="BA554" t="str">
        <f t="shared" si="16"/>
        <v>Normal</v>
      </c>
      <c r="BG554" t="str">
        <f t="shared" si="17"/>
        <v>Normal</v>
      </c>
    </row>
    <row r="555" spans="1:59" x14ac:dyDescent="0.2">
      <c r="A555" t="s">
        <v>42</v>
      </c>
      <c r="B555" t="s">
        <v>43</v>
      </c>
      <c r="C555">
        <v>20240101</v>
      </c>
      <c r="D555">
        <v>2024</v>
      </c>
      <c r="E555">
        <v>52</v>
      </c>
      <c r="F555" t="s">
        <v>325</v>
      </c>
      <c r="G555">
        <v>642</v>
      </c>
      <c r="H555" t="s">
        <v>218</v>
      </c>
      <c r="I555" t="s">
        <v>219</v>
      </c>
      <c r="J555" t="s">
        <v>47</v>
      </c>
      <c r="K555" t="s">
        <v>48</v>
      </c>
      <c r="L555">
        <v>0</v>
      </c>
      <c r="M555" t="s">
        <v>49</v>
      </c>
      <c r="N555" t="s">
        <v>50</v>
      </c>
      <c r="O555">
        <v>0</v>
      </c>
      <c r="P555" t="s">
        <v>49</v>
      </c>
      <c r="Q555" t="s">
        <v>50</v>
      </c>
      <c r="R555" t="s">
        <v>300</v>
      </c>
      <c r="S555" t="s">
        <v>52</v>
      </c>
      <c r="T555" t="b">
        <v>1</v>
      </c>
      <c r="U555" t="s">
        <v>53</v>
      </c>
      <c r="V555" t="s">
        <v>54</v>
      </c>
      <c r="W555">
        <v>4</v>
      </c>
      <c r="X555" t="b">
        <v>0</v>
      </c>
      <c r="Y555" t="s">
        <v>55</v>
      </c>
      <c r="Z555" t="s">
        <v>56</v>
      </c>
      <c r="AA555" t="s">
        <v>57</v>
      </c>
      <c r="AB555">
        <v>0</v>
      </c>
      <c r="AC555" t="s">
        <v>58</v>
      </c>
      <c r="AD555">
        <v>8</v>
      </c>
      <c r="AE555" t="s">
        <v>59</v>
      </c>
      <c r="AF555">
        <v>12431004</v>
      </c>
      <c r="AG555" t="b">
        <v>0</v>
      </c>
      <c r="AH555">
        <v>8</v>
      </c>
      <c r="AI555" t="s">
        <v>59</v>
      </c>
      <c r="AJ555">
        <v>12431004</v>
      </c>
      <c r="AK555" t="b">
        <v>0</v>
      </c>
      <c r="AL555">
        <v>12431004</v>
      </c>
      <c r="AM555" t="b">
        <v>0</v>
      </c>
      <c r="AN555">
        <v>0</v>
      </c>
      <c r="AO555" t="b">
        <v>0</v>
      </c>
      <c r="AQ555">
        <v>7529175.5800000001</v>
      </c>
      <c r="AR555">
        <v>7529175.5800000001</v>
      </c>
      <c r="AS555">
        <v>0</v>
      </c>
      <c r="AT555" t="b">
        <v>0</v>
      </c>
      <c r="AU555" t="b">
        <v>1</v>
      </c>
      <c r="BA555" t="str">
        <f t="shared" si="16"/>
        <v>Normal</v>
      </c>
      <c r="BG555" t="str">
        <f t="shared" si="17"/>
        <v>Normal</v>
      </c>
    </row>
    <row r="556" spans="1:59" x14ac:dyDescent="0.2">
      <c r="A556" t="s">
        <v>42</v>
      </c>
      <c r="B556" t="s">
        <v>43</v>
      </c>
      <c r="C556">
        <v>20240101</v>
      </c>
      <c r="D556">
        <v>2024</v>
      </c>
      <c r="E556">
        <v>52</v>
      </c>
      <c r="F556" t="s">
        <v>325</v>
      </c>
      <c r="G556">
        <v>682</v>
      </c>
      <c r="H556" t="s">
        <v>224</v>
      </c>
      <c r="I556" t="s">
        <v>225</v>
      </c>
      <c r="J556" t="s">
        <v>47</v>
      </c>
      <c r="K556" t="s">
        <v>48</v>
      </c>
      <c r="L556">
        <v>0</v>
      </c>
      <c r="M556" t="s">
        <v>49</v>
      </c>
      <c r="N556" t="s">
        <v>50</v>
      </c>
      <c r="O556">
        <v>0</v>
      </c>
      <c r="P556" t="s">
        <v>49</v>
      </c>
      <c r="Q556" t="s">
        <v>50</v>
      </c>
      <c r="R556" t="s">
        <v>300</v>
      </c>
      <c r="S556" t="s">
        <v>52</v>
      </c>
      <c r="T556" t="b">
        <v>1</v>
      </c>
      <c r="U556" t="s">
        <v>53</v>
      </c>
      <c r="V556" t="s">
        <v>54</v>
      </c>
      <c r="W556">
        <v>4</v>
      </c>
      <c r="X556" t="b">
        <v>0</v>
      </c>
      <c r="Y556" t="s">
        <v>55</v>
      </c>
      <c r="Z556" t="s">
        <v>56</v>
      </c>
      <c r="AA556" t="s">
        <v>57</v>
      </c>
      <c r="AB556">
        <v>0</v>
      </c>
      <c r="AC556" t="s">
        <v>58</v>
      </c>
      <c r="AD556">
        <v>8</v>
      </c>
      <c r="AE556" t="s">
        <v>59</v>
      </c>
      <c r="AF556">
        <v>300558000000</v>
      </c>
      <c r="AG556" t="b">
        <v>0</v>
      </c>
      <c r="AH556">
        <v>8</v>
      </c>
      <c r="AI556" t="s">
        <v>59</v>
      </c>
      <c r="AJ556">
        <v>300558000000</v>
      </c>
      <c r="AK556" t="b">
        <v>0</v>
      </c>
      <c r="AL556">
        <v>300558000000</v>
      </c>
      <c r="AM556" t="b">
        <v>0</v>
      </c>
      <c r="AN556">
        <v>0</v>
      </c>
      <c r="AO556" t="b">
        <v>0</v>
      </c>
      <c r="AQ556">
        <v>179494074921.181</v>
      </c>
      <c r="AR556">
        <v>179494074921.181</v>
      </c>
      <c r="AS556">
        <v>0</v>
      </c>
      <c r="AT556" t="b">
        <v>0</v>
      </c>
      <c r="AU556" t="b">
        <v>1</v>
      </c>
      <c r="BA556" t="str">
        <f t="shared" si="16"/>
        <v>Normal</v>
      </c>
      <c r="BG556" t="str">
        <f t="shared" si="17"/>
        <v>Normal</v>
      </c>
    </row>
    <row r="557" spans="1:59" x14ac:dyDescent="0.2">
      <c r="A557" t="s">
        <v>42</v>
      </c>
      <c r="B557" t="s">
        <v>43</v>
      </c>
      <c r="C557">
        <v>20240101</v>
      </c>
      <c r="D557">
        <v>2024</v>
      </c>
      <c r="E557">
        <v>52</v>
      </c>
      <c r="F557" t="s">
        <v>325</v>
      </c>
      <c r="G557">
        <v>686</v>
      </c>
      <c r="H557" t="s">
        <v>226</v>
      </c>
      <c r="I557" t="s">
        <v>227</v>
      </c>
      <c r="J557" t="s">
        <v>47</v>
      </c>
      <c r="K557" t="s">
        <v>48</v>
      </c>
      <c r="L557">
        <v>0</v>
      </c>
      <c r="M557" t="s">
        <v>49</v>
      </c>
      <c r="N557" t="s">
        <v>50</v>
      </c>
      <c r="O557">
        <v>0</v>
      </c>
      <c r="P557" t="s">
        <v>49</v>
      </c>
      <c r="Q557" t="s">
        <v>50</v>
      </c>
      <c r="R557" t="s">
        <v>300</v>
      </c>
      <c r="S557" t="s">
        <v>52</v>
      </c>
      <c r="T557" t="b">
        <v>1</v>
      </c>
      <c r="U557" t="s">
        <v>53</v>
      </c>
      <c r="V557" t="s">
        <v>54</v>
      </c>
      <c r="W557">
        <v>4</v>
      </c>
      <c r="X557" t="b">
        <v>0</v>
      </c>
      <c r="Y557" t="s">
        <v>55</v>
      </c>
      <c r="Z557" t="s">
        <v>56</v>
      </c>
      <c r="AA557" t="s">
        <v>57</v>
      </c>
      <c r="AB557">
        <v>0</v>
      </c>
      <c r="AC557" t="s">
        <v>58</v>
      </c>
      <c r="AD557">
        <v>8</v>
      </c>
      <c r="AE557" t="s">
        <v>59</v>
      </c>
      <c r="AF557">
        <v>1427872720</v>
      </c>
      <c r="AG557" t="b">
        <v>0</v>
      </c>
      <c r="AH557">
        <v>8</v>
      </c>
      <c r="AI557" t="s">
        <v>59</v>
      </c>
      <c r="AJ557">
        <v>1427872720</v>
      </c>
      <c r="AK557" t="b">
        <v>0</v>
      </c>
      <c r="AL557">
        <v>1427872720</v>
      </c>
      <c r="AM557" t="b">
        <v>0</v>
      </c>
      <c r="AN557">
        <v>0</v>
      </c>
      <c r="AO557" t="b">
        <v>0</v>
      </c>
      <c r="AQ557">
        <v>763878308.79299998</v>
      </c>
      <c r="AR557">
        <v>763878308.79299998</v>
      </c>
      <c r="AS557">
        <v>0</v>
      </c>
      <c r="AT557" t="b">
        <v>0</v>
      </c>
      <c r="AU557" t="b">
        <v>1</v>
      </c>
      <c r="BA557" t="str">
        <f t="shared" si="16"/>
        <v>Normal</v>
      </c>
      <c r="BG557" t="str">
        <f t="shared" si="17"/>
        <v>Normal</v>
      </c>
    </row>
    <row r="558" spans="1:59" x14ac:dyDescent="0.2">
      <c r="A558" t="s">
        <v>42</v>
      </c>
      <c r="B558" t="s">
        <v>43</v>
      </c>
      <c r="C558">
        <v>20240101</v>
      </c>
      <c r="D558">
        <v>2024</v>
      </c>
      <c r="E558">
        <v>52</v>
      </c>
      <c r="F558" t="s">
        <v>325</v>
      </c>
      <c r="G558">
        <v>688</v>
      </c>
      <c r="H558" t="s">
        <v>228</v>
      </c>
      <c r="I558" t="s">
        <v>229</v>
      </c>
      <c r="J558" t="s">
        <v>47</v>
      </c>
      <c r="K558" t="s">
        <v>48</v>
      </c>
      <c r="L558">
        <v>0</v>
      </c>
      <c r="M558" t="s">
        <v>49</v>
      </c>
      <c r="N558" t="s">
        <v>50</v>
      </c>
      <c r="O558">
        <v>0</v>
      </c>
      <c r="P558" t="s">
        <v>49</v>
      </c>
      <c r="Q558" t="s">
        <v>50</v>
      </c>
      <c r="R558" t="s">
        <v>300</v>
      </c>
      <c r="S558" t="s">
        <v>52</v>
      </c>
      <c r="T558" t="b">
        <v>1</v>
      </c>
      <c r="U558" t="s">
        <v>53</v>
      </c>
      <c r="V558" t="s">
        <v>54</v>
      </c>
      <c r="W558">
        <v>4</v>
      </c>
      <c r="X558" t="b">
        <v>0</v>
      </c>
      <c r="Y558" t="s">
        <v>55</v>
      </c>
      <c r="Z558" t="s">
        <v>56</v>
      </c>
      <c r="AA558" t="s">
        <v>57</v>
      </c>
      <c r="AB558">
        <v>0</v>
      </c>
      <c r="AC558" t="s">
        <v>58</v>
      </c>
      <c r="AD558">
        <v>8</v>
      </c>
      <c r="AE558" t="s">
        <v>59</v>
      </c>
      <c r="AF558">
        <v>6</v>
      </c>
      <c r="AG558" t="b">
        <v>0</v>
      </c>
      <c r="AH558">
        <v>8</v>
      </c>
      <c r="AI558" t="s">
        <v>59</v>
      </c>
      <c r="AJ558">
        <v>6</v>
      </c>
      <c r="AK558" t="b">
        <v>0</v>
      </c>
      <c r="AL558">
        <v>6</v>
      </c>
      <c r="AM558" t="b">
        <v>0</v>
      </c>
      <c r="AN558">
        <v>0</v>
      </c>
      <c r="AO558" t="b">
        <v>0</v>
      </c>
      <c r="AQ558">
        <v>8</v>
      </c>
      <c r="AR558">
        <v>8</v>
      </c>
      <c r="AS558">
        <v>0</v>
      </c>
      <c r="AT558" t="b">
        <v>0</v>
      </c>
      <c r="AU558" t="b">
        <v>1</v>
      </c>
      <c r="BA558" t="str">
        <f t="shared" si="16"/>
        <v>Normal</v>
      </c>
      <c r="BG558" t="str">
        <f t="shared" si="17"/>
        <v>Normal</v>
      </c>
    </row>
    <row r="559" spans="1:59" x14ac:dyDescent="0.2">
      <c r="A559" t="s">
        <v>42</v>
      </c>
      <c r="B559" t="s">
        <v>43</v>
      </c>
      <c r="C559">
        <v>20240101</v>
      </c>
      <c r="D559">
        <v>2024</v>
      </c>
      <c r="E559">
        <v>52</v>
      </c>
      <c r="F559" t="s">
        <v>325</v>
      </c>
      <c r="G559">
        <v>702</v>
      </c>
      <c r="H559" t="s">
        <v>230</v>
      </c>
      <c r="I559" t="s">
        <v>231</v>
      </c>
      <c r="J559" t="s">
        <v>47</v>
      </c>
      <c r="K559" t="s">
        <v>48</v>
      </c>
      <c r="L559">
        <v>0</v>
      </c>
      <c r="M559" t="s">
        <v>49</v>
      </c>
      <c r="N559" t="s">
        <v>50</v>
      </c>
      <c r="O559">
        <v>0</v>
      </c>
      <c r="P559" t="s">
        <v>49</v>
      </c>
      <c r="Q559" t="s">
        <v>50</v>
      </c>
      <c r="R559" t="s">
        <v>300</v>
      </c>
      <c r="S559" t="s">
        <v>52</v>
      </c>
      <c r="T559" t="b">
        <v>1</v>
      </c>
      <c r="U559" t="s">
        <v>53</v>
      </c>
      <c r="V559" t="s">
        <v>54</v>
      </c>
      <c r="W559">
        <v>4</v>
      </c>
      <c r="X559" t="b">
        <v>0</v>
      </c>
      <c r="Y559" t="s">
        <v>55</v>
      </c>
      <c r="Z559" t="s">
        <v>56</v>
      </c>
      <c r="AA559" t="s">
        <v>57</v>
      </c>
      <c r="AB559">
        <v>0</v>
      </c>
      <c r="AC559" t="s">
        <v>58</v>
      </c>
      <c r="AD559">
        <v>8</v>
      </c>
      <c r="AE559" t="s">
        <v>59</v>
      </c>
      <c r="AF559">
        <v>3800296.1749999998</v>
      </c>
      <c r="AG559" t="b">
        <v>1</v>
      </c>
      <c r="AH559">
        <v>-1</v>
      </c>
      <c r="AI559" t="s">
        <v>73</v>
      </c>
      <c r="AJ559">
        <v>0</v>
      </c>
      <c r="AK559" t="b">
        <v>0</v>
      </c>
      <c r="AL559">
        <v>3800296.1749999998</v>
      </c>
      <c r="AM559" t="b">
        <v>1</v>
      </c>
      <c r="AN559">
        <v>0</v>
      </c>
      <c r="AO559" t="b">
        <v>0</v>
      </c>
      <c r="AQ559">
        <v>2159874.273</v>
      </c>
      <c r="AR559">
        <v>2159874.273</v>
      </c>
      <c r="AS559">
        <v>6</v>
      </c>
      <c r="AT559" t="b">
        <v>0</v>
      </c>
      <c r="AU559" t="b">
        <v>1</v>
      </c>
      <c r="BA559" t="str">
        <f t="shared" si="16"/>
        <v>Normal</v>
      </c>
      <c r="BG559" t="str">
        <f t="shared" si="17"/>
        <v>Normal</v>
      </c>
    </row>
    <row r="560" spans="1:59" x14ac:dyDescent="0.2">
      <c r="A560" t="s">
        <v>42</v>
      </c>
      <c r="B560" t="s">
        <v>43</v>
      </c>
      <c r="C560">
        <v>20240101</v>
      </c>
      <c r="D560">
        <v>2024</v>
      </c>
      <c r="E560">
        <v>52</v>
      </c>
      <c r="F560" t="s">
        <v>325</v>
      </c>
      <c r="G560">
        <v>703</v>
      </c>
      <c r="H560" t="s">
        <v>232</v>
      </c>
      <c r="I560" t="s">
        <v>233</v>
      </c>
      <c r="J560" t="s">
        <v>47</v>
      </c>
      <c r="K560" t="s">
        <v>48</v>
      </c>
      <c r="L560">
        <v>0</v>
      </c>
      <c r="M560" t="s">
        <v>49</v>
      </c>
      <c r="N560" t="s">
        <v>50</v>
      </c>
      <c r="O560">
        <v>0</v>
      </c>
      <c r="P560" t="s">
        <v>49</v>
      </c>
      <c r="Q560" t="s">
        <v>50</v>
      </c>
      <c r="R560" t="s">
        <v>300</v>
      </c>
      <c r="S560" t="s">
        <v>52</v>
      </c>
      <c r="T560" t="b">
        <v>1</v>
      </c>
      <c r="U560" t="s">
        <v>53</v>
      </c>
      <c r="V560" t="s">
        <v>54</v>
      </c>
      <c r="W560">
        <v>4</v>
      </c>
      <c r="X560" t="b">
        <v>0</v>
      </c>
      <c r="Y560" t="s">
        <v>55</v>
      </c>
      <c r="Z560" t="s">
        <v>56</v>
      </c>
      <c r="AA560" t="s">
        <v>57</v>
      </c>
      <c r="AB560">
        <v>0</v>
      </c>
      <c r="AC560" t="s">
        <v>58</v>
      </c>
      <c r="AD560">
        <v>8</v>
      </c>
      <c r="AE560" t="s">
        <v>59</v>
      </c>
      <c r="AF560">
        <v>1227160</v>
      </c>
      <c r="AG560" t="b">
        <v>0</v>
      </c>
      <c r="AH560">
        <v>8</v>
      </c>
      <c r="AI560" t="s">
        <v>59</v>
      </c>
      <c r="AJ560">
        <v>1227160</v>
      </c>
      <c r="AK560" t="b">
        <v>0</v>
      </c>
      <c r="AL560">
        <v>1227160</v>
      </c>
      <c r="AM560" t="b">
        <v>0</v>
      </c>
      <c r="AN560">
        <v>0</v>
      </c>
      <c r="AO560" t="b">
        <v>0</v>
      </c>
      <c r="AQ560">
        <v>717014.277</v>
      </c>
      <c r="AR560">
        <v>717014.277</v>
      </c>
      <c r="AS560">
        <v>0</v>
      </c>
      <c r="AT560" t="b">
        <v>0</v>
      </c>
      <c r="AU560" t="b">
        <v>1</v>
      </c>
      <c r="BA560" t="str">
        <f t="shared" si="16"/>
        <v>Normal</v>
      </c>
      <c r="BG560" t="str">
        <f t="shared" si="17"/>
        <v>Normal</v>
      </c>
    </row>
    <row r="561" spans="1:59" x14ac:dyDescent="0.2">
      <c r="A561" t="s">
        <v>42</v>
      </c>
      <c r="B561" t="s">
        <v>43</v>
      </c>
      <c r="C561">
        <v>20240101</v>
      </c>
      <c r="D561">
        <v>2024</v>
      </c>
      <c r="E561">
        <v>52</v>
      </c>
      <c r="F561" t="s">
        <v>325</v>
      </c>
      <c r="G561">
        <v>705</v>
      </c>
      <c r="H561" t="s">
        <v>236</v>
      </c>
      <c r="I561" t="s">
        <v>237</v>
      </c>
      <c r="J561" t="s">
        <v>47</v>
      </c>
      <c r="K561" t="s">
        <v>48</v>
      </c>
      <c r="L561">
        <v>0</v>
      </c>
      <c r="M561" t="s">
        <v>49</v>
      </c>
      <c r="N561" t="s">
        <v>50</v>
      </c>
      <c r="O561">
        <v>0</v>
      </c>
      <c r="P561" t="s">
        <v>49</v>
      </c>
      <c r="Q561" t="s">
        <v>50</v>
      </c>
      <c r="R561" t="s">
        <v>300</v>
      </c>
      <c r="S561" t="s">
        <v>52</v>
      </c>
      <c r="T561" t="b">
        <v>1</v>
      </c>
      <c r="U561" t="s">
        <v>53</v>
      </c>
      <c r="V561" t="s">
        <v>54</v>
      </c>
      <c r="W561">
        <v>4</v>
      </c>
      <c r="X561" t="b">
        <v>0</v>
      </c>
      <c r="Y561" t="s">
        <v>55</v>
      </c>
      <c r="Z561" t="s">
        <v>56</v>
      </c>
      <c r="AA561" t="s">
        <v>57</v>
      </c>
      <c r="AB561">
        <v>0</v>
      </c>
      <c r="AC561" t="s">
        <v>58</v>
      </c>
      <c r="AD561">
        <v>8</v>
      </c>
      <c r="AE561" t="s">
        <v>59</v>
      </c>
      <c r="AF561">
        <v>40.9</v>
      </c>
      <c r="AG561" t="b">
        <v>0</v>
      </c>
      <c r="AH561">
        <v>8</v>
      </c>
      <c r="AI561" t="s">
        <v>59</v>
      </c>
      <c r="AJ561">
        <v>40.9</v>
      </c>
      <c r="AK561" t="b">
        <v>0</v>
      </c>
      <c r="AL561">
        <v>40.9</v>
      </c>
      <c r="AM561" t="b">
        <v>0</v>
      </c>
      <c r="AN561">
        <v>0</v>
      </c>
      <c r="AO561" t="b">
        <v>0</v>
      </c>
      <c r="AQ561">
        <v>203.89500000000001</v>
      </c>
      <c r="AR561">
        <v>203.89500000000001</v>
      </c>
      <c r="AS561">
        <v>0</v>
      </c>
      <c r="AT561" t="b">
        <v>0</v>
      </c>
      <c r="AU561" t="b">
        <v>1</v>
      </c>
      <c r="BA561" t="str">
        <f t="shared" si="16"/>
        <v>Normal</v>
      </c>
      <c r="BG561" t="str">
        <f t="shared" si="17"/>
        <v>Normal</v>
      </c>
    </row>
    <row r="562" spans="1:59" x14ac:dyDescent="0.2">
      <c r="A562" t="s">
        <v>42</v>
      </c>
      <c r="B562" t="s">
        <v>43</v>
      </c>
      <c r="C562">
        <v>20240101</v>
      </c>
      <c r="D562">
        <v>2024</v>
      </c>
      <c r="E562">
        <v>52</v>
      </c>
      <c r="F562" t="s">
        <v>325</v>
      </c>
      <c r="G562">
        <v>710</v>
      </c>
      <c r="H562" t="s">
        <v>238</v>
      </c>
      <c r="I562" t="s">
        <v>239</v>
      </c>
      <c r="J562" t="s">
        <v>47</v>
      </c>
      <c r="K562" t="s">
        <v>48</v>
      </c>
      <c r="L562">
        <v>0</v>
      </c>
      <c r="M562" t="s">
        <v>49</v>
      </c>
      <c r="N562" t="s">
        <v>50</v>
      </c>
      <c r="O562">
        <v>0</v>
      </c>
      <c r="P562" t="s">
        <v>49</v>
      </c>
      <c r="Q562" t="s">
        <v>50</v>
      </c>
      <c r="R562" t="s">
        <v>300</v>
      </c>
      <c r="S562" t="s">
        <v>52</v>
      </c>
      <c r="T562" t="b">
        <v>1</v>
      </c>
      <c r="U562" t="s">
        <v>53</v>
      </c>
      <c r="V562" t="s">
        <v>54</v>
      </c>
      <c r="W562">
        <v>4</v>
      </c>
      <c r="X562" t="b">
        <v>0</v>
      </c>
      <c r="Y562" t="s">
        <v>55</v>
      </c>
      <c r="Z562" t="s">
        <v>56</v>
      </c>
      <c r="AA562" t="s">
        <v>57</v>
      </c>
      <c r="AB562">
        <v>0</v>
      </c>
      <c r="AC562" t="s">
        <v>58</v>
      </c>
      <c r="AD562">
        <v>-1</v>
      </c>
      <c r="AE562" t="s">
        <v>73</v>
      </c>
      <c r="AF562">
        <v>0</v>
      </c>
      <c r="AG562" t="b">
        <v>0</v>
      </c>
      <c r="AH562">
        <v>-1</v>
      </c>
      <c r="AI562" t="s">
        <v>73</v>
      </c>
      <c r="AJ562">
        <v>0</v>
      </c>
      <c r="AK562" t="b">
        <v>0</v>
      </c>
      <c r="AM562" t="b">
        <v>0</v>
      </c>
      <c r="AN562">
        <v>0</v>
      </c>
      <c r="AO562" t="b">
        <v>0</v>
      </c>
      <c r="AQ562">
        <v>51435767.229000002</v>
      </c>
      <c r="AR562">
        <v>51435767.229000002</v>
      </c>
      <c r="AS562">
        <v>0</v>
      </c>
      <c r="AT562" t="b">
        <v>0</v>
      </c>
      <c r="AU562" t="b">
        <v>1</v>
      </c>
      <c r="BA562" t="str">
        <f t="shared" si="16"/>
        <v>Normal</v>
      </c>
      <c r="BG562" t="str">
        <f t="shared" si="17"/>
        <v>Normal</v>
      </c>
    </row>
    <row r="563" spans="1:59" x14ac:dyDescent="0.2">
      <c r="A563" t="s">
        <v>42</v>
      </c>
      <c r="B563" t="s">
        <v>43</v>
      </c>
      <c r="C563">
        <v>20240101</v>
      </c>
      <c r="D563">
        <v>2024</v>
      </c>
      <c r="E563">
        <v>52</v>
      </c>
      <c r="F563" t="s">
        <v>325</v>
      </c>
      <c r="G563">
        <v>724</v>
      </c>
      <c r="H563" t="s">
        <v>240</v>
      </c>
      <c r="I563" t="s">
        <v>241</v>
      </c>
      <c r="J563" t="s">
        <v>47</v>
      </c>
      <c r="K563" t="s">
        <v>48</v>
      </c>
      <c r="L563">
        <v>0</v>
      </c>
      <c r="M563" t="s">
        <v>49</v>
      </c>
      <c r="N563" t="s">
        <v>50</v>
      </c>
      <c r="O563">
        <v>0</v>
      </c>
      <c r="P563" t="s">
        <v>49</v>
      </c>
      <c r="Q563" t="s">
        <v>50</v>
      </c>
      <c r="R563" t="s">
        <v>300</v>
      </c>
      <c r="S563" t="s">
        <v>52</v>
      </c>
      <c r="T563" t="b">
        <v>1</v>
      </c>
      <c r="U563" t="s">
        <v>53</v>
      </c>
      <c r="V563" t="s">
        <v>54</v>
      </c>
      <c r="W563">
        <v>4</v>
      </c>
      <c r="X563" t="b">
        <v>0</v>
      </c>
      <c r="Y563" t="s">
        <v>55</v>
      </c>
      <c r="Z563" t="s">
        <v>56</v>
      </c>
      <c r="AA563" t="s">
        <v>57</v>
      </c>
      <c r="AB563">
        <v>0</v>
      </c>
      <c r="AC563" t="s">
        <v>58</v>
      </c>
      <c r="AD563">
        <v>-1</v>
      </c>
      <c r="AE563" t="s">
        <v>73</v>
      </c>
      <c r="AF563">
        <v>0</v>
      </c>
      <c r="AG563" t="b">
        <v>0</v>
      </c>
      <c r="AH563">
        <v>-1</v>
      </c>
      <c r="AI563" t="s">
        <v>73</v>
      </c>
      <c r="AJ563">
        <v>0</v>
      </c>
      <c r="AK563" t="b">
        <v>0</v>
      </c>
      <c r="AM563" t="b">
        <v>0</v>
      </c>
      <c r="AN563">
        <v>0</v>
      </c>
      <c r="AO563" t="b">
        <v>0</v>
      </c>
      <c r="AQ563">
        <v>1884603895.6429999</v>
      </c>
      <c r="AR563">
        <v>1884603895.6429999</v>
      </c>
      <c r="AS563">
        <v>0</v>
      </c>
      <c r="AT563" t="b">
        <v>0</v>
      </c>
      <c r="AU563" t="b">
        <v>1</v>
      </c>
      <c r="BA563" t="str">
        <f t="shared" si="16"/>
        <v>Normal</v>
      </c>
      <c r="BG563" t="str">
        <f t="shared" si="17"/>
        <v>Normal</v>
      </c>
    </row>
    <row r="564" spans="1:59" x14ac:dyDescent="0.2">
      <c r="A564" t="s">
        <v>42</v>
      </c>
      <c r="B564" t="s">
        <v>43</v>
      </c>
      <c r="C564">
        <v>20240101</v>
      </c>
      <c r="D564">
        <v>2024</v>
      </c>
      <c r="E564">
        <v>52</v>
      </c>
      <c r="F564" t="s">
        <v>325</v>
      </c>
      <c r="G564">
        <v>752</v>
      </c>
      <c r="H564" t="s">
        <v>244</v>
      </c>
      <c r="I564" t="s">
        <v>245</v>
      </c>
      <c r="J564" t="s">
        <v>47</v>
      </c>
      <c r="K564" t="s">
        <v>48</v>
      </c>
      <c r="L564">
        <v>0</v>
      </c>
      <c r="M564" t="s">
        <v>49</v>
      </c>
      <c r="N564" t="s">
        <v>50</v>
      </c>
      <c r="O564">
        <v>0</v>
      </c>
      <c r="P564" t="s">
        <v>49</v>
      </c>
      <c r="Q564" t="s">
        <v>50</v>
      </c>
      <c r="R564" t="s">
        <v>300</v>
      </c>
      <c r="S564" t="s">
        <v>52</v>
      </c>
      <c r="T564" t="b">
        <v>1</v>
      </c>
      <c r="U564" t="s">
        <v>53</v>
      </c>
      <c r="V564" t="s">
        <v>54</v>
      </c>
      <c r="W564">
        <v>4</v>
      </c>
      <c r="X564" t="b">
        <v>0</v>
      </c>
      <c r="Y564" t="s">
        <v>55</v>
      </c>
      <c r="Z564" t="s">
        <v>56</v>
      </c>
      <c r="AA564" t="s">
        <v>57</v>
      </c>
      <c r="AB564">
        <v>0</v>
      </c>
      <c r="AC564" t="s">
        <v>58</v>
      </c>
      <c r="AD564">
        <v>8</v>
      </c>
      <c r="AE564" t="s">
        <v>59</v>
      </c>
      <c r="AF564">
        <v>40975.61</v>
      </c>
      <c r="AG564" t="b">
        <v>1</v>
      </c>
      <c r="AH564">
        <v>-1</v>
      </c>
      <c r="AI564" t="s">
        <v>73</v>
      </c>
      <c r="AJ564">
        <v>0</v>
      </c>
      <c r="AK564" t="b">
        <v>0</v>
      </c>
      <c r="AL564">
        <v>40975.61</v>
      </c>
      <c r="AM564" t="b">
        <v>1</v>
      </c>
      <c r="AN564">
        <v>0</v>
      </c>
      <c r="AO564" t="b">
        <v>0</v>
      </c>
      <c r="AQ564">
        <v>190771.11600000001</v>
      </c>
      <c r="AR564">
        <v>190771.11600000001</v>
      </c>
      <c r="AS564">
        <v>6</v>
      </c>
      <c r="AT564" t="b">
        <v>0</v>
      </c>
      <c r="AU564" t="b">
        <v>1</v>
      </c>
      <c r="BA564" t="str">
        <f t="shared" si="16"/>
        <v>Normal</v>
      </c>
      <c r="BG564" t="str">
        <f t="shared" si="17"/>
        <v>Normal</v>
      </c>
    </row>
    <row r="565" spans="1:59" x14ac:dyDescent="0.2">
      <c r="A565" t="s">
        <v>42</v>
      </c>
      <c r="B565" t="s">
        <v>43</v>
      </c>
      <c r="C565">
        <v>20240101</v>
      </c>
      <c r="D565">
        <v>2024</v>
      </c>
      <c r="E565">
        <v>52</v>
      </c>
      <c r="F565" t="s">
        <v>325</v>
      </c>
      <c r="G565">
        <v>757</v>
      </c>
      <c r="H565" t="s">
        <v>246</v>
      </c>
      <c r="I565" t="s">
        <v>247</v>
      </c>
      <c r="J565" t="s">
        <v>47</v>
      </c>
      <c r="K565" t="s">
        <v>48</v>
      </c>
      <c r="L565">
        <v>0</v>
      </c>
      <c r="M565" t="s">
        <v>49</v>
      </c>
      <c r="N565" t="s">
        <v>50</v>
      </c>
      <c r="O565">
        <v>0</v>
      </c>
      <c r="P565" t="s">
        <v>49</v>
      </c>
      <c r="Q565" t="s">
        <v>50</v>
      </c>
      <c r="R565" t="s">
        <v>300</v>
      </c>
      <c r="S565" t="s">
        <v>52</v>
      </c>
      <c r="T565" t="b">
        <v>1</v>
      </c>
      <c r="U565" t="s">
        <v>53</v>
      </c>
      <c r="V565" t="s">
        <v>54</v>
      </c>
      <c r="W565">
        <v>4</v>
      </c>
      <c r="X565" t="b">
        <v>0</v>
      </c>
      <c r="Y565" t="s">
        <v>55</v>
      </c>
      <c r="Z565" t="s">
        <v>56</v>
      </c>
      <c r="AA565" t="s">
        <v>57</v>
      </c>
      <c r="AB565">
        <v>0</v>
      </c>
      <c r="AC565" t="s">
        <v>58</v>
      </c>
      <c r="AD565">
        <v>8</v>
      </c>
      <c r="AE565" t="s">
        <v>59</v>
      </c>
      <c r="AF565">
        <v>165</v>
      </c>
      <c r="AG565" t="b">
        <v>0</v>
      </c>
      <c r="AH565">
        <v>8</v>
      </c>
      <c r="AI565" t="s">
        <v>59</v>
      </c>
      <c r="AJ565">
        <v>165</v>
      </c>
      <c r="AK565" t="b">
        <v>0</v>
      </c>
      <c r="AL565">
        <v>165</v>
      </c>
      <c r="AM565" t="b">
        <v>0</v>
      </c>
      <c r="AN565">
        <v>0</v>
      </c>
      <c r="AO565" t="b">
        <v>0</v>
      </c>
      <c r="AQ565">
        <v>1966.0609999999999</v>
      </c>
      <c r="AR565">
        <v>1966.0609999999999</v>
      </c>
      <c r="AS565">
        <v>0</v>
      </c>
      <c r="AT565" t="b">
        <v>0</v>
      </c>
      <c r="AU565" t="b">
        <v>1</v>
      </c>
      <c r="BA565" t="str">
        <f t="shared" si="16"/>
        <v>Normal</v>
      </c>
      <c r="BG565" t="str">
        <f t="shared" si="17"/>
        <v>Normal</v>
      </c>
    </row>
    <row r="566" spans="1:59" x14ac:dyDescent="0.2">
      <c r="A566" t="s">
        <v>42</v>
      </c>
      <c r="B566" t="s">
        <v>43</v>
      </c>
      <c r="C566">
        <v>20240101</v>
      </c>
      <c r="D566">
        <v>2024</v>
      </c>
      <c r="E566">
        <v>52</v>
      </c>
      <c r="F566" t="s">
        <v>325</v>
      </c>
      <c r="G566">
        <v>764</v>
      </c>
      <c r="H566" t="s">
        <v>248</v>
      </c>
      <c r="I566" t="s">
        <v>249</v>
      </c>
      <c r="J566" t="s">
        <v>47</v>
      </c>
      <c r="K566" t="s">
        <v>48</v>
      </c>
      <c r="L566">
        <v>0</v>
      </c>
      <c r="M566" t="s">
        <v>49</v>
      </c>
      <c r="N566" t="s">
        <v>50</v>
      </c>
      <c r="O566">
        <v>0</v>
      </c>
      <c r="P566" t="s">
        <v>49</v>
      </c>
      <c r="Q566" t="s">
        <v>50</v>
      </c>
      <c r="R566" t="s">
        <v>300</v>
      </c>
      <c r="S566" t="s">
        <v>52</v>
      </c>
      <c r="T566" t="b">
        <v>1</v>
      </c>
      <c r="U566" t="s">
        <v>53</v>
      </c>
      <c r="V566" t="s">
        <v>54</v>
      </c>
      <c r="W566">
        <v>4</v>
      </c>
      <c r="X566" t="b">
        <v>0</v>
      </c>
      <c r="Y566" t="s">
        <v>55</v>
      </c>
      <c r="Z566" t="s">
        <v>56</v>
      </c>
      <c r="AA566" t="s">
        <v>57</v>
      </c>
      <c r="AB566">
        <v>0</v>
      </c>
      <c r="AC566" t="s">
        <v>58</v>
      </c>
      <c r="AD566">
        <v>8</v>
      </c>
      <c r="AE566" t="s">
        <v>59</v>
      </c>
      <c r="AF566">
        <v>992530784.74600005</v>
      </c>
      <c r="AG566" t="b">
        <v>1</v>
      </c>
      <c r="AH566">
        <v>-1</v>
      </c>
      <c r="AI566" t="s">
        <v>73</v>
      </c>
      <c r="AJ566">
        <v>0</v>
      </c>
      <c r="AK566" t="b">
        <v>0</v>
      </c>
      <c r="AL566">
        <v>992530784.74600005</v>
      </c>
      <c r="AM566" t="b">
        <v>1</v>
      </c>
      <c r="AN566">
        <v>0</v>
      </c>
      <c r="AO566" t="b">
        <v>0</v>
      </c>
      <c r="AQ566">
        <v>582521347.28999996</v>
      </c>
      <c r="AR566">
        <v>582521347.28999996</v>
      </c>
      <c r="AS566">
        <v>6</v>
      </c>
      <c r="AT566" t="b">
        <v>0</v>
      </c>
      <c r="AU566" t="b">
        <v>1</v>
      </c>
      <c r="BA566" t="str">
        <f t="shared" si="16"/>
        <v>Normal</v>
      </c>
      <c r="BG566" t="str">
        <f t="shared" si="17"/>
        <v>Normal</v>
      </c>
    </row>
    <row r="567" spans="1:59" x14ac:dyDescent="0.2">
      <c r="A567" t="s">
        <v>42</v>
      </c>
      <c r="B567" t="s">
        <v>43</v>
      </c>
      <c r="C567">
        <v>20240101</v>
      </c>
      <c r="D567">
        <v>2024</v>
      </c>
      <c r="E567">
        <v>52</v>
      </c>
      <c r="F567" t="s">
        <v>325</v>
      </c>
      <c r="G567">
        <v>780</v>
      </c>
      <c r="H567" t="s">
        <v>252</v>
      </c>
      <c r="I567" t="s">
        <v>253</v>
      </c>
      <c r="J567" t="s">
        <v>47</v>
      </c>
      <c r="K567" t="s">
        <v>48</v>
      </c>
      <c r="L567">
        <v>0</v>
      </c>
      <c r="M567" t="s">
        <v>49</v>
      </c>
      <c r="N567" t="s">
        <v>50</v>
      </c>
      <c r="O567">
        <v>0</v>
      </c>
      <c r="P567" t="s">
        <v>49</v>
      </c>
      <c r="Q567" t="s">
        <v>50</v>
      </c>
      <c r="R567" t="s">
        <v>104</v>
      </c>
      <c r="S567" t="s">
        <v>52</v>
      </c>
      <c r="T567" t="b">
        <v>1</v>
      </c>
      <c r="U567" t="s">
        <v>53</v>
      </c>
      <c r="V567" t="s">
        <v>54</v>
      </c>
      <c r="W567">
        <v>4</v>
      </c>
      <c r="X567" t="b">
        <v>0</v>
      </c>
      <c r="Y567" t="s">
        <v>55</v>
      </c>
      <c r="Z567" t="s">
        <v>56</v>
      </c>
      <c r="AA567" t="s">
        <v>57</v>
      </c>
      <c r="AB567">
        <v>0</v>
      </c>
      <c r="AC567" t="s">
        <v>58</v>
      </c>
      <c r="AD567">
        <v>8</v>
      </c>
      <c r="AE567" t="s">
        <v>59</v>
      </c>
      <c r="AF567">
        <v>2766349534.118</v>
      </c>
      <c r="AG567" t="b">
        <v>1</v>
      </c>
      <c r="AH567">
        <v>-1</v>
      </c>
      <c r="AI567" t="s">
        <v>73</v>
      </c>
      <c r="AJ567">
        <v>0</v>
      </c>
      <c r="AK567" t="b">
        <v>0</v>
      </c>
      <c r="AL567">
        <v>2766349534.118</v>
      </c>
      <c r="AM567" t="b">
        <v>1</v>
      </c>
      <c r="AN567">
        <v>0</v>
      </c>
      <c r="AO567" t="b">
        <v>0</v>
      </c>
      <c r="AQ567">
        <v>1616071557.072</v>
      </c>
      <c r="AR567">
        <v>1616071557.072</v>
      </c>
      <c r="AS567">
        <v>6</v>
      </c>
      <c r="AT567" t="b">
        <v>0</v>
      </c>
      <c r="AU567" t="b">
        <v>1</v>
      </c>
      <c r="BA567" t="str">
        <f t="shared" si="16"/>
        <v>Normal</v>
      </c>
      <c r="BG567" t="str">
        <f t="shared" si="17"/>
        <v>Normal</v>
      </c>
    </row>
    <row r="568" spans="1:59" x14ac:dyDescent="0.2">
      <c r="A568" t="s">
        <v>42</v>
      </c>
      <c r="B568" t="s">
        <v>43</v>
      </c>
      <c r="C568">
        <v>20240101</v>
      </c>
      <c r="D568">
        <v>2024</v>
      </c>
      <c r="E568">
        <v>52</v>
      </c>
      <c r="F568" t="s">
        <v>325</v>
      </c>
      <c r="G568">
        <v>788</v>
      </c>
      <c r="H568" t="s">
        <v>256</v>
      </c>
      <c r="I568" t="s">
        <v>257</v>
      </c>
      <c r="J568" t="s">
        <v>47</v>
      </c>
      <c r="K568" t="s">
        <v>48</v>
      </c>
      <c r="L568">
        <v>0</v>
      </c>
      <c r="M568" t="s">
        <v>49</v>
      </c>
      <c r="N568" t="s">
        <v>50</v>
      </c>
      <c r="O568">
        <v>0</v>
      </c>
      <c r="P568" t="s">
        <v>49</v>
      </c>
      <c r="Q568" t="s">
        <v>50</v>
      </c>
      <c r="R568" t="s">
        <v>300</v>
      </c>
      <c r="S568" t="s">
        <v>52</v>
      </c>
      <c r="T568" t="b">
        <v>1</v>
      </c>
      <c r="U568" t="s">
        <v>53</v>
      </c>
      <c r="V568" t="s">
        <v>54</v>
      </c>
      <c r="W568">
        <v>4</v>
      </c>
      <c r="X568" t="b">
        <v>0</v>
      </c>
      <c r="Y568" t="s">
        <v>55</v>
      </c>
      <c r="Z568" t="s">
        <v>56</v>
      </c>
      <c r="AA568" t="s">
        <v>57</v>
      </c>
      <c r="AB568">
        <v>0</v>
      </c>
      <c r="AC568" t="s">
        <v>58</v>
      </c>
      <c r="AD568">
        <v>8</v>
      </c>
      <c r="AE568" t="s">
        <v>59</v>
      </c>
      <c r="AF568">
        <v>1200851723.9230001</v>
      </c>
      <c r="AG568" t="b">
        <v>1</v>
      </c>
      <c r="AH568">
        <v>-1</v>
      </c>
      <c r="AI568" t="s">
        <v>73</v>
      </c>
      <c r="AJ568">
        <v>0</v>
      </c>
      <c r="AK568" t="b">
        <v>0</v>
      </c>
      <c r="AL568">
        <v>1200851723.9230001</v>
      </c>
      <c r="AM568" t="b">
        <v>1</v>
      </c>
      <c r="AN568">
        <v>0</v>
      </c>
      <c r="AO568" t="b">
        <v>0</v>
      </c>
      <c r="AQ568">
        <v>647730108.22099996</v>
      </c>
      <c r="AR568">
        <v>647730108.22099996</v>
      </c>
      <c r="AS568">
        <v>6</v>
      </c>
      <c r="AT568" t="b">
        <v>0</v>
      </c>
      <c r="AU568" t="b">
        <v>1</v>
      </c>
      <c r="BA568" t="str">
        <f t="shared" si="16"/>
        <v>Normal</v>
      </c>
      <c r="BG568" t="str">
        <f t="shared" si="17"/>
        <v>Normal</v>
      </c>
    </row>
    <row r="569" spans="1:59" x14ac:dyDescent="0.2">
      <c r="A569" t="s">
        <v>42</v>
      </c>
      <c r="B569" t="s">
        <v>43</v>
      </c>
      <c r="C569">
        <v>20240101</v>
      </c>
      <c r="D569">
        <v>2024</v>
      </c>
      <c r="E569">
        <v>52</v>
      </c>
      <c r="F569" t="s">
        <v>325</v>
      </c>
      <c r="G569">
        <v>800</v>
      </c>
      <c r="H569" t="s">
        <v>258</v>
      </c>
      <c r="I569" t="s">
        <v>259</v>
      </c>
      <c r="J569" t="s">
        <v>47</v>
      </c>
      <c r="K569" t="s">
        <v>48</v>
      </c>
      <c r="L569">
        <v>0</v>
      </c>
      <c r="M569" t="s">
        <v>49</v>
      </c>
      <c r="N569" t="s">
        <v>50</v>
      </c>
      <c r="O569">
        <v>0</v>
      </c>
      <c r="P569" t="s">
        <v>49</v>
      </c>
      <c r="Q569" t="s">
        <v>50</v>
      </c>
      <c r="R569" t="s">
        <v>300</v>
      </c>
      <c r="S569" t="s">
        <v>52</v>
      </c>
      <c r="T569" t="b">
        <v>1</v>
      </c>
      <c r="U569" t="s">
        <v>53</v>
      </c>
      <c r="V569" t="s">
        <v>54</v>
      </c>
      <c r="W569">
        <v>4</v>
      </c>
      <c r="X569" t="b">
        <v>0</v>
      </c>
      <c r="Y569" t="s">
        <v>55</v>
      </c>
      <c r="Z569" t="s">
        <v>56</v>
      </c>
      <c r="AA569" t="s">
        <v>57</v>
      </c>
      <c r="AB569">
        <v>0</v>
      </c>
      <c r="AC569" t="s">
        <v>58</v>
      </c>
      <c r="AD569">
        <v>8</v>
      </c>
      <c r="AE569" t="s">
        <v>59</v>
      </c>
      <c r="AF569">
        <v>2973</v>
      </c>
      <c r="AG569" t="b">
        <v>0</v>
      </c>
      <c r="AH569">
        <v>8</v>
      </c>
      <c r="AI569" t="s">
        <v>59</v>
      </c>
      <c r="AJ569">
        <v>2973</v>
      </c>
      <c r="AK569" t="b">
        <v>0</v>
      </c>
      <c r="AL569">
        <v>2973</v>
      </c>
      <c r="AM569" t="b">
        <v>0</v>
      </c>
      <c r="AN569">
        <v>0</v>
      </c>
      <c r="AO569" t="b">
        <v>0</v>
      </c>
      <c r="AQ569">
        <v>1088.3699999999999</v>
      </c>
      <c r="AR569">
        <v>1088.3699999999999</v>
      </c>
      <c r="AS569">
        <v>0</v>
      </c>
      <c r="AT569" t="b">
        <v>0</v>
      </c>
      <c r="AU569" t="b">
        <v>1</v>
      </c>
      <c r="BA569" t="str">
        <f t="shared" si="16"/>
        <v>Normal</v>
      </c>
      <c r="BG569" t="str">
        <f t="shared" si="17"/>
        <v>Normal</v>
      </c>
    </row>
    <row r="570" spans="1:59" x14ac:dyDescent="0.2">
      <c r="A570" t="s">
        <v>42</v>
      </c>
      <c r="B570" t="s">
        <v>43</v>
      </c>
      <c r="C570">
        <v>20240101</v>
      </c>
      <c r="D570">
        <v>2024</v>
      </c>
      <c r="E570">
        <v>52</v>
      </c>
      <c r="F570" t="s">
        <v>325</v>
      </c>
      <c r="G570">
        <v>818</v>
      </c>
      <c r="H570" t="s">
        <v>262</v>
      </c>
      <c r="I570" t="s">
        <v>263</v>
      </c>
      <c r="J570" t="s">
        <v>47</v>
      </c>
      <c r="K570" t="s">
        <v>48</v>
      </c>
      <c r="L570">
        <v>0</v>
      </c>
      <c r="M570" t="s">
        <v>49</v>
      </c>
      <c r="N570" t="s">
        <v>50</v>
      </c>
      <c r="O570">
        <v>0</v>
      </c>
      <c r="P570" t="s">
        <v>49</v>
      </c>
      <c r="Q570" t="s">
        <v>50</v>
      </c>
      <c r="R570" t="s">
        <v>300</v>
      </c>
      <c r="S570" t="s">
        <v>52</v>
      </c>
      <c r="T570" t="b">
        <v>1</v>
      </c>
      <c r="U570" t="s">
        <v>53</v>
      </c>
      <c r="V570" t="s">
        <v>54</v>
      </c>
      <c r="W570">
        <v>4</v>
      </c>
      <c r="X570" t="b">
        <v>0</v>
      </c>
      <c r="Y570" t="s">
        <v>55</v>
      </c>
      <c r="Z570" t="s">
        <v>56</v>
      </c>
      <c r="AA570" t="s">
        <v>57</v>
      </c>
      <c r="AB570">
        <v>0</v>
      </c>
      <c r="AC570" t="s">
        <v>58</v>
      </c>
      <c r="AD570">
        <v>8</v>
      </c>
      <c r="AE570" t="s">
        <v>59</v>
      </c>
      <c r="AF570">
        <v>2538653939.4520001</v>
      </c>
      <c r="AG570" t="b">
        <v>1</v>
      </c>
      <c r="AH570">
        <v>-1</v>
      </c>
      <c r="AI570" t="s">
        <v>73</v>
      </c>
      <c r="AJ570">
        <v>0</v>
      </c>
      <c r="AK570" t="b">
        <v>0</v>
      </c>
      <c r="AL570">
        <v>2538653939.4520001</v>
      </c>
      <c r="AM570" t="b">
        <v>1</v>
      </c>
      <c r="AN570">
        <v>0</v>
      </c>
      <c r="AO570" t="b">
        <v>0</v>
      </c>
      <c r="AQ570">
        <v>1408882000</v>
      </c>
      <c r="AR570">
        <v>1408882000</v>
      </c>
      <c r="AS570">
        <v>6</v>
      </c>
      <c r="AT570" t="b">
        <v>0</v>
      </c>
      <c r="AU570" t="b">
        <v>1</v>
      </c>
      <c r="BA570" t="str">
        <f t="shared" si="16"/>
        <v>Normal</v>
      </c>
      <c r="BG570" t="str">
        <f t="shared" si="17"/>
        <v>Normal</v>
      </c>
    </row>
    <row r="571" spans="1:59" x14ac:dyDescent="0.2">
      <c r="A571" t="s">
        <v>42</v>
      </c>
      <c r="B571" t="s">
        <v>43</v>
      </c>
      <c r="C571">
        <v>20240101</v>
      </c>
      <c r="D571">
        <v>2024</v>
      </c>
      <c r="E571">
        <v>52</v>
      </c>
      <c r="F571" t="s">
        <v>325</v>
      </c>
      <c r="G571">
        <v>826</v>
      </c>
      <c r="H571" t="s">
        <v>264</v>
      </c>
      <c r="I571" t="s">
        <v>265</v>
      </c>
      <c r="J571" t="s">
        <v>47</v>
      </c>
      <c r="K571" t="s">
        <v>48</v>
      </c>
      <c r="L571">
        <v>0</v>
      </c>
      <c r="M571" t="s">
        <v>49</v>
      </c>
      <c r="N571" t="s">
        <v>50</v>
      </c>
      <c r="O571">
        <v>0</v>
      </c>
      <c r="P571" t="s">
        <v>49</v>
      </c>
      <c r="Q571" t="s">
        <v>50</v>
      </c>
      <c r="R571" t="s">
        <v>300</v>
      </c>
      <c r="S571" t="s">
        <v>52</v>
      </c>
      <c r="T571" t="b">
        <v>1</v>
      </c>
      <c r="U571" t="s">
        <v>53</v>
      </c>
      <c r="V571" t="s">
        <v>54</v>
      </c>
      <c r="W571">
        <v>4</v>
      </c>
      <c r="X571" t="b">
        <v>0</v>
      </c>
      <c r="Y571" t="s">
        <v>55</v>
      </c>
      <c r="Z571" t="s">
        <v>56</v>
      </c>
      <c r="AA571" t="s">
        <v>57</v>
      </c>
      <c r="AB571">
        <v>0</v>
      </c>
      <c r="AC571" t="s">
        <v>58</v>
      </c>
      <c r="AD571">
        <v>-1</v>
      </c>
      <c r="AE571" t="s">
        <v>73</v>
      </c>
      <c r="AF571">
        <v>0</v>
      </c>
      <c r="AG571" t="b">
        <v>0</v>
      </c>
      <c r="AH571">
        <v>-1</v>
      </c>
      <c r="AI571" t="s">
        <v>73</v>
      </c>
      <c r="AJ571">
        <v>0</v>
      </c>
      <c r="AK571" t="b">
        <v>0</v>
      </c>
      <c r="AM571" t="b">
        <v>0</v>
      </c>
      <c r="AN571">
        <v>0</v>
      </c>
      <c r="AO571" t="b">
        <v>0</v>
      </c>
      <c r="AQ571">
        <v>16055724448.938</v>
      </c>
      <c r="AR571">
        <v>16055724448.938</v>
      </c>
      <c r="AS571">
        <v>0</v>
      </c>
      <c r="AT571" t="b">
        <v>0</v>
      </c>
      <c r="AU571" t="b">
        <v>1</v>
      </c>
      <c r="BA571" t="str">
        <f t="shared" si="16"/>
        <v>Normal</v>
      </c>
      <c r="BG571" t="str">
        <f t="shared" si="17"/>
        <v>Normal</v>
      </c>
    </row>
    <row r="572" spans="1:59" x14ac:dyDescent="0.2">
      <c r="A572" t="s">
        <v>42</v>
      </c>
      <c r="B572" t="s">
        <v>43</v>
      </c>
      <c r="C572">
        <v>20240101</v>
      </c>
      <c r="D572">
        <v>2024</v>
      </c>
      <c r="E572">
        <v>52</v>
      </c>
      <c r="F572" t="s">
        <v>325</v>
      </c>
      <c r="G572">
        <v>834</v>
      </c>
      <c r="H572" t="s">
        <v>266</v>
      </c>
      <c r="I572" t="s">
        <v>267</v>
      </c>
      <c r="J572" t="s">
        <v>47</v>
      </c>
      <c r="K572" t="s">
        <v>48</v>
      </c>
      <c r="L572">
        <v>0</v>
      </c>
      <c r="M572" t="s">
        <v>49</v>
      </c>
      <c r="N572" t="s">
        <v>50</v>
      </c>
      <c r="O572">
        <v>0</v>
      </c>
      <c r="P572" t="s">
        <v>49</v>
      </c>
      <c r="Q572" t="s">
        <v>50</v>
      </c>
      <c r="R572" t="s">
        <v>300</v>
      </c>
      <c r="S572" t="s">
        <v>52</v>
      </c>
      <c r="T572" t="b">
        <v>1</v>
      </c>
      <c r="U572" t="s">
        <v>53</v>
      </c>
      <c r="V572" t="s">
        <v>54</v>
      </c>
      <c r="W572">
        <v>4</v>
      </c>
      <c r="X572" t="b">
        <v>0</v>
      </c>
      <c r="Y572" t="s">
        <v>55</v>
      </c>
      <c r="Z572" t="s">
        <v>56</v>
      </c>
      <c r="AA572" t="s">
        <v>57</v>
      </c>
      <c r="AB572">
        <v>0</v>
      </c>
      <c r="AC572" t="s">
        <v>58</v>
      </c>
      <c r="AD572">
        <v>8</v>
      </c>
      <c r="AE572" t="s">
        <v>59</v>
      </c>
      <c r="AF572">
        <v>3832500</v>
      </c>
      <c r="AG572" t="b">
        <v>0</v>
      </c>
      <c r="AH572">
        <v>8</v>
      </c>
      <c r="AI572" t="s">
        <v>59</v>
      </c>
      <c r="AJ572">
        <v>3832500</v>
      </c>
      <c r="AK572" t="b">
        <v>0</v>
      </c>
      <c r="AL572">
        <v>3832500</v>
      </c>
      <c r="AM572" t="b">
        <v>0</v>
      </c>
      <c r="AN572">
        <v>0</v>
      </c>
      <c r="AO572" t="b">
        <v>0</v>
      </c>
      <c r="AQ572">
        <v>2351989.6680000001</v>
      </c>
      <c r="AR572">
        <v>2351989.6680000001</v>
      </c>
      <c r="AS572">
        <v>0</v>
      </c>
      <c r="AT572" t="b">
        <v>0</v>
      </c>
      <c r="AU572" t="b">
        <v>1</v>
      </c>
      <c r="BA572" t="str">
        <f t="shared" si="16"/>
        <v>Normal</v>
      </c>
      <c r="BG572" t="str">
        <f t="shared" si="17"/>
        <v>Normal</v>
      </c>
    </row>
    <row r="573" spans="1:59" x14ac:dyDescent="0.2">
      <c r="A573" t="s">
        <v>42</v>
      </c>
      <c r="B573" t="s">
        <v>43</v>
      </c>
      <c r="C573">
        <v>20240101</v>
      </c>
      <c r="D573">
        <v>2024</v>
      </c>
      <c r="E573">
        <v>52</v>
      </c>
      <c r="F573" t="s">
        <v>325</v>
      </c>
      <c r="G573">
        <v>842</v>
      </c>
      <c r="H573" t="s">
        <v>268</v>
      </c>
      <c r="I573" t="s">
        <v>268</v>
      </c>
      <c r="J573" t="s">
        <v>47</v>
      </c>
      <c r="K573" t="s">
        <v>48</v>
      </c>
      <c r="L573">
        <v>0</v>
      </c>
      <c r="M573" t="s">
        <v>49</v>
      </c>
      <c r="N573" t="s">
        <v>50</v>
      </c>
      <c r="O573">
        <v>0</v>
      </c>
      <c r="P573" t="s">
        <v>49</v>
      </c>
      <c r="Q573" t="s">
        <v>50</v>
      </c>
      <c r="R573" t="s">
        <v>300</v>
      </c>
      <c r="S573" t="s">
        <v>52</v>
      </c>
      <c r="T573" t="b">
        <v>1</v>
      </c>
      <c r="U573" t="s">
        <v>53</v>
      </c>
      <c r="V573" t="s">
        <v>54</v>
      </c>
      <c r="W573">
        <v>4</v>
      </c>
      <c r="X573" t="b">
        <v>0</v>
      </c>
      <c r="Y573" t="s">
        <v>55</v>
      </c>
      <c r="Z573" t="s">
        <v>56</v>
      </c>
      <c r="AA573" t="s">
        <v>57</v>
      </c>
      <c r="AB573">
        <v>0</v>
      </c>
      <c r="AC573" t="s">
        <v>58</v>
      </c>
      <c r="AD573">
        <v>8</v>
      </c>
      <c r="AE573" t="s">
        <v>59</v>
      </c>
      <c r="AF573">
        <v>238788419322</v>
      </c>
      <c r="AG573" t="b">
        <v>0</v>
      </c>
      <c r="AH573">
        <v>19</v>
      </c>
      <c r="AI573" t="s">
        <v>60</v>
      </c>
      <c r="AJ573">
        <v>1501813958</v>
      </c>
      <c r="AK573" t="b">
        <v>0</v>
      </c>
      <c r="AL573">
        <v>238788419322</v>
      </c>
      <c r="AM573" t="b">
        <v>0</v>
      </c>
      <c r="AN573">
        <v>0</v>
      </c>
      <c r="AO573" t="b">
        <v>0</v>
      </c>
      <c r="AQ573">
        <v>118499361483</v>
      </c>
      <c r="AR573">
        <v>118499361483</v>
      </c>
      <c r="AS573">
        <v>0</v>
      </c>
      <c r="AT573" t="b">
        <v>0</v>
      </c>
      <c r="AU573" t="b">
        <v>1</v>
      </c>
      <c r="BA573" t="str">
        <f t="shared" si="16"/>
        <v>Normal</v>
      </c>
      <c r="BG573" t="str">
        <f t="shared" si="17"/>
        <v>Normal</v>
      </c>
    </row>
    <row r="574" spans="1:59" x14ac:dyDescent="0.2">
      <c r="A574" t="s">
        <v>42</v>
      </c>
      <c r="B574" t="s">
        <v>43</v>
      </c>
      <c r="C574">
        <v>20240101</v>
      </c>
      <c r="D574">
        <v>2024</v>
      </c>
      <c r="E574">
        <v>52</v>
      </c>
      <c r="F574" t="s">
        <v>325</v>
      </c>
      <c r="G574">
        <v>854</v>
      </c>
      <c r="H574" t="s">
        <v>328</v>
      </c>
      <c r="I574" t="s">
        <v>329</v>
      </c>
      <c r="J574" t="s">
        <v>47</v>
      </c>
      <c r="K574" t="s">
        <v>48</v>
      </c>
      <c r="L574">
        <v>0</v>
      </c>
      <c r="M574" t="s">
        <v>49</v>
      </c>
      <c r="N574" t="s">
        <v>50</v>
      </c>
      <c r="O574">
        <v>0</v>
      </c>
      <c r="P574" t="s">
        <v>49</v>
      </c>
      <c r="Q574" t="s">
        <v>50</v>
      </c>
      <c r="R574" t="s">
        <v>300</v>
      </c>
      <c r="S574" t="s">
        <v>52</v>
      </c>
      <c r="T574" t="b">
        <v>1</v>
      </c>
      <c r="U574" t="s">
        <v>53</v>
      </c>
      <c r="V574" t="s">
        <v>54</v>
      </c>
      <c r="W574">
        <v>4</v>
      </c>
      <c r="X574" t="b">
        <v>0</v>
      </c>
      <c r="Y574" t="s">
        <v>55</v>
      </c>
      <c r="Z574" t="s">
        <v>56</v>
      </c>
      <c r="AA574" t="s">
        <v>57</v>
      </c>
      <c r="AB574">
        <v>0</v>
      </c>
      <c r="AC574" t="s">
        <v>58</v>
      </c>
      <c r="AD574">
        <v>8</v>
      </c>
      <c r="AE574" t="s">
        <v>59</v>
      </c>
      <c r="AF574">
        <v>240</v>
      </c>
      <c r="AG574" t="b">
        <v>0</v>
      </c>
      <c r="AH574">
        <v>8</v>
      </c>
      <c r="AI574" t="s">
        <v>59</v>
      </c>
      <c r="AJ574">
        <v>240</v>
      </c>
      <c r="AK574" t="b">
        <v>0</v>
      </c>
      <c r="AL574">
        <v>240</v>
      </c>
      <c r="AM574" t="b">
        <v>0</v>
      </c>
      <c r="AN574">
        <v>0</v>
      </c>
      <c r="AO574" t="b">
        <v>0</v>
      </c>
      <c r="AQ574">
        <v>50.011000000000003</v>
      </c>
      <c r="AR574">
        <v>50.011000000000003</v>
      </c>
      <c r="AS574">
        <v>0</v>
      </c>
      <c r="AT574" t="b">
        <v>0</v>
      </c>
      <c r="AU574" t="b">
        <v>1</v>
      </c>
      <c r="BA574" t="str">
        <f t="shared" si="16"/>
        <v>Normal</v>
      </c>
      <c r="BG574" t="str">
        <f t="shared" si="17"/>
        <v>Normal</v>
      </c>
    </row>
    <row r="575" spans="1:59" x14ac:dyDescent="0.2">
      <c r="A575" t="s">
        <v>42</v>
      </c>
      <c r="B575" t="s">
        <v>43</v>
      </c>
      <c r="C575">
        <v>20240101</v>
      </c>
      <c r="D575">
        <v>2024</v>
      </c>
      <c r="E575">
        <v>52</v>
      </c>
      <c r="F575" t="s">
        <v>325</v>
      </c>
      <c r="G575">
        <v>882</v>
      </c>
      <c r="H575" t="s">
        <v>269</v>
      </c>
      <c r="I575" t="s">
        <v>270</v>
      </c>
      <c r="J575" t="s">
        <v>47</v>
      </c>
      <c r="K575" t="s">
        <v>48</v>
      </c>
      <c r="L575">
        <v>0</v>
      </c>
      <c r="M575" t="s">
        <v>49</v>
      </c>
      <c r="N575" t="s">
        <v>50</v>
      </c>
      <c r="O575">
        <v>0</v>
      </c>
      <c r="P575" t="s">
        <v>49</v>
      </c>
      <c r="Q575" t="s">
        <v>50</v>
      </c>
      <c r="R575" t="s">
        <v>51</v>
      </c>
      <c r="S575" t="s">
        <v>52</v>
      </c>
      <c r="T575" t="b">
        <v>1</v>
      </c>
      <c r="U575" t="s">
        <v>53</v>
      </c>
      <c r="V575" t="s">
        <v>54</v>
      </c>
      <c r="W575">
        <v>4</v>
      </c>
      <c r="X575" t="b">
        <v>0</v>
      </c>
      <c r="Y575" t="s">
        <v>55</v>
      </c>
      <c r="Z575" t="s">
        <v>56</v>
      </c>
      <c r="AA575" t="s">
        <v>57</v>
      </c>
      <c r="AB575">
        <v>0</v>
      </c>
      <c r="AC575" t="s">
        <v>58</v>
      </c>
      <c r="AD575">
        <v>8</v>
      </c>
      <c r="AE575" t="s">
        <v>59</v>
      </c>
      <c r="AF575">
        <v>10</v>
      </c>
      <c r="AG575" t="b">
        <v>0</v>
      </c>
      <c r="AH575">
        <v>7</v>
      </c>
      <c r="AI575" t="s">
        <v>67</v>
      </c>
      <c r="AJ575">
        <v>10</v>
      </c>
      <c r="AK575" t="b">
        <v>0</v>
      </c>
      <c r="AL575">
        <v>10</v>
      </c>
      <c r="AM575" t="b">
        <v>0</v>
      </c>
      <c r="AN575">
        <v>0</v>
      </c>
      <c r="AO575" t="b">
        <v>0</v>
      </c>
      <c r="AQ575">
        <v>182.262</v>
      </c>
      <c r="AR575">
        <v>182.262</v>
      </c>
      <c r="AS575">
        <v>0</v>
      </c>
      <c r="AT575" t="b">
        <v>0</v>
      </c>
      <c r="AU575" t="b">
        <v>1</v>
      </c>
      <c r="BA575" t="str">
        <f t="shared" si="16"/>
        <v>Normal</v>
      </c>
      <c r="BG575" t="str">
        <f t="shared" si="17"/>
        <v>Normal</v>
      </c>
    </row>
    <row r="576" spans="1:59" x14ac:dyDescent="0.2">
      <c r="A576" t="s">
        <v>42</v>
      </c>
      <c r="B576" t="s">
        <v>43</v>
      </c>
      <c r="C576">
        <v>20240101</v>
      </c>
      <c r="D576">
        <v>2024</v>
      </c>
      <c r="E576">
        <v>52</v>
      </c>
      <c r="F576" t="s">
        <v>325</v>
      </c>
      <c r="G576">
        <v>894</v>
      </c>
      <c r="H576" t="s">
        <v>285</v>
      </c>
      <c r="I576" t="s">
        <v>286</v>
      </c>
      <c r="J576" t="s">
        <v>47</v>
      </c>
      <c r="K576" t="s">
        <v>48</v>
      </c>
      <c r="L576">
        <v>0</v>
      </c>
      <c r="M576" t="s">
        <v>49</v>
      </c>
      <c r="N576" t="s">
        <v>50</v>
      </c>
      <c r="O576">
        <v>0</v>
      </c>
      <c r="P576" t="s">
        <v>49</v>
      </c>
      <c r="Q576" t="s">
        <v>50</v>
      </c>
      <c r="R576" t="s">
        <v>300</v>
      </c>
      <c r="S576" t="s">
        <v>52</v>
      </c>
      <c r="T576" t="b">
        <v>1</v>
      </c>
      <c r="U576" t="s">
        <v>53</v>
      </c>
      <c r="V576" t="s">
        <v>54</v>
      </c>
      <c r="W576">
        <v>4</v>
      </c>
      <c r="X576" t="b">
        <v>0</v>
      </c>
      <c r="Y576" t="s">
        <v>55</v>
      </c>
      <c r="Z576" t="s">
        <v>56</v>
      </c>
      <c r="AA576" t="s">
        <v>57</v>
      </c>
      <c r="AB576">
        <v>0</v>
      </c>
      <c r="AC576" t="s">
        <v>58</v>
      </c>
      <c r="AD576">
        <v>8</v>
      </c>
      <c r="AE576" t="s">
        <v>59</v>
      </c>
      <c r="AF576">
        <v>11</v>
      </c>
      <c r="AG576" t="b">
        <v>0</v>
      </c>
      <c r="AH576">
        <v>8</v>
      </c>
      <c r="AI576" t="s">
        <v>59</v>
      </c>
      <c r="AJ576">
        <v>11</v>
      </c>
      <c r="AK576" t="b">
        <v>0</v>
      </c>
      <c r="AL576">
        <v>11</v>
      </c>
      <c r="AM576" t="b">
        <v>0</v>
      </c>
      <c r="AN576">
        <v>0</v>
      </c>
      <c r="AO576" t="b">
        <v>0</v>
      </c>
      <c r="AQ576">
        <v>14.582000000000001</v>
      </c>
      <c r="AR576">
        <v>14.582000000000001</v>
      </c>
      <c r="AS576">
        <v>0</v>
      </c>
      <c r="AT576" t="b">
        <v>0</v>
      </c>
      <c r="AU576" t="b">
        <v>1</v>
      </c>
      <c r="BA576" t="str">
        <f t="shared" si="16"/>
        <v>Normal</v>
      </c>
      <c r="BG576" t="str">
        <f t="shared" si="17"/>
        <v>Normal</v>
      </c>
    </row>
  </sheetData>
  <autoFilter ref="A1:BA576" xr:uid="{00000000-0001-0000-0000-000000000000}"/>
  <pageMargins left="0.7" right="0.7" top="0.75" bottom="0.75" header="0.3" footer="0.3"/>
  <ignoredErrors>
    <ignoredError sqref="A2:AU576 A1:C1 E1:G1 J1:AI1 AK1:AP1 AR1:A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576"/>
  <sheetViews>
    <sheetView workbookViewId="0">
      <selection sqref="A1:BG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330</v>
      </c>
      <c r="E1" t="s">
        <v>3</v>
      </c>
      <c r="F1" t="s">
        <v>4</v>
      </c>
      <c r="G1" t="s">
        <v>5</v>
      </c>
      <c r="H1" t="s">
        <v>332</v>
      </c>
      <c r="I1" t="s">
        <v>331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333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334</v>
      </c>
      <c r="AR1" t="s">
        <v>38</v>
      </c>
      <c r="AS1" t="s">
        <v>39</v>
      </c>
      <c r="AT1" t="s">
        <v>40</v>
      </c>
      <c r="AU1" t="s">
        <v>41</v>
      </c>
      <c r="AV1" t="s">
        <v>335</v>
      </c>
      <c r="AW1" t="s">
        <v>336</v>
      </c>
      <c r="AX1" t="s">
        <v>337</v>
      </c>
      <c r="AY1" t="s">
        <v>338</v>
      </c>
      <c r="AZ1" t="s">
        <v>339</v>
      </c>
      <c r="BA1" t="s">
        <v>340</v>
      </c>
      <c r="BB1" t="s">
        <v>335</v>
      </c>
      <c r="BC1" t="s">
        <v>336</v>
      </c>
      <c r="BD1" t="s">
        <v>337</v>
      </c>
      <c r="BE1" t="s">
        <v>338</v>
      </c>
      <c r="BF1" t="s">
        <v>339</v>
      </c>
      <c r="BG1" t="s">
        <v>341</v>
      </c>
    </row>
    <row r="2" spans="1:59" x14ac:dyDescent="0.2">
      <c r="A2" t="s">
        <v>42</v>
      </c>
      <c r="B2" t="s">
        <v>43</v>
      </c>
      <c r="C2">
        <v>20190101</v>
      </c>
      <c r="D2">
        <v>2019</v>
      </c>
      <c r="E2">
        <v>52</v>
      </c>
      <c r="F2" t="s">
        <v>44</v>
      </c>
      <c r="G2">
        <v>24</v>
      </c>
      <c r="H2" t="s">
        <v>45</v>
      </c>
      <c r="I2" t="s">
        <v>46</v>
      </c>
      <c r="J2" t="s">
        <v>47</v>
      </c>
      <c r="K2" t="s">
        <v>48</v>
      </c>
      <c r="L2">
        <v>0</v>
      </c>
      <c r="M2" t="s">
        <v>49</v>
      </c>
      <c r="N2" t="s">
        <v>50</v>
      </c>
      <c r="O2">
        <v>0</v>
      </c>
      <c r="P2" t="s">
        <v>49</v>
      </c>
      <c r="Q2" t="s">
        <v>50</v>
      </c>
      <c r="R2" t="s">
        <v>51</v>
      </c>
      <c r="S2" t="s">
        <v>52</v>
      </c>
      <c r="T2" t="b">
        <v>1</v>
      </c>
      <c r="U2" t="s">
        <v>53</v>
      </c>
      <c r="V2" t="s">
        <v>54</v>
      </c>
      <c r="W2">
        <v>4</v>
      </c>
      <c r="X2" t="b">
        <v>0</v>
      </c>
      <c r="Y2" t="s">
        <v>55</v>
      </c>
      <c r="Z2" t="s">
        <v>56</v>
      </c>
      <c r="AA2" t="s">
        <v>57</v>
      </c>
      <c r="AB2">
        <v>0</v>
      </c>
      <c r="AC2" t="s">
        <v>58</v>
      </c>
      <c r="AD2">
        <v>8</v>
      </c>
      <c r="AE2" t="s">
        <v>59</v>
      </c>
      <c r="AF2">
        <v>76402028259</v>
      </c>
      <c r="AG2" t="b">
        <v>0</v>
      </c>
      <c r="AH2">
        <v>19</v>
      </c>
      <c r="AI2" t="s">
        <v>60</v>
      </c>
      <c r="AJ2">
        <v>480515901</v>
      </c>
      <c r="AK2" t="b">
        <v>0</v>
      </c>
      <c r="AL2">
        <v>76402028259</v>
      </c>
      <c r="AM2" t="b">
        <v>0</v>
      </c>
      <c r="AN2">
        <v>0</v>
      </c>
      <c r="AO2" t="b">
        <v>0</v>
      </c>
      <c r="AQ2">
        <v>31534121190.557999</v>
      </c>
      <c r="AR2">
        <v>31534121190.557999</v>
      </c>
      <c r="AS2">
        <v>0</v>
      </c>
      <c r="AT2" t="b">
        <v>0</v>
      </c>
      <c r="AU2" t="b">
        <v>1</v>
      </c>
      <c r="AV2">
        <f>BB2</f>
        <v>278733.95449999999</v>
      </c>
      <c r="AW2">
        <f>_xlfn.QUARTILE.INC(AJ2:AJ576,3)</f>
        <v>90225580.879999995</v>
      </c>
      <c r="AX2">
        <f>AW2-AV2</f>
        <v>89946846.925499991</v>
      </c>
      <c r="AY2">
        <f xml:space="preserve"> AV2 - 1.5*AX2</f>
        <v>-134641536.43375</v>
      </c>
      <c r="AZ2">
        <f>AW2+1.5*AX2</f>
        <v>225145851.26824999</v>
      </c>
      <c r="BA2" t="str">
        <f>BG2</f>
        <v>Normal</v>
      </c>
      <c r="BB2">
        <f>_xlfn.QUARTILE.INC(AQ2:AQ576,1)</f>
        <v>278733.95449999999</v>
      </c>
      <c r="BC2">
        <f>_xlfn.QUARTILE.INC(AQ2:AQ576,3)</f>
        <v>3023851018.4875002</v>
      </c>
      <c r="BD2">
        <f>BC2-BB2</f>
        <v>3023572284.533</v>
      </c>
      <c r="BE2">
        <f>BB2-1.5*BD2</f>
        <v>-4535079692.8449993</v>
      </c>
      <c r="BF2">
        <f>BC2+1.5*BD2</f>
        <v>7559209445.2869997</v>
      </c>
      <c r="BG2" t="str">
        <f>IF(OR(AQ2&lt;BE2,AQ576&gt;BF2),"Outlier","Normal")</f>
        <v>Normal</v>
      </c>
    </row>
    <row r="3" spans="1:59" x14ac:dyDescent="0.2">
      <c r="A3" t="s">
        <v>42</v>
      </c>
      <c r="B3" t="s">
        <v>43</v>
      </c>
      <c r="C3">
        <v>20190101</v>
      </c>
      <c r="D3">
        <v>2019</v>
      </c>
      <c r="E3">
        <v>52</v>
      </c>
      <c r="F3" t="s">
        <v>44</v>
      </c>
      <c r="G3">
        <v>31</v>
      </c>
      <c r="H3" t="s">
        <v>61</v>
      </c>
      <c r="I3" t="s">
        <v>62</v>
      </c>
      <c r="J3" t="s">
        <v>47</v>
      </c>
      <c r="K3" t="s">
        <v>48</v>
      </c>
      <c r="L3">
        <v>0</v>
      </c>
      <c r="M3" t="s">
        <v>49</v>
      </c>
      <c r="N3" t="s">
        <v>50</v>
      </c>
      <c r="O3">
        <v>0</v>
      </c>
      <c r="P3" t="s">
        <v>49</v>
      </c>
      <c r="Q3" t="s">
        <v>50</v>
      </c>
      <c r="R3" t="s">
        <v>51</v>
      </c>
      <c r="S3" t="s">
        <v>52</v>
      </c>
      <c r="T3" t="b">
        <v>1</v>
      </c>
      <c r="U3" t="s">
        <v>53</v>
      </c>
      <c r="V3" t="s">
        <v>54</v>
      </c>
      <c r="W3">
        <v>4</v>
      </c>
      <c r="X3" t="b">
        <v>0</v>
      </c>
      <c r="Y3" t="s">
        <v>55</v>
      </c>
      <c r="Z3" t="s">
        <v>56</v>
      </c>
      <c r="AA3" t="s">
        <v>57</v>
      </c>
      <c r="AB3">
        <v>0</v>
      </c>
      <c r="AC3" t="s">
        <v>58</v>
      </c>
      <c r="AD3">
        <v>8</v>
      </c>
      <c r="AE3" t="s">
        <v>59</v>
      </c>
      <c r="AF3">
        <v>30837085666</v>
      </c>
      <c r="AG3" t="b">
        <v>0</v>
      </c>
      <c r="AH3">
        <v>8</v>
      </c>
      <c r="AI3" t="s">
        <v>59</v>
      </c>
      <c r="AJ3">
        <v>30837085666</v>
      </c>
      <c r="AK3" t="b">
        <v>0</v>
      </c>
      <c r="AL3">
        <v>30837085666</v>
      </c>
      <c r="AM3" t="b">
        <v>0</v>
      </c>
      <c r="AN3">
        <v>0</v>
      </c>
      <c r="AO3" t="b">
        <v>0</v>
      </c>
      <c r="AQ3">
        <v>14814132708.690001</v>
      </c>
      <c r="AR3">
        <v>14814132708.690001</v>
      </c>
      <c r="AS3">
        <v>0</v>
      </c>
      <c r="AT3" t="b">
        <v>0</v>
      </c>
      <c r="AU3" t="b">
        <v>1</v>
      </c>
      <c r="BA3" t="str">
        <f t="shared" ref="BA3:BA66" si="0">IF(OR(AJ3&lt;AY3,AJ577&gt;AZ3),"Outlier","Normal")</f>
        <v>Normal</v>
      </c>
      <c r="BG3" t="str">
        <f t="shared" ref="BG3:BG66" si="1">IF(OR(AQ3&lt;BE3,AQ577&gt;BF3),"Outlier","Normal")</f>
        <v>Normal</v>
      </c>
    </row>
    <row r="4" spans="1:59" x14ac:dyDescent="0.2">
      <c r="A4" t="s">
        <v>42</v>
      </c>
      <c r="B4" t="s">
        <v>43</v>
      </c>
      <c r="C4">
        <v>20190101</v>
      </c>
      <c r="D4">
        <v>2019</v>
      </c>
      <c r="E4">
        <v>52</v>
      </c>
      <c r="F4" t="s">
        <v>44</v>
      </c>
      <c r="G4">
        <v>32</v>
      </c>
      <c r="H4" t="s">
        <v>63</v>
      </c>
      <c r="I4" t="s">
        <v>64</v>
      </c>
      <c r="J4" t="s">
        <v>47</v>
      </c>
      <c r="K4" t="s">
        <v>48</v>
      </c>
      <c r="L4">
        <v>0</v>
      </c>
      <c r="M4" t="s">
        <v>49</v>
      </c>
      <c r="N4" t="s">
        <v>50</v>
      </c>
      <c r="O4">
        <v>0</v>
      </c>
      <c r="P4" t="s">
        <v>49</v>
      </c>
      <c r="Q4" t="s">
        <v>50</v>
      </c>
      <c r="R4" t="s">
        <v>51</v>
      </c>
      <c r="S4" t="s">
        <v>52</v>
      </c>
      <c r="T4" t="b">
        <v>1</v>
      </c>
      <c r="U4" t="s">
        <v>53</v>
      </c>
      <c r="V4" t="s">
        <v>54</v>
      </c>
      <c r="W4">
        <v>4</v>
      </c>
      <c r="X4" t="b">
        <v>0</v>
      </c>
      <c r="Y4" t="s">
        <v>55</v>
      </c>
      <c r="Z4" t="s">
        <v>56</v>
      </c>
      <c r="AA4" t="s">
        <v>57</v>
      </c>
      <c r="AB4">
        <v>0</v>
      </c>
      <c r="AC4" t="s">
        <v>58</v>
      </c>
      <c r="AD4">
        <v>8</v>
      </c>
      <c r="AE4" t="s">
        <v>59</v>
      </c>
      <c r="AF4">
        <v>2615804000</v>
      </c>
      <c r="AG4" t="b">
        <v>0</v>
      </c>
      <c r="AH4">
        <v>8</v>
      </c>
      <c r="AI4" t="s">
        <v>59</v>
      </c>
      <c r="AJ4">
        <v>2615804000</v>
      </c>
      <c r="AK4" t="b">
        <v>0</v>
      </c>
      <c r="AL4">
        <v>2615804000</v>
      </c>
      <c r="AM4" t="b">
        <v>0</v>
      </c>
      <c r="AN4">
        <v>0</v>
      </c>
      <c r="AO4" t="b">
        <v>0</v>
      </c>
      <c r="AQ4">
        <v>1119911767.1300001</v>
      </c>
      <c r="AR4">
        <v>1119911767.1300001</v>
      </c>
      <c r="AS4">
        <v>0</v>
      </c>
      <c r="AT4" t="b">
        <v>0</v>
      </c>
      <c r="AU4" t="b">
        <v>1</v>
      </c>
      <c r="BA4" t="str">
        <f t="shared" si="0"/>
        <v>Normal</v>
      </c>
      <c r="BG4" t="str">
        <f t="shared" si="1"/>
        <v>Normal</v>
      </c>
    </row>
    <row r="5" spans="1:59" x14ac:dyDescent="0.2">
      <c r="A5" t="s">
        <v>42</v>
      </c>
      <c r="B5" t="s">
        <v>43</v>
      </c>
      <c r="C5">
        <v>20190101</v>
      </c>
      <c r="D5">
        <v>2019</v>
      </c>
      <c r="E5">
        <v>52</v>
      </c>
      <c r="F5" t="s">
        <v>44</v>
      </c>
      <c r="G5">
        <v>36</v>
      </c>
      <c r="H5" t="s">
        <v>65</v>
      </c>
      <c r="I5" t="s">
        <v>66</v>
      </c>
      <c r="J5" t="s">
        <v>47</v>
      </c>
      <c r="K5" t="s">
        <v>48</v>
      </c>
      <c r="L5">
        <v>0</v>
      </c>
      <c r="M5" t="s">
        <v>49</v>
      </c>
      <c r="N5" t="s">
        <v>50</v>
      </c>
      <c r="O5">
        <v>0</v>
      </c>
      <c r="P5" t="s">
        <v>49</v>
      </c>
      <c r="Q5" t="s">
        <v>50</v>
      </c>
      <c r="R5" t="s">
        <v>51</v>
      </c>
      <c r="S5" t="s">
        <v>52</v>
      </c>
      <c r="T5" t="b">
        <v>1</v>
      </c>
      <c r="U5" t="s">
        <v>53</v>
      </c>
      <c r="V5" t="s">
        <v>54</v>
      </c>
      <c r="W5">
        <v>4</v>
      </c>
      <c r="X5" t="b">
        <v>0</v>
      </c>
      <c r="Y5" t="s">
        <v>55</v>
      </c>
      <c r="Z5" t="s">
        <v>56</v>
      </c>
      <c r="AA5" t="s">
        <v>57</v>
      </c>
      <c r="AB5">
        <v>0</v>
      </c>
      <c r="AC5" t="s">
        <v>58</v>
      </c>
      <c r="AD5">
        <v>8</v>
      </c>
      <c r="AE5" t="s">
        <v>59</v>
      </c>
      <c r="AF5">
        <v>15486811701.799999</v>
      </c>
      <c r="AG5" t="b">
        <v>0</v>
      </c>
      <c r="AH5">
        <v>7</v>
      </c>
      <c r="AI5" t="s">
        <v>67</v>
      </c>
      <c r="AJ5">
        <v>15486811701.799999</v>
      </c>
      <c r="AK5" t="b">
        <v>0</v>
      </c>
      <c r="AM5" t="b">
        <v>0</v>
      </c>
      <c r="AN5">
        <v>13234821802.91</v>
      </c>
      <c r="AO5" t="b">
        <v>0</v>
      </c>
      <c r="AQ5">
        <v>6566389781.6339998</v>
      </c>
      <c r="AR5">
        <v>6566389781.6339998</v>
      </c>
      <c r="AS5">
        <v>0</v>
      </c>
      <c r="AT5" t="b">
        <v>0</v>
      </c>
      <c r="AU5" t="b">
        <v>1</v>
      </c>
      <c r="BA5" t="str">
        <f t="shared" si="0"/>
        <v>Normal</v>
      </c>
      <c r="BG5" t="str">
        <f t="shared" si="1"/>
        <v>Normal</v>
      </c>
    </row>
    <row r="6" spans="1:59" x14ac:dyDescent="0.2">
      <c r="A6" t="s">
        <v>42</v>
      </c>
      <c r="B6" t="s">
        <v>43</v>
      </c>
      <c r="C6">
        <v>20190101</v>
      </c>
      <c r="D6">
        <v>2019</v>
      </c>
      <c r="E6">
        <v>52</v>
      </c>
      <c r="F6" t="s">
        <v>44</v>
      </c>
      <c r="G6">
        <v>52</v>
      </c>
      <c r="H6" t="s">
        <v>68</v>
      </c>
      <c r="I6" t="s">
        <v>69</v>
      </c>
      <c r="J6" t="s">
        <v>47</v>
      </c>
      <c r="K6" t="s">
        <v>48</v>
      </c>
      <c r="L6">
        <v>0</v>
      </c>
      <c r="M6" t="s">
        <v>49</v>
      </c>
      <c r="N6" t="s">
        <v>50</v>
      </c>
      <c r="O6">
        <v>0</v>
      </c>
      <c r="P6" t="s">
        <v>49</v>
      </c>
      <c r="Q6" t="s">
        <v>50</v>
      </c>
      <c r="R6" t="s">
        <v>51</v>
      </c>
      <c r="S6" t="s">
        <v>52</v>
      </c>
      <c r="T6" t="b">
        <v>1</v>
      </c>
      <c r="U6" t="s">
        <v>53</v>
      </c>
      <c r="V6" t="s">
        <v>54</v>
      </c>
      <c r="W6">
        <v>4</v>
      </c>
      <c r="X6" t="b">
        <v>0</v>
      </c>
      <c r="Y6" t="s">
        <v>55</v>
      </c>
      <c r="Z6" t="s">
        <v>56</v>
      </c>
      <c r="AA6" t="s">
        <v>57</v>
      </c>
      <c r="AB6">
        <v>0</v>
      </c>
      <c r="AC6" t="s">
        <v>58</v>
      </c>
      <c r="AD6">
        <v>8</v>
      </c>
      <c r="AE6" t="s">
        <v>59</v>
      </c>
      <c r="AF6">
        <v>37600160</v>
      </c>
      <c r="AG6" t="b">
        <v>0</v>
      </c>
      <c r="AH6">
        <v>12</v>
      </c>
      <c r="AI6" t="s">
        <v>70</v>
      </c>
      <c r="AJ6">
        <v>37224</v>
      </c>
      <c r="AK6" t="b">
        <v>0</v>
      </c>
      <c r="AL6">
        <v>37600160</v>
      </c>
      <c r="AM6" t="b">
        <v>0</v>
      </c>
      <c r="AN6">
        <v>0</v>
      </c>
      <c r="AO6" t="b">
        <v>0</v>
      </c>
      <c r="AQ6">
        <v>15100491</v>
      </c>
      <c r="AR6">
        <v>15100491</v>
      </c>
      <c r="AS6">
        <v>0</v>
      </c>
      <c r="AT6" t="b">
        <v>0</v>
      </c>
      <c r="AU6" t="b">
        <v>1</v>
      </c>
      <c r="BA6" t="str">
        <f t="shared" si="0"/>
        <v>Normal</v>
      </c>
      <c r="BG6" t="str">
        <f t="shared" si="1"/>
        <v>Normal</v>
      </c>
    </row>
    <row r="7" spans="1:59" x14ac:dyDescent="0.2">
      <c r="A7" t="s">
        <v>42</v>
      </c>
      <c r="B7" t="s">
        <v>43</v>
      </c>
      <c r="C7">
        <v>20190101</v>
      </c>
      <c r="D7">
        <v>2019</v>
      </c>
      <c r="E7">
        <v>52</v>
      </c>
      <c r="F7" t="s">
        <v>44</v>
      </c>
      <c r="G7">
        <v>56</v>
      </c>
      <c r="H7" t="s">
        <v>71</v>
      </c>
      <c r="I7" t="s">
        <v>72</v>
      </c>
      <c r="J7" t="s">
        <v>47</v>
      </c>
      <c r="K7" t="s">
        <v>48</v>
      </c>
      <c r="L7">
        <v>0</v>
      </c>
      <c r="M7" t="s">
        <v>49</v>
      </c>
      <c r="N7" t="s">
        <v>50</v>
      </c>
      <c r="O7">
        <v>0</v>
      </c>
      <c r="P7" t="s">
        <v>49</v>
      </c>
      <c r="Q7" t="s">
        <v>50</v>
      </c>
      <c r="R7" t="s">
        <v>51</v>
      </c>
      <c r="S7" t="s">
        <v>52</v>
      </c>
      <c r="T7" t="b">
        <v>1</v>
      </c>
      <c r="U7" t="s">
        <v>53</v>
      </c>
      <c r="V7" t="s">
        <v>54</v>
      </c>
      <c r="W7">
        <v>4</v>
      </c>
      <c r="X7" t="b">
        <v>0</v>
      </c>
      <c r="Y7" t="s">
        <v>55</v>
      </c>
      <c r="Z7" t="s">
        <v>56</v>
      </c>
      <c r="AA7" t="s">
        <v>57</v>
      </c>
      <c r="AB7">
        <v>0</v>
      </c>
      <c r="AC7" t="s">
        <v>58</v>
      </c>
      <c r="AD7">
        <v>-1</v>
      </c>
      <c r="AE7" t="s">
        <v>73</v>
      </c>
      <c r="AF7">
        <v>0</v>
      </c>
      <c r="AG7" t="b">
        <v>0</v>
      </c>
      <c r="AH7">
        <v>-1</v>
      </c>
      <c r="AI7" t="s">
        <v>73</v>
      </c>
      <c r="AJ7">
        <v>0</v>
      </c>
      <c r="AK7" t="b">
        <v>0</v>
      </c>
      <c r="AL7">
        <v>0</v>
      </c>
      <c r="AM7" t="b">
        <v>0</v>
      </c>
      <c r="AN7">
        <v>0</v>
      </c>
      <c r="AO7" t="b">
        <v>0</v>
      </c>
      <c r="AP7">
        <v>0</v>
      </c>
      <c r="AQ7">
        <v>49359636.449000001</v>
      </c>
      <c r="AR7">
        <v>49359636.449000001</v>
      </c>
      <c r="AS7">
        <v>0</v>
      </c>
      <c r="AT7" t="b">
        <v>0</v>
      </c>
      <c r="AU7" t="b">
        <v>1</v>
      </c>
      <c r="BA7" t="str">
        <f t="shared" si="0"/>
        <v>Normal</v>
      </c>
      <c r="BG7" t="str">
        <f t="shared" si="1"/>
        <v>Normal</v>
      </c>
    </row>
    <row r="8" spans="1:59" x14ac:dyDescent="0.2">
      <c r="A8" t="s">
        <v>42</v>
      </c>
      <c r="B8" t="s">
        <v>43</v>
      </c>
      <c r="C8">
        <v>20190101</v>
      </c>
      <c r="D8">
        <v>2019</v>
      </c>
      <c r="E8">
        <v>52</v>
      </c>
      <c r="F8" t="s">
        <v>44</v>
      </c>
      <c r="G8">
        <v>68</v>
      </c>
      <c r="H8" t="s">
        <v>74</v>
      </c>
      <c r="I8" t="s">
        <v>75</v>
      </c>
      <c r="J8" t="s">
        <v>47</v>
      </c>
      <c r="K8" t="s">
        <v>48</v>
      </c>
      <c r="L8">
        <v>0</v>
      </c>
      <c r="M8" t="s">
        <v>49</v>
      </c>
      <c r="N8" t="s">
        <v>50</v>
      </c>
      <c r="O8">
        <v>0</v>
      </c>
      <c r="P8" t="s">
        <v>49</v>
      </c>
      <c r="Q8" t="s">
        <v>50</v>
      </c>
      <c r="R8" t="s">
        <v>51</v>
      </c>
      <c r="S8" t="s">
        <v>52</v>
      </c>
      <c r="T8" t="b">
        <v>1</v>
      </c>
      <c r="U8" t="s">
        <v>53</v>
      </c>
      <c r="V8" t="s">
        <v>54</v>
      </c>
      <c r="W8">
        <v>4</v>
      </c>
      <c r="X8" t="b">
        <v>0</v>
      </c>
      <c r="Y8" t="s">
        <v>55</v>
      </c>
      <c r="Z8" t="s">
        <v>56</v>
      </c>
      <c r="AA8" t="s">
        <v>57</v>
      </c>
      <c r="AB8">
        <v>0</v>
      </c>
      <c r="AC8" t="s">
        <v>58</v>
      </c>
      <c r="AD8">
        <v>8</v>
      </c>
      <c r="AE8" t="s">
        <v>59</v>
      </c>
      <c r="AF8">
        <v>45863459.57</v>
      </c>
      <c r="AG8" t="b">
        <v>1</v>
      </c>
      <c r="AH8">
        <v>-1</v>
      </c>
      <c r="AI8" t="s">
        <v>73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0</v>
      </c>
      <c r="AQ8">
        <v>21483108.649999999</v>
      </c>
      <c r="AR8">
        <v>21483108.649999999</v>
      </c>
      <c r="AS8">
        <v>6</v>
      </c>
      <c r="AT8" t="b">
        <v>0</v>
      </c>
      <c r="AU8" t="b">
        <v>1</v>
      </c>
      <c r="BA8" t="str">
        <f t="shared" si="0"/>
        <v>Normal</v>
      </c>
      <c r="BG8" t="str">
        <f t="shared" si="1"/>
        <v>Normal</v>
      </c>
    </row>
    <row r="9" spans="1:59" x14ac:dyDescent="0.2">
      <c r="A9" t="s">
        <v>42</v>
      </c>
      <c r="B9" t="s">
        <v>43</v>
      </c>
      <c r="C9">
        <v>20190101</v>
      </c>
      <c r="D9">
        <v>2019</v>
      </c>
      <c r="E9">
        <v>52</v>
      </c>
      <c r="F9" t="s">
        <v>44</v>
      </c>
      <c r="G9">
        <v>70</v>
      </c>
      <c r="H9" t="s">
        <v>76</v>
      </c>
      <c r="I9" t="s">
        <v>77</v>
      </c>
      <c r="J9" t="s">
        <v>47</v>
      </c>
      <c r="K9" t="s">
        <v>48</v>
      </c>
      <c r="L9">
        <v>0</v>
      </c>
      <c r="M9" t="s">
        <v>49</v>
      </c>
      <c r="N9" t="s">
        <v>50</v>
      </c>
      <c r="O9">
        <v>0</v>
      </c>
      <c r="P9" t="s">
        <v>49</v>
      </c>
      <c r="Q9" t="s">
        <v>50</v>
      </c>
      <c r="R9" t="s">
        <v>51</v>
      </c>
      <c r="S9" t="s">
        <v>52</v>
      </c>
      <c r="T9" t="b">
        <v>1</v>
      </c>
      <c r="U9" t="s">
        <v>53</v>
      </c>
      <c r="V9" t="s">
        <v>54</v>
      </c>
      <c r="W9">
        <v>4</v>
      </c>
      <c r="X9" t="b">
        <v>0</v>
      </c>
      <c r="Y9" t="s">
        <v>55</v>
      </c>
      <c r="Z9" t="s">
        <v>56</v>
      </c>
      <c r="AA9" t="s">
        <v>57</v>
      </c>
      <c r="AB9">
        <v>0</v>
      </c>
      <c r="AC9" t="s">
        <v>58</v>
      </c>
      <c r="AD9">
        <v>8</v>
      </c>
      <c r="AE9" t="s">
        <v>59</v>
      </c>
      <c r="AF9">
        <v>792630</v>
      </c>
      <c r="AG9" t="b">
        <v>0</v>
      </c>
      <c r="AH9">
        <v>8</v>
      </c>
      <c r="AI9" t="s">
        <v>59</v>
      </c>
      <c r="AJ9">
        <v>792630</v>
      </c>
      <c r="AK9" t="b">
        <v>0</v>
      </c>
      <c r="AL9">
        <v>792630</v>
      </c>
      <c r="AM9" t="b">
        <v>0</v>
      </c>
      <c r="AN9">
        <v>0</v>
      </c>
      <c r="AO9" t="b">
        <v>0</v>
      </c>
      <c r="AQ9">
        <v>342809.16</v>
      </c>
      <c r="AR9">
        <v>342809.16</v>
      </c>
      <c r="AS9">
        <v>0</v>
      </c>
      <c r="AT9" t="b">
        <v>0</v>
      </c>
      <c r="AU9" t="b">
        <v>1</v>
      </c>
      <c r="BA9" t="str">
        <f t="shared" si="0"/>
        <v>Normal</v>
      </c>
      <c r="BG9" t="str">
        <f t="shared" si="1"/>
        <v>Normal</v>
      </c>
    </row>
    <row r="10" spans="1:59" x14ac:dyDescent="0.2">
      <c r="A10" t="s">
        <v>42</v>
      </c>
      <c r="B10" t="s">
        <v>43</v>
      </c>
      <c r="C10">
        <v>20190101</v>
      </c>
      <c r="D10">
        <v>2019</v>
      </c>
      <c r="E10">
        <v>52</v>
      </c>
      <c r="F10" t="s">
        <v>44</v>
      </c>
      <c r="G10">
        <v>72</v>
      </c>
      <c r="H10" t="s">
        <v>78</v>
      </c>
      <c r="I10" t="s">
        <v>79</v>
      </c>
      <c r="J10" t="s">
        <v>47</v>
      </c>
      <c r="K10" t="s">
        <v>48</v>
      </c>
      <c r="L10">
        <v>0</v>
      </c>
      <c r="M10" t="s">
        <v>49</v>
      </c>
      <c r="N10" t="s">
        <v>50</v>
      </c>
      <c r="O10">
        <v>0</v>
      </c>
      <c r="P10" t="s">
        <v>49</v>
      </c>
      <c r="Q10" t="s">
        <v>50</v>
      </c>
      <c r="R10" t="s">
        <v>51</v>
      </c>
      <c r="S10" t="s">
        <v>52</v>
      </c>
      <c r="T10" t="b">
        <v>1</v>
      </c>
      <c r="U10" t="s">
        <v>53</v>
      </c>
      <c r="V10" t="s">
        <v>54</v>
      </c>
      <c r="W10">
        <v>4</v>
      </c>
      <c r="X10" t="b">
        <v>0</v>
      </c>
      <c r="Y10" t="s">
        <v>55</v>
      </c>
      <c r="Z10" t="s">
        <v>56</v>
      </c>
      <c r="AA10" t="s">
        <v>57</v>
      </c>
      <c r="AB10">
        <v>0</v>
      </c>
      <c r="AC10" t="s">
        <v>58</v>
      </c>
      <c r="AD10">
        <v>8</v>
      </c>
      <c r="AE10" t="s">
        <v>59</v>
      </c>
      <c r="AF10">
        <v>18174.599999999999</v>
      </c>
      <c r="AG10" t="b">
        <v>0</v>
      </c>
      <c r="AH10">
        <v>8</v>
      </c>
      <c r="AI10" t="s">
        <v>59</v>
      </c>
      <c r="AJ10">
        <v>18174.599999999999</v>
      </c>
      <c r="AK10" t="b">
        <v>0</v>
      </c>
      <c r="AL10">
        <v>18174.599999999999</v>
      </c>
      <c r="AM10" t="b">
        <v>0</v>
      </c>
      <c r="AN10">
        <v>0</v>
      </c>
      <c r="AO10" t="b">
        <v>0</v>
      </c>
      <c r="AQ10">
        <v>936.76700000000005</v>
      </c>
      <c r="AR10">
        <v>936.76700000000005</v>
      </c>
      <c r="AS10">
        <v>0</v>
      </c>
      <c r="AT10" t="b">
        <v>0</v>
      </c>
      <c r="AU10" t="b">
        <v>1</v>
      </c>
      <c r="BA10" t="str">
        <f t="shared" si="0"/>
        <v>Normal</v>
      </c>
      <c r="BG10" t="str">
        <f t="shared" si="1"/>
        <v>Normal</v>
      </c>
    </row>
    <row r="11" spans="1:59" x14ac:dyDescent="0.2">
      <c r="A11" t="s">
        <v>42</v>
      </c>
      <c r="B11" t="s">
        <v>43</v>
      </c>
      <c r="C11">
        <v>20190101</v>
      </c>
      <c r="D11">
        <v>2019</v>
      </c>
      <c r="E11">
        <v>52</v>
      </c>
      <c r="F11" t="s">
        <v>44</v>
      </c>
      <c r="G11">
        <v>76</v>
      </c>
      <c r="H11" t="s">
        <v>80</v>
      </c>
      <c r="I11" t="s">
        <v>81</v>
      </c>
      <c r="J11" t="s">
        <v>47</v>
      </c>
      <c r="K11" t="s">
        <v>48</v>
      </c>
      <c r="L11">
        <v>0</v>
      </c>
      <c r="M11" t="s">
        <v>49</v>
      </c>
      <c r="N11" t="s">
        <v>50</v>
      </c>
      <c r="O11">
        <v>0</v>
      </c>
      <c r="P11" t="s">
        <v>49</v>
      </c>
      <c r="Q11" t="s">
        <v>50</v>
      </c>
      <c r="R11" t="s">
        <v>51</v>
      </c>
      <c r="S11" t="s">
        <v>52</v>
      </c>
      <c r="T11" t="b">
        <v>1</v>
      </c>
      <c r="U11" t="s">
        <v>53</v>
      </c>
      <c r="V11" t="s">
        <v>54</v>
      </c>
      <c r="W11">
        <v>4</v>
      </c>
      <c r="X11" t="b">
        <v>0</v>
      </c>
      <c r="Y11" t="s">
        <v>55</v>
      </c>
      <c r="Z11" t="s">
        <v>56</v>
      </c>
      <c r="AA11" t="s">
        <v>57</v>
      </c>
      <c r="AB11">
        <v>0</v>
      </c>
      <c r="AC11" t="s">
        <v>58</v>
      </c>
      <c r="AD11">
        <v>-1</v>
      </c>
      <c r="AE11" t="s">
        <v>73</v>
      </c>
      <c r="AF11">
        <v>0</v>
      </c>
      <c r="AG11" t="b">
        <v>0</v>
      </c>
      <c r="AH11">
        <v>-1</v>
      </c>
      <c r="AI11" t="s">
        <v>73</v>
      </c>
      <c r="AJ11">
        <v>0</v>
      </c>
      <c r="AK11" t="b">
        <v>0</v>
      </c>
      <c r="AM11" t="b">
        <v>0</v>
      </c>
      <c r="AN11">
        <v>0</v>
      </c>
      <c r="AO11" t="b">
        <v>0</v>
      </c>
      <c r="AQ11">
        <v>24199539301</v>
      </c>
      <c r="AR11">
        <v>24199539301</v>
      </c>
      <c r="AS11">
        <v>0</v>
      </c>
      <c r="AT11" t="b">
        <v>0</v>
      </c>
      <c r="AU11" t="b">
        <v>1</v>
      </c>
      <c r="BA11" t="str">
        <f t="shared" si="0"/>
        <v>Normal</v>
      </c>
      <c r="BG11" t="str">
        <f t="shared" si="1"/>
        <v>Normal</v>
      </c>
    </row>
    <row r="12" spans="1:59" x14ac:dyDescent="0.2">
      <c r="A12" t="s">
        <v>42</v>
      </c>
      <c r="B12" t="s">
        <v>43</v>
      </c>
      <c r="C12">
        <v>20190101</v>
      </c>
      <c r="D12">
        <v>2019</v>
      </c>
      <c r="E12">
        <v>52</v>
      </c>
      <c r="F12" t="s">
        <v>44</v>
      </c>
      <c r="G12">
        <v>84</v>
      </c>
      <c r="H12" t="s">
        <v>82</v>
      </c>
      <c r="I12" t="s">
        <v>83</v>
      </c>
      <c r="J12" t="s">
        <v>47</v>
      </c>
      <c r="K12" t="s">
        <v>48</v>
      </c>
      <c r="L12">
        <v>0</v>
      </c>
      <c r="M12" t="s">
        <v>49</v>
      </c>
      <c r="N12" t="s">
        <v>50</v>
      </c>
      <c r="O12">
        <v>0</v>
      </c>
      <c r="P12" t="s">
        <v>49</v>
      </c>
      <c r="Q12" t="s">
        <v>50</v>
      </c>
      <c r="R12" t="s">
        <v>51</v>
      </c>
      <c r="S12" t="s">
        <v>52</v>
      </c>
      <c r="T12" t="b">
        <v>1</v>
      </c>
      <c r="U12" t="s">
        <v>53</v>
      </c>
      <c r="V12" t="s">
        <v>54</v>
      </c>
      <c r="W12">
        <v>4</v>
      </c>
      <c r="X12" t="b">
        <v>0</v>
      </c>
      <c r="Y12" t="s">
        <v>55</v>
      </c>
      <c r="Z12" t="s">
        <v>56</v>
      </c>
      <c r="AA12" t="s">
        <v>57</v>
      </c>
      <c r="AB12">
        <v>0</v>
      </c>
      <c r="AC12" t="s">
        <v>58</v>
      </c>
      <c r="AD12">
        <v>8</v>
      </c>
      <c r="AE12" t="s">
        <v>59</v>
      </c>
      <c r="AF12">
        <v>28908880</v>
      </c>
      <c r="AG12" t="b">
        <v>0</v>
      </c>
      <c r="AH12">
        <v>8</v>
      </c>
      <c r="AI12" t="s">
        <v>59</v>
      </c>
      <c r="AJ12">
        <v>28908880</v>
      </c>
      <c r="AK12" t="b">
        <v>0</v>
      </c>
      <c r="AL12">
        <v>28908880</v>
      </c>
      <c r="AM12" t="b">
        <v>0</v>
      </c>
      <c r="AN12">
        <v>0</v>
      </c>
      <c r="AO12" t="b">
        <v>0</v>
      </c>
      <c r="AQ12">
        <v>10162548.902000001</v>
      </c>
      <c r="AR12">
        <v>10162548.902000001</v>
      </c>
      <c r="AS12">
        <v>0</v>
      </c>
      <c r="AT12" t="b">
        <v>0</v>
      </c>
      <c r="AU12" t="b">
        <v>1</v>
      </c>
      <c r="BA12" t="str">
        <f t="shared" si="0"/>
        <v>Normal</v>
      </c>
      <c r="BG12" t="str">
        <f t="shared" si="1"/>
        <v>Normal</v>
      </c>
    </row>
    <row r="13" spans="1:59" x14ac:dyDescent="0.2">
      <c r="A13" t="s">
        <v>42</v>
      </c>
      <c r="B13" t="s">
        <v>43</v>
      </c>
      <c r="C13">
        <v>20190101</v>
      </c>
      <c r="D13">
        <v>2019</v>
      </c>
      <c r="E13">
        <v>52</v>
      </c>
      <c r="F13" t="s">
        <v>44</v>
      </c>
      <c r="G13">
        <v>96</v>
      </c>
      <c r="H13" t="s">
        <v>84</v>
      </c>
      <c r="I13" t="s">
        <v>85</v>
      </c>
      <c r="J13" t="s">
        <v>47</v>
      </c>
      <c r="K13" t="s">
        <v>48</v>
      </c>
      <c r="L13">
        <v>0</v>
      </c>
      <c r="M13" t="s">
        <v>49</v>
      </c>
      <c r="N13" t="s">
        <v>50</v>
      </c>
      <c r="O13">
        <v>0</v>
      </c>
      <c r="P13" t="s">
        <v>49</v>
      </c>
      <c r="Q13" t="s">
        <v>50</v>
      </c>
      <c r="R13" t="s">
        <v>51</v>
      </c>
      <c r="S13" t="s">
        <v>52</v>
      </c>
      <c r="T13" t="b">
        <v>1</v>
      </c>
      <c r="U13" t="s">
        <v>53</v>
      </c>
      <c r="V13" t="s">
        <v>54</v>
      </c>
      <c r="W13">
        <v>4</v>
      </c>
      <c r="X13" t="b">
        <v>0</v>
      </c>
      <c r="Y13" t="s">
        <v>55</v>
      </c>
      <c r="Z13" t="s">
        <v>56</v>
      </c>
      <c r="AA13" t="s">
        <v>57</v>
      </c>
      <c r="AB13">
        <v>0</v>
      </c>
      <c r="AC13" t="s">
        <v>58</v>
      </c>
      <c r="AD13">
        <v>8</v>
      </c>
      <c r="AE13" t="s">
        <v>59</v>
      </c>
      <c r="AF13">
        <v>5733528981.3179998</v>
      </c>
      <c r="AG13" t="b">
        <v>1</v>
      </c>
      <c r="AH13">
        <v>-1</v>
      </c>
      <c r="AI13" t="s">
        <v>73</v>
      </c>
      <c r="AJ13">
        <v>0</v>
      </c>
      <c r="AK13" t="b">
        <v>0</v>
      </c>
      <c r="AL13">
        <v>5733528981.3179998</v>
      </c>
      <c r="AM13" t="b">
        <v>1</v>
      </c>
      <c r="AN13">
        <v>0</v>
      </c>
      <c r="AO13" t="b">
        <v>0</v>
      </c>
      <c r="AQ13">
        <v>2853973896.3299999</v>
      </c>
      <c r="AR13">
        <v>2853973896.3299999</v>
      </c>
      <c r="AS13">
        <v>6</v>
      </c>
      <c r="AT13" t="b">
        <v>0</v>
      </c>
      <c r="AU13" t="b">
        <v>1</v>
      </c>
      <c r="BA13" t="str">
        <f t="shared" si="0"/>
        <v>Normal</v>
      </c>
      <c r="BG13" t="str">
        <f t="shared" si="1"/>
        <v>Normal</v>
      </c>
    </row>
    <row r="14" spans="1:59" x14ac:dyDescent="0.2">
      <c r="A14" t="s">
        <v>42</v>
      </c>
      <c r="B14" t="s">
        <v>43</v>
      </c>
      <c r="C14">
        <v>20190101</v>
      </c>
      <c r="D14">
        <v>2019</v>
      </c>
      <c r="E14">
        <v>52</v>
      </c>
      <c r="F14" t="s">
        <v>44</v>
      </c>
      <c r="G14">
        <v>100</v>
      </c>
      <c r="H14" t="s">
        <v>86</v>
      </c>
      <c r="I14" t="s">
        <v>87</v>
      </c>
      <c r="J14" t="s">
        <v>47</v>
      </c>
      <c r="K14" t="s">
        <v>48</v>
      </c>
      <c r="L14">
        <v>0</v>
      </c>
      <c r="M14" t="s">
        <v>49</v>
      </c>
      <c r="N14" t="s">
        <v>50</v>
      </c>
      <c r="O14">
        <v>0</v>
      </c>
      <c r="P14" t="s">
        <v>49</v>
      </c>
      <c r="Q14" t="s">
        <v>50</v>
      </c>
      <c r="R14" t="s">
        <v>51</v>
      </c>
      <c r="S14" t="s">
        <v>52</v>
      </c>
      <c r="T14" t="b">
        <v>1</v>
      </c>
      <c r="U14" t="s">
        <v>53</v>
      </c>
      <c r="V14" t="s">
        <v>54</v>
      </c>
      <c r="W14">
        <v>4</v>
      </c>
      <c r="X14" t="b">
        <v>0</v>
      </c>
      <c r="Y14" t="s">
        <v>55</v>
      </c>
      <c r="Z14" t="s">
        <v>56</v>
      </c>
      <c r="AA14" t="s">
        <v>57</v>
      </c>
      <c r="AB14">
        <v>0</v>
      </c>
      <c r="AC14" t="s">
        <v>58</v>
      </c>
      <c r="AD14">
        <v>8</v>
      </c>
      <c r="AE14" t="s">
        <v>59</v>
      </c>
      <c r="AF14">
        <v>86579</v>
      </c>
      <c r="AG14" t="b">
        <v>0</v>
      </c>
      <c r="AH14">
        <v>8</v>
      </c>
      <c r="AI14" t="s">
        <v>59</v>
      </c>
      <c r="AJ14">
        <v>86579</v>
      </c>
      <c r="AK14" t="b">
        <v>0</v>
      </c>
      <c r="AL14">
        <v>86579</v>
      </c>
      <c r="AM14" t="b">
        <v>0</v>
      </c>
      <c r="AN14">
        <v>0</v>
      </c>
      <c r="AO14" t="b">
        <v>0</v>
      </c>
      <c r="AQ14">
        <v>50416.589</v>
      </c>
      <c r="AR14">
        <v>50416.589</v>
      </c>
      <c r="AS14">
        <v>0</v>
      </c>
      <c r="AT14" t="b">
        <v>0</v>
      </c>
      <c r="AU14" t="b">
        <v>1</v>
      </c>
      <c r="BA14" t="str">
        <f t="shared" si="0"/>
        <v>Normal</v>
      </c>
      <c r="BG14" t="str">
        <f t="shared" si="1"/>
        <v>Normal</v>
      </c>
    </row>
    <row r="15" spans="1:59" x14ac:dyDescent="0.2">
      <c r="A15" t="s">
        <v>42</v>
      </c>
      <c r="B15" t="s">
        <v>43</v>
      </c>
      <c r="C15">
        <v>20190101</v>
      </c>
      <c r="D15">
        <v>2019</v>
      </c>
      <c r="E15">
        <v>52</v>
      </c>
      <c r="F15" t="s">
        <v>44</v>
      </c>
      <c r="G15">
        <v>104</v>
      </c>
      <c r="H15" t="s">
        <v>88</v>
      </c>
      <c r="I15" t="s">
        <v>89</v>
      </c>
      <c r="J15" t="s">
        <v>47</v>
      </c>
      <c r="K15" t="s">
        <v>48</v>
      </c>
      <c r="L15">
        <v>0</v>
      </c>
      <c r="M15" t="s">
        <v>49</v>
      </c>
      <c r="N15" t="s">
        <v>50</v>
      </c>
      <c r="O15">
        <v>0</v>
      </c>
      <c r="P15" t="s">
        <v>49</v>
      </c>
      <c r="Q15" t="s">
        <v>50</v>
      </c>
      <c r="R15" t="s">
        <v>51</v>
      </c>
      <c r="S15" t="s">
        <v>52</v>
      </c>
      <c r="T15" t="b">
        <v>1</v>
      </c>
      <c r="U15" t="s">
        <v>53</v>
      </c>
      <c r="V15" t="s">
        <v>54</v>
      </c>
      <c r="W15">
        <v>4</v>
      </c>
      <c r="X15" t="b">
        <v>0</v>
      </c>
      <c r="Y15" t="s">
        <v>55</v>
      </c>
      <c r="Z15" t="s">
        <v>56</v>
      </c>
      <c r="AA15" t="s">
        <v>57</v>
      </c>
      <c r="AB15">
        <v>0</v>
      </c>
      <c r="AC15" t="s">
        <v>58</v>
      </c>
      <c r="AD15">
        <v>8</v>
      </c>
      <c r="AE15" t="s">
        <v>59</v>
      </c>
      <c r="AF15">
        <v>100111000</v>
      </c>
      <c r="AG15" t="b">
        <v>0</v>
      </c>
      <c r="AH15">
        <v>-1</v>
      </c>
      <c r="AI15" t="s">
        <v>73</v>
      </c>
      <c r="AJ15">
        <v>0</v>
      </c>
      <c r="AK15" t="b">
        <v>0</v>
      </c>
      <c r="AL15">
        <v>100111000</v>
      </c>
      <c r="AM15" t="b">
        <v>0</v>
      </c>
      <c r="AN15">
        <v>0</v>
      </c>
      <c r="AO15" t="b">
        <v>0</v>
      </c>
      <c r="AQ15">
        <v>77695130</v>
      </c>
      <c r="AR15">
        <v>77695130</v>
      </c>
      <c r="AS15">
        <v>0</v>
      </c>
      <c r="AT15" t="b">
        <v>0</v>
      </c>
      <c r="AU15" t="b">
        <v>1</v>
      </c>
      <c r="BA15" t="str">
        <f t="shared" si="0"/>
        <v>Normal</v>
      </c>
      <c r="BG15" t="str">
        <f t="shared" si="1"/>
        <v>Normal</v>
      </c>
    </row>
    <row r="16" spans="1:59" x14ac:dyDescent="0.2">
      <c r="A16" t="s">
        <v>42</v>
      </c>
      <c r="B16" t="s">
        <v>43</v>
      </c>
      <c r="C16">
        <v>20190101</v>
      </c>
      <c r="D16">
        <v>2019</v>
      </c>
      <c r="E16">
        <v>52</v>
      </c>
      <c r="F16" t="s">
        <v>44</v>
      </c>
      <c r="G16">
        <v>112</v>
      </c>
      <c r="H16" t="s">
        <v>90</v>
      </c>
      <c r="I16" t="s">
        <v>91</v>
      </c>
      <c r="J16" t="s">
        <v>47</v>
      </c>
      <c r="K16" t="s">
        <v>48</v>
      </c>
      <c r="L16">
        <v>0</v>
      </c>
      <c r="M16" t="s">
        <v>49</v>
      </c>
      <c r="N16" t="s">
        <v>50</v>
      </c>
      <c r="O16">
        <v>0</v>
      </c>
      <c r="P16" t="s">
        <v>49</v>
      </c>
      <c r="Q16" t="s">
        <v>50</v>
      </c>
      <c r="R16" t="s">
        <v>51</v>
      </c>
      <c r="S16" t="s">
        <v>52</v>
      </c>
      <c r="T16" t="b">
        <v>1</v>
      </c>
      <c r="U16" t="s">
        <v>53</v>
      </c>
      <c r="V16" t="s">
        <v>54</v>
      </c>
      <c r="W16">
        <v>4</v>
      </c>
      <c r="X16" t="b">
        <v>0</v>
      </c>
      <c r="Y16" t="s">
        <v>55</v>
      </c>
      <c r="Z16" t="s">
        <v>56</v>
      </c>
      <c r="AA16" t="s">
        <v>57</v>
      </c>
      <c r="AB16">
        <v>0</v>
      </c>
      <c r="AC16" t="s">
        <v>58</v>
      </c>
      <c r="AD16">
        <v>8</v>
      </c>
      <c r="AE16" t="s">
        <v>59</v>
      </c>
      <c r="AF16">
        <v>1649400000</v>
      </c>
      <c r="AG16" t="b">
        <v>0</v>
      </c>
      <c r="AH16">
        <v>8</v>
      </c>
      <c r="AI16" t="s">
        <v>59</v>
      </c>
      <c r="AJ16">
        <v>1649400000</v>
      </c>
      <c r="AK16" t="b">
        <v>0</v>
      </c>
      <c r="AL16">
        <v>1649400000</v>
      </c>
      <c r="AM16" t="b">
        <v>0</v>
      </c>
      <c r="AN16">
        <v>0</v>
      </c>
      <c r="AO16" t="b">
        <v>0</v>
      </c>
      <c r="AQ16">
        <v>726767000</v>
      </c>
      <c r="AR16">
        <v>726767000</v>
      </c>
      <c r="AS16">
        <v>0</v>
      </c>
      <c r="AT16" t="b">
        <v>0</v>
      </c>
      <c r="AU16" t="b">
        <v>1</v>
      </c>
      <c r="BA16" t="str">
        <f t="shared" si="0"/>
        <v>Normal</v>
      </c>
      <c r="BG16" t="str">
        <f t="shared" si="1"/>
        <v>Normal</v>
      </c>
    </row>
    <row r="17" spans="1:59" x14ac:dyDescent="0.2">
      <c r="A17" t="s">
        <v>42</v>
      </c>
      <c r="B17" t="s">
        <v>43</v>
      </c>
      <c r="C17">
        <v>20190101</v>
      </c>
      <c r="D17">
        <v>2019</v>
      </c>
      <c r="E17">
        <v>52</v>
      </c>
      <c r="F17" t="s">
        <v>44</v>
      </c>
      <c r="G17">
        <v>120</v>
      </c>
      <c r="H17" t="s">
        <v>92</v>
      </c>
      <c r="I17" t="s">
        <v>93</v>
      </c>
      <c r="J17" t="s">
        <v>47</v>
      </c>
      <c r="K17" t="s">
        <v>48</v>
      </c>
      <c r="L17">
        <v>0</v>
      </c>
      <c r="M17" t="s">
        <v>49</v>
      </c>
      <c r="N17" t="s">
        <v>50</v>
      </c>
      <c r="O17">
        <v>0</v>
      </c>
      <c r="P17" t="s">
        <v>49</v>
      </c>
      <c r="Q17" t="s">
        <v>50</v>
      </c>
      <c r="R17" t="s">
        <v>51</v>
      </c>
      <c r="S17" t="s">
        <v>52</v>
      </c>
      <c r="T17" t="b">
        <v>1</v>
      </c>
      <c r="U17" t="s">
        <v>53</v>
      </c>
      <c r="V17" t="s">
        <v>54</v>
      </c>
      <c r="W17">
        <v>4</v>
      </c>
      <c r="X17" t="b">
        <v>0</v>
      </c>
      <c r="Y17" t="s">
        <v>55</v>
      </c>
      <c r="Z17" t="s">
        <v>56</v>
      </c>
      <c r="AA17" t="s">
        <v>57</v>
      </c>
      <c r="AB17">
        <v>0</v>
      </c>
      <c r="AC17" t="s">
        <v>58</v>
      </c>
      <c r="AD17">
        <v>8</v>
      </c>
      <c r="AE17" t="s">
        <v>59</v>
      </c>
      <c r="AF17">
        <v>3811088454</v>
      </c>
      <c r="AG17" t="b">
        <v>0</v>
      </c>
      <c r="AH17">
        <v>8</v>
      </c>
      <c r="AI17" t="s">
        <v>59</v>
      </c>
      <c r="AJ17">
        <v>3811088454</v>
      </c>
      <c r="AK17" t="b">
        <v>0</v>
      </c>
      <c r="AL17">
        <v>3811088454</v>
      </c>
      <c r="AM17" t="b">
        <v>0</v>
      </c>
      <c r="AN17">
        <v>0</v>
      </c>
      <c r="AO17" t="b">
        <v>0</v>
      </c>
      <c r="AQ17">
        <v>1705619731.21</v>
      </c>
      <c r="AR17">
        <v>1705619731.21</v>
      </c>
      <c r="AS17">
        <v>0</v>
      </c>
      <c r="AT17" t="b">
        <v>0</v>
      </c>
      <c r="AU17" t="b">
        <v>1</v>
      </c>
      <c r="BA17" t="str">
        <f t="shared" si="0"/>
        <v>Normal</v>
      </c>
      <c r="BG17" t="str">
        <f t="shared" si="1"/>
        <v>Normal</v>
      </c>
    </row>
    <row r="18" spans="1:59" x14ac:dyDescent="0.2">
      <c r="A18" t="s">
        <v>42</v>
      </c>
      <c r="B18" t="s">
        <v>43</v>
      </c>
      <c r="C18">
        <v>20190101</v>
      </c>
      <c r="D18">
        <v>2019</v>
      </c>
      <c r="E18">
        <v>52</v>
      </c>
      <c r="F18" t="s">
        <v>44</v>
      </c>
      <c r="G18">
        <v>124</v>
      </c>
      <c r="H18" t="s">
        <v>94</v>
      </c>
      <c r="I18" t="s">
        <v>95</v>
      </c>
      <c r="J18" t="s">
        <v>47</v>
      </c>
      <c r="K18" t="s">
        <v>48</v>
      </c>
      <c r="L18">
        <v>0</v>
      </c>
      <c r="M18" t="s">
        <v>49</v>
      </c>
      <c r="N18" t="s">
        <v>50</v>
      </c>
      <c r="O18">
        <v>0</v>
      </c>
      <c r="P18" t="s">
        <v>49</v>
      </c>
      <c r="Q18" t="s">
        <v>50</v>
      </c>
      <c r="R18" t="s">
        <v>51</v>
      </c>
      <c r="S18" t="s">
        <v>52</v>
      </c>
      <c r="T18" t="b">
        <v>1</v>
      </c>
      <c r="U18" t="s">
        <v>53</v>
      </c>
      <c r="V18" t="s">
        <v>54</v>
      </c>
      <c r="W18">
        <v>4</v>
      </c>
      <c r="X18" t="b">
        <v>0</v>
      </c>
      <c r="Y18" t="s">
        <v>55</v>
      </c>
      <c r="Z18" t="s">
        <v>56</v>
      </c>
      <c r="AA18" t="s">
        <v>57</v>
      </c>
      <c r="AB18">
        <v>0</v>
      </c>
      <c r="AC18" t="s">
        <v>58</v>
      </c>
      <c r="AD18">
        <v>8</v>
      </c>
      <c r="AE18" t="s">
        <v>59</v>
      </c>
      <c r="AF18">
        <v>145392729987.63599</v>
      </c>
      <c r="AG18" t="b">
        <v>1</v>
      </c>
      <c r="AH18">
        <v>-1</v>
      </c>
      <c r="AI18" t="s">
        <v>73</v>
      </c>
      <c r="AJ18">
        <v>0</v>
      </c>
      <c r="AK18" t="b">
        <v>0</v>
      </c>
      <c r="AL18">
        <v>145392729987.63599</v>
      </c>
      <c r="AM18" t="b">
        <v>1</v>
      </c>
      <c r="AN18">
        <v>0</v>
      </c>
      <c r="AO18" t="b">
        <v>0</v>
      </c>
      <c r="AQ18">
        <v>68104060281.266998</v>
      </c>
      <c r="AR18">
        <v>68104060281.266998</v>
      </c>
      <c r="AS18">
        <v>6</v>
      </c>
      <c r="AT18" t="b">
        <v>0</v>
      </c>
      <c r="AU18" t="b">
        <v>1</v>
      </c>
      <c r="BA18" t="str">
        <f t="shared" si="0"/>
        <v>Normal</v>
      </c>
      <c r="BG18" t="str">
        <f t="shared" si="1"/>
        <v>Normal</v>
      </c>
    </row>
    <row r="19" spans="1:59" x14ac:dyDescent="0.2">
      <c r="A19" t="s">
        <v>42</v>
      </c>
      <c r="B19" t="s">
        <v>43</v>
      </c>
      <c r="C19">
        <v>20190101</v>
      </c>
      <c r="D19">
        <v>2019</v>
      </c>
      <c r="E19">
        <v>52</v>
      </c>
      <c r="F19" t="s">
        <v>44</v>
      </c>
      <c r="G19">
        <v>156</v>
      </c>
      <c r="H19" t="s">
        <v>96</v>
      </c>
      <c r="I19" t="s">
        <v>97</v>
      </c>
      <c r="J19" t="s">
        <v>47</v>
      </c>
      <c r="K19" t="s">
        <v>48</v>
      </c>
      <c r="L19">
        <v>0</v>
      </c>
      <c r="M19" t="s">
        <v>49</v>
      </c>
      <c r="N19" t="s">
        <v>50</v>
      </c>
      <c r="O19">
        <v>0</v>
      </c>
      <c r="P19" t="s">
        <v>49</v>
      </c>
      <c r="Q19" t="s">
        <v>50</v>
      </c>
      <c r="R19" t="s">
        <v>51</v>
      </c>
      <c r="S19" t="s">
        <v>52</v>
      </c>
      <c r="T19" t="b">
        <v>1</v>
      </c>
      <c r="U19" t="s">
        <v>53</v>
      </c>
      <c r="V19" t="s">
        <v>54</v>
      </c>
      <c r="W19">
        <v>4</v>
      </c>
      <c r="X19" t="b">
        <v>0</v>
      </c>
      <c r="Y19" t="s">
        <v>55</v>
      </c>
      <c r="Z19" t="s">
        <v>56</v>
      </c>
      <c r="AA19" t="s">
        <v>57</v>
      </c>
      <c r="AB19">
        <v>0</v>
      </c>
      <c r="AC19" t="s">
        <v>58</v>
      </c>
      <c r="AD19">
        <v>8</v>
      </c>
      <c r="AE19" t="s">
        <v>59</v>
      </c>
      <c r="AF19">
        <v>810025400</v>
      </c>
      <c r="AG19" t="b">
        <v>0</v>
      </c>
      <c r="AH19">
        <v>8</v>
      </c>
      <c r="AI19" t="s">
        <v>59</v>
      </c>
      <c r="AJ19">
        <v>810025400</v>
      </c>
      <c r="AK19" t="b">
        <v>0</v>
      </c>
      <c r="AL19">
        <v>810025400</v>
      </c>
      <c r="AM19" t="b">
        <v>0</v>
      </c>
      <c r="AN19">
        <v>0</v>
      </c>
      <c r="AO19" t="b">
        <v>0</v>
      </c>
      <c r="AP19">
        <v>0</v>
      </c>
      <c r="AQ19">
        <v>361760014</v>
      </c>
      <c r="AR19">
        <v>361760014</v>
      </c>
      <c r="AS19">
        <v>0</v>
      </c>
      <c r="AT19" t="b">
        <v>0</v>
      </c>
      <c r="AU19" t="b">
        <v>1</v>
      </c>
      <c r="BA19" t="str">
        <f t="shared" si="0"/>
        <v>Normal</v>
      </c>
      <c r="BG19" t="str">
        <f t="shared" si="1"/>
        <v>Normal</v>
      </c>
    </row>
    <row r="20" spans="1:59" x14ac:dyDescent="0.2">
      <c r="A20" t="s">
        <v>42</v>
      </c>
      <c r="B20" t="s">
        <v>43</v>
      </c>
      <c r="C20">
        <v>20190101</v>
      </c>
      <c r="D20">
        <v>2019</v>
      </c>
      <c r="E20">
        <v>52</v>
      </c>
      <c r="F20" t="s">
        <v>44</v>
      </c>
      <c r="G20">
        <v>170</v>
      </c>
      <c r="H20" t="s">
        <v>98</v>
      </c>
      <c r="I20" t="s">
        <v>99</v>
      </c>
      <c r="J20" t="s">
        <v>47</v>
      </c>
      <c r="K20" t="s">
        <v>48</v>
      </c>
      <c r="L20">
        <v>0</v>
      </c>
      <c r="M20" t="s">
        <v>49</v>
      </c>
      <c r="N20" t="s">
        <v>50</v>
      </c>
      <c r="O20">
        <v>0</v>
      </c>
      <c r="P20" t="s">
        <v>49</v>
      </c>
      <c r="Q20" t="s">
        <v>50</v>
      </c>
      <c r="R20" t="s">
        <v>51</v>
      </c>
      <c r="S20" t="s">
        <v>52</v>
      </c>
      <c r="T20" t="b">
        <v>1</v>
      </c>
      <c r="U20" t="s">
        <v>53</v>
      </c>
      <c r="V20" t="s">
        <v>54</v>
      </c>
      <c r="W20">
        <v>4</v>
      </c>
      <c r="X20" t="b">
        <v>0</v>
      </c>
      <c r="Y20" t="s">
        <v>55</v>
      </c>
      <c r="Z20" t="s">
        <v>56</v>
      </c>
      <c r="AA20" t="s">
        <v>57</v>
      </c>
      <c r="AB20">
        <v>0</v>
      </c>
      <c r="AC20" t="s">
        <v>58</v>
      </c>
      <c r="AD20">
        <v>8</v>
      </c>
      <c r="AE20" t="s">
        <v>59</v>
      </c>
      <c r="AF20">
        <v>32647277120</v>
      </c>
      <c r="AG20" t="b">
        <v>0</v>
      </c>
      <c r="AH20">
        <v>12</v>
      </c>
      <c r="AI20" t="s">
        <v>70</v>
      </c>
      <c r="AJ20">
        <v>35312066.850000001</v>
      </c>
      <c r="AK20" t="b">
        <v>0</v>
      </c>
      <c r="AL20">
        <v>32647277120</v>
      </c>
      <c r="AM20" t="b">
        <v>0</v>
      </c>
      <c r="AN20">
        <v>0</v>
      </c>
      <c r="AO20" t="b">
        <v>0</v>
      </c>
      <c r="AQ20">
        <v>12979915800.030001</v>
      </c>
      <c r="AR20">
        <v>12979915800.030001</v>
      </c>
      <c r="AS20">
        <v>0</v>
      </c>
      <c r="AT20" t="b">
        <v>0</v>
      </c>
      <c r="AU20" t="b">
        <v>1</v>
      </c>
      <c r="BA20" t="str">
        <f t="shared" si="0"/>
        <v>Normal</v>
      </c>
      <c r="BG20" t="str">
        <f t="shared" si="1"/>
        <v>Normal</v>
      </c>
    </row>
    <row r="21" spans="1:59" x14ac:dyDescent="0.2">
      <c r="A21" t="s">
        <v>42</v>
      </c>
      <c r="B21" t="s">
        <v>43</v>
      </c>
      <c r="C21">
        <v>20190101</v>
      </c>
      <c r="D21">
        <v>2019</v>
      </c>
      <c r="E21">
        <v>52</v>
      </c>
      <c r="F21" t="s">
        <v>44</v>
      </c>
      <c r="G21">
        <v>178</v>
      </c>
      <c r="H21" t="s">
        <v>100</v>
      </c>
      <c r="I21" t="s">
        <v>101</v>
      </c>
      <c r="J21" t="s">
        <v>47</v>
      </c>
      <c r="K21" t="s">
        <v>48</v>
      </c>
      <c r="L21">
        <v>0</v>
      </c>
      <c r="M21" t="s">
        <v>49</v>
      </c>
      <c r="N21" t="s">
        <v>50</v>
      </c>
      <c r="O21">
        <v>0</v>
      </c>
      <c r="P21" t="s">
        <v>49</v>
      </c>
      <c r="Q21" t="s">
        <v>50</v>
      </c>
      <c r="R21" t="s">
        <v>51</v>
      </c>
      <c r="S21" t="s">
        <v>52</v>
      </c>
      <c r="T21" t="b">
        <v>1</v>
      </c>
      <c r="U21" t="s">
        <v>53</v>
      </c>
      <c r="V21" t="s">
        <v>54</v>
      </c>
      <c r="W21">
        <v>4</v>
      </c>
      <c r="X21" t="b">
        <v>0</v>
      </c>
      <c r="Y21" t="s">
        <v>55</v>
      </c>
      <c r="Z21" t="s">
        <v>56</v>
      </c>
      <c r="AA21" t="s">
        <v>57</v>
      </c>
      <c r="AB21">
        <v>0</v>
      </c>
      <c r="AC21" t="s">
        <v>58</v>
      </c>
      <c r="AD21">
        <v>8</v>
      </c>
      <c r="AE21" t="s">
        <v>59</v>
      </c>
      <c r="AF21">
        <v>9299035793.6000004</v>
      </c>
      <c r="AG21" t="b">
        <v>0</v>
      </c>
      <c r="AH21">
        <v>8</v>
      </c>
      <c r="AI21" t="s">
        <v>59</v>
      </c>
      <c r="AJ21">
        <v>9299035793.6000004</v>
      </c>
      <c r="AK21" t="b">
        <v>0</v>
      </c>
      <c r="AL21">
        <v>9299035793.6000004</v>
      </c>
      <c r="AM21" t="b">
        <v>0</v>
      </c>
      <c r="AN21">
        <v>0</v>
      </c>
      <c r="AO21" t="b">
        <v>0</v>
      </c>
      <c r="AQ21">
        <v>4409487721.2639999</v>
      </c>
      <c r="AR21">
        <v>4409487721.2639999</v>
      </c>
      <c r="AS21">
        <v>0</v>
      </c>
      <c r="AT21" t="b">
        <v>0</v>
      </c>
      <c r="AU21" t="b">
        <v>1</v>
      </c>
      <c r="BA21" t="str">
        <f t="shared" si="0"/>
        <v>Normal</v>
      </c>
      <c r="BG21" t="str">
        <f t="shared" si="1"/>
        <v>Normal</v>
      </c>
    </row>
    <row r="22" spans="1:59" x14ac:dyDescent="0.2">
      <c r="A22" t="s">
        <v>42</v>
      </c>
      <c r="B22" t="s">
        <v>43</v>
      </c>
      <c r="C22">
        <v>20190101</v>
      </c>
      <c r="D22">
        <v>2019</v>
      </c>
      <c r="E22">
        <v>52</v>
      </c>
      <c r="F22" t="s">
        <v>44</v>
      </c>
      <c r="G22">
        <v>180</v>
      </c>
      <c r="H22" t="s">
        <v>102</v>
      </c>
      <c r="I22" t="s">
        <v>103</v>
      </c>
      <c r="J22" t="s">
        <v>47</v>
      </c>
      <c r="K22" t="s">
        <v>48</v>
      </c>
      <c r="L22">
        <v>0</v>
      </c>
      <c r="M22" t="s">
        <v>49</v>
      </c>
      <c r="N22" t="s">
        <v>50</v>
      </c>
      <c r="O22">
        <v>0</v>
      </c>
      <c r="P22" t="s">
        <v>49</v>
      </c>
      <c r="Q22" t="s">
        <v>50</v>
      </c>
      <c r="R22" t="s">
        <v>104</v>
      </c>
      <c r="S22" t="s">
        <v>52</v>
      </c>
      <c r="T22" t="b">
        <v>1</v>
      </c>
      <c r="U22" t="s">
        <v>53</v>
      </c>
      <c r="V22" t="s">
        <v>54</v>
      </c>
      <c r="W22">
        <v>4</v>
      </c>
      <c r="X22" t="b">
        <v>0</v>
      </c>
      <c r="Y22" t="s">
        <v>55</v>
      </c>
      <c r="Z22" t="s">
        <v>56</v>
      </c>
      <c r="AA22" t="s">
        <v>57</v>
      </c>
      <c r="AB22">
        <v>0</v>
      </c>
      <c r="AC22" t="s">
        <v>58</v>
      </c>
      <c r="AD22">
        <v>8</v>
      </c>
      <c r="AE22" t="s">
        <v>59</v>
      </c>
      <c r="AF22">
        <v>14427</v>
      </c>
      <c r="AG22" t="b">
        <v>0</v>
      </c>
      <c r="AH22">
        <v>7</v>
      </c>
      <c r="AI22" t="s">
        <v>67</v>
      </c>
      <c r="AJ22">
        <v>10</v>
      </c>
      <c r="AK22" t="b">
        <v>0</v>
      </c>
      <c r="AL22">
        <v>14427</v>
      </c>
      <c r="AM22" t="b">
        <v>0</v>
      </c>
      <c r="AN22">
        <v>0</v>
      </c>
      <c r="AO22" t="b">
        <v>0</v>
      </c>
      <c r="AP22">
        <v>0</v>
      </c>
      <c r="AQ22">
        <v>4303.07</v>
      </c>
      <c r="AR22">
        <v>4303.07</v>
      </c>
      <c r="AS22">
        <v>0</v>
      </c>
      <c r="AT22" t="b">
        <v>0</v>
      </c>
      <c r="AU22" t="b">
        <v>1</v>
      </c>
      <c r="BA22" t="str">
        <f t="shared" si="0"/>
        <v>Normal</v>
      </c>
      <c r="BG22" t="str">
        <f t="shared" si="1"/>
        <v>Normal</v>
      </c>
    </row>
    <row r="23" spans="1:59" x14ac:dyDescent="0.2">
      <c r="A23" t="s">
        <v>42</v>
      </c>
      <c r="B23" t="s">
        <v>43</v>
      </c>
      <c r="C23">
        <v>20190101</v>
      </c>
      <c r="D23">
        <v>2019</v>
      </c>
      <c r="E23">
        <v>52</v>
      </c>
      <c r="F23" t="s">
        <v>44</v>
      </c>
      <c r="G23">
        <v>191</v>
      </c>
      <c r="H23" t="s">
        <v>105</v>
      </c>
      <c r="I23" t="s">
        <v>106</v>
      </c>
      <c r="J23" t="s">
        <v>47</v>
      </c>
      <c r="K23" t="s">
        <v>48</v>
      </c>
      <c r="L23">
        <v>0</v>
      </c>
      <c r="M23" t="s">
        <v>49</v>
      </c>
      <c r="N23" t="s">
        <v>50</v>
      </c>
      <c r="O23">
        <v>0</v>
      </c>
      <c r="P23" t="s">
        <v>49</v>
      </c>
      <c r="Q23" t="s">
        <v>50</v>
      </c>
      <c r="R23" t="s">
        <v>51</v>
      </c>
      <c r="S23" t="s">
        <v>52</v>
      </c>
      <c r="T23" t="b">
        <v>1</v>
      </c>
      <c r="U23" t="s">
        <v>53</v>
      </c>
      <c r="V23" t="s">
        <v>54</v>
      </c>
      <c r="W23">
        <v>4</v>
      </c>
      <c r="X23" t="b">
        <v>0</v>
      </c>
      <c r="Y23" t="s">
        <v>55</v>
      </c>
      <c r="Z23" t="s">
        <v>56</v>
      </c>
      <c r="AA23" t="s">
        <v>57</v>
      </c>
      <c r="AB23">
        <v>0</v>
      </c>
      <c r="AC23" t="s">
        <v>58</v>
      </c>
      <c r="AD23">
        <v>8</v>
      </c>
      <c r="AE23" t="s">
        <v>59</v>
      </c>
      <c r="AF23">
        <v>149196024</v>
      </c>
      <c r="AG23" t="b">
        <v>0</v>
      </c>
      <c r="AH23">
        <v>8</v>
      </c>
      <c r="AI23" t="s">
        <v>59</v>
      </c>
      <c r="AJ23">
        <v>149196024</v>
      </c>
      <c r="AK23" t="b">
        <v>0</v>
      </c>
      <c r="AL23">
        <v>149196024</v>
      </c>
      <c r="AM23" t="b">
        <v>0</v>
      </c>
      <c r="AN23">
        <v>0</v>
      </c>
      <c r="AO23" t="b">
        <v>0</v>
      </c>
      <c r="AQ23">
        <v>72395878</v>
      </c>
      <c r="AR23">
        <v>72395878</v>
      </c>
      <c r="AS23">
        <v>0</v>
      </c>
      <c r="AT23" t="b">
        <v>0</v>
      </c>
      <c r="AU23" t="b">
        <v>1</v>
      </c>
      <c r="BA23" t="str">
        <f t="shared" si="0"/>
        <v>Normal</v>
      </c>
      <c r="BG23" t="str">
        <f t="shared" si="1"/>
        <v>Normal</v>
      </c>
    </row>
    <row r="24" spans="1:59" x14ac:dyDescent="0.2">
      <c r="A24" t="s">
        <v>42</v>
      </c>
      <c r="B24" t="s">
        <v>43</v>
      </c>
      <c r="C24">
        <v>20190101</v>
      </c>
      <c r="D24">
        <v>2019</v>
      </c>
      <c r="E24">
        <v>52</v>
      </c>
      <c r="F24" t="s">
        <v>44</v>
      </c>
      <c r="G24">
        <v>203</v>
      </c>
      <c r="H24" t="s">
        <v>107</v>
      </c>
      <c r="I24" t="s">
        <v>108</v>
      </c>
      <c r="J24" t="s">
        <v>47</v>
      </c>
      <c r="K24" t="s">
        <v>48</v>
      </c>
      <c r="L24">
        <v>0</v>
      </c>
      <c r="M24" t="s">
        <v>49</v>
      </c>
      <c r="N24" t="s">
        <v>50</v>
      </c>
      <c r="O24">
        <v>0</v>
      </c>
      <c r="P24" t="s">
        <v>49</v>
      </c>
      <c r="Q24" t="s">
        <v>50</v>
      </c>
      <c r="R24" t="s">
        <v>51</v>
      </c>
      <c r="S24" t="s">
        <v>52</v>
      </c>
      <c r="T24" t="b">
        <v>1</v>
      </c>
      <c r="U24" t="s">
        <v>53</v>
      </c>
      <c r="V24" t="s">
        <v>54</v>
      </c>
      <c r="W24">
        <v>4</v>
      </c>
      <c r="X24" t="b">
        <v>0</v>
      </c>
      <c r="Y24" t="s">
        <v>55</v>
      </c>
      <c r="Z24" t="s">
        <v>56</v>
      </c>
      <c r="AA24" t="s">
        <v>57</v>
      </c>
      <c r="AB24">
        <v>0</v>
      </c>
      <c r="AC24" t="s">
        <v>58</v>
      </c>
      <c r="AD24">
        <v>-1</v>
      </c>
      <c r="AE24" t="s">
        <v>73</v>
      </c>
      <c r="AF24">
        <v>0</v>
      </c>
      <c r="AG24" t="b">
        <v>1</v>
      </c>
      <c r="AH24">
        <v>-1</v>
      </c>
      <c r="AI24" t="s">
        <v>73</v>
      </c>
      <c r="AJ24">
        <v>0</v>
      </c>
      <c r="AK24" t="b">
        <v>0</v>
      </c>
      <c r="AM24" t="b">
        <v>1</v>
      </c>
      <c r="AN24">
        <v>0</v>
      </c>
      <c r="AO24" t="b">
        <v>0</v>
      </c>
      <c r="AQ24">
        <v>168603</v>
      </c>
      <c r="AR24">
        <v>168603</v>
      </c>
      <c r="AS24">
        <v>6</v>
      </c>
      <c r="AT24" t="b">
        <v>0</v>
      </c>
      <c r="AU24" t="b">
        <v>1</v>
      </c>
      <c r="BA24" t="str">
        <f t="shared" si="0"/>
        <v>Normal</v>
      </c>
      <c r="BG24" t="str">
        <f t="shared" si="1"/>
        <v>Normal</v>
      </c>
    </row>
    <row r="25" spans="1:59" x14ac:dyDescent="0.2">
      <c r="A25" t="s">
        <v>42</v>
      </c>
      <c r="B25" t="s">
        <v>43</v>
      </c>
      <c r="C25">
        <v>20190101</v>
      </c>
      <c r="D25">
        <v>2019</v>
      </c>
      <c r="E25">
        <v>52</v>
      </c>
      <c r="F25" t="s">
        <v>44</v>
      </c>
      <c r="G25">
        <v>208</v>
      </c>
      <c r="H25" t="s">
        <v>109</v>
      </c>
      <c r="I25" t="s">
        <v>110</v>
      </c>
      <c r="J25" t="s">
        <v>47</v>
      </c>
      <c r="K25" t="s">
        <v>48</v>
      </c>
      <c r="L25">
        <v>0</v>
      </c>
      <c r="M25" t="s">
        <v>49</v>
      </c>
      <c r="N25" t="s">
        <v>50</v>
      </c>
      <c r="O25">
        <v>0</v>
      </c>
      <c r="P25" t="s">
        <v>49</v>
      </c>
      <c r="Q25" t="s">
        <v>50</v>
      </c>
      <c r="R25" t="s">
        <v>51</v>
      </c>
      <c r="S25" t="s">
        <v>52</v>
      </c>
      <c r="T25" t="b">
        <v>1</v>
      </c>
      <c r="U25" t="s">
        <v>53</v>
      </c>
      <c r="V25" t="s">
        <v>54</v>
      </c>
      <c r="W25">
        <v>4</v>
      </c>
      <c r="X25" t="b">
        <v>0</v>
      </c>
      <c r="Y25" t="s">
        <v>55</v>
      </c>
      <c r="Z25" t="s">
        <v>56</v>
      </c>
      <c r="AA25" t="s">
        <v>57</v>
      </c>
      <c r="AB25">
        <v>0</v>
      </c>
      <c r="AC25" t="s">
        <v>58</v>
      </c>
      <c r="AD25">
        <v>8</v>
      </c>
      <c r="AE25" t="s">
        <v>59</v>
      </c>
      <c r="AF25">
        <v>2245963743.7059999</v>
      </c>
      <c r="AG25" t="b">
        <v>1</v>
      </c>
      <c r="AH25">
        <v>-1</v>
      </c>
      <c r="AI25" t="s">
        <v>73</v>
      </c>
      <c r="AJ25">
        <v>0</v>
      </c>
      <c r="AK25" t="b">
        <v>0</v>
      </c>
      <c r="AL25">
        <v>2245963743.7059999</v>
      </c>
      <c r="AM25" t="b">
        <v>1</v>
      </c>
      <c r="AN25">
        <v>0</v>
      </c>
      <c r="AO25" t="b">
        <v>0</v>
      </c>
      <c r="AP25">
        <v>0</v>
      </c>
      <c r="AQ25">
        <v>1168556773.4849999</v>
      </c>
      <c r="AR25">
        <v>1168556773.4849999</v>
      </c>
      <c r="AS25">
        <v>6</v>
      </c>
      <c r="AT25" t="b">
        <v>0</v>
      </c>
      <c r="AU25" t="b">
        <v>1</v>
      </c>
      <c r="BA25" t="str">
        <f t="shared" si="0"/>
        <v>Normal</v>
      </c>
      <c r="BG25" t="str">
        <f t="shared" si="1"/>
        <v>Normal</v>
      </c>
    </row>
    <row r="26" spans="1:59" x14ac:dyDescent="0.2">
      <c r="A26" t="s">
        <v>42</v>
      </c>
      <c r="B26" t="s">
        <v>43</v>
      </c>
      <c r="C26">
        <v>20190101</v>
      </c>
      <c r="D26">
        <v>2019</v>
      </c>
      <c r="E26">
        <v>52</v>
      </c>
      <c r="F26" t="s">
        <v>44</v>
      </c>
      <c r="G26">
        <v>214</v>
      </c>
      <c r="H26" t="s">
        <v>111</v>
      </c>
      <c r="I26" t="s">
        <v>112</v>
      </c>
      <c r="J26" t="s">
        <v>47</v>
      </c>
      <c r="K26" t="s">
        <v>48</v>
      </c>
      <c r="L26">
        <v>0</v>
      </c>
      <c r="M26" t="s">
        <v>49</v>
      </c>
      <c r="N26" t="s">
        <v>50</v>
      </c>
      <c r="O26">
        <v>0</v>
      </c>
      <c r="P26" t="s">
        <v>49</v>
      </c>
      <c r="Q26" t="s">
        <v>50</v>
      </c>
      <c r="R26" t="s">
        <v>51</v>
      </c>
      <c r="S26" t="s">
        <v>52</v>
      </c>
      <c r="T26" t="b">
        <v>1</v>
      </c>
      <c r="U26" t="s">
        <v>53</v>
      </c>
      <c r="V26" t="s">
        <v>54</v>
      </c>
      <c r="W26">
        <v>4</v>
      </c>
      <c r="X26" t="b">
        <v>0</v>
      </c>
      <c r="Y26" t="s">
        <v>55</v>
      </c>
      <c r="Z26" t="s">
        <v>56</v>
      </c>
      <c r="AA26" t="s">
        <v>57</v>
      </c>
      <c r="AB26">
        <v>0</v>
      </c>
      <c r="AC26" t="s">
        <v>58</v>
      </c>
      <c r="AD26">
        <v>8</v>
      </c>
      <c r="AE26" t="s">
        <v>59</v>
      </c>
      <c r="AF26">
        <v>101460</v>
      </c>
      <c r="AG26" t="b">
        <v>0</v>
      </c>
      <c r="AH26">
        <v>8</v>
      </c>
      <c r="AI26" t="s">
        <v>59</v>
      </c>
      <c r="AJ26">
        <v>101460</v>
      </c>
      <c r="AK26" t="b">
        <v>0</v>
      </c>
      <c r="AL26">
        <v>117212</v>
      </c>
      <c r="AM26" t="b">
        <v>0</v>
      </c>
      <c r="AN26">
        <v>0</v>
      </c>
      <c r="AO26" t="b">
        <v>0</v>
      </c>
      <c r="AQ26">
        <v>123589.43399999999</v>
      </c>
      <c r="AR26">
        <v>123589.43399999999</v>
      </c>
      <c r="AS26">
        <v>0</v>
      </c>
      <c r="AT26" t="b">
        <v>0</v>
      </c>
      <c r="AU26" t="b">
        <v>1</v>
      </c>
      <c r="BA26" t="str">
        <f t="shared" si="0"/>
        <v>Normal</v>
      </c>
      <c r="BG26" t="str">
        <f t="shared" si="1"/>
        <v>Normal</v>
      </c>
    </row>
    <row r="27" spans="1:59" x14ac:dyDescent="0.2">
      <c r="A27" t="s">
        <v>42</v>
      </c>
      <c r="B27" t="s">
        <v>43</v>
      </c>
      <c r="C27">
        <v>20190101</v>
      </c>
      <c r="D27">
        <v>2019</v>
      </c>
      <c r="E27">
        <v>52</v>
      </c>
      <c r="F27" t="s">
        <v>44</v>
      </c>
      <c r="G27">
        <v>218</v>
      </c>
      <c r="H27" t="s">
        <v>113</v>
      </c>
      <c r="I27" t="s">
        <v>114</v>
      </c>
      <c r="J27" t="s">
        <v>47</v>
      </c>
      <c r="K27" t="s">
        <v>48</v>
      </c>
      <c r="L27">
        <v>0</v>
      </c>
      <c r="M27" t="s">
        <v>49</v>
      </c>
      <c r="N27" t="s">
        <v>50</v>
      </c>
      <c r="O27">
        <v>0</v>
      </c>
      <c r="P27" t="s">
        <v>49</v>
      </c>
      <c r="Q27" t="s">
        <v>50</v>
      </c>
      <c r="R27" t="s">
        <v>51</v>
      </c>
      <c r="S27" t="s">
        <v>52</v>
      </c>
      <c r="T27" t="b">
        <v>1</v>
      </c>
      <c r="U27" t="s">
        <v>53</v>
      </c>
      <c r="V27" t="s">
        <v>54</v>
      </c>
      <c r="W27">
        <v>4</v>
      </c>
      <c r="X27" t="b">
        <v>0</v>
      </c>
      <c r="Y27" t="s">
        <v>55</v>
      </c>
      <c r="Z27" t="s">
        <v>56</v>
      </c>
      <c r="AA27" t="s">
        <v>57</v>
      </c>
      <c r="AB27">
        <v>0</v>
      </c>
      <c r="AC27" t="s">
        <v>58</v>
      </c>
      <c r="AD27">
        <v>-1</v>
      </c>
      <c r="AE27" t="s">
        <v>73</v>
      </c>
      <c r="AF27">
        <v>0</v>
      </c>
      <c r="AG27" t="b">
        <v>1</v>
      </c>
      <c r="AH27">
        <v>-1</v>
      </c>
      <c r="AI27" t="s">
        <v>73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P27">
        <v>0</v>
      </c>
      <c r="AQ27">
        <v>7731162685.5</v>
      </c>
      <c r="AR27">
        <v>7731162685.5</v>
      </c>
      <c r="AS27">
        <v>6</v>
      </c>
      <c r="AT27" t="b">
        <v>0</v>
      </c>
      <c r="AU27" t="b">
        <v>1</v>
      </c>
      <c r="BA27" t="str">
        <f t="shared" si="0"/>
        <v>Normal</v>
      </c>
      <c r="BG27" t="str">
        <f t="shared" si="1"/>
        <v>Normal</v>
      </c>
    </row>
    <row r="28" spans="1:59" x14ac:dyDescent="0.2">
      <c r="A28" t="s">
        <v>42</v>
      </c>
      <c r="B28" t="s">
        <v>43</v>
      </c>
      <c r="C28">
        <v>20190101</v>
      </c>
      <c r="D28">
        <v>2019</v>
      </c>
      <c r="E28">
        <v>52</v>
      </c>
      <c r="F28" t="s">
        <v>44</v>
      </c>
      <c r="G28">
        <v>222</v>
      </c>
      <c r="H28" t="s">
        <v>115</v>
      </c>
      <c r="I28" t="s">
        <v>116</v>
      </c>
      <c r="J28" t="s">
        <v>47</v>
      </c>
      <c r="K28" t="s">
        <v>48</v>
      </c>
      <c r="L28">
        <v>0</v>
      </c>
      <c r="M28" t="s">
        <v>49</v>
      </c>
      <c r="N28" t="s">
        <v>50</v>
      </c>
      <c r="O28">
        <v>0</v>
      </c>
      <c r="P28" t="s">
        <v>49</v>
      </c>
      <c r="Q28" t="s">
        <v>50</v>
      </c>
      <c r="R28" t="s">
        <v>51</v>
      </c>
      <c r="S28" t="s">
        <v>52</v>
      </c>
      <c r="T28" t="b">
        <v>1</v>
      </c>
      <c r="U28" t="s">
        <v>53</v>
      </c>
      <c r="V28" t="s">
        <v>54</v>
      </c>
      <c r="W28">
        <v>4</v>
      </c>
      <c r="X28" t="b">
        <v>0</v>
      </c>
      <c r="Y28" t="s">
        <v>55</v>
      </c>
      <c r="Z28" t="s">
        <v>56</v>
      </c>
      <c r="AA28" t="s">
        <v>57</v>
      </c>
      <c r="AB28">
        <v>0</v>
      </c>
      <c r="AC28" t="s">
        <v>58</v>
      </c>
      <c r="AD28">
        <v>8</v>
      </c>
      <c r="AE28" t="s">
        <v>59</v>
      </c>
      <c r="AF28">
        <v>5250</v>
      </c>
      <c r="AG28" t="b">
        <v>0</v>
      </c>
      <c r="AH28">
        <v>8</v>
      </c>
      <c r="AI28" t="s">
        <v>59</v>
      </c>
      <c r="AJ28">
        <v>5250</v>
      </c>
      <c r="AK28" t="b">
        <v>0</v>
      </c>
      <c r="AL28">
        <v>5250</v>
      </c>
      <c r="AM28" t="b">
        <v>0</v>
      </c>
      <c r="AN28">
        <v>0</v>
      </c>
      <c r="AO28" t="b">
        <v>0</v>
      </c>
      <c r="AP28">
        <v>0</v>
      </c>
      <c r="AQ28">
        <v>6588.45</v>
      </c>
      <c r="AR28">
        <v>6588.45</v>
      </c>
      <c r="AS28">
        <v>0</v>
      </c>
      <c r="AT28" t="b">
        <v>0</v>
      </c>
      <c r="AU28" t="b">
        <v>1</v>
      </c>
      <c r="BA28" t="str">
        <f t="shared" si="0"/>
        <v>Normal</v>
      </c>
      <c r="BG28" t="str">
        <f t="shared" si="1"/>
        <v>Normal</v>
      </c>
    </row>
    <row r="29" spans="1:59" x14ac:dyDescent="0.2">
      <c r="A29" t="s">
        <v>42</v>
      </c>
      <c r="B29" t="s">
        <v>43</v>
      </c>
      <c r="C29">
        <v>20190101</v>
      </c>
      <c r="D29">
        <v>2019</v>
      </c>
      <c r="E29">
        <v>52</v>
      </c>
      <c r="F29" t="s">
        <v>44</v>
      </c>
      <c r="G29">
        <v>233</v>
      </c>
      <c r="H29" t="s">
        <v>117</v>
      </c>
      <c r="I29" t="s">
        <v>118</v>
      </c>
      <c r="J29" t="s">
        <v>47</v>
      </c>
      <c r="K29" t="s">
        <v>48</v>
      </c>
      <c r="L29">
        <v>0</v>
      </c>
      <c r="M29" t="s">
        <v>49</v>
      </c>
      <c r="N29" t="s">
        <v>50</v>
      </c>
      <c r="O29">
        <v>0</v>
      </c>
      <c r="P29" t="s">
        <v>49</v>
      </c>
      <c r="Q29" t="s">
        <v>50</v>
      </c>
      <c r="R29" t="s">
        <v>51</v>
      </c>
      <c r="S29" t="s">
        <v>52</v>
      </c>
      <c r="T29" t="b">
        <v>1</v>
      </c>
      <c r="U29" t="s">
        <v>53</v>
      </c>
      <c r="V29" t="s">
        <v>54</v>
      </c>
      <c r="W29">
        <v>4</v>
      </c>
      <c r="X29" t="b">
        <v>0</v>
      </c>
      <c r="Y29" t="s">
        <v>55</v>
      </c>
      <c r="Z29" t="s">
        <v>56</v>
      </c>
      <c r="AA29" t="s">
        <v>57</v>
      </c>
      <c r="AB29">
        <v>0</v>
      </c>
      <c r="AC29" t="s">
        <v>58</v>
      </c>
      <c r="AD29">
        <v>8</v>
      </c>
      <c r="AE29" t="s">
        <v>59</v>
      </c>
      <c r="AF29">
        <v>545418</v>
      </c>
      <c r="AG29" t="b">
        <v>0</v>
      </c>
      <c r="AH29">
        <v>8</v>
      </c>
      <c r="AI29" t="s">
        <v>59</v>
      </c>
      <c r="AJ29">
        <v>545418</v>
      </c>
      <c r="AK29" t="b">
        <v>0</v>
      </c>
      <c r="AL29">
        <v>545418</v>
      </c>
      <c r="AM29" t="b">
        <v>0</v>
      </c>
      <c r="AN29">
        <v>0</v>
      </c>
      <c r="AO29" t="b">
        <v>0</v>
      </c>
      <c r="AP29">
        <v>0</v>
      </c>
      <c r="AQ29">
        <v>128443.412</v>
      </c>
      <c r="AR29">
        <v>128443.412</v>
      </c>
      <c r="AS29">
        <v>0</v>
      </c>
      <c r="AT29" t="b">
        <v>0</v>
      </c>
      <c r="AU29" t="b">
        <v>1</v>
      </c>
      <c r="BA29" t="str">
        <f t="shared" si="0"/>
        <v>Normal</v>
      </c>
      <c r="BG29" t="str">
        <f t="shared" si="1"/>
        <v>Normal</v>
      </c>
    </row>
    <row r="30" spans="1:59" x14ac:dyDescent="0.2">
      <c r="A30" t="s">
        <v>42</v>
      </c>
      <c r="B30" t="s">
        <v>43</v>
      </c>
      <c r="C30">
        <v>20190101</v>
      </c>
      <c r="D30">
        <v>2019</v>
      </c>
      <c r="E30">
        <v>52</v>
      </c>
      <c r="F30" t="s">
        <v>44</v>
      </c>
      <c r="G30">
        <v>242</v>
      </c>
      <c r="H30" t="s">
        <v>119</v>
      </c>
      <c r="I30" t="s">
        <v>120</v>
      </c>
      <c r="J30" t="s">
        <v>47</v>
      </c>
      <c r="K30" t="s">
        <v>48</v>
      </c>
      <c r="L30">
        <v>0</v>
      </c>
      <c r="M30" t="s">
        <v>49</v>
      </c>
      <c r="N30" t="s">
        <v>50</v>
      </c>
      <c r="O30">
        <v>0</v>
      </c>
      <c r="P30" t="s">
        <v>49</v>
      </c>
      <c r="Q30" t="s">
        <v>50</v>
      </c>
      <c r="R30" t="s">
        <v>51</v>
      </c>
      <c r="S30" t="s">
        <v>52</v>
      </c>
      <c r="T30" t="b">
        <v>1</v>
      </c>
      <c r="U30" t="s">
        <v>53</v>
      </c>
      <c r="V30" t="s">
        <v>54</v>
      </c>
      <c r="W30">
        <v>4</v>
      </c>
      <c r="X30" t="b">
        <v>0</v>
      </c>
      <c r="Y30" t="s">
        <v>55</v>
      </c>
      <c r="Z30" t="s">
        <v>56</v>
      </c>
      <c r="AA30" t="s">
        <v>57</v>
      </c>
      <c r="AB30">
        <v>0</v>
      </c>
      <c r="AC30" t="s">
        <v>58</v>
      </c>
      <c r="AD30">
        <v>8</v>
      </c>
      <c r="AE30" t="s">
        <v>59</v>
      </c>
      <c r="AF30">
        <v>290920</v>
      </c>
      <c r="AG30" t="b">
        <v>0</v>
      </c>
      <c r="AH30">
        <v>8</v>
      </c>
      <c r="AI30" t="s">
        <v>59</v>
      </c>
      <c r="AJ30">
        <v>290920</v>
      </c>
      <c r="AK30" t="b">
        <v>0</v>
      </c>
      <c r="AL30">
        <v>290920</v>
      </c>
      <c r="AM30" t="b">
        <v>0</v>
      </c>
      <c r="AN30">
        <v>0</v>
      </c>
      <c r="AO30" t="b">
        <v>0</v>
      </c>
      <c r="AP30">
        <v>0</v>
      </c>
      <c r="AQ30">
        <v>308754.17099999997</v>
      </c>
      <c r="AR30">
        <v>308754.17099999997</v>
      </c>
      <c r="AS30">
        <v>0</v>
      </c>
      <c r="AT30" t="b">
        <v>0</v>
      </c>
      <c r="AU30" t="b">
        <v>1</v>
      </c>
      <c r="BA30" t="str">
        <f t="shared" si="0"/>
        <v>Normal</v>
      </c>
      <c r="BG30" t="str">
        <f t="shared" si="1"/>
        <v>Normal</v>
      </c>
    </row>
    <row r="31" spans="1:59" x14ac:dyDescent="0.2">
      <c r="A31" t="s">
        <v>42</v>
      </c>
      <c r="B31" t="s">
        <v>43</v>
      </c>
      <c r="C31">
        <v>20190101</v>
      </c>
      <c r="D31">
        <v>2019</v>
      </c>
      <c r="E31">
        <v>52</v>
      </c>
      <c r="F31" t="s">
        <v>44</v>
      </c>
      <c r="G31">
        <v>246</v>
      </c>
      <c r="H31" t="s">
        <v>121</v>
      </c>
      <c r="I31" t="s">
        <v>122</v>
      </c>
      <c r="J31" t="s">
        <v>47</v>
      </c>
      <c r="K31" t="s">
        <v>48</v>
      </c>
      <c r="L31">
        <v>0</v>
      </c>
      <c r="M31" t="s">
        <v>49</v>
      </c>
      <c r="N31" t="s">
        <v>50</v>
      </c>
      <c r="O31">
        <v>0</v>
      </c>
      <c r="P31" t="s">
        <v>49</v>
      </c>
      <c r="Q31" t="s">
        <v>50</v>
      </c>
      <c r="R31" t="s">
        <v>51</v>
      </c>
      <c r="S31" t="s">
        <v>52</v>
      </c>
      <c r="T31" t="b">
        <v>1</v>
      </c>
      <c r="U31" t="s">
        <v>53</v>
      </c>
      <c r="V31" t="s">
        <v>54</v>
      </c>
      <c r="W31">
        <v>4</v>
      </c>
      <c r="X31" t="b">
        <v>0</v>
      </c>
      <c r="Y31" t="s">
        <v>55</v>
      </c>
      <c r="Z31" t="s">
        <v>56</v>
      </c>
      <c r="AA31" t="s">
        <v>57</v>
      </c>
      <c r="AB31">
        <v>0</v>
      </c>
      <c r="AC31" t="s">
        <v>58</v>
      </c>
      <c r="AD31">
        <v>8</v>
      </c>
      <c r="AE31" t="s">
        <v>59</v>
      </c>
      <c r="AF31">
        <v>521049.73700000002</v>
      </c>
      <c r="AG31" t="b">
        <v>1</v>
      </c>
      <c r="AH31">
        <v>-1</v>
      </c>
      <c r="AI31" t="s">
        <v>73</v>
      </c>
      <c r="AJ31">
        <v>0</v>
      </c>
      <c r="AK31" t="b">
        <v>0</v>
      </c>
      <c r="AL31">
        <v>521049.73700000002</v>
      </c>
      <c r="AM31" t="b">
        <v>1</v>
      </c>
      <c r="AN31">
        <v>0</v>
      </c>
      <c r="AO31" t="b">
        <v>0</v>
      </c>
      <c r="AQ31">
        <v>244067.24299999999</v>
      </c>
      <c r="AR31">
        <v>244067.24299999999</v>
      </c>
      <c r="AS31">
        <v>6</v>
      </c>
      <c r="AT31" t="b">
        <v>0</v>
      </c>
      <c r="AU31" t="b">
        <v>1</v>
      </c>
      <c r="BA31" t="str">
        <f t="shared" si="0"/>
        <v>Normal</v>
      </c>
      <c r="BG31" t="str">
        <f t="shared" si="1"/>
        <v>Normal</v>
      </c>
    </row>
    <row r="32" spans="1:59" x14ac:dyDescent="0.2">
      <c r="A32" t="s">
        <v>42</v>
      </c>
      <c r="B32" t="s">
        <v>43</v>
      </c>
      <c r="C32">
        <v>20190101</v>
      </c>
      <c r="D32">
        <v>2019</v>
      </c>
      <c r="E32">
        <v>52</v>
      </c>
      <c r="F32" t="s">
        <v>44</v>
      </c>
      <c r="G32">
        <v>251</v>
      </c>
      <c r="H32" t="s">
        <v>123</v>
      </c>
      <c r="I32" t="s">
        <v>124</v>
      </c>
      <c r="J32" t="s">
        <v>47</v>
      </c>
      <c r="K32" t="s">
        <v>48</v>
      </c>
      <c r="L32">
        <v>0</v>
      </c>
      <c r="M32" t="s">
        <v>49</v>
      </c>
      <c r="N32" t="s">
        <v>50</v>
      </c>
      <c r="O32">
        <v>0</v>
      </c>
      <c r="P32" t="s">
        <v>49</v>
      </c>
      <c r="Q32" t="s">
        <v>50</v>
      </c>
      <c r="R32" t="s">
        <v>51</v>
      </c>
      <c r="S32" t="s">
        <v>52</v>
      </c>
      <c r="T32" t="b">
        <v>1</v>
      </c>
      <c r="U32" t="s">
        <v>53</v>
      </c>
      <c r="V32" t="s">
        <v>54</v>
      </c>
      <c r="W32">
        <v>4</v>
      </c>
      <c r="X32" t="b">
        <v>0</v>
      </c>
      <c r="Y32" t="s">
        <v>55</v>
      </c>
      <c r="Z32" t="s">
        <v>56</v>
      </c>
      <c r="AA32" t="s">
        <v>57</v>
      </c>
      <c r="AB32">
        <v>0</v>
      </c>
      <c r="AC32" t="s">
        <v>58</v>
      </c>
      <c r="AD32">
        <v>-1</v>
      </c>
      <c r="AE32" t="s">
        <v>73</v>
      </c>
      <c r="AF32">
        <v>0</v>
      </c>
      <c r="AG32" t="b">
        <v>1</v>
      </c>
      <c r="AH32">
        <v>-1</v>
      </c>
      <c r="AI32" t="s">
        <v>73</v>
      </c>
      <c r="AJ32">
        <v>0</v>
      </c>
      <c r="AK32" t="b">
        <v>0</v>
      </c>
      <c r="AM32" t="b">
        <v>1</v>
      </c>
      <c r="AN32">
        <v>0</v>
      </c>
      <c r="AO32" t="b">
        <v>0</v>
      </c>
      <c r="AQ32">
        <v>38917331.390000001</v>
      </c>
      <c r="AR32">
        <v>38917331.390000001</v>
      </c>
      <c r="AS32">
        <v>6</v>
      </c>
      <c r="AT32" t="b">
        <v>0</v>
      </c>
      <c r="AU32" t="b">
        <v>1</v>
      </c>
      <c r="BA32" t="str">
        <f t="shared" si="0"/>
        <v>Normal</v>
      </c>
      <c r="BG32" t="str">
        <f t="shared" si="1"/>
        <v>Normal</v>
      </c>
    </row>
    <row r="33" spans="1:59" x14ac:dyDescent="0.2">
      <c r="A33" t="s">
        <v>42</v>
      </c>
      <c r="B33" t="s">
        <v>43</v>
      </c>
      <c r="C33">
        <v>20190101</v>
      </c>
      <c r="D33">
        <v>2019</v>
      </c>
      <c r="E33">
        <v>52</v>
      </c>
      <c r="F33" t="s">
        <v>44</v>
      </c>
      <c r="G33">
        <v>266</v>
      </c>
      <c r="H33" t="s">
        <v>125</v>
      </c>
      <c r="I33" t="s">
        <v>126</v>
      </c>
      <c r="J33" t="s">
        <v>47</v>
      </c>
      <c r="K33" t="s">
        <v>48</v>
      </c>
      <c r="L33">
        <v>0</v>
      </c>
      <c r="M33" t="s">
        <v>49</v>
      </c>
      <c r="N33" t="s">
        <v>50</v>
      </c>
      <c r="O33">
        <v>0</v>
      </c>
      <c r="P33" t="s">
        <v>49</v>
      </c>
      <c r="Q33" t="s">
        <v>50</v>
      </c>
      <c r="R33" t="s">
        <v>127</v>
      </c>
      <c r="S33" t="s">
        <v>52</v>
      </c>
      <c r="T33" t="b">
        <v>1</v>
      </c>
      <c r="U33" t="s">
        <v>53</v>
      </c>
      <c r="V33" t="s">
        <v>54</v>
      </c>
      <c r="W33">
        <v>4</v>
      </c>
      <c r="X33" t="b">
        <v>0</v>
      </c>
      <c r="Y33" t="s">
        <v>55</v>
      </c>
      <c r="Z33" t="s">
        <v>56</v>
      </c>
      <c r="AA33" t="s">
        <v>57</v>
      </c>
      <c r="AB33">
        <v>0</v>
      </c>
      <c r="AC33" t="s">
        <v>58</v>
      </c>
      <c r="AD33">
        <v>8</v>
      </c>
      <c r="AE33" t="s">
        <v>59</v>
      </c>
      <c r="AF33">
        <v>8668568198</v>
      </c>
      <c r="AG33" t="b">
        <v>0</v>
      </c>
      <c r="AH33">
        <v>19</v>
      </c>
      <c r="AI33" t="s">
        <v>60</v>
      </c>
      <c r="AJ33">
        <v>4008885847.6399999</v>
      </c>
      <c r="AK33" t="b">
        <v>0</v>
      </c>
      <c r="AL33">
        <v>8668568198</v>
      </c>
      <c r="AM33" t="b">
        <v>0</v>
      </c>
      <c r="AN33">
        <v>0</v>
      </c>
      <c r="AO33" t="b">
        <v>0</v>
      </c>
      <c r="AQ33">
        <v>4024299755.2909999</v>
      </c>
      <c r="AR33">
        <v>4024299755.2909999</v>
      </c>
      <c r="AS33">
        <v>0</v>
      </c>
      <c r="AT33" t="b">
        <v>0</v>
      </c>
      <c r="AU33" t="b">
        <v>1</v>
      </c>
      <c r="BA33" t="str">
        <f t="shared" si="0"/>
        <v>Normal</v>
      </c>
      <c r="BG33" t="str">
        <f t="shared" si="1"/>
        <v>Normal</v>
      </c>
    </row>
    <row r="34" spans="1:59" x14ac:dyDescent="0.2">
      <c r="A34" t="s">
        <v>42</v>
      </c>
      <c r="B34" t="s">
        <v>43</v>
      </c>
      <c r="C34">
        <v>20190101</v>
      </c>
      <c r="D34">
        <v>2019</v>
      </c>
      <c r="E34">
        <v>52</v>
      </c>
      <c r="F34" t="s">
        <v>44</v>
      </c>
      <c r="G34">
        <v>268</v>
      </c>
      <c r="H34" t="s">
        <v>128</v>
      </c>
      <c r="I34" t="s">
        <v>129</v>
      </c>
      <c r="J34" t="s">
        <v>47</v>
      </c>
      <c r="K34" t="s">
        <v>48</v>
      </c>
      <c r="L34">
        <v>0</v>
      </c>
      <c r="M34" t="s">
        <v>49</v>
      </c>
      <c r="N34" t="s">
        <v>50</v>
      </c>
      <c r="O34">
        <v>0</v>
      </c>
      <c r="P34" t="s">
        <v>49</v>
      </c>
      <c r="Q34" t="s">
        <v>50</v>
      </c>
      <c r="R34" t="s">
        <v>51</v>
      </c>
      <c r="S34" t="s">
        <v>52</v>
      </c>
      <c r="T34" t="b">
        <v>1</v>
      </c>
      <c r="U34" t="s">
        <v>53</v>
      </c>
      <c r="V34" t="s">
        <v>54</v>
      </c>
      <c r="W34">
        <v>4</v>
      </c>
      <c r="X34" t="b">
        <v>0</v>
      </c>
      <c r="Y34" t="s">
        <v>55</v>
      </c>
      <c r="Z34" t="s">
        <v>56</v>
      </c>
      <c r="AA34" t="s">
        <v>57</v>
      </c>
      <c r="AB34">
        <v>0</v>
      </c>
      <c r="AC34" t="s">
        <v>58</v>
      </c>
      <c r="AD34">
        <v>8</v>
      </c>
      <c r="AE34" t="s">
        <v>59</v>
      </c>
      <c r="AF34">
        <v>25.3</v>
      </c>
      <c r="AG34" t="b">
        <v>0</v>
      </c>
      <c r="AH34">
        <v>8</v>
      </c>
      <c r="AI34" t="s">
        <v>59</v>
      </c>
      <c r="AJ34">
        <v>25.3</v>
      </c>
      <c r="AK34" t="b">
        <v>0</v>
      </c>
      <c r="AL34">
        <v>25.3</v>
      </c>
      <c r="AM34" t="b">
        <v>0</v>
      </c>
      <c r="AN34">
        <v>0</v>
      </c>
      <c r="AO34" t="b">
        <v>0</v>
      </c>
      <c r="AQ34">
        <v>99</v>
      </c>
      <c r="AR34">
        <v>99</v>
      </c>
      <c r="AS34">
        <v>0</v>
      </c>
      <c r="AT34" t="b">
        <v>0</v>
      </c>
      <c r="AU34" t="b">
        <v>1</v>
      </c>
      <c r="BA34" t="str">
        <f t="shared" si="0"/>
        <v>Normal</v>
      </c>
      <c r="BG34" t="str">
        <f t="shared" si="1"/>
        <v>Normal</v>
      </c>
    </row>
    <row r="35" spans="1:59" x14ac:dyDescent="0.2">
      <c r="A35" t="s">
        <v>42</v>
      </c>
      <c r="B35" t="s">
        <v>43</v>
      </c>
      <c r="C35">
        <v>20190101</v>
      </c>
      <c r="D35">
        <v>2019</v>
      </c>
      <c r="E35">
        <v>52</v>
      </c>
      <c r="F35" t="s">
        <v>44</v>
      </c>
      <c r="G35">
        <v>276</v>
      </c>
      <c r="H35" t="s">
        <v>130</v>
      </c>
      <c r="I35" t="s">
        <v>131</v>
      </c>
      <c r="J35" t="s">
        <v>47</v>
      </c>
      <c r="K35" t="s">
        <v>48</v>
      </c>
      <c r="L35">
        <v>0</v>
      </c>
      <c r="M35" t="s">
        <v>49</v>
      </c>
      <c r="N35" t="s">
        <v>50</v>
      </c>
      <c r="O35">
        <v>0</v>
      </c>
      <c r="P35" t="s">
        <v>49</v>
      </c>
      <c r="Q35" t="s">
        <v>50</v>
      </c>
      <c r="R35" t="s">
        <v>51</v>
      </c>
      <c r="S35" t="s">
        <v>52</v>
      </c>
      <c r="T35" t="b">
        <v>1</v>
      </c>
      <c r="U35" t="s">
        <v>53</v>
      </c>
      <c r="V35" t="s">
        <v>54</v>
      </c>
      <c r="W35">
        <v>4</v>
      </c>
      <c r="X35" t="b">
        <v>0</v>
      </c>
      <c r="Y35" t="s">
        <v>55</v>
      </c>
      <c r="Z35" t="s">
        <v>56</v>
      </c>
      <c r="AA35" t="s">
        <v>57</v>
      </c>
      <c r="AB35">
        <v>0</v>
      </c>
      <c r="AC35" t="s">
        <v>58</v>
      </c>
      <c r="AD35">
        <v>8</v>
      </c>
      <c r="AE35" t="s">
        <v>59</v>
      </c>
      <c r="AF35">
        <v>107071787</v>
      </c>
      <c r="AG35" t="b">
        <v>0</v>
      </c>
      <c r="AH35">
        <v>8</v>
      </c>
      <c r="AI35" t="s">
        <v>59</v>
      </c>
      <c r="AJ35">
        <v>107071787</v>
      </c>
      <c r="AK35" t="b">
        <v>0</v>
      </c>
      <c r="AL35">
        <v>107071787</v>
      </c>
      <c r="AM35" t="b">
        <v>0</v>
      </c>
      <c r="AN35">
        <v>0</v>
      </c>
      <c r="AO35" t="b">
        <v>0</v>
      </c>
      <c r="AQ35">
        <v>42769262.482000001</v>
      </c>
      <c r="AR35">
        <v>42769262.482000001</v>
      </c>
      <c r="AS35">
        <v>0</v>
      </c>
      <c r="AT35" t="b">
        <v>0</v>
      </c>
      <c r="AU35" t="b">
        <v>1</v>
      </c>
      <c r="BA35" t="str">
        <f t="shared" si="0"/>
        <v>Normal</v>
      </c>
      <c r="BG35" t="str">
        <f t="shared" si="1"/>
        <v>Normal</v>
      </c>
    </row>
    <row r="36" spans="1:59" x14ac:dyDescent="0.2">
      <c r="A36" t="s">
        <v>42</v>
      </c>
      <c r="B36" t="s">
        <v>43</v>
      </c>
      <c r="C36">
        <v>20190101</v>
      </c>
      <c r="D36">
        <v>2019</v>
      </c>
      <c r="E36">
        <v>52</v>
      </c>
      <c r="F36" t="s">
        <v>44</v>
      </c>
      <c r="G36">
        <v>288</v>
      </c>
      <c r="H36" t="s">
        <v>132</v>
      </c>
      <c r="I36" t="s">
        <v>133</v>
      </c>
      <c r="J36" t="s">
        <v>47</v>
      </c>
      <c r="K36" t="s">
        <v>48</v>
      </c>
      <c r="L36">
        <v>0</v>
      </c>
      <c r="M36" t="s">
        <v>49</v>
      </c>
      <c r="N36" t="s">
        <v>50</v>
      </c>
      <c r="O36">
        <v>0</v>
      </c>
      <c r="P36" t="s">
        <v>49</v>
      </c>
      <c r="Q36" t="s">
        <v>50</v>
      </c>
      <c r="R36" t="s">
        <v>51</v>
      </c>
      <c r="S36" t="s">
        <v>52</v>
      </c>
      <c r="T36" t="b">
        <v>1</v>
      </c>
      <c r="U36" t="s">
        <v>53</v>
      </c>
      <c r="V36" t="s">
        <v>54</v>
      </c>
      <c r="W36">
        <v>4</v>
      </c>
      <c r="X36" t="b">
        <v>0</v>
      </c>
      <c r="Y36" t="s">
        <v>55</v>
      </c>
      <c r="Z36" t="s">
        <v>56</v>
      </c>
      <c r="AA36" t="s">
        <v>57</v>
      </c>
      <c r="AB36">
        <v>0</v>
      </c>
      <c r="AC36" t="s">
        <v>58</v>
      </c>
      <c r="AD36">
        <v>8</v>
      </c>
      <c r="AE36" t="s">
        <v>59</v>
      </c>
      <c r="AF36">
        <v>7230788789</v>
      </c>
      <c r="AG36" t="b">
        <v>0</v>
      </c>
      <c r="AH36">
        <v>8</v>
      </c>
      <c r="AI36" t="s">
        <v>59</v>
      </c>
      <c r="AJ36">
        <v>7230788789</v>
      </c>
      <c r="AK36" t="b">
        <v>0</v>
      </c>
      <c r="AL36">
        <v>7230788789</v>
      </c>
      <c r="AM36" t="b">
        <v>0</v>
      </c>
      <c r="AN36">
        <v>0</v>
      </c>
      <c r="AO36" t="b">
        <v>0</v>
      </c>
      <c r="AQ36">
        <v>5251688769.8280001</v>
      </c>
      <c r="AR36">
        <v>5251688769.8280001</v>
      </c>
      <c r="AS36">
        <v>0</v>
      </c>
      <c r="AT36" t="b">
        <v>0</v>
      </c>
      <c r="AU36" t="b">
        <v>1</v>
      </c>
      <c r="BA36" t="str">
        <f t="shared" si="0"/>
        <v>Normal</v>
      </c>
      <c r="BG36" t="str">
        <f t="shared" si="1"/>
        <v>Normal</v>
      </c>
    </row>
    <row r="37" spans="1:59" x14ac:dyDescent="0.2">
      <c r="A37" t="s">
        <v>42</v>
      </c>
      <c r="B37" t="s">
        <v>43</v>
      </c>
      <c r="C37">
        <v>20190101</v>
      </c>
      <c r="D37">
        <v>2019</v>
      </c>
      <c r="E37">
        <v>52</v>
      </c>
      <c r="F37" t="s">
        <v>44</v>
      </c>
      <c r="G37">
        <v>300</v>
      </c>
      <c r="H37" t="s">
        <v>134</v>
      </c>
      <c r="I37" t="s">
        <v>135</v>
      </c>
      <c r="J37" t="s">
        <v>47</v>
      </c>
      <c r="K37" t="s">
        <v>48</v>
      </c>
      <c r="L37">
        <v>0</v>
      </c>
      <c r="M37" t="s">
        <v>49</v>
      </c>
      <c r="N37" t="s">
        <v>50</v>
      </c>
      <c r="O37">
        <v>0</v>
      </c>
      <c r="P37" t="s">
        <v>49</v>
      </c>
      <c r="Q37" t="s">
        <v>50</v>
      </c>
      <c r="R37" t="s">
        <v>51</v>
      </c>
      <c r="S37" t="s">
        <v>52</v>
      </c>
      <c r="T37" t="b">
        <v>1</v>
      </c>
      <c r="U37" t="s">
        <v>53</v>
      </c>
      <c r="V37" t="s">
        <v>54</v>
      </c>
      <c r="W37">
        <v>4</v>
      </c>
      <c r="X37" t="b">
        <v>0</v>
      </c>
      <c r="Y37" t="s">
        <v>55</v>
      </c>
      <c r="Z37" t="s">
        <v>56</v>
      </c>
      <c r="AA37" t="s">
        <v>57</v>
      </c>
      <c r="AB37">
        <v>0</v>
      </c>
      <c r="AC37" t="s">
        <v>58</v>
      </c>
      <c r="AD37">
        <v>8</v>
      </c>
      <c r="AE37" t="s">
        <v>59</v>
      </c>
      <c r="AF37">
        <v>166786522.74599999</v>
      </c>
      <c r="AG37" t="b">
        <v>1</v>
      </c>
      <c r="AH37">
        <v>-1</v>
      </c>
      <c r="AI37" t="s">
        <v>73</v>
      </c>
      <c r="AJ37">
        <v>0</v>
      </c>
      <c r="AK37" t="b">
        <v>0</v>
      </c>
      <c r="AM37" t="b">
        <v>1</v>
      </c>
      <c r="AN37">
        <v>0</v>
      </c>
      <c r="AO37" t="b">
        <v>0</v>
      </c>
      <c r="AQ37">
        <v>75232105.291999996</v>
      </c>
      <c r="AR37">
        <v>75232105.291999996</v>
      </c>
      <c r="AS37">
        <v>6</v>
      </c>
      <c r="AT37" t="b">
        <v>0</v>
      </c>
      <c r="AU37" t="b">
        <v>1</v>
      </c>
      <c r="BA37" t="str">
        <f t="shared" si="0"/>
        <v>Normal</v>
      </c>
      <c r="BG37" t="str">
        <f t="shared" si="1"/>
        <v>Normal</v>
      </c>
    </row>
    <row r="38" spans="1:59" x14ac:dyDescent="0.2">
      <c r="A38" t="s">
        <v>42</v>
      </c>
      <c r="B38" t="s">
        <v>43</v>
      </c>
      <c r="C38">
        <v>20190101</v>
      </c>
      <c r="D38">
        <v>2019</v>
      </c>
      <c r="E38">
        <v>52</v>
      </c>
      <c r="F38" t="s">
        <v>44</v>
      </c>
      <c r="G38">
        <v>320</v>
      </c>
      <c r="H38" t="s">
        <v>136</v>
      </c>
      <c r="I38" t="s">
        <v>137</v>
      </c>
      <c r="J38" t="s">
        <v>47</v>
      </c>
      <c r="K38" t="s">
        <v>48</v>
      </c>
      <c r="L38">
        <v>0</v>
      </c>
      <c r="M38" t="s">
        <v>49</v>
      </c>
      <c r="N38" t="s">
        <v>50</v>
      </c>
      <c r="O38">
        <v>0</v>
      </c>
      <c r="P38" t="s">
        <v>49</v>
      </c>
      <c r="Q38" t="s">
        <v>50</v>
      </c>
      <c r="R38" t="s">
        <v>51</v>
      </c>
      <c r="S38" t="s">
        <v>52</v>
      </c>
      <c r="T38" t="b">
        <v>1</v>
      </c>
      <c r="U38" t="s">
        <v>53</v>
      </c>
      <c r="V38" t="s">
        <v>54</v>
      </c>
      <c r="W38">
        <v>4</v>
      </c>
      <c r="X38" t="b">
        <v>0</v>
      </c>
      <c r="Y38" t="s">
        <v>55</v>
      </c>
      <c r="Z38" t="s">
        <v>56</v>
      </c>
      <c r="AA38" t="s">
        <v>57</v>
      </c>
      <c r="AB38">
        <v>0</v>
      </c>
      <c r="AC38" t="s">
        <v>58</v>
      </c>
      <c r="AD38">
        <v>8</v>
      </c>
      <c r="AE38" t="s">
        <v>59</v>
      </c>
      <c r="AF38">
        <v>306429078.50199997</v>
      </c>
      <c r="AG38" t="b">
        <v>1</v>
      </c>
      <c r="AH38">
        <v>-1</v>
      </c>
      <c r="AI38" t="s">
        <v>73</v>
      </c>
      <c r="AJ38">
        <v>0</v>
      </c>
      <c r="AK38" t="b">
        <v>0</v>
      </c>
      <c r="AM38" t="b">
        <v>1</v>
      </c>
      <c r="AN38">
        <v>0</v>
      </c>
      <c r="AO38" t="b">
        <v>0</v>
      </c>
      <c r="AQ38">
        <v>114346859</v>
      </c>
      <c r="AR38">
        <v>114346859</v>
      </c>
      <c r="AS38">
        <v>6</v>
      </c>
      <c r="AT38" t="b">
        <v>0</v>
      </c>
      <c r="AU38" t="b">
        <v>1</v>
      </c>
      <c r="BA38" t="str">
        <f t="shared" si="0"/>
        <v>Normal</v>
      </c>
      <c r="BG38" t="str">
        <f t="shared" si="1"/>
        <v>Normal</v>
      </c>
    </row>
    <row r="39" spans="1:59" x14ac:dyDescent="0.2">
      <c r="A39" t="s">
        <v>42</v>
      </c>
      <c r="B39" t="s">
        <v>43</v>
      </c>
      <c r="C39">
        <v>20190101</v>
      </c>
      <c r="D39">
        <v>2019</v>
      </c>
      <c r="E39">
        <v>52</v>
      </c>
      <c r="F39" t="s">
        <v>44</v>
      </c>
      <c r="G39">
        <v>348</v>
      </c>
      <c r="H39" t="s">
        <v>138</v>
      </c>
      <c r="I39" t="s">
        <v>139</v>
      </c>
      <c r="J39" t="s">
        <v>47</v>
      </c>
      <c r="K39" t="s">
        <v>48</v>
      </c>
      <c r="L39">
        <v>0</v>
      </c>
      <c r="M39" t="s">
        <v>49</v>
      </c>
      <c r="N39" t="s">
        <v>50</v>
      </c>
      <c r="O39">
        <v>0</v>
      </c>
      <c r="P39" t="s">
        <v>49</v>
      </c>
      <c r="Q39" t="s">
        <v>50</v>
      </c>
      <c r="R39" t="s">
        <v>51</v>
      </c>
      <c r="S39" t="s">
        <v>52</v>
      </c>
      <c r="T39" t="b">
        <v>1</v>
      </c>
      <c r="U39" t="s">
        <v>53</v>
      </c>
      <c r="V39" t="s">
        <v>54</v>
      </c>
      <c r="W39">
        <v>4</v>
      </c>
      <c r="X39" t="b">
        <v>0</v>
      </c>
      <c r="Y39" t="s">
        <v>55</v>
      </c>
      <c r="Z39" t="s">
        <v>56</v>
      </c>
      <c r="AA39" t="s">
        <v>57</v>
      </c>
      <c r="AB39">
        <v>0</v>
      </c>
      <c r="AC39" t="s">
        <v>58</v>
      </c>
      <c r="AD39">
        <v>8</v>
      </c>
      <c r="AE39" t="s">
        <v>59</v>
      </c>
      <c r="AF39">
        <v>104536937</v>
      </c>
      <c r="AG39" t="b">
        <v>0</v>
      </c>
      <c r="AH39">
        <v>8</v>
      </c>
      <c r="AI39" t="s">
        <v>59</v>
      </c>
      <c r="AJ39">
        <v>104536937</v>
      </c>
      <c r="AK39" t="b">
        <v>0</v>
      </c>
      <c r="AL39">
        <v>104536937</v>
      </c>
      <c r="AM39" t="b">
        <v>0</v>
      </c>
      <c r="AN39">
        <v>0</v>
      </c>
      <c r="AO39" t="b">
        <v>0</v>
      </c>
      <c r="AQ39">
        <v>48854265</v>
      </c>
      <c r="AR39">
        <v>48854265</v>
      </c>
      <c r="AS39">
        <v>0</v>
      </c>
      <c r="AT39" t="b">
        <v>0</v>
      </c>
      <c r="AU39" t="b">
        <v>1</v>
      </c>
      <c r="BA39" t="str">
        <f t="shared" si="0"/>
        <v>Normal</v>
      </c>
      <c r="BG39" t="str">
        <f t="shared" si="1"/>
        <v>Normal</v>
      </c>
    </row>
    <row r="40" spans="1:59" x14ac:dyDescent="0.2">
      <c r="A40" t="s">
        <v>42</v>
      </c>
      <c r="B40" t="s">
        <v>43</v>
      </c>
      <c r="C40">
        <v>20190101</v>
      </c>
      <c r="D40">
        <v>2019</v>
      </c>
      <c r="E40">
        <v>52</v>
      </c>
      <c r="F40" t="s">
        <v>44</v>
      </c>
      <c r="G40">
        <v>360</v>
      </c>
      <c r="H40" t="s">
        <v>140</v>
      </c>
      <c r="I40" t="s">
        <v>141</v>
      </c>
      <c r="J40" t="s">
        <v>47</v>
      </c>
      <c r="K40" t="s">
        <v>48</v>
      </c>
      <c r="L40">
        <v>0</v>
      </c>
      <c r="M40" t="s">
        <v>49</v>
      </c>
      <c r="N40" t="s">
        <v>50</v>
      </c>
      <c r="O40">
        <v>0</v>
      </c>
      <c r="P40" t="s">
        <v>49</v>
      </c>
      <c r="Q40" t="s">
        <v>50</v>
      </c>
      <c r="R40" t="s">
        <v>51</v>
      </c>
      <c r="S40" t="s">
        <v>52</v>
      </c>
      <c r="T40" t="b">
        <v>1</v>
      </c>
      <c r="U40" t="s">
        <v>53</v>
      </c>
      <c r="V40" t="s">
        <v>54</v>
      </c>
      <c r="W40">
        <v>4</v>
      </c>
      <c r="X40" t="b">
        <v>0</v>
      </c>
      <c r="Y40" t="s">
        <v>55</v>
      </c>
      <c r="Z40" t="s">
        <v>56</v>
      </c>
      <c r="AA40" t="s">
        <v>57</v>
      </c>
      <c r="AB40">
        <v>0</v>
      </c>
      <c r="AC40" t="s">
        <v>58</v>
      </c>
      <c r="AD40">
        <v>8</v>
      </c>
      <c r="AE40" t="s">
        <v>59</v>
      </c>
      <c r="AF40">
        <v>3576744902</v>
      </c>
      <c r="AG40" t="b">
        <v>0</v>
      </c>
      <c r="AH40">
        <v>8</v>
      </c>
      <c r="AI40" t="s">
        <v>59</v>
      </c>
      <c r="AJ40">
        <v>3576744902</v>
      </c>
      <c r="AK40" t="b">
        <v>0</v>
      </c>
      <c r="AL40">
        <v>3576744902</v>
      </c>
      <c r="AM40" t="b">
        <v>0</v>
      </c>
      <c r="AN40">
        <v>0</v>
      </c>
      <c r="AO40" t="b">
        <v>0</v>
      </c>
      <c r="AP40">
        <v>0</v>
      </c>
      <c r="AQ40">
        <v>1726630215.6900001</v>
      </c>
      <c r="AR40">
        <v>1726630215.6900001</v>
      </c>
      <c r="AS40">
        <v>0</v>
      </c>
      <c r="AT40" t="b">
        <v>0</v>
      </c>
      <c r="AU40" t="b">
        <v>1</v>
      </c>
      <c r="BA40" t="str">
        <f t="shared" si="0"/>
        <v>Normal</v>
      </c>
      <c r="BG40" t="str">
        <f t="shared" si="1"/>
        <v>Normal</v>
      </c>
    </row>
    <row r="41" spans="1:59" x14ac:dyDescent="0.2">
      <c r="A41" t="s">
        <v>42</v>
      </c>
      <c r="B41" t="s">
        <v>43</v>
      </c>
      <c r="C41">
        <v>20190101</v>
      </c>
      <c r="D41">
        <v>2019</v>
      </c>
      <c r="E41">
        <v>52</v>
      </c>
      <c r="F41" t="s">
        <v>44</v>
      </c>
      <c r="G41">
        <v>364</v>
      </c>
      <c r="H41" t="s">
        <v>142</v>
      </c>
      <c r="I41" t="s">
        <v>143</v>
      </c>
      <c r="J41" t="s">
        <v>47</v>
      </c>
      <c r="K41" t="s">
        <v>48</v>
      </c>
      <c r="L41">
        <v>0</v>
      </c>
      <c r="M41" t="s">
        <v>49</v>
      </c>
      <c r="N41" t="s">
        <v>50</v>
      </c>
      <c r="O41">
        <v>0</v>
      </c>
      <c r="P41" t="s">
        <v>49</v>
      </c>
      <c r="Q41" t="s">
        <v>50</v>
      </c>
      <c r="R41" t="s">
        <v>51</v>
      </c>
      <c r="S41" t="s">
        <v>52</v>
      </c>
      <c r="T41" t="b">
        <v>1</v>
      </c>
      <c r="U41" t="s">
        <v>53</v>
      </c>
      <c r="V41" t="s">
        <v>54</v>
      </c>
      <c r="W41">
        <v>4</v>
      </c>
      <c r="X41" t="b">
        <v>0</v>
      </c>
      <c r="Y41" t="s">
        <v>55</v>
      </c>
      <c r="Z41" t="s">
        <v>56</v>
      </c>
      <c r="AA41" t="s">
        <v>57</v>
      </c>
      <c r="AB41">
        <v>0</v>
      </c>
      <c r="AC41" t="s">
        <v>58</v>
      </c>
      <c r="AD41">
        <v>-1</v>
      </c>
      <c r="AE41" t="s">
        <v>73</v>
      </c>
      <c r="AF41">
        <v>0</v>
      </c>
      <c r="AG41" t="b">
        <v>0</v>
      </c>
      <c r="AH41">
        <v>-1</v>
      </c>
      <c r="AI41" t="s">
        <v>73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Q41">
        <v>16153935333.200001</v>
      </c>
      <c r="AR41">
        <v>16153935333.200001</v>
      </c>
      <c r="AS41">
        <v>0</v>
      </c>
      <c r="AT41" t="b">
        <v>0</v>
      </c>
      <c r="AU41" t="b">
        <v>1</v>
      </c>
      <c r="BA41" t="str">
        <f t="shared" si="0"/>
        <v>Normal</v>
      </c>
      <c r="BG41" t="str">
        <f t="shared" si="1"/>
        <v>Normal</v>
      </c>
    </row>
    <row r="42" spans="1:59" x14ac:dyDescent="0.2">
      <c r="A42" t="s">
        <v>42</v>
      </c>
      <c r="B42" t="s">
        <v>43</v>
      </c>
      <c r="C42">
        <v>20190101</v>
      </c>
      <c r="D42">
        <v>2019</v>
      </c>
      <c r="E42">
        <v>52</v>
      </c>
      <c r="F42" t="s">
        <v>44</v>
      </c>
      <c r="G42">
        <v>372</v>
      </c>
      <c r="H42" t="s">
        <v>144</v>
      </c>
      <c r="I42" t="s">
        <v>145</v>
      </c>
      <c r="J42" t="s">
        <v>47</v>
      </c>
      <c r="K42" t="s">
        <v>48</v>
      </c>
      <c r="L42">
        <v>0</v>
      </c>
      <c r="M42" t="s">
        <v>49</v>
      </c>
      <c r="N42" t="s">
        <v>50</v>
      </c>
      <c r="O42">
        <v>0</v>
      </c>
      <c r="P42" t="s">
        <v>49</v>
      </c>
      <c r="Q42" t="s">
        <v>50</v>
      </c>
      <c r="R42" t="s">
        <v>51</v>
      </c>
      <c r="S42" t="s">
        <v>52</v>
      </c>
      <c r="T42" t="b">
        <v>1</v>
      </c>
      <c r="U42" t="s">
        <v>53</v>
      </c>
      <c r="V42" t="s">
        <v>54</v>
      </c>
      <c r="W42">
        <v>4</v>
      </c>
      <c r="X42" t="b">
        <v>0</v>
      </c>
      <c r="Y42" t="s">
        <v>55</v>
      </c>
      <c r="Z42" t="s">
        <v>56</v>
      </c>
      <c r="AA42" t="s">
        <v>57</v>
      </c>
      <c r="AB42">
        <v>0</v>
      </c>
      <c r="AC42" t="s">
        <v>58</v>
      </c>
      <c r="AD42">
        <v>8</v>
      </c>
      <c r="AE42" t="s">
        <v>59</v>
      </c>
      <c r="AF42">
        <v>2450</v>
      </c>
      <c r="AG42" t="b">
        <v>0</v>
      </c>
      <c r="AH42">
        <v>8</v>
      </c>
      <c r="AI42" t="s">
        <v>59</v>
      </c>
      <c r="AJ42">
        <v>2450</v>
      </c>
      <c r="AK42" t="b">
        <v>0</v>
      </c>
      <c r="AL42">
        <v>2450</v>
      </c>
      <c r="AM42" t="b">
        <v>0</v>
      </c>
      <c r="AN42">
        <v>0</v>
      </c>
      <c r="AO42" t="b">
        <v>0</v>
      </c>
      <c r="AP42">
        <v>0</v>
      </c>
      <c r="AQ42">
        <v>8705.0380000000005</v>
      </c>
      <c r="AR42">
        <v>8705.0380000000005</v>
      </c>
      <c r="AS42">
        <v>0</v>
      </c>
      <c r="AT42" t="b">
        <v>0</v>
      </c>
      <c r="AU42" t="b">
        <v>1</v>
      </c>
      <c r="BA42" t="str">
        <f t="shared" si="0"/>
        <v>Normal</v>
      </c>
      <c r="BG42" t="str">
        <f t="shared" si="1"/>
        <v>Normal</v>
      </c>
    </row>
    <row r="43" spans="1:59" x14ac:dyDescent="0.2">
      <c r="A43" t="s">
        <v>42</v>
      </c>
      <c r="B43" t="s">
        <v>43</v>
      </c>
      <c r="C43">
        <v>20190101</v>
      </c>
      <c r="D43">
        <v>2019</v>
      </c>
      <c r="E43">
        <v>52</v>
      </c>
      <c r="F43" t="s">
        <v>44</v>
      </c>
      <c r="G43">
        <v>376</v>
      </c>
      <c r="H43" t="s">
        <v>146</v>
      </c>
      <c r="I43" t="s">
        <v>147</v>
      </c>
      <c r="J43" t="s">
        <v>47</v>
      </c>
      <c r="K43" t="s">
        <v>48</v>
      </c>
      <c r="L43">
        <v>0</v>
      </c>
      <c r="M43" t="s">
        <v>49</v>
      </c>
      <c r="N43" t="s">
        <v>50</v>
      </c>
      <c r="O43">
        <v>0</v>
      </c>
      <c r="P43" t="s">
        <v>49</v>
      </c>
      <c r="Q43" t="s">
        <v>50</v>
      </c>
      <c r="R43" t="s">
        <v>51</v>
      </c>
      <c r="S43" t="s">
        <v>52</v>
      </c>
      <c r="T43" t="b">
        <v>1</v>
      </c>
      <c r="U43" t="s">
        <v>53</v>
      </c>
      <c r="V43" t="s">
        <v>54</v>
      </c>
      <c r="W43">
        <v>4</v>
      </c>
      <c r="X43" t="b">
        <v>0</v>
      </c>
      <c r="Y43" t="s">
        <v>55</v>
      </c>
      <c r="Z43" t="s">
        <v>56</v>
      </c>
      <c r="AA43" t="s">
        <v>57</v>
      </c>
      <c r="AB43">
        <v>0</v>
      </c>
      <c r="AC43" t="s">
        <v>58</v>
      </c>
      <c r="AD43">
        <v>8</v>
      </c>
      <c r="AE43" t="s">
        <v>59</v>
      </c>
      <c r="AF43">
        <v>15336523.676000001</v>
      </c>
      <c r="AG43" t="b">
        <v>1</v>
      </c>
      <c r="AH43">
        <v>-1</v>
      </c>
      <c r="AI43" t="s">
        <v>73</v>
      </c>
      <c r="AJ43">
        <v>0</v>
      </c>
      <c r="AK43" t="b">
        <v>0</v>
      </c>
      <c r="AL43">
        <v>15336523.676000001</v>
      </c>
      <c r="AM43" t="b">
        <v>1</v>
      </c>
      <c r="AN43">
        <v>0</v>
      </c>
      <c r="AO43" t="b">
        <v>0</v>
      </c>
      <c r="AQ43">
        <v>7163000</v>
      </c>
      <c r="AR43">
        <v>7163000</v>
      </c>
      <c r="AS43">
        <v>6</v>
      </c>
      <c r="AT43" t="b">
        <v>0</v>
      </c>
      <c r="AU43" t="b">
        <v>1</v>
      </c>
      <c r="BA43" t="str">
        <f t="shared" si="0"/>
        <v>Normal</v>
      </c>
      <c r="BG43" t="str">
        <f t="shared" si="1"/>
        <v>Normal</v>
      </c>
    </row>
    <row r="44" spans="1:59" x14ac:dyDescent="0.2">
      <c r="A44" t="s">
        <v>42</v>
      </c>
      <c r="B44" t="s">
        <v>43</v>
      </c>
      <c r="C44">
        <v>20190101</v>
      </c>
      <c r="D44">
        <v>2019</v>
      </c>
      <c r="E44">
        <v>52</v>
      </c>
      <c r="F44" t="s">
        <v>44</v>
      </c>
      <c r="G44">
        <v>380</v>
      </c>
      <c r="H44" t="s">
        <v>148</v>
      </c>
      <c r="I44" t="s">
        <v>149</v>
      </c>
      <c r="J44" t="s">
        <v>47</v>
      </c>
      <c r="K44" t="s">
        <v>48</v>
      </c>
      <c r="L44">
        <v>0</v>
      </c>
      <c r="M44" t="s">
        <v>49</v>
      </c>
      <c r="N44" t="s">
        <v>50</v>
      </c>
      <c r="O44">
        <v>0</v>
      </c>
      <c r="P44" t="s">
        <v>49</v>
      </c>
      <c r="Q44" t="s">
        <v>50</v>
      </c>
      <c r="R44" t="s">
        <v>51</v>
      </c>
      <c r="S44" t="s">
        <v>52</v>
      </c>
      <c r="T44" t="b">
        <v>1</v>
      </c>
      <c r="U44" t="s">
        <v>53</v>
      </c>
      <c r="V44" t="s">
        <v>54</v>
      </c>
      <c r="W44">
        <v>4</v>
      </c>
      <c r="X44" t="b">
        <v>0</v>
      </c>
      <c r="Y44" t="s">
        <v>55</v>
      </c>
      <c r="Z44" t="s">
        <v>56</v>
      </c>
      <c r="AA44" t="s">
        <v>57</v>
      </c>
      <c r="AB44">
        <v>0</v>
      </c>
      <c r="AC44" t="s">
        <v>58</v>
      </c>
      <c r="AD44">
        <v>8</v>
      </c>
      <c r="AE44" t="s">
        <v>59</v>
      </c>
      <c r="AF44">
        <v>131413205</v>
      </c>
      <c r="AG44" t="b">
        <v>0</v>
      </c>
      <c r="AH44">
        <v>8</v>
      </c>
      <c r="AI44" t="s">
        <v>59</v>
      </c>
      <c r="AJ44">
        <v>131413205</v>
      </c>
      <c r="AK44" t="b">
        <v>0</v>
      </c>
      <c r="AL44">
        <v>131413205</v>
      </c>
      <c r="AM44" t="b">
        <v>0</v>
      </c>
      <c r="AN44">
        <v>0</v>
      </c>
      <c r="AO44" t="b">
        <v>0</v>
      </c>
      <c r="AQ44">
        <v>44184594.504000001</v>
      </c>
      <c r="AR44">
        <v>44184594.504000001</v>
      </c>
      <c r="AS44">
        <v>0</v>
      </c>
      <c r="AT44" t="b">
        <v>0</v>
      </c>
      <c r="AU44" t="b">
        <v>1</v>
      </c>
      <c r="BA44" t="str">
        <f t="shared" si="0"/>
        <v>Normal</v>
      </c>
      <c r="BG44" t="str">
        <f t="shared" si="1"/>
        <v>Normal</v>
      </c>
    </row>
    <row r="45" spans="1:59" x14ac:dyDescent="0.2">
      <c r="A45" t="s">
        <v>42</v>
      </c>
      <c r="B45" t="s">
        <v>43</v>
      </c>
      <c r="C45">
        <v>20190101</v>
      </c>
      <c r="D45">
        <v>2019</v>
      </c>
      <c r="E45">
        <v>52</v>
      </c>
      <c r="F45" t="s">
        <v>44</v>
      </c>
      <c r="G45">
        <v>384</v>
      </c>
      <c r="H45" t="s">
        <v>150</v>
      </c>
      <c r="I45" t="s">
        <v>151</v>
      </c>
      <c r="J45" t="s">
        <v>47</v>
      </c>
      <c r="K45" t="s">
        <v>48</v>
      </c>
      <c r="L45">
        <v>0</v>
      </c>
      <c r="M45" t="s">
        <v>49</v>
      </c>
      <c r="N45" t="s">
        <v>50</v>
      </c>
      <c r="O45">
        <v>0</v>
      </c>
      <c r="P45" t="s">
        <v>49</v>
      </c>
      <c r="Q45" t="s">
        <v>50</v>
      </c>
      <c r="R45" t="s">
        <v>51</v>
      </c>
      <c r="S45" t="s">
        <v>52</v>
      </c>
      <c r="T45" t="b">
        <v>1</v>
      </c>
      <c r="U45" t="s">
        <v>53</v>
      </c>
      <c r="V45" t="s">
        <v>54</v>
      </c>
      <c r="W45">
        <v>4</v>
      </c>
      <c r="X45" t="b">
        <v>0</v>
      </c>
      <c r="Y45" t="s">
        <v>55</v>
      </c>
      <c r="Z45" t="s">
        <v>56</v>
      </c>
      <c r="AA45" t="s">
        <v>57</v>
      </c>
      <c r="AB45">
        <v>0</v>
      </c>
      <c r="AC45" t="s">
        <v>58</v>
      </c>
      <c r="AD45">
        <v>8</v>
      </c>
      <c r="AE45" t="s">
        <v>59</v>
      </c>
      <c r="AF45">
        <v>2040779254</v>
      </c>
      <c r="AG45" t="b">
        <v>0</v>
      </c>
      <c r="AH45">
        <v>8</v>
      </c>
      <c r="AI45" t="s">
        <v>59</v>
      </c>
      <c r="AJ45">
        <v>2040779254</v>
      </c>
      <c r="AK45" t="b">
        <v>0</v>
      </c>
      <c r="AL45">
        <v>2040779254</v>
      </c>
      <c r="AM45" t="b">
        <v>0</v>
      </c>
      <c r="AN45">
        <v>0</v>
      </c>
      <c r="AO45" t="b">
        <v>0</v>
      </c>
      <c r="AQ45">
        <v>901869091.83299994</v>
      </c>
      <c r="AR45">
        <v>901869091.83299994</v>
      </c>
      <c r="AS45">
        <v>0</v>
      </c>
      <c r="AT45" t="b">
        <v>0</v>
      </c>
      <c r="AU45" t="b">
        <v>1</v>
      </c>
      <c r="BA45" t="str">
        <f t="shared" si="0"/>
        <v>Normal</v>
      </c>
      <c r="BG45" t="str">
        <f t="shared" si="1"/>
        <v>Normal</v>
      </c>
    </row>
    <row r="46" spans="1:59" x14ac:dyDescent="0.2">
      <c r="A46" t="s">
        <v>42</v>
      </c>
      <c r="B46" t="s">
        <v>43</v>
      </c>
      <c r="C46">
        <v>20190101</v>
      </c>
      <c r="D46">
        <v>2019</v>
      </c>
      <c r="E46">
        <v>52</v>
      </c>
      <c r="F46" t="s">
        <v>44</v>
      </c>
      <c r="G46">
        <v>398</v>
      </c>
      <c r="H46" t="s">
        <v>152</v>
      </c>
      <c r="I46" t="s">
        <v>153</v>
      </c>
      <c r="J46" t="s">
        <v>47</v>
      </c>
      <c r="K46" t="s">
        <v>48</v>
      </c>
      <c r="L46">
        <v>0</v>
      </c>
      <c r="M46" t="s">
        <v>49</v>
      </c>
      <c r="N46" t="s">
        <v>50</v>
      </c>
      <c r="O46">
        <v>0</v>
      </c>
      <c r="P46" t="s">
        <v>49</v>
      </c>
      <c r="Q46" t="s">
        <v>50</v>
      </c>
      <c r="R46" t="s">
        <v>51</v>
      </c>
      <c r="S46" t="s">
        <v>52</v>
      </c>
      <c r="T46" t="b">
        <v>1</v>
      </c>
      <c r="U46" t="s">
        <v>53</v>
      </c>
      <c r="V46" t="s">
        <v>54</v>
      </c>
      <c r="W46">
        <v>4</v>
      </c>
      <c r="X46" t="b">
        <v>0</v>
      </c>
      <c r="Y46" t="s">
        <v>55</v>
      </c>
      <c r="Z46" t="s">
        <v>56</v>
      </c>
      <c r="AA46" t="s">
        <v>57</v>
      </c>
      <c r="AB46">
        <v>0</v>
      </c>
      <c r="AC46" t="s">
        <v>58</v>
      </c>
      <c r="AD46">
        <v>8</v>
      </c>
      <c r="AE46" t="s">
        <v>59</v>
      </c>
      <c r="AF46">
        <v>70008740151.960007</v>
      </c>
      <c r="AG46" t="b">
        <v>0</v>
      </c>
      <c r="AH46">
        <v>8</v>
      </c>
      <c r="AI46" t="s">
        <v>59</v>
      </c>
      <c r="AJ46">
        <v>70008740151.960007</v>
      </c>
      <c r="AK46" t="b">
        <v>0</v>
      </c>
      <c r="AL46">
        <v>70008740151.960007</v>
      </c>
      <c r="AM46" t="b">
        <v>0</v>
      </c>
      <c r="AN46">
        <v>0</v>
      </c>
      <c r="AO46" t="b">
        <v>0</v>
      </c>
      <c r="AQ46">
        <v>33585170294.790001</v>
      </c>
      <c r="AR46">
        <v>33585170294.790001</v>
      </c>
      <c r="AS46">
        <v>0</v>
      </c>
      <c r="AT46" t="b">
        <v>0</v>
      </c>
      <c r="AU46" t="b">
        <v>1</v>
      </c>
      <c r="BA46" t="str">
        <f t="shared" si="0"/>
        <v>Normal</v>
      </c>
      <c r="BG46" t="str">
        <f t="shared" si="1"/>
        <v>Normal</v>
      </c>
    </row>
    <row r="47" spans="1:59" x14ac:dyDescent="0.2">
      <c r="A47" t="s">
        <v>42</v>
      </c>
      <c r="B47" t="s">
        <v>43</v>
      </c>
      <c r="C47">
        <v>20190101</v>
      </c>
      <c r="D47">
        <v>2019</v>
      </c>
      <c r="E47">
        <v>52</v>
      </c>
      <c r="F47" t="s">
        <v>44</v>
      </c>
      <c r="G47">
        <v>404</v>
      </c>
      <c r="H47" t="s">
        <v>154</v>
      </c>
      <c r="I47" t="s">
        <v>155</v>
      </c>
      <c r="J47" t="s">
        <v>47</v>
      </c>
      <c r="K47" t="s">
        <v>48</v>
      </c>
      <c r="L47">
        <v>0</v>
      </c>
      <c r="M47" t="s">
        <v>49</v>
      </c>
      <c r="N47" t="s">
        <v>50</v>
      </c>
      <c r="O47">
        <v>0</v>
      </c>
      <c r="P47" t="s">
        <v>49</v>
      </c>
      <c r="Q47" t="s">
        <v>50</v>
      </c>
      <c r="R47" t="s">
        <v>51</v>
      </c>
      <c r="S47" t="s">
        <v>52</v>
      </c>
      <c r="T47" t="b">
        <v>1</v>
      </c>
      <c r="U47" t="s">
        <v>53</v>
      </c>
      <c r="V47" t="s">
        <v>54</v>
      </c>
      <c r="W47">
        <v>4</v>
      </c>
      <c r="X47" t="b">
        <v>0</v>
      </c>
      <c r="Y47" t="s">
        <v>55</v>
      </c>
      <c r="Z47" t="s">
        <v>56</v>
      </c>
      <c r="AA47" t="s">
        <v>57</v>
      </c>
      <c r="AB47">
        <v>0</v>
      </c>
      <c r="AC47" t="s">
        <v>58</v>
      </c>
      <c r="AD47">
        <v>-1</v>
      </c>
      <c r="AE47" t="s">
        <v>73</v>
      </c>
      <c r="AF47">
        <v>0</v>
      </c>
      <c r="AG47" t="b">
        <v>1</v>
      </c>
      <c r="AH47">
        <v>-1</v>
      </c>
      <c r="AI47" t="s">
        <v>73</v>
      </c>
      <c r="AJ47">
        <v>0</v>
      </c>
      <c r="AK47" t="b">
        <v>0</v>
      </c>
      <c r="AM47" t="b">
        <v>1</v>
      </c>
      <c r="AN47">
        <v>0</v>
      </c>
      <c r="AO47" t="b">
        <v>0</v>
      </c>
      <c r="AQ47">
        <v>5608.19</v>
      </c>
      <c r="AR47">
        <v>5608.19</v>
      </c>
      <c r="AS47">
        <v>6</v>
      </c>
      <c r="AT47" t="b">
        <v>0</v>
      </c>
      <c r="AU47" t="b">
        <v>1</v>
      </c>
      <c r="BA47" t="str">
        <f t="shared" si="0"/>
        <v>Normal</v>
      </c>
      <c r="BG47" t="str">
        <f t="shared" si="1"/>
        <v>Normal</v>
      </c>
    </row>
    <row r="48" spans="1:59" x14ac:dyDescent="0.2">
      <c r="A48" t="s">
        <v>42</v>
      </c>
      <c r="B48" t="s">
        <v>43</v>
      </c>
      <c r="C48">
        <v>20190101</v>
      </c>
      <c r="D48">
        <v>2019</v>
      </c>
      <c r="E48">
        <v>52</v>
      </c>
      <c r="F48" t="s">
        <v>44</v>
      </c>
      <c r="G48">
        <v>410</v>
      </c>
      <c r="H48" t="s">
        <v>156</v>
      </c>
      <c r="I48" t="s">
        <v>157</v>
      </c>
      <c r="J48" t="s">
        <v>47</v>
      </c>
      <c r="K48" t="s">
        <v>48</v>
      </c>
      <c r="L48">
        <v>0</v>
      </c>
      <c r="M48" t="s">
        <v>49</v>
      </c>
      <c r="N48" t="s">
        <v>50</v>
      </c>
      <c r="O48">
        <v>0</v>
      </c>
      <c r="P48" t="s">
        <v>49</v>
      </c>
      <c r="Q48" t="s">
        <v>50</v>
      </c>
      <c r="R48" t="s">
        <v>51</v>
      </c>
      <c r="S48" t="s">
        <v>52</v>
      </c>
      <c r="T48" t="b">
        <v>1</v>
      </c>
      <c r="U48" t="s">
        <v>53</v>
      </c>
      <c r="V48" t="s">
        <v>54</v>
      </c>
      <c r="W48">
        <v>4</v>
      </c>
      <c r="X48" t="b">
        <v>0</v>
      </c>
      <c r="Y48" t="s">
        <v>55</v>
      </c>
      <c r="Z48" t="s">
        <v>56</v>
      </c>
      <c r="AA48" t="s">
        <v>57</v>
      </c>
      <c r="AB48">
        <v>0</v>
      </c>
      <c r="AC48" t="s">
        <v>58</v>
      </c>
      <c r="AD48">
        <v>8</v>
      </c>
      <c r="AE48" t="s">
        <v>59</v>
      </c>
      <c r="AF48">
        <v>1301.114</v>
      </c>
      <c r="AG48" t="b">
        <v>1</v>
      </c>
      <c r="AH48">
        <v>-1</v>
      </c>
      <c r="AI48" t="s">
        <v>73</v>
      </c>
      <c r="AJ48">
        <v>0</v>
      </c>
      <c r="AK48" t="b">
        <v>0</v>
      </c>
      <c r="AL48">
        <v>1301.114</v>
      </c>
      <c r="AM48" t="b">
        <v>1</v>
      </c>
      <c r="AN48">
        <v>0</v>
      </c>
      <c r="AO48" t="b">
        <v>0</v>
      </c>
      <c r="AQ48">
        <v>5724</v>
      </c>
      <c r="AR48">
        <v>5724</v>
      </c>
      <c r="AS48">
        <v>6</v>
      </c>
      <c r="AT48" t="b">
        <v>0</v>
      </c>
      <c r="AU48" t="b">
        <v>1</v>
      </c>
      <c r="BA48" t="str">
        <f t="shared" si="0"/>
        <v>Normal</v>
      </c>
      <c r="BG48" t="str">
        <f t="shared" si="1"/>
        <v>Normal</v>
      </c>
    </row>
    <row r="49" spans="1:59" x14ac:dyDescent="0.2">
      <c r="A49" t="s">
        <v>42</v>
      </c>
      <c r="B49" t="s">
        <v>43</v>
      </c>
      <c r="C49">
        <v>20190101</v>
      </c>
      <c r="D49">
        <v>2019</v>
      </c>
      <c r="E49">
        <v>52</v>
      </c>
      <c r="F49" t="s">
        <v>44</v>
      </c>
      <c r="G49">
        <v>414</v>
      </c>
      <c r="H49" t="s">
        <v>158</v>
      </c>
      <c r="I49" t="s">
        <v>159</v>
      </c>
      <c r="J49" t="s">
        <v>47</v>
      </c>
      <c r="K49" t="s">
        <v>48</v>
      </c>
      <c r="L49">
        <v>0</v>
      </c>
      <c r="M49" t="s">
        <v>49</v>
      </c>
      <c r="N49" t="s">
        <v>50</v>
      </c>
      <c r="O49">
        <v>0</v>
      </c>
      <c r="P49" t="s">
        <v>49</v>
      </c>
      <c r="Q49" t="s">
        <v>50</v>
      </c>
      <c r="R49" t="s">
        <v>51</v>
      </c>
      <c r="S49" t="s">
        <v>52</v>
      </c>
      <c r="T49" t="b">
        <v>1</v>
      </c>
      <c r="U49" t="s">
        <v>53</v>
      </c>
      <c r="V49" t="s">
        <v>54</v>
      </c>
      <c r="W49">
        <v>4</v>
      </c>
      <c r="X49" t="b">
        <v>0</v>
      </c>
      <c r="Y49" t="s">
        <v>55</v>
      </c>
      <c r="Z49" t="s">
        <v>56</v>
      </c>
      <c r="AA49" t="s">
        <v>57</v>
      </c>
      <c r="AB49">
        <v>0</v>
      </c>
      <c r="AC49" t="s">
        <v>58</v>
      </c>
      <c r="AD49">
        <v>8</v>
      </c>
      <c r="AE49" t="s">
        <v>59</v>
      </c>
      <c r="AF49">
        <v>115420167000</v>
      </c>
      <c r="AG49" t="b">
        <v>0</v>
      </c>
      <c r="AH49">
        <v>19</v>
      </c>
      <c r="AI49" t="s">
        <v>60</v>
      </c>
      <c r="AJ49">
        <v>725913000</v>
      </c>
      <c r="AK49" t="b">
        <v>0</v>
      </c>
      <c r="AM49" t="b">
        <v>0</v>
      </c>
      <c r="AN49">
        <v>0</v>
      </c>
      <c r="AO49" t="b">
        <v>0</v>
      </c>
      <c r="AQ49">
        <v>46539357988</v>
      </c>
      <c r="AR49">
        <v>46539357988</v>
      </c>
      <c r="AS49">
        <v>0</v>
      </c>
      <c r="AT49" t="b">
        <v>0</v>
      </c>
      <c r="AU49" t="b">
        <v>1</v>
      </c>
      <c r="BA49" t="str">
        <f t="shared" si="0"/>
        <v>Normal</v>
      </c>
      <c r="BG49" t="str">
        <f t="shared" si="1"/>
        <v>Normal</v>
      </c>
    </row>
    <row r="50" spans="1:59" x14ac:dyDescent="0.2">
      <c r="A50" t="s">
        <v>42</v>
      </c>
      <c r="B50" t="s">
        <v>43</v>
      </c>
      <c r="C50">
        <v>20190101</v>
      </c>
      <c r="D50">
        <v>2019</v>
      </c>
      <c r="E50">
        <v>52</v>
      </c>
      <c r="F50" t="s">
        <v>44</v>
      </c>
      <c r="G50">
        <v>417</v>
      </c>
      <c r="H50" t="s">
        <v>160</v>
      </c>
      <c r="I50" t="s">
        <v>161</v>
      </c>
      <c r="J50" t="s">
        <v>47</v>
      </c>
      <c r="K50" t="s">
        <v>48</v>
      </c>
      <c r="L50">
        <v>0</v>
      </c>
      <c r="M50" t="s">
        <v>49</v>
      </c>
      <c r="N50" t="s">
        <v>50</v>
      </c>
      <c r="O50">
        <v>0</v>
      </c>
      <c r="P50" t="s">
        <v>49</v>
      </c>
      <c r="Q50" t="s">
        <v>50</v>
      </c>
      <c r="R50" t="s">
        <v>51</v>
      </c>
      <c r="S50" t="s">
        <v>52</v>
      </c>
      <c r="T50" t="b">
        <v>1</v>
      </c>
      <c r="U50" t="s">
        <v>53</v>
      </c>
      <c r="V50" t="s">
        <v>54</v>
      </c>
      <c r="W50">
        <v>4</v>
      </c>
      <c r="X50" t="b">
        <v>0</v>
      </c>
      <c r="Y50" t="s">
        <v>55</v>
      </c>
      <c r="Z50" t="s">
        <v>56</v>
      </c>
      <c r="AA50" t="s">
        <v>57</v>
      </c>
      <c r="AB50">
        <v>0</v>
      </c>
      <c r="AC50" t="s">
        <v>58</v>
      </c>
      <c r="AD50">
        <v>8</v>
      </c>
      <c r="AE50" t="s">
        <v>59</v>
      </c>
      <c r="AF50">
        <v>51209190</v>
      </c>
      <c r="AG50" t="b">
        <v>0</v>
      </c>
      <c r="AH50">
        <v>8</v>
      </c>
      <c r="AI50" t="s">
        <v>59</v>
      </c>
      <c r="AJ50">
        <v>51209190</v>
      </c>
      <c r="AK50" t="b">
        <v>0</v>
      </c>
      <c r="AL50">
        <v>51209190</v>
      </c>
      <c r="AM50" t="b">
        <v>0</v>
      </c>
      <c r="AN50">
        <v>0</v>
      </c>
      <c r="AO50" t="b">
        <v>0</v>
      </c>
      <c r="AQ50">
        <v>16182548</v>
      </c>
      <c r="AR50">
        <v>16182548</v>
      </c>
      <c r="AS50">
        <v>0</v>
      </c>
      <c r="AT50" t="b">
        <v>0</v>
      </c>
      <c r="AU50" t="b">
        <v>1</v>
      </c>
      <c r="BA50" t="str">
        <f t="shared" si="0"/>
        <v>Normal</v>
      </c>
      <c r="BG50" t="str">
        <f t="shared" si="1"/>
        <v>Normal</v>
      </c>
    </row>
    <row r="51" spans="1:59" x14ac:dyDescent="0.2">
      <c r="A51" t="s">
        <v>42</v>
      </c>
      <c r="B51" t="s">
        <v>43</v>
      </c>
      <c r="C51">
        <v>20190101</v>
      </c>
      <c r="D51">
        <v>2019</v>
      </c>
      <c r="E51">
        <v>52</v>
      </c>
      <c r="F51" t="s">
        <v>44</v>
      </c>
      <c r="G51">
        <v>418</v>
      </c>
      <c r="H51" t="s">
        <v>162</v>
      </c>
      <c r="I51" t="s">
        <v>163</v>
      </c>
      <c r="J51" t="s">
        <v>47</v>
      </c>
      <c r="K51" t="s">
        <v>48</v>
      </c>
      <c r="L51">
        <v>0</v>
      </c>
      <c r="M51" t="s">
        <v>49</v>
      </c>
      <c r="N51" t="s">
        <v>50</v>
      </c>
      <c r="O51">
        <v>0</v>
      </c>
      <c r="P51" t="s">
        <v>49</v>
      </c>
      <c r="Q51" t="s">
        <v>50</v>
      </c>
      <c r="R51" t="s">
        <v>51</v>
      </c>
      <c r="S51" t="s">
        <v>52</v>
      </c>
      <c r="T51" t="b">
        <v>1</v>
      </c>
      <c r="U51" t="s">
        <v>53</v>
      </c>
      <c r="V51" t="s">
        <v>54</v>
      </c>
      <c r="W51">
        <v>4</v>
      </c>
      <c r="X51" t="b">
        <v>0</v>
      </c>
      <c r="Y51" t="s">
        <v>55</v>
      </c>
      <c r="Z51" t="s">
        <v>56</v>
      </c>
      <c r="AA51" t="s">
        <v>57</v>
      </c>
      <c r="AB51">
        <v>0</v>
      </c>
      <c r="AC51" t="s">
        <v>58</v>
      </c>
      <c r="AD51">
        <v>8</v>
      </c>
      <c r="AE51" t="s">
        <v>59</v>
      </c>
      <c r="AF51">
        <v>13800</v>
      </c>
      <c r="AG51" t="b">
        <v>0</v>
      </c>
      <c r="AH51">
        <v>8</v>
      </c>
      <c r="AI51" t="s">
        <v>59</v>
      </c>
      <c r="AJ51">
        <v>13800</v>
      </c>
      <c r="AK51" t="b">
        <v>0</v>
      </c>
      <c r="AL51">
        <v>13800</v>
      </c>
      <c r="AM51" t="b">
        <v>0</v>
      </c>
      <c r="AN51">
        <v>0</v>
      </c>
      <c r="AO51" t="b">
        <v>0</v>
      </c>
      <c r="AQ51">
        <v>1600</v>
      </c>
      <c r="AR51">
        <v>1600</v>
      </c>
      <c r="AS51">
        <v>0</v>
      </c>
      <c r="AT51" t="b">
        <v>0</v>
      </c>
      <c r="AU51" t="b">
        <v>1</v>
      </c>
      <c r="BA51" t="str">
        <f t="shared" si="0"/>
        <v>Normal</v>
      </c>
      <c r="BG51" t="str">
        <f t="shared" si="1"/>
        <v>Normal</v>
      </c>
    </row>
    <row r="52" spans="1:59" x14ac:dyDescent="0.2">
      <c r="A52" t="s">
        <v>42</v>
      </c>
      <c r="B52" t="s">
        <v>43</v>
      </c>
      <c r="C52">
        <v>20190101</v>
      </c>
      <c r="D52">
        <v>2019</v>
      </c>
      <c r="E52">
        <v>52</v>
      </c>
      <c r="F52" t="s">
        <v>44</v>
      </c>
      <c r="G52">
        <v>422</v>
      </c>
      <c r="H52" t="s">
        <v>164</v>
      </c>
      <c r="I52" t="s">
        <v>165</v>
      </c>
      <c r="J52" t="s">
        <v>47</v>
      </c>
      <c r="K52" t="s">
        <v>48</v>
      </c>
      <c r="L52">
        <v>0</v>
      </c>
      <c r="M52" t="s">
        <v>49</v>
      </c>
      <c r="N52" t="s">
        <v>50</v>
      </c>
      <c r="O52">
        <v>0</v>
      </c>
      <c r="P52" t="s">
        <v>49</v>
      </c>
      <c r="Q52" t="s">
        <v>50</v>
      </c>
      <c r="R52" t="s">
        <v>51</v>
      </c>
      <c r="S52" t="s">
        <v>52</v>
      </c>
      <c r="T52" t="b">
        <v>1</v>
      </c>
      <c r="U52" t="s">
        <v>53</v>
      </c>
      <c r="V52" t="s">
        <v>54</v>
      </c>
      <c r="W52">
        <v>4</v>
      </c>
      <c r="X52" t="b">
        <v>0</v>
      </c>
      <c r="Y52" t="s">
        <v>55</v>
      </c>
      <c r="Z52" t="s">
        <v>56</v>
      </c>
      <c r="AA52" t="s">
        <v>57</v>
      </c>
      <c r="AB52">
        <v>0</v>
      </c>
      <c r="AC52" t="s">
        <v>58</v>
      </c>
      <c r="AD52">
        <v>8</v>
      </c>
      <c r="AE52" t="s">
        <v>59</v>
      </c>
      <c r="AF52">
        <v>1840</v>
      </c>
      <c r="AG52" t="b">
        <v>0</v>
      </c>
      <c r="AH52">
        <v>8</v>
      </c>
      <c r="AI52" t="s">
        <v>59</v>
      </c>
      <c r="AJ52">
        <v>1840</v>
      </c>
      <c r="AK52" t="b">
        <v>0</v>
      </c>
      <c r="AL52">
        <v>1840</v>
      </c>
      <c r="AM52" t="b">
        <v>0</v>
      </c>
      <c r="AN52">
        <v>0</v>
      </c>
      <c r="AO52" t="b">
        <v>0</v>
      </c>
      <c r="AP52">
        <v>0</v>
      </c>
      <c r="AQ52">
        <v>6586.87</v>
      </c>
      <c r="AR52">
        <v>6586.87</v>
      </c>
      <c r="AS52">
        <v>0</v>
      </c>
      <c r="AT52" t="b">
        <v>0</v>
      </c>
      <c r="AU52" t="b">
        <v>1</v>
      </c>
      <c r="BA52" t="str">
        <f t="shared" si="0"/>
        <v>Normal</v>
      </c>
      <c r="BG52" t="str">
        <f t="shared" si="1"/>
        <v>Normal</v>
      </c>
    </row>
    <row r="53" spans="1:59" x14ac:dyDescent="0.2">
      <c r="A53" t="s">
        <v>42</v>
      </c>
      <c r="B53" t="s">
        <v>43</v>
      </c>
      <c r="C53">
        <v>20190101</v>
      </c>
      <c r="D53">
        <v>2019</v>
      </c>
      <c r="E53">
        <v>52</v>
      </c>
      <c r="F53" t="s">
        <v>44</v>
      </c>
      <c r="G53">
        <v>428</v>
      </c>
      <c r="H53" t="s">
        <v>166</v>
      </c>
      <c r="I53" t="s">
        <v>167</v>
      </c>
      <c r="J53" t="s">
        <v>47</v>
      </c>
      <c r="K53" t="s">
        <v>48</v>
      </c>
      <c r="L53">
        <v>0</v>
      </c>
      <c r="M53" t="s">
        <v>49</v>
      </c>
      <c r="N53" t="s">
        <v>50</v>
      </c>
      <c r="O53">
        <v>0</v>
      </c>
      <c r="P53" t="s">
        <v>49</v>
      </c>
      <c r="Q53" t="s">
        <v>50</v>
      </c>
      <c r="R53" t="s">
        <v>51</v>
      </c>
      <c r="S53" t="s">
        <v>52</v>
      </c>
      <c r="T53" t="b">
        <v>1</v>
      </c>
      <c r="U53" t="s">
        <v>53</v>
      </c>
      <c r="V53" t="s">
        <v>54</v>
      </c>
      <c r="W53">
        <v>4</v>
      </c>
      <c r="X53" t="b">
        <v>0</v>
      </c>
      <c r="Y53" t="s">
        <v>55</v>
      </c>
      <c r="Z53" t="s">
        <v>56</v>
      </c>
      <c r="AA53" t="s">
        <v>57</v>
      </c>
      <c r="AB53">
        <v>0</v>
      </c>
      <c r="AC53" t="s">
        <v>58</v>
      </c>
      <c r="AD53">
        <v>8</v>
      </c>
      <c r="AE53" t="s">
        <v>59</v>
      </c>
      <c r="AF53">
        <v>10212693</v>
      </c>
      <c r="AG53" t="b">
        <v>0</v>
      </c>
      <c r="AH53">
        <v>8</v>
      </c>
      <c r="AI53" t="s">
        <v>59</v>
      </c>
      <c r="AJ53">
        <v>10212693</v>
      </c>
      <c r="AK53" t="b">
        <v>0</v>
      </c>
      <c r="AL53">
        <v>10212693</v>
      </c>
      <c r="AM53" t="b">
        <v>0</v>
      </c>
      <c r="AN53">
        <v>0</v>
      </c>
      <c r="AO53" t="b">
        <v>0</v>
      </c>
      <c r="AQ53">
        <v>4327572.7640000004</v>
      </c>
      <c r="AR53">
        <v>4327572.7640000004</v>
      </c>
      <c r="AS53">
        <v>0</v>
      </c>
      <c r="AT53" t="b">
        <v>0</v>
      </c>
      <c r="AU53" t="b">
        <v>1</v>
      </c>
      <c r="BA53" t="str">
        <f t="shared" si="0"/>
        <v>Normal</v>
      </c>
      <c r="BG53" t="str">
        <f t="shared" si="1"/>
        <v>Normal</v>
      </c>
    </row>
    <row r="54" spans="1:59" x14ac:dyDescent="0.2">
      <c r="A54" t="s">
        <v>42</v>
      </c>
      <c r="B54" t="s">
        <v>43</v>
      </c>
      <c r="C54">
        <v>20190101</v>
      </c>
      <c r="D54">
        <v>2019</v>
      </c>
      <c r="E54">
        <v>52</v>
      </c>
      <c r="F54" t="s">
        <v>44</v>
      </c>
      <c r="G54">
        <v>434</v>
      </c>
      <c r="H54" t="s">
        <v>168</v>
      </c>
      <c r="I54" t="s">
        <v>169</v>
      </c>
      <c r="J54" t="s">
        <v>47</v>
      </c>
      <c r="K54" t="s">
        <v>48</v>
      </c>
      <c r="L54">
        <v>0</v>
      </c>
      <c r="M54" t="s">
        <v>49</v>
      </c>
      <c r="N54" t="s">
        <v>50</v>
      </c>
      <c r="O54">
        <v>0</v>
      </c>
      <c r="P54" t="s">
        <v>49</v>
      </c>
      <c r="Q54" t="s">
        <v>50</v>
      </c>
      <c r="R54" t="s">
        <v>51</v>
      </c>
      <c r="S54" t="s">
        <v>52</v>
      </c>
      <c r="T54" t="b">
        <v>1</v>
      </c>
      <c r="U54" t="s">
        <v>53</v>
      </c>
      <c r="V54" t="s">
        <v>54</v>
      </c>
      <c r="W54">
        <v>4</v>
      </c>
      <c r="X54" t="b">
        <v>0</v>
      </c>
      <c r="Y54" t="s">
        <v>55</v>
      </c>
      <c r="Z54" t="s">
        <v>56</v>
      </c>
      <c r="AA54" t="s">
        <v>57</v>
      </c>
      <c r="AB54">
        <v>0</v>
      </c>
      <c r="AC54" t="s">
        <v>58</v>
      </c>
      <c r="AD54">
        <v>8</v>
      </c>
      <c r="AE54" t="s">
        <v>59</v>
      </c>
      <c r="AF54">
        <v>50463504300</v>
      </c>
      <c r="AG54" t="b">
        <v>0</v>
      </c>
      <c r="AH54">
        <v>21</v>
      </c>
      <c r="AI54" t="s">
        <v>170</v>
      </c>
      <c r="AJ54">
        <v>50463504.299999997</v>
      </c>
      <c r="AK54" t="b">
        <v>0</v>
      </c>
      <c r="AL54">
        <v>50463504300</v>
      </c>
      <c r="AM54" t="b">
        <v>0</v>
      </c>
      <c r="AN54">
        <v>0</v>
      </c>
      <c r="AO54" t="b">
        <v>0</v>
      </c>
      <c r="AP54">
        <v>0</v>
      </c>
      <c r="AQ54">
        <v>24182530749.703999</v>
      </c>
      <c r="AR54">
        <v>24182530749.703999</v>
      </c>
      <c r="AS54">
        <v>0</v>
      </c>
      <c r="AT54" t="b">
        <v>0</v>
      </c>
      <c r="AU54" t="b">
        <v>1</v>
      </c>
      <c r="BA54" t="str">
        <f t="shared" si="0"/>
        <v>Normal</v>
      </c>
      <c r="BG54" t="str">
        <f t="shared" si="1"/>
        <v>Normal</v>
      </c>
    </row>
    <row r="55" spans="1:59" x14ac:dyDescent="0.2">
      <c r="A55" t="s">
        <v>42</v>
      </c>
      <c r="B55" t="s">
        <v>43</v>
      </c>
      <c r="C55">
        <v>20190101</v>
      </c>
      <c r="D55">
        <v>2019</v>
      </c>
      <c r="E55">
        <v>52</v>
      </c>
      <c r="F55" t="s">
        <v>44</v>
      </c>
      <c r="G55">
        <v>440</v>
      </c>
      <c r="H55" t="s">
        <v>171</v>
      </c>
      <c r="I55" t="s">
        <v>172</v>
      </c>
      <c r="J55" t="s">
        <v>47</v>
      </c>
      <c r="K55" t="s">
        <v>48</v>
      </c>
      <c r="L55">
        <v>0</v>
      </c>
      <c r="M55" t="s">
        <v>49</v>
      </c>
      <c r="N55" t="s">
        <v>50</v>
      </c>
      <c r="O55">
        <v>0</v>
      </c>
      <c r="P55" t="s">
        <v>49</v>
      </c>
      <c r="Q55" t="s">
        <v>50</v>
      </c>
      <c r="R55" t="s">
        <v>51</v>
      </c>
      <c r="S55" t="s">
        <v>52</v>
      </c>
      <c r="T55" t="b">
        <v>1</v>
      </c>
      <c r="U55" t="s">
        <v>53</v>
      </c>
      <c r="V55" t="s">
        <v>54</v>
      </c>
      <c r="W55">
        <v>4</v>
      </c>
      <c r="X55" t="b">
        <v>0</v>
      </c>
      <c r="Y55" t="s">
        <v>55</v>
      </c>
      <c r="Z55" t="s">
        <v>56</v>
      </c>
      <c r="AA55" t="s">
        <v>57</v>
      </c>
      <c r="AB55">
        <v>0</v>
      </c>
      <c r="AC55" t="s">
        <v>58</v>
      </c>
      <c r="AD55">
        <v>8</v>
      </c>
      <c r="AE55" t="s">
        <v>59</v>
      </c>
      <c r="AF55">
        <v>37759070</v>
      </c>
      <c r="AG55" t="b">
        <v>0</v>
      </c>
      <c r="AH55">
        <v>8</v>
      </c>
      <c r="AI55" t="s">
        <v>59</v>
      </c>
      <c r="AJ55">
        <v>37759070</v>
      </c>
      <c r="AK55" t="b">
        <v>0</v>
      </c>
      <c r="AL55">
        <v>37759070</v>
      </c>
      <c r="AM55" t="b">
        <v>0</v>
      </c>
      <c r="AN55">
        <v>0</v>
      </c>
      <c r="AO55" t="b">
        <v>0</v>
      </c>
      <c r="AQ55">
        <v>17537068</v>
      </c>
      <c r="AR55">
        <v>17537068</v>
      </c>
      <c r="AS55">
        <v>0</v>
      </c>
      <c r="AT55" t="b">
        <v>0</v>
      </c>
      <c r="AU55" t="b">
        <v>1</v>
      </c>
      <c r="BA55" t="str">
        <f t="shared" si="0"/>
        <v>Normal</v>
      </c>
      <c r="BG55" t="str">
        <f t="shared" si="1"/>
        <v>Normal</v>
      </c>
    </row>
    <row r="56" spans="1:59" x14ac:dyDescent="0.2">
      <c r="A56" t="s">
        <v>42</v>
      </c>
      <c r="B56" t="s">
        <v>43</v>
      </c>
      <c r="C56">
        <v>20190101</v>
      </c>
      <c r="D56">
        <v>2019</v>
      </c>
      <c r="E56">
        <v>52</v>
      </c>
      <c r="F56" t="s">
        <v>44</v>
      </c>
      <c r="G56">
        <v>442</v>
      </c>
      <c r="H56" t="s">
        <v>173</v>
      </c>
      <c r="I56" t="s">
        <v>174</v>
      </c>
      <c r="J56" t="s">
        <v>47</v>
      </c>
      <c r="K56" t="s">
        <v>48</v>
      </c>
      <c r="L56">
        <v>0</v>
      </c>
      <c r="M56" t="s">
        <v>49</v>
      </c>
      <c r="N56" t="s">
        <v>50</v>
      </c>
      <c r="O56">
        <v>0</v>
      </c>
      <c r="P56" t="s">
        <v>49</v>
      </c>
      <c r="Q56" t="s">
        <v>50</v>
      </c>
      <c r="R56" t="s">
        <v>51</v>
      </c>
      <c r="S56" t="s">
        <v>52</v>
      </c>
      <c r="T56" t="b">
        <v>1</v>
      </c>
      <c r="U56" t="s">
        <v>53</v>
      </c>
      <c r="V56" t="s">
        <v>54</v>
      </c>
      <c r="W56">
        <v>4</v>
      </c>
      <c r="X56" t="b">
        <v>0</v>
      </c>
      <c r="Y56" t="s">
        <v>55</v>
      </c>
      <c r="Z56" t="s">
        <v>56</v>
      </c>
      <c r="AA56" t="s">
        <v>57</v>
      </c>
      <c r="AB56">
        <v>0</v>
      </c>
      <c r="AC56" t="s">
        <v>58</v>
      </c>
      <c r="AD56">
        <v>8</v>
      </c>
      <c r="AE56" t="s">
        <v>59</v>
      </c>
      <c r="AF56">
        <v>1</v>
      </c>
      <c r="AG56" t="b">
        <v>0</v>
      </c>
      <c r="AH56">
        <v>8</v>
      </c>
      <c r="AI56" t="s">
        <v>59</v>
      </c>
      <c r="AJ56">
        <v>1</v>
      </c>
      <c r="AK56" t="b">
        <v>0</v>
      </c>
      <c r="AL56">
        <v>1</v>
      </c>
      <c r="AM56" t="b">
        <v>0</v>
      </c>
      <c r="AN56">
        <v>0</v>
      </c>
      <c r="AO56" t="b">
        <v>0</v>
      </c>
      <c r="AP56">
        <v>0</v>
      </c>
      <c r="AQ56">
        <v>36.951999999999998</v>
      </c>
      <c r="AR56">
        <v>36.951999999999998</v>
      </c>
      <c r="AS56">
        <v>0</v>
      </c>
      <c r="AT56" t="b">
        <v>0</v>
      </c>
      <c r="AU56" t="b">
        <v>1</v>
      </c>
      <c r="BA56" t="str">
        <f t="shared" si="0"/>
        <v>Normal</v>
      </c>
      <c r="BG56" t="str">
        <f t="shared" si="1"/>
        <v>Normal</v>
      </c>
    </row>
    <row r="57" spans="1:59" x14ac:dyDescent="0.2">
      <c r="A57" t="s">
        <v>42</v>
      </c>
      <c r="B57" t="s">
        <v>43</v>
      </c>
      <c r="C57">
        <v>20190101</v>
      </c>
      <c r="D57">
        <v>2019</v>
      </c>
      <c r="E57">
        <v>52</v>
      </c>
      <c r="F57" t="s">
        <v>44</v>
      </c>
      <c r="G57">
        <v>454</v>
      </c>
      <c r="H57" t="s">
        <v>175</v>
      </c>
      <c r="I57" t="s">
        <v>176</v>
      </c>
      <c r="J57" t="s">
        <v>47</v>
      </c>
      <c r="K57" t="s">
        <v>48</v>
      </c>
      <c r="L57">
        <v>0</v>
      </c>
      <c r="M57" t="s">
        <v>49</v>
      </c>
      <c r="N57" t="s">
        <v>50</v>
      </c>
      <c r="O57">
        <v>0</v>
      </c>
      <c r="P57" t="s">
        <v>49</v>
      </c>
      <c r="Q57" t="s">
        <v>50</v>
      </c>
      <c r="R57" t="s">
        <v>51</v>
      </c>
      <c r="S57" t="s">
        <v>52</v>
      </c>
      <c r="T57" t="b">
        <v>1</v>
      </c>
      <c r="U57" t="s">
        <v>53</v>
      </c>
      <c r="V57" t="s">
        <v>54</v>
      </c>
      <c r="W57">
        <v>4</v>
      </c>
      <c r="X57" t="b">
        <v>0</v>
      </c>
      <c r="Y57" t="s">
        <v>55</v>
      </c>
      <c r="Z57" t="s">
        <v>56</v>
      </c>
      <c r="AA57" t="s">
        <v>57</v>
      </c>
      <c r="AB57">
        <v>0</v>
      </c>
      <c r="AC57" t="s">
        <v>58</v>
      </c>
      <c r="AD57">
        <v>8</v>
      </c>
      <c r="AE57" t="s">
        <v>59</v>
      </c>
      <c r="AF57">
        <v>4800</v>
      </c>
      <c r="AG57" t="b">
        <v>0</v>
      </c>
      <c r="AH57">
        <v>8</v>
      </c>
      <c r="AI57" t="s">
        <v>59</v>
      </c>
      <c r="AJ57">
        <v>4800</v>
      </c>
      <c r="AK57" t="b">
        <v>0</v>
      </c>
      <c r="AL57">
        <v>4800</v>
      </c>
      <c r="AM57" t="b">
        <v>0</v>
      </c>
      <c r="AN57">
        <v>0</v>
      </c>
      <c r="AO57" t="b">
        <v>0</v>
      </c>
      <c r="AQ57">
        <v>1609.56</v>
      </c>
      <c r="AR57">
        <v>1609.56</v>
      </c>
      <c r="AS57">
        <v>0</v>
      </c>
      <c r="AT57" t="b">
        <v>0</v>
      </c>
      <c r="AU57" t="b">
        <v>1</v>
      </c>
      <c r="BA57" t="str">
        <f t="shared" si="0"/>
        <v>Normal</v>
      </c>
      <c r="BG57" t="str">
        <f t="shared" si="1"/>
        <v>Normal</v>
      </c>
    </row>
    <row r="58" spans="1:59" x14ac:dyDescent="0.2">
      <c r="A58" t="s">
        <v>42</v>
      </c>
      <c r="B58" t="s">
        <v>43</v>
      </c>
      <c r="C58">
        <v>20190101</v>
      </c>
      <c r="D58">
        <v>2019</v>
      </c>
      <c r="E58">
        <v>52</v>
      </c>
      <c r="F58" t="s">
        <v>44</v>
      </c>
      <c r="G58">
        <v>458</v>
      </c>
      <c r="H58" t="s">
        <v>177</v>
      </c>
      <c r="I58" t="s">
        <v>178</v>
      </c>
      <c r="J58" t="s">
        <v>47</v>
      </c>
      <c r="K58" t="s">
        <v>48</v>
      </c>
      <c r="L58">
        <v>0</v>
      </c>
      <c r="M58" t="s">
        <v>49</v>
      </c>
      <c r="N58" t="s">
        <v>50</v>
      </c>
      <c r="O58">
        <v>0</v>
      </c>
      <c r="P58" t="s">
        <v>49</v>
      </c>
      <c r="Q58" t="s">
        <v>50</v>
      </c>
      <c r="R58" t="s">
        <v>51</v>
      </c>
      <c r="S58" t="s">
        <v>52</v>
      </c>
      <c r="T58" t="b">
        <v>1</v>
      </c>
      <c r="U58" t="s">
        <v>53</v>
      </c>
      <c r="V58" t="s">
        <v>54</v>
      </c>
      <c r="W58">
        <v>4</v>
      </c>
      <c r="X58" t="b">
        <v>0</v>
      </c>
      <c r="Y58" t="s">
        <v>55</v>
      </c>
      <c r="Z58" t="s">
        <v>56</v>
      </c>
      <c r="AA58" t="s">
        <v>57</v>
      </c>
      <c r="AB58">
        <v>0</v>
      </c>
      <c r="AC58" t="s">
        <v>58</v>
      </c>
      <c r="AD58">
        <v>8</v>
      </c>
      <c r="AE58" t="s">
        <v>59</v>
      </c>
      <c r="AF58">
        <v>13745829830</v>
      </c>
      <c r="AG58" t="b">
        <v>0</v>
      </c>
      <c r="AH58">
        <v>8</v>
      </c>
      <c r="AI58" t="s">
        <v>59</v>
      </c>
      <c r="AJ58">
        <v>13745829830</v>
      </c>
      <c r="AK58" t="b">
        <v>0</v>
      </c>
      <c r="AL58">
        <v>13745829830</v>
      </c>
      <c r="AM58" t="b">
        <v>0</v>
      </c>
      <c r="AN58">
        <v>0</v>
      </c>
      <c r="AO58" t="b">
        <v>0</v>
      </c>
      <c r="AP58">
        <v>0</v>
      </c>
      <c r="AQ58">
        <v>7029151841.6040001</v>
      </c>
      <c r="AR58">
        <v>7029151841.6040001</v>
      </c>
      <c r="AS58">
        <v>0</v>
      </c>
      <c r="AT58" t="b">
        <v>0</v>
      </c>
      <c r="AU58" t="b">
        <v>1</v>
      </c>
      <c r="BA58" t="str">
        <f t="shared" si="0"/>
        <v>Normal</v>
      </c>
      <c r="BG58" t="str">
        <f t="shared" si="1"/>
        <v>Normal</v>
      </c>
    </row>
    <row r="59" spans="1:59" x14ac:dyDescent="0.2">
      <c r="A59" t="s">
        <v>42</v>
      </c>
      <c r="B59" t="s">
        <v>43</v>
      </c>
      <c r="C59">
        <v>20190101</v>
      </c>
      <c r="D59">
        <v>2019</v>
      </c>
      <c r="E59">
        <v>52</v>
      </c>
      <c r="F59" t="s">
        <v>44</v>
      </c>
      <c r="G59">
        <v>470</v>
      </c>
      <c r="H59" t="s">
        <v>179</v>
      </c>
      <c r="I59" t="s">
        <v>180</v>
      </c>
      <c r="J59" t="s">
        <v>47</v>
      </c>
      <c r="K59" t="s">
        <v>48</v>
      </c>
      <c r="L59">
        <v>0</v>
      </c>
      <c r="M59" t="s">
        <v>49</v>
      </c>
      <c r="N59" t="s">
        <v>50</v>
      </c>
      <c r="O59">
        <v>0</v>
      </c>
      <c r="P59" t="s">
        <v>49</v>
      </c>
      <c r="Q59" t="s">
        <v>50</v>
      </c>
      <c r="R59" t="s">
        <v>51</v>
      </c>
      <c r="S59" t="s">
        <v>52</v>
      </c>
      <c r="T59" t="b">
        <v>1</v>
      </c>
      <c r="U59" t="s">
        <v>53</v>
      </c>
      <c r="V59" t="s">
        <v>54</v>
      </c>
      <c r="W59">
        <v>4</v>
      </c>
      <c r="X59" t="b">
        <v>0</v>
      </c>
      <c r="Y59" t="s">
        <v>55</v>
      </c>
      <c r="Z59" t="s">
        <v>56</v>
      </c>
      <c r="AA59" t="s">
        <v>57</v>
      </c>
      <c r="AB59">
        <v>0</v>
      </c>
      <c r="AC59" t="s">
        <v>58</v>
      </c>
      <c r="AD59">
        <v>8</v>
      </c>
      <c r="AE59" t="s">
        <v>59</v>
      </c>
      <c r="AF59">
        <v>21.558</v>
      </c>
      <c r="AG59" t="b">
        <v>1</v>
      </c>
      <c r="AH59">
        <v>-1</v>
      </c>
      <c r="AI59" t="s">
        <v>73</v>
      </c>
      <c r="AJ59">
        <v>0</v>
      </c>
      <c r="AK59" t="b">
        <v>0</v>
      </c>
      <c r="AL59">
        <v>21.558</v>
      </c>
      <c r="AM59" t="b">
        <v>1</v>
      </c>
      <c r="AN59">
        <v>0</v>
      </c>
      <c r="AO59" t="b">
        <v>0</v>
      </c>
      <c r="AQ59">
        <v>10.069000000000001</v>
      </c>
      <c r="AR59">
        <v>10.069000000000001</v>
      </c>
      <c r="AS59">
        <v>6</v>
      </c>
      <c r="AT59" t="b">
        <v>0</v>
      </c>
      <c r="AU59" t="b">
        <v>1</v>
      </c>
      <c r="BA59" t="str">
        <f t="shared" si="0"/>
        <v>Normal</v>
      </c>
      <c r="BG59" t="str">
        <f t="shared" si="1"/>
        <v>Normal</v>
      </c>
    </row>
    <row r="60" spans="1:59" x14ac:dyDescent="0.2">
      <c r="A60" t="s">
        <v>42</v>
      </c>
      <c r="B60" t="s">
        <v>43</v>
      </c>
      <c r="C60">
        <v>20190101</v>
      </c>
      <c r="D60">
        <v>2019</v>
      </c>
      <c r="E60">
        <v>52</v>
      </c>
      <c r="F60" t="s">
        <v>44</v>
      </c>
      <c r="G60">
        <v>484</v>
      </c>
      <c r="H60" t="s">
        <v>181</v>
      </c>
      <c r="I60" t="s">
        <v>182</v>
      </c>
      <c r="J60" t="s">
        <v>47</v>
      </c>
      <c r="K60" t="s">
        <v>48</v>
      </c>
      <c r="L60">
        <v>0</v>
      </c>
      <c r="M60" t="s">
        <v>49</v>
      </c>
      <c r="N60" t="s">
        <v>50</v>
      </c>
      <c r="O60">
        <v>0</v>
      </c>
      <c r="P60" t="s">
        <v>49</v>
      </c>
      <c r="Q60" t="s">
        <v>50</v>
      </c>
      <c r="R60" t="s">
        <v>104</v>
      </c>
      <c r="S60" t="s">
        <v>52</v>
      </c>
      <c r="T60" t="b">
        <v>1</v>
      </c>
      <c r="U60" t="s">
        <v>53</v>
      </c>
      <c r="V60" t="s">
        <v>54</v>
      </c>
      <c r="W60">
        <v>4</v>
      </c>
      <c r="X60" t="b">
        <v>0</v>
      </c>
      <c r="Y60" t="s">
        <v>55</v>
      </c>
      <c r="Z60" t="s">
        <v>56</v>
      </c>
      <c r="AA60" t="s">
        <v>57</v>
      </c>
      <c r="AB60">
        <v>0</v>
      </c>
      <c r="AC60" t="s">
        <v>58</v>
      </c>
      <c r="AD60">
        <v>8</v>
      </c>
      <c r="AE60" t="s">
        <v>59</v>
      </c>
      <c r="AF60">
        <v>47738020069.100998</v>
      </c>
      <c r="AG60" t="b">
        <v>1</v>
      </c>
      <c r="AH60">
        <v>-1</v>
      </c>
      <c r="AI60" t="s">
        <v>73</v>
      </c>
      <c r="AJ60">
        <v>0</v>
      </c>
      <c r="AK60" t="b">
        <v>0</v>
      </c>
      <c r="AL60">
        <v>47738020069.100998</v>
      </c>
      <c r="AM60" t="b">
        <v>1</v>
      </c>
      <c r="AN60">
        <v>0</v>
      </c>
      <c r="AO60" t="b">
        <v>0</v>
      </c>
      <c r="AQ60">
        <v>22361179935</v>
      </c>
      <c r="AR60">
        <v>22361179935</v>
      </c>
      <c r="AS60">
        <v>6</v>
      </c>
      <c r="AT60" t="b">
        <v>0</v>
      </c>
      <c r="AU60" t="b">
        <v>1</v>
      </c>
      <c r="BA60" t="str">
        <f t="shared" si="0"/>
        <v>Normal</v>
      </c>
      <c r="BG60" t="str">
        <f t="shared" si="1"/>
        <v>Normal</v>
      </c>
    </row>
    <row r="61" spans="1:59" x14ac:dyDescent="0.2">
      <c r="A61" t="s">
        <v>42</v>
      </c>
      <c r="B61" t="s">
        <v>43</v>
      </c>
      <c r="C61">
        <v>20190101</v>
      </c>
      <c r="D61">
        <v>2019</v>
      </c>
      <c r="E61">
        <v>52</v>
      </c>
      <c r="F61" t="s">
        <v>44</v>
      </c>
      <c r="G61">
        <v>496</v>
      </c>
      <c r="H61" t="s">
        <v>183</v>
      </c>
      <c r="I61" t="s">
        <v>184</v>
      </c>
      <c r="J61" t="s">
        <v>47</v>
      </c>
      <c r="K61" t="s">
        <v>48</v>
      </c>
      <c r="L61">
        <v>0</v>
      </c>
      <c r="M61" t="s">
        <v>49</v>
      </c>
      <c r="N61" t="s">
        <v>50</v>
      </c>
      <c r="O61">
        <v>0</v>
      </c>
      <c r="P61" t="s">
        <v>49</v>
      </c>
      <c r="Q61" t="s">
        <v>50</v>
      </c>
      <c r="R61" t="s">
        <v>51</v>
      </c>
      <c r="S61" t="s">
        <v>52</v>
      </c>
      <c r="T61" t="b">
        <v>1</v>
      </c>
      <c r="U61" t="s">
        <v>53</v>
      </c>
      <c r="V61" t="s">
        <v>54</v>
      </c>
      <c r="W61">
        <v>4</v>
      </c>
      <c r="X61" t="b">
        <v>0</v>
      </c>
      <c r="Y61" t="s">
        <v>55</v>
      </c>
      <c r="Z61" t="s">
        <v>56</v>
      </c>
      <c r="AA61" t="s">
        <v>57</v>
      </c>
      <c r="AB61">
        <v>0</v>
      </c>
      <c r="AC61" t="s">
        <v>58</v>
      </c>
      <c r="AD61">
        <v>8</v>
      </c>
      <c r="AE61" t="s">
        <v>59</v>
      </c>
      <c r="AF61">
        <v>887502090</v>
      </c>
      <c r="AG61" t="b">
        <v>0</v>
      </c>
      <c r="AH61">
        <v>19</v>
      </c>
      <c r="AI61" t="s">
        <v>60</v>
      </c>
      <c r="AJ61">
        <v>6545208</v>
      </c>
      <c r="AK61" t="b">
        <v>0</v>
      </c>
      <c r="AL61">
        <v>887502090</v>
      </c>
      <c r="AM61" t="b">
        <v>0</v>
      </c>
      <c r="AN61">
        <v>0</v>
      </c>
      <c r="AO61" t="b">
        <v>0</v>
      </c>
      <c r="AQ61">
        <v>366665785.66000003</v>
      </c>
      <c r="AR61">
        <v>366665785.66000003</v>
      </c>
      <c r="AS61">
        <v>0</v>
      </c>
      <c r="AT61" t="b">
        <v>0</v>
      </c>
      <c r="AU61" t="b">
        <v>1</v>
      </c>
      <c r="BA61" t="str">
        <f t="shared" si="0"/>
        <v>Normal</v>
      </c>
      <c r="BG61" t="str">
        <f t="shared" si="1"/>
        <v>Normal</v>
      </c>
    </row>
    <row r="62" spans="1:59" x14ac:dyDescent="0.2">
      <c r="A62" t="s">
        <v>42</v>
      </c>
      <c r="B62" t="s">
        <v>43</v>
      </c>
      <c r="C62">
        <v>20190101</v>
      </c>
      <c r="D62">
        <v>2019</v>
      </c>
      <c r="E62">
        <v>52</v>
      </c>
      <c r="F62" t="s">
        <v>44</v>
      </c>
      <c r="G62">
        <v>498</v>
      </c>
      <c r="H62" t="s">
        <v>185</v>
      </c>
      <c r="I62" t="s">
        <v>186</v>
      </c>
      <c r="J62" t="s">
        <v>47</v>
      </c>
      <c r="K62" t="s">
        <v>48</v>
      </c>
      <c r="L62">
        <v>0</v>
      </c>
      <c r="M62" t="s">
        <v>49</v>
      </c>
      <c r="N62" t="s">
        <v>50</v>
      </c>
      <c r="O62">
        <v>0</v>
      </c>
      <c r="P62" t="s">
        <v>49</v>
      </c>
      <c r="Q62" t="s">
        <v>50</v>
      </c>
      <c r="R62" t="s">
        <v>104</v>
      </c>
      <c r="S62" t="s">
        <v>52</v>
      </c>
      <c r="T62" t="b">
        <v>1</v>
      </c>
      <c r="U62" t="s">
        <v>53</v>
      </c>
      <c r="V62" t="s">
        <v>54</v>
      </c>
      <c r="W62">
        <v>4</v>
      </c>
      <c r="X62" t="b">
        <v>0</v>
      </c>
      <c r="Y62" t="s">
        <v>55</v>
      </c>
      <c r="Z62" t="s">
        <v>56</v>
      </c>
      <c r="AA62" t="s">
        <v>57</v>
      </c>
      <c r="AB62">
        <v>0</v>
      </c>
      <c r="AC62" t="s">
        <v>58</v>
      </c>
      <c r="AD62">
        <v>8</v>
      </c>
      <c r="AE62" t="s">
        <v>59</v>
      </c>
      <c r="AF62">
        <v>579795</v>
      </c>
      <c r="AG62" t="b">
        <v>0</v>
      </c>
      <c r="AH62">
        <v>8</v>
      </c>
      <c r="AI62" t="s">
        <v>59</v>
      </c>
      <c r="AJ62">
        <v>579795</v>
      </c>
      <c r="AK62" t="b">
        <v>0</v>
      </c>
      <c r="AL62">
        <v>579795</v>
      </c>
      <c r="AM62" t="b">
        <v>0</v>
      </c>
      <c r="AN62">
        <v>0</v>
      </c>
      <c r="AO62" t="b">
        <v>0</v>
      </c>
      <c r="AQ62">
        <v>179288</v>
      </c>
      <c r="AR62">
        <v>179288</v>
      </c>
      <c r="AS62">
        <v>0</v>
      </c>
      <c r="AT62" t="b">
        <v>0</v>
      </c>
      <c r="AU62" t="b">
        <v>1</v>
      </c>
      <c r="BA62" t="str">
        <f t="shared" si="0"/>
        <v>Normal</v>
      </c>
      <c r="BG62" t="str">
        <f t="shared" si="1"/>
        <v>Normal</v>
      </c>
    </row>
    <row r="63" spans="1:59" x14ac:dyDescent="0.2">
      <c r="A63" t="s">
        <v>42</v>
      </c>
      <c r="B63" t="s">
        <v>43</v>
      </c>
      <c r="C63">
        <v>20190101</v>
      </c>
      <c r="D63">
        <v>2019</v>
      </c>
      <c r="E63">
        <v>52</v>
      </c>
      <c r="F63" t="s">
        <v>44</v>
      </c>
      <c r="G63">
        <v>512</v>
      </c>
      <c r="H63" t="s">
        <v>187</v>
      </c>
      <c r="I63" t="s">
        <v>188</v>
      </c>
      <c r="J63" t="s">
        <v>47</v>
      </c>
      <c r="K63" t="s">
        <v>48</v>
      </c>
      <c r="L63">
        <v>0</v>
      </c>
      <c r="M63" t="s">
        <v>49</v>
      </c>
      <c r="N63" t="s">
        <v>50</v>
      </c>
      <c r="O63">
        <v>0</v>
      </c>
      <c r="P63" t="s">
        <v>49</v>
      </c>
      <c r="Q63" t="s">
        <v>50</v>
      </c>
      <c r="R63" t="s">
        <v>51</v>
      </c>
      <c r="S63" t="s">
        <v>52</v>
      </c>
      <c r="T63" t="b">
        <v>1</v>
      </c>
      <c r="U63" t="s">
        <v>53</v>
      </c>
      <c r="V63" t="s">
        <v>54</v>
      </c>
      <c r="W63">
        <v>4</v>
      </c>
      <c r="X63" t="b">
        <v>0</v>
      </c>
      <c r="Y63" t="s">
        <v>55</v>
      </c>
      <c r="Z63" t="s">
        <v>56</v>
      </c>
      <c r="AA63" t="s">
        <v>57</v>
      </c>
      <c r="AB63">
        <v>0</v>
      </c>
      <c r="AC63" t="s">
        <v>58</v>
      </c>
      <c r="AD63">
        <v>8</v>
      </c>
      <c r="AE63" t="s">
        <v>59</v>
      </c>
      <c r="AF63">
        <v>41952617151.638</v>
      </c>
      <c r="AG63" t="b">
        <v>1</v>
      </c>
      <c r="AH63">
        <v>-1</v>
      </c>
      <c r="AI63" t="s">
        <v>73</v>
      </c>
      <c r="AJ63">
        <v>0</v>
      </c>
      <c r="AK63" t="b">
        <v>0</v>
      </c>
      <c r="AL63">
        <v>41952617151.638</v>
      </c>
      <c r="AM63" t="b">
        <v>1</v>
      </c>
      <c r="AN63">
        <v>0</v>
      </c>
      <c r="AO63" t="b">
        <v>0</v>
      </c>
      <c r="AQ63">
        <v>19651213425.148998</v>
      </c>
      <c r="AR63">
        <v>19651213425.148998</v>
      </c>
      <c r="AS63">
        <v>6</v>
      </c>
      <c r="AT63" t="b">
        <v>0</v>
      </c>
      <c r="AU63" t="b">
        <v>1</v>
      </c>
      <c r="BA63" t="str">
        <f t="shared" si="0"/>
        <v>Normal</v>
      </c>
      <c r="BG63" t="str">
        <f t="shared" si="1"/>
        <v>Normal</v>
      </c>
    </row>
    <row r="64" spans="1:59" x14ac:dyDescent="0.2">
      <c r="A64" t="s">
        <v>42</v>
      </c>
      <c r="B64" t="s">
        <v>43</v>
      </c>
      <c r="C64">
        <v>20190101</v>
      </c>
      <c r="D64">
        <v>2019</v>
      </c>
      <c r="E64">
        <v>52</v>
      </c>
      <c r="F64" t="s">
        <v>44</v>
      </c>
      <c r="G64">
        <v>516</v>
      </c>
      <c r="H64" t="s">
        <v>189</v>
      </c>
      <c r="I64" t="s">
        <v>190</v>
      </c>
      <c r="J64" t="s">
        <v>47</v>
      </c>
      <c r="K64" t="s">
        <v>48</v>
      </c>
      <c r="L64">
        <v>0</v>
      </c>
      <c r="M64" t="s">
        <v>49</v>
      </c>
      <c r="N64" t="s">
        <v>50</v>
      </c>
      <c r="O64">
        <v>0</v>
      </c>
      <c r="P64" t="s">
        <v>49</v>
      </c>
      <c r="Q64" t="s">
        <v>50</v>
      </c>
      <c r="R64" t="s">
        <v>51</v>
      </c>
      <c r="S64" t="s">
        <v>52</v>
      </c>
      <c r="T64" t="b">
        <v>1</v>
      </c>
      <c r="U64" t="s">
        <v>53</v>
      </c>
      <c r="V64" t="s">
        <v>54</v>
      </c>
      <c r="W64">
        <v>4</v>
      </c>
      <c r="X64" t="b">
        <v>0</v>
      </c>
      <c r="Y64" t="s">
        <v>55</v>
      </c>
      <c r="Z64" t="s">
        <v>56</v>
      </c>
      <c r="AA64" t="s">
        <v>57</v>
      </c>
      <c r="AB64">
        <v>0</v>
      </c>
      <c r="AC64" t="s">
        <v>58</v>
      </c>
      <c r="AD64">
        <v>8</v>
      </c>
      <c r="AE64" t="s">
        <v>59</v>
      </c>
      <c r="AF64">
        <v>18827.471000000001</v>
      </c>
      <c r="AG64" t="b">
        <v>1</v>
      </c>
      <c r="AH64">
        <v>-1</v>
      </c>
      <c r="AI64" t="s">
        <v>73</v>
      </c>
      <c r="AJ64">
        <v>0</v>
      </c>
      <c r="AK64" t="b">
        <v>0</v>
      </c>
      <c r="AL64">
        <v>18827.471000000001</v>
      </c>
      <c r="AM64" t="b">
        <v>1</v>
      </c>
      <c r="AN64">
        <v>0</v>
      </c>
      <c r="AO64" t="b">
        <v>0</v>
      </c>
      <c r="AQ64">
        <v>53675.485000000001</v>
      </c>
      <c r="AR64">
        <v>53675.485000000001</v>
      </c>
      <c r="AS64">
        <v>6</v>
      </c>
      <c r="AT64" t="b">
        <v>0</v>
      </c>
      <c r="AU64" t="b">
        <v>1</v>
      </c>
      <c r="BA64" t="str">
        <f t="shared" si="0"/>
        <v>Normal</v>
      </c>
      <c r="BG64" t="str">
        <f t="shared" si="1"/>
        <v>Normal</v>
      </c>
    </row>
    <row r="65" spans="1:59" x14ac:dyDescent="0.2">
      <c r="A65" t="s">
        <v>42</v>
      </c>
      <c r="B65" t="s">
        <v>43</v>
      </c>
      <c r="C65">
        <v>20190101</v>
      </c>
      <c r="D65">
        <v>2019</v>
      </c>
      <c r="E65">
        <v>52</v>
      </c>
      <c r="F65" t="s">
        <v>44</v>
      </c>
      <c r="G65">
        <v>528</v>
      </c>
      <c r="H65" t="s">
        <v>191</v>
      </c>
      <c r="I65" t="s">
        <v>192</v>
      </c>
      <c r="J65" t="s">
        <v>47</v>
      </c>
      <c r="K65" t="s">
        <v>48</v>
      </c>
      <c r="L65">
        <v>0</v>
      </c>
      <c r="M65" t="s">
        <v>49</v>
      </c>
      <c r="N65" t="s">
        <v>50</v>
      </c>
      <c r="O65">
        <v>0</v>
      </c>
      <c r="P65" t="s">
        <v>49</v>
      </c>
      <c r="Q65" t="s">
        <v>50</v>
      </c>
      <c r="R65" t="s">
        <v>51</v>
      </c>
      <c r="S65" t="s">
        <v>52</v>
      </c>
      <c r="T65" t="b">
        <v>1</v>
      </c>
      <c r="U65" t="s">
        <v>53</v>
      </c>
      <c r="V65" t="s">
        <v>54</v>
      </c>
      <c r="W65">
        <v>4</v>
      </c>
      <c r="X65" t="b">
        <v>0</v>
      </c>
      <c r="Y65" t="s">
        <v>55</v>
      </c>
      <c r="Z65" t="s">
        <v>56</v>
      </c>
      <c r="AA65" t="s">
        <v>57</v>
      </c>
      <c r="AB65">
        <v>0</v>
      </c>
      <c r="AC65" t="s">
        <v>58</v>
      </c>
      <c r="AD65">
        <v>8</v>
      </c>
      <c r="AE65" t="s">
        <v>59</v>
      </c>
      <c r="AF65">
        <v>205409425</v>
      </c>
      <c r="AG65" t="b">
        <v>0</v>
      </c>
      <c r="AH65">
        <v>8</v>
      </c>
      <c r="AI65" t="s">
        <v>59</v>
      </c>
      <c r="AJ65">
        <v>205409425</v>
      </c>
      <c r="AK65" t="b">
        <v>0</v>
      </c>
      <c r="AL65">
        <v>205409425</v>
      </c>
      <c r="AM65" t="b">
        <v>0</v>
      </c>
      <c r="AN65">
        <v>0</v>
      </c>
      <c r="AO65" t="b">
        <v>0</v>
      </c>
      <c r="AQ65">
        <v>75436807.085999995</v>
      </c>
      <c r="AR65">
        <v>75436807.085999995</v>
      </c>
      <c r="AS65">
        <v>0</v>
      </c>
      <c r="AT65" t="b">
        <v>0</v>
      </c>
      <c r="AU65" t="b">
        <v>1</v>
      </c>
      <c r="BA65" t="str">
        <f t="shared" si="0"/>
        <v>Normal</v>
      </c>
      <c r="BG65" t="str">
        <f t="shared" si="1"/>
        <v>Normal</v>
      </c>
    </row>
    <row r="66" spans="1:59" x14ac:dyDescent="0.2">
      <c r="A66" t="s">
        <v>42</v>
      </c>
      <c r="B66" t="s">
        <v>43</v>
      </c>
      <c r="C66">
        <v>20190101</v>
      </c>
      <c r="D66">
        <v>2019</v>
      </c>
      <c r="E66">
        <v>52</v>
      </c>
      <c r="F66" t="s">
        <v>44</v>
      </c>
      <c r="G66">
        <v>533</v>
      </c>
      <c r="H66" t="s">
        <v>193</v>
      </c>
      <c r="I66" t="s">
        <v>194</v>
      </c>
      <c r="J66" t="s">
        <v>47</v>
      </c>
      <c r="K66" t="s">
        <v>48</v>
      </c>
      <c r="L66">
        <v>0</v>
      </c>
      <c r="M66" t="s">
        <v>49</v>
      </c>
      <c r="N66" t="s">
        <v>50</v>
      </c>
      <c r="O66">
        <v>0</v>
      </c>
      <c r="P66" t="s">
        <v>49</v>
      </c>
      <c r="Q66" t="s">
        <v>50</v>
      </c>
      <c r="R66" t="s">
        <v>104</v>
      </c>
      <c r="S66" t="s">
        <v>52</v>
      </c>
      <c r="T66" t="b">
        <v>1</v>
      </c>
      <c r="U66" t="s">
        <v>53</v>
      </c>
      <c r="V66" t="s">
        <v>54</v>
      </c>
      <c r="W66">
        <v>4</v>
      </c>
      <c r="X66" t="b">
        <v>0</v>
      </c>
      <c r="Y66" t="s">
        <v>55</v>
      </c>
      <c r="Z66" t="s">
        <v>56</v>
      </c>
      <c r="AA66" t="s">
        <v>57</v>
      </c>
      <c r="AB66">
        <v>0</v>
      </c>
      <c r="AC66" t="s">
        <v>58</v>
      </c>
      <c r="AD66">
        <v>8</v>
      </c>
      <c r="AE66" t="s">
        <v>59</v>
      </c>
      <c r="AF66">
        <v>4</v>
      </c>
      <c r="AG66" t="b">
        <v>0</v>
      </c>
      <c r="AH66">
        <v>8</v>
      </c>
      <c r="AI66" t="s">
        <v>59</v>
      </c>
      <c r="AJ66">
        <v>4</v>
      </c>
      <c r="AK66" t="b">
        <v>0</v>
      </c>
      <c r="AL66">
        <v>4</v>
      </c>
      <c r="AM66" t="b">
        <v>0</v>
      </c>
      <c r="AN66">
        <v>0</v>
      </c>
      <c r="AO66" t="b">
        <v>0</v>
      </c>
      <c r="AP66">
        <v>0</v>
      </c>
      <c r="AQ66">
        <v>1.117</v>
      </c>
      <c r="AR66">
        <v>1.117</v>
      </c>
      <c r="AS66">
        <v>0</v>
      </c>
      <c r="AT66" t="b">
        <v>0</v>
      </c>
      <c r="AU66" t="b">
        <v>1</v>
      </c>
      <c r="BA66" t="str">
        <f t="shared" si="0"/>
        <v>Normal</v>
      </c>
      <c r="BG66" t="str">
        <f t="shared" si="1"/>
        <v>Normal</v>
      </c>
    </row>
    <row r="67" spans="1:59" x14ac:dyDescent="0.2">
      <c r="A67" t="s">
        <v>42</v>
      </c>
      <c r="B67" t="s">
        <v>43</v>
      </c>
      <c r="C67">
        <v>20190101</v>
      </c>
      <c r="D67">
        <v>2019</v>
      </c>
      <c r="E67">
        <v>52</v>
      </c>
      <c r="F67" t="s">
        <v>44</v>
      </c>
      <c r="G67">
        <v>554</v>
      </c>
      <c r="H67" t="s">
        <v>195</v>
      </c>
      <c r="I67" t="s">
        <v>196</v>
      </c>
      <c r="J67" t="s">
        <v>47</v>
      </c>
      <c r="K67" t="s">
        <v>48</v>
      </c>
      <c r="L67">
        <v>0</v>
      </c>
      <c r="M67" t="s">
        <v>49</v>
      </c>
      <c r="N67" t="s">
        <v>50</v>
      </c>
      <c r="O67">
        <v>0</v>
      </c>
      <c r="P67" t="s">
        <v>49</v>
      </c>
      <c r="Q67" t="s">
        <v>50</v>
      </c>
      <c r="R67" t="s">
        <v>51</v>
      </c>
      <c r="S67" t="s">
        <v>52</v>
      </c>
      <c r="T67" t="b">
        <v>1</v>
      </c>
      <c r="U67" t="s">
        <v>53</v>
      </c>
      <c r="V67" t="s">
        <v>54</v>
      </c>
      <c r="W67">
        <v>4</v>
      </c>
      <c r="X67" t="b">
        <v>0</v>
      </c>
      <c r="Y67" t="s">
        <v>55</v>
      </c>
      <c r="Z67" t="s">
        <v>56</v>
      </c>
      <c r="AA67" t="s">
        <v>57</v>
      </c>
      <c r="AB67">
        <v>0</v>
      </c>
      <c r="AC67" t="s">
        <v>58</v>
      </c>
      <c r="AD67">
        <v>8</v>
      </c>
      <c r="AE67" t="s">
        <v>59</v>
      </c>
      <c r="AF67">
        <v>870053533.81500006</v>
      </c>
      <c r="AG67" t="b">
        <v>1</v>
      </c>
      <c r="AH67">
        <v>-1</v>
      </c>
      <c r="AI67" t="s">
        <v>73</v>
      </c>
      <c r="AJ67">
        <v>0</v>
      </c>
      <c r="AK67" t="b">
        <v>0</v>
      </c>
      <c r="AL67">
        <v>870053533.81500006</v>
      </c>
      <c r="AM67" t="b">
        <v>1</v>
      </c>
      <c r="AN67">
        <v>870698895</v>
      </c>
      <c r="AO67" t="b">
        <v>0</v>
      </c>
      <c r="AP67">
        <v>0</v>
      </c>
      <c r="AQ67">
        <v>452018993.66100001</v>
      </c>
      <c r="AR67">
        <v>452018993.66100001</v>
      </c>
      <c r="AS67">
        <v>6</v>
      </c>
      <c r="AT67" t="b">
        <v>0</v>
      </c>
      <c r="AU67" t="b">
        <v>1</v>
      </c>
      <c r="BA67" t="str">
        <f t="shared" ref="BA67:BA130" si="2">IF(OR(AJ67&lt;AY67,AJ641&gt;AZ67),"Outlier","Normal")</f>
        <v>Normal</v>
      </c>
      <c r="BG67" t="str">
        <f t="shared" ref="BG67:BG130" si="3">IF(OR(AQ67&lt;BE67,AQ641&gt;BF67),"Outlier","Normal")</f>
        <v>Normal</v>
      </c>
    </row>
    <row r="68" spans="1:59" x14ac:dyDescent="0.2">
      <c r="A68" t="s">
        <v>42</v>
      </c>
      <c r="B68" t="s">
        <v>43</v>
      </c>
      <c r="C68">
        <v>20190101</v>
      </c>
      <c r="D68">
        <v>2019</v>
      </c>
      <c r="E68">
        <v>52</v>
      </c>
      <c r="F68" t="s">
        <v>44</v>
      </c>
      <c r="G68">
        <v>566</v>
      </c>
      <c r="H68" t="s">
        <v>197</v>
      </c>
      <c r="I68" t="s">
        <v>198</v>
      </c>
      <c r="J68" t="s">
        <v>47</v>
      </c>
      <c r="K68" t="s">
        <v>48</v>
      </c>
      <c r="L68">
        <v>0</v>
      </c>
      <c r="M68" t="s">
        <v>49</v>
      </c>
      <c r="N68" t="s">
        <v>50</v>
      </c>
      <c r="O68">
        <v>0</v>
      </c>
      <c r="P68" t="s">
        <v>49</v>
      </c>
      <c r="Q68" t="s">
        <v>50</v>
      </c>
      <c r="R68" t="s">
        <v>104</v>
      </c>
      <c r="S68" t="s">
        <v>52</v>
      </c>
      <c r="T68" t="b">
        <v>1</v>
      </c>
      <c r="U68" t="s">
        <v>53</v>
      </c>
      <c r="V68" t="s">
        <v>54</v>
      </c>
      <c r="W68">
        <v>4</v>
      </c>
      <c r="X68" t="b">
        <v>0</v>
      </c>
      <c r="Y68" t="s">
        <v>55</v>
      </c>
      <c r="Z68" t="s">
        <v>56</v>
      </c>
      <c r="AA68" t="s">
        <v>57</v>
      </c>
      <c r="AB68">
        <v>0</v>
      </c>
      <c r="AC68" t="s">
        <v>58</v>
      </c>
      <c r="AD68">
        <v>-1</v>
      </c>
      <c r="AE68" t="s">
        <v>73</v>
      </c>
      <c r="AF68">
        <v>0</v>
      </c>
      <c r="AG68" t="b">
        <v>1</v>
      </c>
      <c r="AH68">
        <v>-1</v>
      </c>
      <c r="AI68" t="s">
        <v>73</v>
      </c>
      <c r="AJ68">
        <v>0</v>
      </c>
      <c r="AK68" t="b">
        <v>0</v>
      </c>
      <c r="AM68" t="b">
        <v>1</v>
      </c>
      <c r="AN68">
        <v>0</v>
      </c>
      <c r="AO68" t="b">
        <v>0</v>
      </c>
      <c r="AQ68">
        <v>41039870940.980003</v>
      </c>
      <c r="AR68">
        <v>41039870940.980003</v>
      </c>
      <c r="AS68">
        <v>6</v>
      </c>
      <c r="AT68" t="b">
        <v>0</v>
      </c>
      <c r="AU68" t="b">
        <v>1</v>
      </c>
      <c r="BA68" t="str">
        <f t="shared" si="2"/>
        <v>Normal</v>
      </c>
      <c r="BG68" t="str">
        <f t="shared" si="3"/>
        <v>Normal</v>
      </c>
    </row>
    <row r="69" spans="1:59" x14ac:dyDescent="0.2">
      <c r="A69" t="s">
        <v>42</v>
      </c>
      <c r="B69" t="s">
        <v>43</v>
      </c>
      <c r="C69">
        <v>20190101</v>
      </c>
      <c r="D69">
        <v>2019</v>
      </c>
      <c r="E69">
        <v>52</v>
      </c>
      <c r="F69" t="s">
        <v>44</v>
      </c>
      <c r="G69">
        <v>579</v>
      </c>
      <c r="H69" t="s">
        <v>199</v>
      </c>
      <c r="I69" t="s">
        <v>200</v>
      </c>
      <c r="J69" t="s">
        <v>47</v>
      </c>
      <c r="K69" t="s">
        <v>48</v>
      </c>
      <c r="L69">
        <v>0</v>
      </c>
      <c r="M69" t="s">
        <v>49</v>
      </c>
      <c r="N69" t="s">
        <v>50</v>
      </c>
      <c r="O69">
        <v>0</v>
      </c>
      <c r="P69" t="s">
        <v>49</v>
      </c>
      <c r="Q69" t="s">
        <v>50</v>
      </c>
      <c r="R69" t="s">
        <v>51</v>
      </c>
      <c r="S69" t="s">
        <v>52</v>
      </c>
      <c r="T69" t="b">
        <v>1</v>
      </c>
      <c r="U69" t="s">
        <v>53</v>
      </c>
      <c r="V69" t="s">
        <v>54</v>
      </c>
      <c r="W69">
        <v>4</v>
      </c>
      <c r="X69" t="b">
        <v>0</v>
      </c>
      <c r="Y69" t="s">
        <v>55</v>
      </c>
      <c r="Z69" t="s">
        <v>56</v>
      </c>
      <c r="AA69" t="s">
        <v>57</v>
      </c>
      <c r="AB69">
        <v>0</v>
      </c>
      <c r="AC69" t="s">
        <v>58</v>
      </c>
      <c r="AD69">
        <v>8</v>
      </c>
      <c r="AE69" t="s">
        <v>59</v>
      </c>
      <c r="AF69">
        <v>61278209950</v>
      </c>
      <c r="AG69" t="b">
        <v>0</v>
      </c>
      <c r="AH69">
        <v>-1</v>
      </c>
      <c r="AI69" t="s">
        <v>73</v>
      </c>
      <c r="AJ69">
        <v>0</v>
      </c>
      <c r="AK69" t="b">
        <v>0</v>
      </c>
      <c r="AL69">
        <v>61278209950</v>
      </c>
      <c r="AM69" t="b">
        <v>0</v>
      </c>
      <c r="AN69">
        <v>0</v>
      </c>
      <c r="AO69" t="b">
        <v>0</v>
      </c>
      <c r="AQ69">
        <v>29305062240.449001</v>
      </c>
      <c r="AR69">
        <v>29305062240.449001</v>
      </c>
      <c r="AS69">
        <v>0</v>
      </c>
      <c r="AT69" t="b">
        <v>0</v>
      </c>
      <c r="AU69" t="b">
        <v>1</v>
      </c>
      <c r="BA69" t="str">
        <f t="shared" si="2"/>
        <v>Normal</v>
      </c>
      <c r="BG69" t="str">
        <f t="shared" si="3"/>
        <v>Normal</v>
      </c>
    </row>
    <row r="70" spans="1:59" x14ac:dyDescent="0.2">
      <c r="A70" t="s">
        <v>42</v>
      </c>
      <c r="B70" t="s">
        <v>43</v>
      </c>
      <c r="C70">
        <v>20190101</v>
      </c>
      <c r="D70">
        <v>2019</v>
      </c>
      <c r="E70">
        <v>52</v>
      </c>
      <c r="F70" t="s">
        <v>44</v>
      </c>
      <c r="G70">
        <v>586</v>
      </c>
      <c r="H70" t="s">
        <v>201</v>
      </c>
      <c r="I70" t="s">
        <v>202</v>
      </c>
      <c r="J70" t="s">
        <v>47</v>
      </c>
      <c r="K70" t="s">
        <v>48</v>
      </c>
      <c r="L70">
        <v>0</v>
      </c>
      <c r="M70" t="s">
        <v>49</v>
      </c>
      <c r="N70" t="s">
        <v>50</v>
      </c>
      <c r="O70">
        <v>0</v>
      </c>
      <c r="P70" t="s">
        <v>49</v>
      </c>
      <c r="Q70" t="s">
        <v>50</v>
      </c>
      <c r="R70" t="s">
        <v>51</v>
      </c>
      <c r="S70" t="s">
        <v>52</v>
      </c>
      <c r="T70" t="b">
        <v>1</v>
      </c>
      <c r="U70" t="s">
        <v>53</v>
      </c>
      <c r="V70" t="s">
        <v>54</v>
      </c>
      <c r="W70">
        <v>4</v>
      </c>
      <c r="X70" t="b">
        <v>0</v>
      </c>
      <c r="Y70" t="s">
        <v>55</v>
      </c>
      <c r="Z70" t="s">
        <v>56</v>
      </c>
      <c r="AA70" t="s">
        <v>57</v>
      </c>
      <c r="AB70">
        <v>0</v>
      </c>
      <c r="AC70" t="s">
        <v>58</v>
      </c>
      <c r="AD70">
        <v>8</v>
      </c>
      <c r="AE70" t="s">
        <v>59</v>
      </c>
      <c r="AF70">
        <v>535963000</v>
      </c>
      <c r="AG70" t="b">
        <v>0</v>
      </c>
      <c r="AH70">
        <v>21</v>
      </c>
      <c r="AI70" t="s">
        <v>170</v>
      </c>
      <c r="AJ70">
        <v>535963</v>
      </c>
      <c r="AK70" t="b">
        <v>0</v>
      </c>
      <c r="AL70">
        <v>535963000</v>
      </c>
      <c r="AM70" t="b">
        <v>0</v>
      </c>
      <c r="AN70">
        <v>0</v>
      </c>
      <c r="AO70" t="b">
        <v>0</v>
      </c>
      <c r="AQ70">
        <v>248077295.53099999</v>
      </c>
      <c r="AR70">
        <v>248077295.53099999</v>
      </c>
      <c r="AS70">
        <v>0</v>
      </c>
      <c r="AT70" t="b">
        <v>0</v>
      </c>
      <c r="AU70" t="b">
        <v>1</v>
      </c>
      <c r="BA70" t="str">
        <f t="shared" si="2"/>
        <v>Normal</v>
      </c>
      <c r="BG70" t="str">
        <f t="shared" si="3"/>
        <v>Normal</v>
      </c>
    </row>
    <row r="71" spans="1:59" x14ac:dyDescent="0.2">
      <c r="A71" t="s">
        <v>42</v>
      </c>
      <c r="B71" t="s">
        <v>43</v>
      </c>
      <c r="C71">
        <v>20190101</v>
      </c>
      <c r="D71">
        <v>2019</v>
      </c>
      <c r="E71">
        <v>52</v>
      </c>
      <c r="F71" t="s">
        <v>44</v>
      </c>
      <c r="G71">
        <v>598</v>
      </c>
      <c r="H71" t="s">
        <v>203</v>
      </c>
      <c r="I71" t="s">
        <v>204</v>
      </c>
      <c r="J71" t="s">
        <v>47</v>
      </c>
      <c r="K71" t="s">
        <v>48</v>
      </c>
      <c r="L71">
        <v>0</v>
      </c>
      <c r="M71" t="s">
        <v>49</v>
      </c>
      <c r="N71" t="s">
        <v>50</v>
      </c>
      <c r="O71">
        <v>0</v>
      </c>
      <c r="P71" t="s">
        <v>49</v>
      </c>
      <c r="Q71" t="s">
        <v>50</v>
      </c>
      <c r="R71" t="s">
        <v>51</v>
      </c>
      <c r="S71" t="s">
        <v>52</v>
      </c>
      <c r="T71" t="b">
        <v>1</v>
      </c>
      <c r="U71" t="s">
        <v>53</v>
      </c>
      <c r="V71" t="s">
        <v>54</v>
      </c>
      <c r="W71">
        <v>4</v>
      </c>
      <c r="X71" t="b">
        <v>0</v>
      </c>
      <c r="Y71" t="s">
        <v>55</v>
      </c>
      <c r="Z71" t="s">
        <v>56</v>
      </c>
      <c r="AA71" t="s">
        <v>57</v>
      </c>
      <c r="AB71">
        <v>0</v>
      </c>
      <c r="AC71" t="s">
        <v>58</v>
      </c>
      <c r="AD71">
        <v>8</v>
      </c>
      <c r="AE71" t="s">
        <v>59</v>
      </c>
      <c r="AF71">
        <v>59727562</v>
      </c>
      <c r="AG71" t="b">
        <v>0</v>
      </c>
      <c r="AH71">
        <v>7</v>
      </c>
      <c r="AI71" t="s">
        <v>67</v>
      </c>
      <c r="AJ71">
        <v>59727562</v>
      </c>
      <c r="AK71" t="b">
        <v>0</v>
      </c>
      <c r="AL71">
        <v>59727562</v>
      </c>
      <c r="AM71" t="b">
        <v>0</v>
      </c>
      <c r="AN71">
        <v>0</v>
      </c>
      <c r="AO71" t="b">
        <v>0</v>
      </c>
      <c r="AQ71">
        <v>601112193.14199996</v>
      </c>
      <c r="AR71">
        <v>601112193.14199996</v>
      </c>
      <c r="AS71">
        <v>0</v>
      </c>
      <c r="AT71" t="b">
        <v>0</v>
      </c>
      <c r="AU71" t="b">
        <v>1</v>
      </c>
      <c r="BA71" t="str">
        <f t="shared" si="2"/>
        <v>Normal</v>
      </c>
      <c r="BG71" t="str">
        <f t="shared" si="3"/>
        <v>Normal</v>
      </c>
    </row>
    <row r="72" spans="1:59" x14ac:dyDescent="0.2">
      <c r="A72" t="s">
        <v>42</v>
      </c>
      <c r="B72" t="s">
        <v>43</v>
      </c>
      <c r="C72">
        <v>20190101</v>
      </c>
      <c r="D72">
        <v>2019</v>
      </c>
      <c r="E72">
        <v>52</v>
      </c>
      <c r="F72" t="s">
        <v>44</v>
      </c>
      <c r="G72">
        <v>604</v>
      </c>
      <c r="H72" t="s">
        <v>205</v>
      </c>
      <c r="I72" t="s">
        <v>206</v>
      </c>
      <c r="J72" t="s">
        <v>47</v>
      </c>
      <c r="K72" t="s">
        <v>48</v>
      </c>
      <c r="L72">
        <v>0</v>
      </c>
      <c r="M72" t="s">
        <v>49</v>
      </c>
      <c r="N72" t="s">
        <v>50</v>
      </c>
      <c r="O72">
        <v>0</v>
      </c>
      <c r="P72" t="s">
        <v>49</v>
      </c>
      <c r="Q72" t="s">
        <v>50</v>
      </c>
      <c r="R72" t="s">
        <v>51</v>
      </c>
      <c r="S72" t="s">
        <v>52</v>
      </c>
      <c r="T72" t="b">
        <v>1</v>
      </c>
      <c r="U72" t="s">
        <v>53</v>
      </c>
      <c r="V72" t="s">
        <v>54</v>
      </c>
      <c r="W72">
        <v>4</v>
      </c>
      <c r="X72" t="b">
        <v>0</v>
      </c>
      <c r="Y72" t="s">
        <v>55</v>
      </c>
      <c r="Z72" t="s">
        <v>56</v>
      </c>
      <c r="AA72" t="s">
        <v>57</v>
      </c>
      <c r="AB72">
        <v>0</v>
      </c>
      <c r="AC72" t="s">
        <v>58</v>
      </c>
      <c r="AD72">
        <v>8</v>
      </c>
      <c r="AE72" t="s">
        <v>59</v>
      </c>
      <c r="AF72">
        <v>309141766.81</v>
      </c>
      <c r="AG72" t="b">
        <v>0</v>
      </c>
      <c r="AH72">
        <v>12</v>
      </c>
      <c r="AI72" t="s">
        <v>70</v>
      </c>
      <c r="AJ72">
        <v>329555.12199999997</v>
      </c>
      <c r="AK72" t="b">
        <v>0</v>
      </c>
      <c r="AL72">
        <v>309141766.81</v>
      </c>
      <c r="AM72" t="b">
        <v>0</v>
      </c>
      <c r="AN72">
        <v>0</v>
      </c>
      <c r="AO72" t="b">
        <v>0</v>
      </c>
      <c r="AQ72">
        <v>121954090.89</v>
      </c>
      <c r="AR72">
        <v>121954090.89</v>
      </c>
      <c r="AS72">
        <v>0</v>
      </c>
      <c r="AT72" t="b">
        <v>0</v>
      </c>
      <c r="AU72" t="b">
        <v>1</v>
      </c>
      <c r="BA72" t="str">
        <f t="shared" si="2"/>
        <v>Normal</v>
      </c>
      <c r="BG72" t="str">
        <f t="shared" si="3"/>
        <v>Normal</v>
      </c>
    </row>
    <row r="73" spans="1:59" x14ac:dyDescent="0.2">
      <c r="A73" t="s">
        <v>42</v>
      </c>
      <c r="B73" t="s">
        <v>43</v>
      </c>
      <c r="C73">
        <v>20190101</v>
      </c>
      <c r="D73">
        <v>2019</v>
      </c>
      <c r="E73">
        <v>52</v>
      </c>
      <c r="F73" t="s">
        <v>44</v>
      </c>
      <c r="G73">
        <v>608</v>
      </c>
      <c r="H73" t="s">
        <v>207</v>
      </c>
      <c r="I73" t="s">
        <v>208</v>
      </c>
      <c r="J73" t="s">
        <v>47</v>
      </c>
      <c r="K73" t="s">
        <v>48</v>
      </c>
      <c r="L73">
        <v>0</v>
      </c>
      <c r="M73" t="s">
        <v>49</v>
      </c>
      <c r="N73" t="s">
        <v>50</v>
      </c>
      <c r="O73">
        <v>0</v>
      </c>
      <c r="P73" t="s">
        <v>49</v>
      </c>
      <c r="Q73" t="s">
        <v>50</v>
      </c>
      <c r="R73" t="s">
        <v>51</v>
      </c>
      <c r="S73" t="s">
        <v>52</v>
      </c>
      <c r="T73" t="b">
        <v>1</v>
      </c>
      <c r="U73" t="s">
        <v>53</v>
      </c>
      <c r="V73" t="s">
        <v>54</v>
      </c>
      <c r="W73">
        <v>4</v>
      </c>
      <c r="X73" t="b">
        <v>0</v>
      </c>
      <c r="Y73" t="s">
        <v>55</v>
      </c>
      <c r="Z73" t="s">
        <v>56</v>
      </c>
      <c r="AA73" t="s">
        <v>57</v>
      </c>
      <c r="AB73">
        <v>0</v>
      </c>
      <c r="AC73" t="s">
        <v>58</v>
      </c>
      <c r="AD73">
        <v>8</v>
      </c>
      <c r="AE73" t="s">
        <v>59</v>
      </c>
      <c r="AF73">
        <v>12232218528</v>
      </c>
      <c r="AG73" t="b">
        <v>0</v>
      </c>
      <c r="AH73">
        <v>19</v>
      </c>
      <c r="AI73" t="s">
        <v>60</v>
      </c>
      <c r="AJ73">
        <v>76932192</v>
      </c>
      <c r="AK73" t="b">
        <v>0</v>
      </c>
      <c r="AL73">
        <v>12232218528</v>
      </c>
      <c r="AM73" t="b">
        <v>0</v>
      </c>
      <c r="AN73">
        <v>585779301</v>
      </c>
      <c r="AO73" t="b">
        <v>0</v>
      </c>
      <c r="AP73">
        <v>0</v>
      </c>
      <c r="AQ73">
        <v>170097781</v>
      </c>
      <c r="AR73">
        <v>170097781</v>
      </c>
      <c r="AS73">
        <v>0</v>
      </c>
      <c r="AT73" t="b">
        <v>0</v>
      </c>
      <c r="AU73" t="b">
        <v>1</v>
      </c>
      <c r="BA73" t="str">
        <f t="shared" si="2"/>
        <v>Normal</v>
      </c>
      <c r="BG73" t="str">
        <f t="shared" si="3"/>
        <v>Normal</v>
      </c>
    </row>
    <row r="74" spans="1:59" x14ac:dyDescent="0.2">
      <c r="A74" t="s">
        <v>42</v>
      </c>
      <c r="B74" t="s">
        <v>43</v>
      </c>
      <c r="C74">
        <v>20190101</v>
      </c>
      <c r="D74">
        <v>2019</v>
      </c>
      <c r="E74">
        <v>52</v>
      </c>
      <c r="F74" t="s">
        <v>44</v>
      </c>
      <c r="G74">
        <v>616</v>
      </c>
      <c r="H74" t="s">
        <v>209</v>
      </c>
      <c r="I74" t="s">
        <v>210</v>
      </c>
      <c r="J74" t="s">
        <v>47</v>
      </c>
      <c r="K74" t="s">
        <v>48</v>
      </c>
      <c r="L74">
        <v>0</v>
      </c>
      <c r="M74" t="s">
        <v>49</v>
      </c>
      <c r="N74" t="s">
        <v>50</v>
      </c>
      <c r="O74">
        <v>0</v>
      </c>
      <c r="P74" t="s">
        <v>49</v>
      </c>
      <c r="Q74" t="s">
        <v>50</v>
      </c>
      <c r="R74" t="s">
        <v>51</v>
      </c>
      <c r="S74" t="s">
        <v>52</v>
      </c>
      <c r="T74" t="b">
        <v>1</v>
      </c>
      <c r="U74" t="s">
        <v>53</v>
      </c>
      <c r="V74" t="s">
        <v>54</v>
      </c>
      <c r="W74">
        <v>4</v>
      </c>
      <c r="X74" t="b">
        <v>0</v>
      </c>
      <c r="Y74" t="s">
        <v>55</v>
      </c>
      <c r="Z74" t="s">
        <v>56</v>
      </c>
      <c r="AA74" t="s">
        <v>57</v>
      </c>
      <c r="AB74">
        <v>0</v>
      </c>
      <c r="AC74" t="s">
        <v>58</v>
      </c>
      <c r="AD74">
        <v>8</v>
      </c>
      <c r="AE74" t="s">
        <v>59</v>
      </c>
      <c r="AF74">
        <v>242908442</v>
      </c>
      <c r="AG74" t="b">
        <v>0</v>
      </c>
      <c r="AH74">
        <v>8</v>
      </c>
      <c r="AI74" t="s">
        <v>59</v>
      </c>
      <c r="AJ74">
        <v>242908442</v>
      </c>
      <c r="AK74" t="b">
        <v>0</v>
      </c>
      <c r="AL74">
        <v>242908442</v>
      </c>
      <c r="AM74" t="b">
        <v>0</v>
      </c>
      <c r="AN74">
        <v>0</v>
      </c>
      <c r="AO74" t="b">
        <v>0</v>
      </c>
      <c r="AQ74">
        <v>113555843</v>
      </c>
      <c r="AR74">
        <v>113555843</v>
      </c>
      <c r="AS74">
        <v>0</v>
      </c>
      <c r="AT74" t="b">
        <v>0</v>
      </c>
      <c r="AU74" t="b">
        <v>1</v>
      </c>
      <c r="BA74" t="str">
        <f t="shared" si="2"/>
        <v>Normal</v>
      </c>
      <c r="BG74" t="str">
        <f t="shared" si="3"/>
        <v>Normal</v>
      </c>
    </row>
    <row r="75" spans="1:59" x14ac:dyDescent="0.2">
      <c r="A75" t="s">
        <v>42</v>
      </c>
      <c r="B75" t="s">
        <v>43</v>
      </c>
      <c r="C75">
        <v>20190101</v>
      </c>
      <c r="D75">
        <v>2019</v>
      </c>
      <c r="E75">
        <v>52</v>
      </c>
      <c r="F75" t="s">
        <v>44</v>
      </c>
      <c r="G75">
        <v>620</v>
      </c>
      <c r="H75" t="s">
        <v>211</v>
      </c>
      <c r="I75" t="s">
        <v>212</v>
      </c>
      <c r="J75" t="s">
        <v>47</v>
      </c>
      <c r="K75" t="s">
        <v>48</v>
      </c>
      <c r="L75">
        <v>0</v>
      </c>
      <c r="M75" t="s">
        <v>49</v>
      </c>
      <c r="N75" t="s">
        <v>50</v>
      </c>
      <c r="O75">
        <v>0</v>
      </c>
      <c r="P75" t="s">
        <v>49</v>
      </c>
      <c r="Q75" t="s">
        <v>50</v>
      </c>
      <c r="R75" t="s">
        <v>51</v>
      </c>
      <c r="S75" t="s">
        <v>52</v>
      </c>
      <c r="T75" t="b">
        <v>1</v>
      </c>
      <c r="U75" t="s">
        <v>53</v>
      </c>
      <c r="V75" t="s">
        <v>54</v>
      </c>
      <c r="W75">
        <v>4</v>
      </c>
      <c r="X75" t="b">
        <v>0</v>
      </c>
      <c r="Y75" t="s">
        <v>55</v>
      </c>
      <c r="Z75" t="s">
        <v>56</v>
      </c>
      <c r="AA75" t="s">
        <v>57</v>
      </c>
      <c r="AB75">
        <v>0</v>
      </c>
      <c r="AC75" t="s">
        <v>58</v>
      </c>
      <c r="AD75">
        <v>8</v>
      </c>
      <c r="AE75" t="s">
        <v>59</v>
      </c>
      <c r="AF75">
        <v>1215</v>
      </c>
      <c r="AG75" t="b">
        <v>0</v>
      </c>
      <c r="AH75">
        <v>8</v>
      </c>
      <c r="AI75" t="s">
        <v>59</v>
      </c>
      <c r="AJ75">
        <v>1215</v>
      </c>
      <c r="AK75" t="b">
        <v>0</v>
      </c>
      <c r="AL75">
        <v>1215</v>
      </c>
      <c r="AM75" t="b">
        <v>0</v>
      </c>
      <c r="AN75">
        <v>0</v>
      </c>
      <c r="AO75" t="b">
        <v>0</v>
      </c>
      <c r="AQ75">
        <v>3843.4639999999999</v>
      </c>
      <c r="AR75">
        <v>3843.4639999999999</v>
      </c>
      <c r="AS75">
        <v>0</v>
      </c>
      <c r="AT75" t="b">
        <v>0</v>
      </c>
      <c r="AU75" t="b">
        <v>1</v>
      </c>
      <c r="BA75" t="str">
        <f t="shared" si="2"/>
        <v>Normal</v>
      </c>
      <c r="BG75" t="str">
        <f t="shared" si="3"/>
        <v>Normal</v>
      </c>
    </row>
    <row r="76" spans="1:59" x14ac:dyDescent="0.2">
      <c r="A76" t="s">
        <v>42</v>
      </c>
      <c r="B76" t="s">
        <v>43</v>
      </c>
      <c r="C76">
        <v>20190101</v>
      </c>
      <c r="D76">
        <v>2019</v>
      </c>
      <c r="E76">
        <v>52</v>
      </c>
      <c r="F76" t="s">
        <v>44</v>
      </c>
      <c r="G76">
        <v>626</v>
      </c>
      <c r="H76" t="s">
        <v>213</v>
      </c>
      <c r="I76" t="s">
        <v>214</v>
      </c>
      <c r="J76" t="s">
        <v>47</v>
      </c>
      <c r="K76" t="s">
        <v>48</v>
      </c>
      <c r="L76">
        <v>0</v>
      </c>
      <c r="M76" t="s">
        <v>49</v>
      </c>
      <c r="N76" t="s">
        <v>50</v>
      </c>
      <c r="O76">
        <v>0</v>
      </c>
      <c r="P76" t="s">
        <v>49</v>
      </c>
      <c r="Q76" t="s">
        <v>50</v>
      </c>
      <c r="R76" t="s">
        <v>215</v>
      </c>
      <c r="S76" t="s">
        <v>52</v>
      </c>
      <c r="T76" t="b">
        <v>1</v>
      </c>
      <c r="U76" t="s">
        <v>53</v>
      </c>
      <c r="V76" t="s">
        <v>54</v>
      </c>
      <c r="W76">
        <v>4</v>
      </c>
      <c r="X76" t="b">
        <v>0</v>
      </c>
      <c r="Y76" t="s">
        <v>55</v>
      </c>
      <c r="Z76" t="s">
        <v>56</v>
      </c>
      <c r="AA76" t="s">
        <v>57</v>
      </c>
      <c r="AB76">
        <v>0</v>
      </c>
      <c r="AC76" t="s">
        <v>58</v>
      </c>
      <c r="AD76">
        <v>-1</v>
      </c>
      <c r="AE76" t="s">
        <v>73</v>
      </c>
      <c r="AF76">
        <v>0</v>
      </c>
      <c r="AG76" t="b">
        <v>0</v>
      </c>
      <c r="AH76">
        <v>-1</v>
      </c>
      <c r="AI76" t="s">
        <v>73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Q76">
        <v>81290921.930000007</v>
      </c>
      <c r="AR76">
        <v>81290921.930000007</v>
      </c>
      <c r="AS76">
        <v>0</v>
      </c>
      <c r="AT76" t="b">
        <v>0</v>
      </c>
      <c r="AU76" t="b">
        <v>1</v>
      </c>
      <c r="BA76" t="str">
        <f t="shared" si="2"/>
        <v>Normal</v>
      </c>
      <c r="BG76" t="str">
        <f t="shared" si="3"/>
        <v>Normal</v>
      </c>
    </row>
    <row r="77" spans="1:59" x14ac:dyDescent="0.2">
      <c r="A77" t="s">
        <v>42</v>
      </c>
      <c r="B77" t="s">
        <v>43</v>
      </c>
      <c r="C77">
        <v>20190101</v>
      </c>
      <c r="D77">
        <v>2019</v>
      </c>
      <c r="E77">
        <v>52</v>
      </c>
      <c r="F77" t="s">
        <v>44</v>
      </c>
      <c r="G77">
        <v>634</v>
      </c>
      <c r="H77" t="s">
        <v>216</v>
      </c>
      <c r="I77" t="s">
        <v>217</v>
      </c>
      <c r="J77" t="s">
        <v>47</v>
      </c>
      <c r="K77" t="s">
        <v>48</v>
      </c>
      <c r="L77">
        <v>0</v>
      </c>
      <c r="M77" t="s">
        <v>49</v>
      </c>
      <c r="N77" t="s">
        <v>50</v>
      </c>
      <c r="O77">
        <v>0</v>
      </c>
      <c r="P77" t="s">
        <v>49</v>
      </c>
      <c r="Q77" t="s">
        <v>50</v>
      </c>
      <c r="R77" t="s">
        <v>104</v>
      </c>
      <c r="S77" t="s">
        <v>52</v>
      </c>
      <c r="T77" t="b">
        <v>1</v>
      </c>
      <c r="U77" t="s">
        <v>53</v>
      </c>
      <c r="V77" t="s">
        <v>54</v>
      </c>
      <c r="W77">
        <v>4</v>
      </c>
      <c r="X77" t="b">
        <v>0</v>
      </c>
      <c r="Y77" t="s">
        <v>55</v>
      </c>
      <c r="Z77" t="s">
        <v>56</v>
      </c>
      <c r="AA77" t="s">
        <v>57</v>
      </c>
      <c r="AB77">
        <v>0</v>
      </c>
      <c r="AC77" t="s">
        <v>58</v>
      </c>
      <c r="AD77">
        <v>8</v>
      </c>
      <c r="AE77" t="s">
        <v>59</v>
      </c>
      <c r="AF77">
        <v>24062512574.310001</v>
      </c>
      <c r="AG77" t="b">
        <v>0</v>
      </c>
      <c r="AH77">
        <v>8</v>
      </c>
      <c r="AI77" t="s">
        <v>59</v>
      </c>
      <c r="AJ77">
        <v>24062512574.310001</v>
      </c>
      <c r="AK77" t="b">
        <v>0</v>
      </c>
      <c r="AL77">
        <v>24062512574.310001</v>
      </c>
      <c r="AM77" t="b">
        <v>0</v>
      </c>
      <c r="AN77">
        <v>0</v>
      </c>
      <c r="AO77" t="b">
        <v>0</v>
      </c>
      <c r="AQ77">
        <v>12411487052.997</v>
      </c>
      <c r="AR77">
        <v>12411487052.997</v>
      </c>
      <c r="AS77">
        <v>0</v>
      </c>
      <c r="AT77" t="b">
        <v>0</v>
      </c>
      <c r="AU77" t="b">
        <v>1</v>
      </c>
      <c r="BA77" t="str">
        <f t="shared" si="2"/>
        <v>Normal</v>
      </c>
      <c r="BG77" t="str">
        <f t="shared" si="3"/>
        <v>Normal</v>
      </c>
    </row>
    <row r="78" spans="1:59" x14ac:dyDescent="0.2">
      <c r="A78" t="s">
        <v>42</v>
      </c>
      <c r="B78" t="s">
        <v>43</v>
      </c>
      <c r="C78">
        <v>20190101</v>
      </c>
      <c r="D78">
        <v>2019</v>
      </c>
      <c r="E78">
        <v>52</v>
      </c>
      <c r="F78" t="s">
        <v>44</v>
      </c>
      <c r="G78">
        <v>642</v>
      </c>
      <c r="H78" t="s">
        <v>218</v>
      </c>
      <c r="I78" t="s">
        <v>219</v>
      </c>
      <c r="J78" t="s">
        <v>47</v>
      </c>
      <c r="K78" t="s">
        <v>48</v>
      </c>
      <c r="L78">
        <v>0</v>
      </c>
      <c r="M78" t="s">
        <v>49</v>
      </c>
      <c r="N78" t="s">
        <v>50</v>
      </c>
      <c r="O78">
        <v>0</v>
      </c>
      <c r="P78" t="s">
        <v>49</v>
      </c>
      <c r="Q78" t="s">
        <v>50</v>
      </c>
      <c r="R78" t="s">
        <v>51</v>
      </c>
      <c r="S78" t="s">
        <v>52</v>
      </c>
      <c r="T78" t="b">
        <v>1</v>
      </c>
      <c r="U78" t="s">
        <v>53</v>
      </c>
      <c r="V78" t="s">
        <v>54</v>
      </c>
      <c r="W78">
        <v>4</v>
      </c>
      <c r="X78" t="b">
        <v>0</v>
      </c>
      <c r="Y78" t="s">
        <v>55</v>
      </c>
      <c r="Z78" t="s">
        <v>56</v>
      </c>
      <c r="AA78" t="s">
        <v>57</v>
      </c>
      <c r="AB78">
        <v>0</v>
      </c>
      <c r="AC78" t="s">
        <v>58</v>
      </c>
      <c r="AD78">
        <v>8</v>
      </c>
      <c r="AE78" t="s">
        <v>59</v>
      </c>
      <c r="AF78">
        <v>35318469.450000003</v>
      </c>
      <c r="AG78" t="b">
        <v>0</v>
      </c>
      <c r="AH78">
        <v>8</v>
      </c>
      <c r="AI78" t="s">
        <v>59</v>
      </c>
      <c r="AJ78">
        <v>35318469.450000003</v>
      </c>
      <c r="AK78" t="b">
        <v>0</v>
      </c>
      <c r="AL78">
        <v>35318469.450000003</v>
      </c>
      <c r="AM78" t="b">
        <v>0</v>
      </c>
      <c r="AN78">
        <v>0</v>
      </c>
      <c r="AO78" t="b">
        <v>0</v>
      </c>
      <c r="AP78">
        <v>0</v>
      </c>
      <c r="AQ78">
        <v>13236144.35</v>
      </c>
      <c r="AR78">
        <v>13236144.35</v>
      </c>
      <c r="AS78">
        <v>0</v>
      </c>
      <c r="AT78" t="b">
        <v>0</v>
      </c>
      <c r="AU78" t="b">
        <v>1</v>
      </c>
      <c r="BA78" t="str">
        <f t="shared" si="2"/>
        <v>Normal</v>
      </c>
      <c r="BG78" t="str">
        <f t="shared" si="3"/>
        <v>Normal</v>
      </c>
    </row>
    <row r="79" spans="1:59" x14ac:dyDescent="0.2">
      <c r="A79" t="s">
        <v>42</v>
      </c>
      <c r="B79" t="s">
        <v>43</v>
      </c>
      <c r="C79">
        <v>20190101</v>
      </c>
      <c r="D79">
        <v>2019</v>
      </c>
      <c r="E79">
        <v>52</v>
      </c>
      <c r="F79" t="s">
        <v>44</v>
      </c>
      <c r="G79">
        <v>643</v>
      </c>
      <c r="H79" t="s">
        <v>220</v>
      </c>
      <c r="I79" t="s">
        <v>221</v>
      </c>
      <c r="J79" t="s">
        <v>47</v>
      </c>
      <c r="K79" t="s">
        <v>48</v>
      </c>
      <c r="L79">
        <v>0</v>
      </c>
      <c r="M79" t="s">
        <v>49</v>
      </c>
      <c r="N79" t="s">
        <v>50</v>
      </c>
      <c r="O79">
        <v>0</v>
      </c>
      <c r="P79" t="s">
        <v>49</v>
      </c>
      <c r="Q79" t="s">
        <v>50</v>
      </c>
      <c r="R79" t="s">
        <v>51</v>
      </c>
      <c r="S79" t="s">
        <v>52</v>
      </c>
      <c r="T79" t="b">
        <v>1</v>
      </c>
      <c r="U79" t="s">
        <v>53</v>
      </c>
      <c r="V79" t="s">
        <v>54</v>
      </c>
      <c r="W79">
        <v>4</v>
      </c>
      <c r="X79" t="b">
        <v>0</v>
      </c>
      <c r="Y79" t="s">
        <v>55</v>
      </c>
      <c r="Z79" t="s">
        <v>56</v>
      </c>
      <c r="AA79" t="s">
        <v>57</v>
      </c>
      <c r="AB79">
        <v>0</v>
      </c>
      <c r="AC79" t="s">
        <v>58</v>
      </c>
      <c r="AD79">
        <v>8</v>
      </c>
      <c r="AE79" t="s">
        <v>59</v>
      </c>
      <c r="AF79">
        <v>269175244771</v>
      </c>
      <c r="AG79" t="b">
        <v>0</v>
      </c>
      <c r="AH79">
        <v>8</v>
      </c>
      <c r="AI79" t="s">
        <v>59</v>
      </c>
      <c r="AJ79">
        <v>269175244771</v>
      </c>
      <c r="AK79" t="b">
        <v>0</v>
      </c>
      <c r="AL79">
        <v>269175244771</v>
      </c>
      <c r="AM79" t="b">
        <v>0</v>
      </c>
      <c r="AN79">
        <v>0</v>
      </c>
      <c r="AO79" t="b">
        <v>0</v>
      </c>
      <c r="AQ79">
        <v>122228578653.3</v>
      </c>
      <c r="AR79">
        <v>122228578653.3</v>
      </c>
      <c r="AS79">
        <v>0</v>
      </c>
      <c r="AT79" t="b">
        <v>0</v>
      </c>
      <c r="AU79" t="b">
        <v>1</v>
      </c>
      <c r="BA79" t="str">
        <f t="shared" si="2"/>
        <v>Normal</v>
      </c>
      <c r="BG79" t="str">
        <f t="shared" si="3"/>
        <v>Normal</v>
      </c>
    </row>
    <row r="80" spans="1:59" x14ac:dyDescent="0.2">
      <c r="A80" t="s">
        <v>42</v>
      </c>
      <c r="B80" t="s">
        <v>43</v>
      </c>
      <c r="C80">
        <v>20190101</v>
      </c>
      <c r="D80">
        <v>2019</v>
      </c>
      <c r="E80">
        <v>52</v>
      </c>
      <c r="F80" t="s">
        <v>44</v>
      </c>
      <c r="G80">
        <v>646</v>
      </c>
      <c r="H80" t="s">
        <v>222</v>
      </c>
      <c r="I80" t="s">
        <v>223</v>
      </c>
      <c r="J80" t="s">
        <v>47</v>
      </c>
      <c r="K80" t="s">
        <v>48</v>
      </c>
      <c r="L80">
        <v>0</v>
      </c>
      <c r="M80" t="s">
        <v>49</v>
      </c>
      <c r="N80" t="s">
        <v>50</v>
      </c>
      <c r="O80">
        <v>0</v>
      </c>
      <c r="P80" t="s">
        <v>49</v>
      </c>
      <c r="Q80" t="s">
        <v>50</v>
      </c>
      <c r="R80" t="s">
        <v>104</v>
      </c>
      <c r="S80" t="s">
        <v>52</v>
      </c>
      <c r="T80" t="b">
        <v>1</v>
      </c>
      <c r="U80" t="s">
        <v>53</v>
      </c>
      <c r="V80" t="s">
        <v>54</v>
      </c>
      <c r="W80">
        <v>4</v>
      </c>
      <c r="X80" t="b">
        <v>0</v>
      </c>
      <c r="Y80" t="s">
        <v>55</v>
      </c>
      <c r="Z80" t="s">
        <v>56</v>
      </c>
      <c r="AA80" t="s">
        <v>57</v>
      </c>
      <c r="AB80">
        <v>0</v>
      </c>
      <c r="AC80" t="s">
        <v>58</v>
      </c>
      <c r="AD80">
        <v>8</v>
      </c>
      <c r="AE80" t="s">
        <v>59</v>
      </c>
      <c r="AF80">
        <v>3500</v>
      </c>
      <c r="AG80" t="b">
        <v>0</v>
      </c>
      <c r="AH80">
        <v>8</v>
      </c>
      <c r="AI80" t="s">
        <v>59</v>
      </c>
      <c r="AJ80">
        <v>3500</v>
      </c>
      <c r="AK80" t="b">
        <v>0</v>
      </c>
      <c r="AL80">
        <v>3500</v>
      </c>
      <c r="AM80" t="b">
        <v>0</v>
      </c>
      <c r="AN80">
        <v>0</v>
      </c>
      <c r="AO80" t="b">
        <v>0</v>
      </c>
      <c r="AP80">
        <v>0</v>
      </c>
      <c r="AQ80">
        <v>126.69</v>
      </c>
      <c r="AR80">
        <v>126.69</v>
      </c>
      <c r="AS80">
        <v>0</v>
      </c>
      <c r="AT80" t="b">
        <v>0</v>
      </c>
      <c r="AU80" t="b">
        <v>1</v>
      </c>
      <c r="BA80" t="str">
        <f t="shared" si="2"/>
        <v>Normal</v>
      </c>
      <c r="BG80" t="str">
        <f t="shared" si="3"/>
        <v>Normal</v>
      </c>
    </row>
    <row r="81" spans="1:59" x14ac:dyDescent="0.2">
      <c r="A81" t="s">
        <v>42</v>
      </c>
      <c r="B81" t="s">
        <v>43</v>
      </c>
      <c r="C81">
        <v>20190101</v>
      </c>
      <c r="D81">
        <v>2019</v>
      </c>
      <c r="E81">
        <v>52</v>
      </c>
      <c r="F81" t="s">
        <v>44</v>
      </c>
      <c r="G81">
        <v>682</v>
      </c>
      <c r="H81" t="s">
        <v>224</v>
      </c>
      <c r="I81" t="s">
        <v>225</v>
      </c>
      <c r="J81" t="s">
        <v>47</v>
      </c>
      <c r="K81" t="s">
        <v>48</v>
      </c>
      <c r="L81">
        <v>0</v>
      </c>
      <c r="M81" t="s">
        <v>49</v>
      </c>
      <c r="N81" t="s">
        <v>50</v>
      </c>
      <c r="O81">
        <v>0</v>
      </c>
      <c r="P81" t="s">
        <v>49</v>
      </c>
      <c r="Q81" t="s">
        <v>50</v>
      </c>
      <c r="R81" t="s">
        <v>104</v>
      </c>
      <c r="S81" t="s">
        <v>52</v>
      </c>
      <c r="T81" t="b">
        <v>1</v>
      </c>
      <c r="U81" t="s">
        <v>53</v>
      </c>
      <c r="V81" t="s">
        <v>54</v>
      </c>
      <c r="W81">
        <v>4</v>
      </c>
      <c r="X81" t="b">
        <v>0</v>
      </c>
      <c r="Y81" t="s">
        <v>55</v>
      </c>
      <c r="Z81" t="s">
        <v>56</v>
      </c>
      <c r="AA81" t="s">
        <v>57</v>
      </c>
      <c r="AB81">
        <v>0</v>
      </c>
      <c r="AC81" t="s">
        <v>58</v>
      </c>
      <c r="AD81">
        <v>8</v>
      </c>
      <c r="AE81" t="s">
        <v>59</v>
      </c>
      <c r="AF81">
        <v>356301549773.06702</v>
      </c>
      <c r="AG81" t="b">
        <v>1</v>
      </c>
      <c r="AH81">
        <v>-1</v>
      </c>
      <c r="AI81" t="s">
        <v>73</v>
      </c>
      <c r="AJ81">
        <v>0</v>
      </c>
      <c r="AK81" t="b">
        <v>0</v>
      </c>
      <c r="AL81">
        <v>356301549773.06702</v>
      </c>
      <c r="AM81" t="b">
        <v>1</v>
      </c>
      <c r="AN81">
        <v>0</v>
      </c>
      <c r="AO81" t="b">
        <v>0</v>
      </c>
      <c r="AQ81">
        <v>166896805817.71301</v>
      </c>
      <c r="AR81">
        <v>166896805817.71301</v>
      </c>
      <c r="AS81">
        <v>6</v>
      </c>
      <c r="AT81" t="b">
        <v>0</v>
      </c>
      <c r="AU81" t="b">
        <v>1</v>
      </c>
      <c r="BA81" t="str">
        <f t="shared" si="2"/>
        <v>Normal</v>
      </c>
      <c r="BG81" t="str">
        <f t="shared" si="3"/>
        <v>Normal</v>
      </c>
    </row>
    <row r="82" spans="1:59" x14ac:dyDescent="0.2">
      <c r="A82" t="s">
        <v>42</v>
      </c>
      <c r="B82" t="s">
        <v>43</v>
      </c>
      <c r="C82">
        <v>20190101</v>
      </c>
      <c r="D82">
        <v>2019</v>
      </c>
      <c r="E82">
        <v>52</v>
      </c>
      <c r="F82" t="s">
        <v>44</v>
      </c>
      <c r="G82">
        <v>686</v>
      </c>
      <c r="H82" t="s">
        <v>226</v>
      </c>
      <c r="I82" t="s">
        <v>227</v>
      </c>
      <c r="J82" t="s">
        <v>47</v>
      </c>
      <c r="K82" t="s">
        <v>48</v>
      </c>
      <c r="L82">
        <v>0</v>
      </c>
      <c r="M82" t="s">
        <v>49</v>
      </c>
      <c r="N82" t="s">
        <v>50</v>
      </c>
      <c r="O82">
        <v>0</v>
      </c>
      <c r="P82" t="s">
        <v>49</v>
      </c>
      <c r="Q82" t="s">
        <v>50</v>
      </c>
      <c r="R82" t="s">
        <v>51</v>
      </c>
      <c r="S82" t="s">
        <v>52</v>
      </c>
      <c r="T82" t="b">
        <v>1</v>
      </c>
      <c r="U82" t="s">
        <v>53</v>
      </c>
      <c r="V82" t="s">
        <v>54</v>
      </c>
      <c r="W82">
        <v>4</v>
      </c>
      <c r="X82" t="b">
        <v>0</v>
      </c>
      <c r="Y82" t="s">
        <v>55</v>
      </c>
      <c r="Z82" t="s">
        <v>56</v>
      </c>
      <c r="AA82" t="s">
        <v>57</v>
      </c>
      <c r="AB82">
        <v>0</v>
      </c>
      <c r="AC82" t="s">
        <v>58</v>
      </c>
      <c r="AD82">
        <v>8</v>
      </c>
      <c r="AE82" t="s">
        <v>59</v>
      </c>
      <c r="AF82">
        <v>67582170</v>
      </c>
      <c r="AG82" t="b">
        <v>0</v>
      </c>
      <c r="AH82">
        <v>8</v>
      </c>
      <c r="AI82" t="s">
        <v>59</v>
      </c>
      <c r="AJ82">
        <v>67582170</v>
      </c>
      <c r="AK82" t="b">
        <v>0</v>
      </c>
      <c r="AL82">
        <v>67582170</v>
      </c>
      <c r="AM82" t="b">
        <v>0</v>
      </c>
      <c r="AN82">
        <v>0</v>
      </c>
      <c r="AO82" t="b">
        <v>0</v>
      </c>
      <c r="AQ82">
        <v>16027017.015000001</v>
      </c>
      <c r="AR82">
        <v>16027017.015000001</v>
      </c>
      <c r="AS82">
        <v>0</v>
      </c>
      <c r="AT82" t="b">
        <v>0</v>
      </c>
      <c r="AU82" t="b">
        <v>1</v>
      </c>
      <c r="BA82" t="str">
        <f t="shared" si="2"/>
        <v>Normal</v>
      </c>
      <c r="BG82" t="str">
        <f t="shared" si="3"/>
        <v>Normal</v>
      </c>
    </row>
    <row r="83" spans="1:59" x14ac:dyDescent="0.2">
      <c r="A83" t="s">
        <v>42</v>
      </c>
      <c r="B83" t="s">
        <v>43</v>
      </c>
      <c r="C83">
        <v>20190101</v>
      </c>
      <c r="D83">
        <v>2019</v>
      </c>
      <c r="E83">
        <v>52</v>
      </c>
      <c r="F83" t="s">
        <v>44</v>
      </c>
      <c r="G83">
        <v>688</v>
      </c>
      <c r="H83" t="s">
        <v>228</v>
      </c>
      <c r="I83" t="s">
        <v>229</v>
      </c>
      <c r="J83" t="s">
        <v>47</v>
      </c>
      <c r="K83" t="s">
        <v>48</v>
      </c>
      <c r="L83">
        <v>0</v>
      </c>
      <c r="M83" t="s">
        <v>49</v>
      </c>
      <c r="N83" t="s">
        <v>50</v>
      </c>
      <c r="O83">
        <v>0</v>
      </c>
      <c r="P83" t="s">
        <v>49</v>
      </c>
      <c r="Q83" t="s">
        <v>50</v>
      </c>
      <c r="R83" t="s">
        <v>51</v>
      </c>
      <c r="S83" t="s">
        <v>52</v>
      </c>
      <c r="T83" t="b">
        <v>1</v>
      </c>
      <c r="U83" t="s">
        <v>53</v>
      </c>
      <c r="V83" t="s">
        <v>54</v>
      </c>
      <c r="W83">
        <v>4</v>
      </c>
      <c r="X83" t="b">
        <v>0</v>
      </c>
      <c r="Y83" t="s">
        <v>55</v>
      </c>
      <c r="Z83" t="s">
        <v>56</v>
      </c>
      <c r="AA83" t="s">
        <v>57</v>
      </c>
      <c r="AB83">
        <v>0</v>
      </c>
      <c r="AC83" t="s">
        <v>58</v>
      </c>
      <c r="AD83">
        <v>8</v>
      </c>
      <c r="AE83" t="s">
        <v>59</v>
      </c>
      <c r="AF83">
        <v>535900</v>
      </c>
      <c r="AG83" t="b">
        <v>0</v>
      </c>
      <c r="AH83">
        <v>8</v>
      </c>
      <c r="AI83" t="s">
        <v>59</v>
      </c>
      <c r="AJ83">
        <v>535900</v>
      </c>
      <c r="AK83" t="b">
        <v>0</v>
      </c>
      <c r="AL83">
        <v>535900</v>
      </c>
      <c r="AM83" t="b">
        <v>0</v>
      </c>
      <c r="AN83">
        <v>0</v>
      </c>
      <c r="AO83" t="b">
        <v>0</v>
      </c>
      <c r="AQ83">
        <v>271304</v>
      </c>
      <c r="AR83">
        <v>271304</v>
      </c>
      <c r="AS83">
        <v>0</v>
      </c>
      <c r="AT83" t="b">
        <v>0</v>
      </c>
      <c r="AU83" t="b">
        <v>1</v>
      </c>
      <c r="BA83" t="str">
        <f t="shared" si="2"/>
        <v>Normal</v>
      </c>
      <c r="BG83" t="str">
        <f t="shared" si="3"/>
        <v>Normal</v>
      </c>
    </row>
    <row r="84" spans="1:59" x14ac:dyDescent="0.2">
      <c r="A84" t="s">
        <v>42</v>
      </c>
      <c r="B84" t="s">
        <v>43</v>
      </c>
      <c r="C84">
        <v>20190101</v>
      </c>
      <c r="D84">
        <v>2019</v>
      </c>
      <c r="E84">
        <v>52</v>
      </c>
      <c r="F84" t="s">
        <v>44</v>
      </c>
      <c r="G84">
        <v>702</v>
      </c>
      <c r="H84" t="s">
        <v>230</v>
      </c>
      <c r="I84" t="s">
        <v>231</v>
      </c>
      <c r="J84" t="s">
        <v>47</v>
      </c>
      <c r="K84" t="s">
        <v>48</v>
      </c>
      <c r="L84">
        <v>0</v>
      </c>
      <c r="M84" t="s">
        <v>49</v>
      </c>
      <c r="N84" t="s">
        <v>50</v>
      </c>
      <c r="O84">
        <v>0</v>
      </c>
      <c r="P84" t="s">
        <v>49</v>
      </c>
      <c r="Q84" t="s">
        <v>50</v>
      </c>
      <c r="R84" t="s">
        <v>51</v>
      </c>
      <c r="S84" t="s">
        <v>52</v>
      </c>
      <c r="T84" t="b">
        <v>1</v>
      </c>
      <c r="U84" t="s">
        <v>53</v>
      </c>
      <c r="V84" t="s">
        <v>54</v>
      </c>
      <c r="W84">
        <v>4</v>
      </c>
      <c r="X84" t="b">
        <v>0</v>
      </c>
      <c r="Y84" t="s">
        <v>55</v>
      </c>
      <c r="Z84" t="s">
        <v>56</v>
      </c>
      <c r="AA84" t="s">
        <v>57</v>
      </c>
      <c r="AB84">
        <v>0</v>
      </c>
      <c r="AC84" t="s">
        <v>58</v>
      </c>
      <c r="AD84">
        <v>-1</v>
      </c>
      <c r="AE84" t="s">
        <v>73</v>
      </c>
      <c r="AF84">
        <v>0</v>
      </c>
      <c r="AG84" t="b">
        <v>1</v>
      </c>
      <c r="AH84">
        <v>-1</v>
      </c>
      <c r="AI84" t="s">
        <v>73</v>
      </c>
      <c r="AJ84">
        <v>0</v>
      </c>
      <c r="AK84" t="b">
        <v>0</v>
      </c>
      <c r="AM84" t="b">
        <v>1</v>
      </c>
      <c r="AN84">
        <v>0</v>
      </c>
      <c r="AO84" t="b">
        <v>0</v>
      </c>
      <c r="AQ84">
        <v>14607.915999999999</v>
      </c>
      <c r="AR84">
        <v>14607.915999999999</v>
      </c>
      <c r="AS84">
        <v>6</v>
      </c>
      <c r="AT84" t="b">
        <v>0</v>
      </c>
      <c r="AU84" t="b">
        <v>1</v>
      </c>
      <c r="BA84" t="str">
        <f t="shared" si="2"/>
        <v>Normal</v>
      </c>
      <c r="BG84" t="str">
        <f t="shared" si="3"/>
        <v>Normal</v>
      </c>
    </row>
    <row r="85" spans="1:59" x14ac:dyDescent="0.2">
      <c r="A85" t="s">
        <v>42</v>
      </c>
      <c r="B85" t="s">
        <v>43</v>
      </c>
      <c r="C85">
        <v>20190101</v>
      </c>
      <c r="D85">
        <v>2019</v>
      </c>
      <c r="E85">
        <v>52</v>
      </c>
      <c r="F85" t="s">
        <v>44</v>
      </c>
      <c r="G85">
        <v>703</v>
      </c>
      <c r="H85" t="s">
        <v>232</v>
      </c>
      <c r="I85" t="s">
        <v>233</v>
      </c>
      <c r="J85" t="s">
        <v>47</v>
      </c>
      <c r="K85" t="s">
        <v>48</v>
      </c>
      <c r="L85">
        <v>0</v>
      </c>
      <c r="M85" t="s">
        <v>49</v>
      </c>
      <c r="N85" t="s">
        <v>50</v>
      </c>
      <c r="O85">
        <v>0</v>
      </c>
      <c r="P85" t="s">
        <v>49</v>
      </c>
      <c r="Q85" t="s">
        <v>50</v>
      </c>
      <c r="R85" t="s">
        <v>51</v>
      </c>
      <c r="S85" t="s">
        <v>52</v>
      </c>
      <c r="T85" t="b">
        <v>1</v>
      </c>
      <c r="U85" t="s">
        <v>53</v>
      </c>
      <c r="V85" t="s">
        <v>54</v>
      </c>
      <c r="W85">
        <v>4</v>
      </c>
      <c r="X85" t="b">
        <v>0</v>
      </c>
      <c r="Y85" t="s">
        <v>55</v>
      </c>
      <c r="Z85" t="s">
        <v>56</v>
      </c>
      <c r="AA85" t="s">
        <v>57</v>
      </c>
      <c r="AB85">
        <v>0</v>
      </c>
      <c r="AC85" t="s">
        <v>58</v>
      </c>
      <c r="AD85">
        <v>8</v>
      </c>
      <c r="AE85" t="s">
        <v>59</v>
      </c>
      <c r="AF85">
        <v>84793156</v>
      </c>
      <c r="AG85" t="b">
        <v>0</v>
      </c>
      <c r="AH85">
        <v>8</v>
      </c>
      <c r="AI85" t="s">
        <v>59</v>
      </c>
      <c r="AJ85">
        <v>84793156</v>
      </c>
      <c r="AK85" t="b">
        <v>0</v>
      </c>
      <c r="AL85">
        <v>84793156</v>
      </c>
      <c r="AM85" t="b">
        <v>0</v>
      </c>
      <c r="AN85">
        <v>0</v>
      </c>
      <c r="AO85" t="b">
        <v>0</v>
      </c>
      <c r="AQ85">
        <v>36702732.325999998</v>
      </c>
      <c r="AR85">
        <v>36702732.325999998</v>
      </c>
      <c r="AS85">
        <v>0</v>
      </c>
      <c r="AT85" t="b">
        <v>0</v>
      </c>
      <c r="AU85" t="b">
        <v>1</v>
      </c>
      <c r="BA85" t="str">
        <f t="shared" si="2"/>
        <v>Normal</v>
      </c>
      <c r="BG85" t="str">
        <f t="shared" si="3"/>
        <v>Normal</v>
      </c>
    </row>
    <row r="86" spans="1:59" x14ac:dyDescent="0.2">
      <c r="A86" t="s">
        <v>42</v>
      </c>
      <c r="B86" t="s">
        <v>43</v>
      </c>
      <c r="C86">
        <v>20190101</v>
      </c>
      <c r="D86">
        <v>2019</v>
      </c>
      <c r="E86">
        <v>52</v>
      </c>
      <c r="F86" t="s">
        <v>44</v>
      </c>
      <c r="G86">
        <v>704</v>
      </c>
      <c r="H86" t="s">
        <v>234</v>
      </c>
      <c r="I86" t="s">
        <v>235</v>
      </c>
      <c r="J86" t="s">
        <v>47</v>
      </c>
      <c r="K86" t="s">
        <v>48</v>
      </c>
      <c r="L86">
        <v>0</v>
      </c>
      <c r="M86" t="s">
        <v>49</v>
      </c>
      <c r="N86" t="s">
        <v>50</v>
      </c>
      <c r="O86">
        <v>0</v>
      </c>
      <c r="P86" t="s">
        <v>49</v>
      </c>
      <c r="Q86" t="s">
        <v>50</v>
      </c>
      <c r="R86" t="s">
        <v>51</v>
      </c>
      <c r="S86" t="s">
        <v>52</v>
      </c>
      <c r="T86" t="b">
        <v>1</v>
      </c>
      <c r="U86" t="s">
        <v>53</v>
      </c>
      <c r="V86" t="s">
        <v>54</v>
      </c>
      <c r="W86">
        <v>4</v>
      </c>
      <c r="X86" t="b">
        <v>0</v>
      </c>
      <c r="Y86" t="s">
        <v>55</v>
      </c>
      <c r="Z86" t="s">
        <v>56</v>
      </c>
      <c r="AA86" t="s">
        <v>57</v>
      </c>
      <c r="AB86">
        <v>0</v>
      </c>
      <c r="AC86" t="s">
        <v>58</v>
      </c>
      <c r="AD86">
        <v>8</v>
      </c>
      <c r="AE86" t="s">
        <v>59</v>
      </c>
      <c r="AF86">
        <v>3694116400</v>
      </c>
      <c r="AG86" t="b">
        <v>0</v>
      </c>
      <c r="AH86">
        <v>21</v>
      </c>
      <c r="AI86" t="s">
        <v>170</v>
      </c>
      <c r="AJ86">
        <v>3694116.4</v>
      </c>
      <c r="AK86" t="b">
        <v>0</v>
      </c>
      <c r="AL86">
        <v>3694116400</v>
      </c>
      <c r="AM86" t="b">
        <v>0</v>
      </c>
      <c r="AN86">
        <v>0</v>
      </c>
      <c r="AO86" t="b">
        <v>0</v>
      </c>
      <c r="AQ86">
        <v>1892580345.05</v>
      </c>
      <c r="AR86">
        <v>1892580345.05</v>
      </c>
      <c r="AS86">
        <v>0</v>
      </c>
      <c r="AT86" t="b">
        <v>0</v>
      </c>
      <c r="AU86" t="b">
        <v>1</v>
      </c>
      <c r="BA86" t="str">
        <f t="shared" si="2"/>
        <v>Normal</v>
      </c>
      <c r="BG86" t="str">
        <f t="shared" si="3"/>
        <v>Normal</v>
      </c>
    </row>
    <row r="87" spans="1:59" x14ac:dyDescent="0.2">
      <c r="A87" t="s">
        <v>42</v>
      </c>
      <c r="B87" t="s">
        <v>43</v>
      </c>
      <c r="C87">
        <v>20190101</v>
      </c>
      <c r="D87">
        <v>2019</v>
      </c>
      <c r="E87">
        <v>52</v>
      </c>
      <c r="F87" t="s">
        <v>44</v>
      </c>
      <c r="G87">
        <v>705</v>
      </c>
      <c r="H87" t="s">
        <v>236</v>
      </c>
      <c r="I87" t="s">
        <v>237</v>
      </c>
      <c r="J87" t="s">
        <v>47</v>
      </c>
      <c r="K87" t="s">
        <v>48</v>
      </c>
      <c r="L87">
        <v>0</v>
      </c>
      <c r="M87" t="s">
        <v>49</v>
      </c>
      <c r="N87" t="s">
        <v>50</v>
      </c>
      <c r="O87">
        <v>0</v>
      </c>
      <c r="P87" t="s">
        <v>49</v>
      </c>
      <c r="Q87" t="s">
        <v>50</v>
      </c>
      <c r="R87" t="s">
        <v>51</v>
      </c>
      <c r="S87" t="s">
        <v>52</v>
      </c>
      <c r="T87" t="b">
        <v>1</v>
      </c>
      <c r="U87" t="s">
        <v>53</v>
      </c>
      <c r="V87" t="s">
        <v>54</v>
      </c>
      <c r="W87">
        <v>4</v>
      </c>
      <c r="X87" t="b">
        <v>0</v>
      </c>
      <c r="Y87" t="s">
        <v>55</v>
      </c>
      <c r="Z87" t="s">
        <v>56</v>
      </c>
      <c r="AA87" t="s">
        <v>57</v>
      </c>
      <c r="AB87">
        <v>0</v>
      </c>
      <c r="AC87" t="s">
        <v>58</v>
      </c>
      <c r="AD87">
        <v>8</v>
      </c>
      <c r="AE87" t="s">
        <v>59</v>
      </c>
      <c r="AF87">
        <v>1668.1</v>
      </c>
      <c r="AG87" t="b">
        <v>0</v>
      </c>
      <c r="AH87">
        <v>8</v>
      </c>
      <c r="AI87" t="s">
        <v>59</v>
      </c>
      <c r="AJ87">
        <v>1668.1</v>
      </c>
      <c r="AK87" t="b">
        <v>0</v>
      </c>
      <c r="AL87">
        <v>1668.1</v>
      </c>
      <c r="AM87" t="b">
        <v>0</v>
      </c>
      <c r="AN87">
        <v>0</v>
      </c>
      <c r="AO87" t="b">
        <v>0</v>
      </c>
      <c r="AQ87">
        <v>47052.44</v>
      </c>
      <c r="AR87">
        <v>47052.44</v>
      </c>
      <c r="AS87">
        <v>0</v>
      </c>
      <c r="AT87" t="b">
        <v>0</v>
      </c>
      <c r="AU87" t="b">
        <v>1</v>
      </c>
      <c r="BA87" t="str">
        <f t="shared" si="2"/>
        <v>Normal</v>
      </c>
      <c r="BG87" t="str">
        <f t="shared" si="3"/>
        <v>Normal</v>
      </c>
    </row>
    <row r="88" spans="1:59" x14ac:dyDescent="0.2">
      <c r="A88" t="s">
        <v>42</v>
      </c>
      <c r="B88" t="s">
        <v>43</v>
      </c>
      <c r="C88">
        <v>20190101</v>
      </c>
      <c r="D88">
        <v>2019</v>
      </c>
      <c r="E88">
        <v>52</v>
      </c>
      <c r="F88" t="s">
        <v>44</v>
      </c>
      <c r="G88">
        <v>710</v>
      </c>
      <c r="H88" t="s">
        <v>238</v>
      </c>
      <c r="I88" t="s">
        <v>239</v>
      </c>
      <c r="J88" t="s">
        <v>47</v>
      </c>
      <c r="K88" t="s">
        <v>48</v>
      </c>
      <c r="L88">
        <v>0</v>
      </c>
      <c r="M88" t="s">
        <v>49</v>
      </c>
      <c r="N88" t="s">
        <v>50</v>
      </c>
      <c r="O88">
        <v>0</v>
      </c>
      <c r="P88" t="s">
        <v>49</v>
      </c>
      <c r="Q88" t="s">
        <v>50</v>
      </c>
      <c r="R88" t="s">
        <v>51</v>
      </c>
      <c r="S88" t="s">
        <v>52</v>
      </c>
      <c r="T88" t="b">
        <v>1</v>
      </c>
      <c r="U88" t="s">
        <v>53</v>
      </c>
      <c r="V88" t="s">
        <v>54</v>
      </c>
      <c r="W88">
        <v>4</v>
      </c>
      <c r="X88" t="b">
        <v>0</v>
      </c>
      <c r="Y88" t="s">
        <v>55</v>
      </c>
      <c r="Z88" t="s">
        <v>56</v>
      </c>
      <c r="AA88" t="s">
        <v>57</v>
      </c>
      <c r="AB88">
        <v>0</v>
      </c>
      <c r="AC88" t="s">
        <v>58</v>
      </c>
      <c r="AD88">
        <v>-1</v>
      </c>
      <c r="AE88" t="s">
        <v>73</v>
      </c>
      <c r="AF88">
        <v>0</v>
      </c>
      <c r="AG88" t="b">
        <v>1</v>
      </c>
      <c r="AH88">
        <v>-1</v>
      </c>
      <c r="AI88" t="s">
        <v>73</v>
      </c>
      <c r="AJ88">
        <v>0</v>
      </c>
      <c r="AK88" t="b">
        <v>0</v>
      </c>
      <c r="AL88">
        <v>382573.1</v>
      </c>
      <c r="AM88" t="b">
        <v>1</v>
      </c>
      <c r="AN88">
        <v>0</v>
      </c>
      <c r="AO88" t="b">
        <v>0</v>
      </c>
      <c r="AP88">
        <v>0</v>
      </c>
      <c r="AQ88">
        <v>792772.02500000002</v>
      </c>
      <c r="AR88">
        <v>792772.02500000002</v>
      </c>
      <c r="AS88">
        <v>6</v>
      </c>
      <c r="AT88" t="b">
        <v>0</v>
      </c>
      <c r="AU88" t="b">
        <v>1</v>
      </c>
      <c r="BA88" t="str">
        <f t="shared" si="2"/>
        <v>Normal</v>
      </c>
      <c r="BG88" t="str">
        <f t="shared" si="3"/>
        <v>Normal</v>
      </c>
    </row>
    <row r="89" spans="1:59" x14ac:dyDescent="0.2">
      <c r="A89" t="s">
        <v>42</v>
      </c>
      <c r="B89" t="s">
        <v>43</v>
      </c>
      <c r="C89">
        <v>20190101</v>
      </c>
      <c r="D89">
        <v>2019</v>
      </c>
      <c r="E89">
        <v>52</v>
      </c>
      <c r="F89" t="s">
        <v>44</v>
      </c>
      <c r="G89">
        <v>724</v>
      </c>
      <c r="H89" t="s">
        <v>240</v>
      </c>
      <c r="I89" t="s">
        <v>241</v>
      </c>
      <c r="J89" t="s">
        <v>47</v>
      </c>
      <c r="K89" t="s">
        <v>48</v>
      </c>
      <c r="L89">
        <v>0</v>
      </c>
      <c r="M89" t="s">
        <v>49</v>
      </c>
      <c r="N89" t="s">
        <v>50</v>
      </c>
      <c r="O89">
        <v>0</v>
      </c>
      <c r="P89" t="s">
        <v>49</v>
      </c>
      <c r="Q89" t="s">
        <v>50</v>
      </c>
      <c r="R89" t="s">
        <v>51</v>
      </c>
      <c r="S89" t="s">
        <v>52</v>
      </c>
      <c r="T89" t="b">
        <v>1</v>
      </c>
      <c r="U89" t="s">
        <v>53</v>
      </c>
      <c r="V89" t="s">
        <v>54</v>
      </c>
      <c r="W89">
        <v>4</v>
      </c>
      <c r="X89" t="b">
        <v>0</v>
      </c>
      <c r="Y89" t="s">
        <v>55</v>
      </c>
      <c r="Z89" t="s">
        <v>56</v>
      </c>
      <c r="AA89" t="s">
        <v>57</v>
      </c>
      <c r="AB89">
        <v>0</v>
      </c>
      <c r="AC89" t="s">
        <v>58</v>
      </c>
      <c r="AD89">
        <v>-1</v>
      </c>
      <c r="AE89" t="s">
        <v>73</v>
      </c>
      <c r="AF89">
        <v>0</v>
      </c>
      <c r="AG89" t="b">
        <v>0</v>
      </c>
      <c r="AH89">
        <v>-1</v>
      </c>
      <c r="AI89" t="s">
        <v>73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Q89">
        <v>664463239.05700004</v>
      </c>
      <c r="AR89">
        <v>664463239.05700004</v>
      </c>
      <c r="AS89">
        <v>0</v>
      </c>
      <c r="AT89" t="b">
        <v>0</v>
      </c>
      <c r="AU89" t="b">
        <v>1</v>
      </c>
      <c r="BA89" t="str">
        <f t="shared" si="2"/>
        <v>Normal</v>
      </c>
      <c r="BG89" t="str">
        <f t="shared" si="3"/>
        <v>Normal</v>
      </c>
    </row>
    <row r="90" spans="1:59" x14ac:dyDescent="0.2">
      <c r="A90" t="s">
        <v>42</v>
      </c>
      <c r="B90" t="s">
        <v>43</v>
      </c>
      <c r="C90">
        <v>20190101</v>
      </c>
      <c r="D90">
        <v>2019</v>
      </c>
      <c r="E90">
        <v>52</v>
      </c>
      <c r="F90" t="s">
        <v>44</v>
      </c>
      <c r="G90">
        <v>748</v>
      </c>
      <c r="H90" t="s">
        <v>242</v>
      </c>
      <c r="I90" t="s">
        <v>243</v>
      </c>
      <c r="J90" t="s">
        <v>47</v>
      </c>
      <c r="K90" t="s">
        <v>48</v>
      </c>
      <c r="L90">
        <v>0</v>
      </c>
      <c r="M90" t="s">
        <v>49</v>
      </c>
      <c r="N90" t="s">
        <v>50</v>
      </c>
      <c r="O90">
        <v>0</v>
      </c>
      <c r="P90" t="s">
        <v>49</v>
      </c>
      <c r="Q90" t="s">
        <v>50</v>
      </c>
      <c r="R90" t="s">
        <v>51</v>
      </c>
      <c r="S90" t="s">
        <v>52</v>
      </c>
      <c r="T90" t="b">
        <v>1</v>
      </c>
      <c r="U90" t="s">
        <v>53</v>
      </c>
      <c r="V90" t="s">
        <v>54</v>
      </c>
      <c r="W90">
        <v>4</v>
      </c>
      <c r="X90" t="b">
        <v>0</v>
      </c>
      <c r="Y90" t="s">
        <v>55</v>
      </c>
      <c r="Z90" t="s">
        <v>56</v>
      </c>
      <c r="AA90" t="s">
        <v>57</v>
      </c>
      <c r="AB90">
        <v>0</v>
      </c>
      <c r="AC90" t="s">
        <v>58</v>
      </c>
      <c r="AD90">
        <v>8</v>
      </c>
      <c r="AE90" t="s">
        <v>59</v>
      </c>
      <c r="AF90">
        <v>1500</v>
      </c>
      <c r="AG90" t="b">
        <v>0</v>
      </c>
      <c r="AH90">
        <v>8</v>
      </c>
      <c r="AI90" t="s">
        <v>59</v>
      </c>
      <c r="AJ90">
        <v>1500</v>
      </c>
      <c r="AK90" t="b">
        <v>0</v>
      </c>
      <c r="AL90">
        <v>1500</v>
      </c>
      <c r="AM90" t="b">
        <v>0</v>
      </c>
      <c r="AN90">
        <v>0</v>
      </c>
      <c r="AO90" t="b">
        <v>0</v>
      </c>
      <c r="AQ90">
        <v>5408</v>
      </c>
      <c r="AR90">
        <v>5408</v>
      </c>
      <c r="AS90">
        <v>0</v>
      </c>
      <c r="AT90" t="b">
        <v>0</v>
      </c>
      <c r="AU90" t="b">
        <v>1</v>
      </c>
      <c r="BA90" t="str">
        <f t="shared" si="2"/>
        <v>Normal</v>
      </c>
      <c r="BG90" t="str">
        <f t="shared" si="3"/>
        <v>Normal</v>
      </c>
    </row>
    <row r="91" spans="1:59" x14ac:dyDescent="0.2">
      <c r="A91" t="s">
        <v>42</v>
      </c>
      <c r="B91" t="s">
        <v>43</v>
      </c>
      <c r="C91">
        <v>20190101</v>
      </c>
      <c r="D91">
        <v>2019</v>
      </c>
      <c r="E91">
        <v>52</v>
      </c>
      <c r="F91" t="s">
        <v>44</v>
      </c>
      <c r="G91">
        <v>752</v>
      </c>
      <c r="H91" t="s">
        <v>244</v>
      </c>
      <c r="I91" t="s">
        <v>245</v>
      </c>
      <c r="J91" t="s">
        <v>47</v>
      </c>
      <c r="K91" t="s">
        <v>48</v>
      </c>
      <c r="L91">
        <v>0</v>
      </c>
      <c r="M91" t="s">
        <v>49</v>
      </c>
      <c r="N91" t="s">
        <v>50</v>
      </c>
      <c r="O91">
        <v>0</v>
      </c>
      <c r="P91" t="s">
        <v>49</v>
      </c>
      <c r="Q91" t="s">
        <v>50</v>
      </c>
      <c r="R91" t="s">
        <v>51</v>
      </c>
      <c r="S91" t="s">
        <v>52</v>
      </c>
      <c r="T91" t="b">
        <v>1</v>
      </c>
      <c r="U91" t="s">
        <v>53</v>
      </c>
      <c r="V91" t="s">
        <v>54</v>
      </c>
      <c r="W91">
        <v>4</v>
      </c>
      <c r="X91" t="b">
        <v>0</v>
      </c>
      <c r="Y91" t="s">
        <v>55</v>
      </c>
      <c r="Z91" t="s">
        <v>56</v>
      </c>
      <c r="AA91" t="s">
        <v>57</v>
      </c>
      <c r="AB91">
        <v>0</v>
      </c>
      <c r="AC91" t="s">
        <v>58</v>
      </c>
      <c r="AD91">
        <v>8</v>
      </c>
      <c r="AE91" t="s">
        <v>59</v>
      </c>
      <c r="AF91">
        <v>105212612.641</v>
      </c>
      <c r="AG91" t="b">
        <v>1</v>
      </c>
      <c r="AH91">
        <v>-1</v>
      </c>
      <c r="AI91" t="s">
        <v>73</v>
      </c>
      <c r="AJ91">
        <v>0</v>
      </c>
      <c r="AK91" t="b">
        <v>0</v>
      </c>
      <c r="AL91">
        <v>105212612.641</v>
      </c>
      <c r="AM91" t="b">
        <v>1</v>
      </c>
      <c r="AN91">
        <v>0</v>
      </c>
      <c r="AO91" t="b">
        <v>0</v>
      </c>
      <c r="AQ91">
        <v>56828841.336999997</v>
      </c>
      <c r="AR91">
        <v>56828841.336999997</v>
      </c>
      <c r="AS91">
        <v>6</v>
      </c>
      <c r="AT91" t="b">
        <v>0</v>
      </c>
      <c r="AU91" t="b">
        <v>1</v>
      </c>
      <c r="BA91" t="str">
        <f t="shared" si="2"/>
        <v>Normal</v>
      </c>
      <c r="BG91" t="str">
        <f t="shared" si="3"/>
        <v>Normal</v>
      </c>
    </row>
    <row r="92" spans="1:59" x14ac:dyDescent="0.2">
      <c r="A92" t="s">
        <v>42</v>
      </c>
      <c r="B92" t="s">
        <v>43</v>
      </c>
      <c r="C92">
        <v>20190101</v>
      </c>
      <c r="D92">
        <v>2019</v>
      </c>
      <c r="E92">
        <v>52</v>
      </c>
      <c r="F92" t="s">
        <v>44</v>
      </c>
      <c r="G92">
        <v>757</v>
      </c>
      <c r="H92" t="s">
        <v>246</v>
      </c>
      <c r="I92" t="s">
        <v>247</v>
      </c>
      <c r="J92" t="s">
        <v>47</v>
      </c>
      <c r="K92" t="s">
        <v>48</v>
      </c>
      <c r="L92">
        <v>0</v>
      </c>
      <c r="M92" t="s">
        <v>49</v>
      </c>
      <c r="N92" t="s">
        <v>50</v>
      </c>
      <c r="O92">
        <v>0</v>
      </c>
      <c r="P92" t="s">
        <v>49</v>
      </c>
      <c r="Q92" t="s">
        <v>50</v>
      </c>
      <c r="R92" t="s">
        <v>51</v>
      </c>
      <c r="S92" t="s">
        <v>52</v>
      </c>
      <c r="T92" t="b">
        <v>1</v>
      </c>
      <c r="U92" t="s">
        <v>53</v>
      </c>
      <c r="V92" t="s">
        <v>54</v>
      </c>
      <c r="W92">
        <v>4</v>
      </c>
      <c r="X92" t="b">
        <v>0</v>
      </c>
      <c r="Y92" t="s">
        <v>55</v>
      </c>
      <c r="Z92" t="s">
        <v>56</v>
      </c>
      <c r="AA92" t="s">
        <v>57</v>
      </c>
      <c r="AB92">
        <v>0</v>
      </c>
      <c r="AC92" t="s">
        <v>58</v>
      </c>
      <c r="AD92">
        <v>8</v>
      </c>
      <c r="AE92" t="s">
        <v>59</v>
      </c>
      <c r="AF92">
        <v>453</v>
      </c>
      <c r="AG92" t="b">
        <v>0</v>
      </c>
      <c r="AH92">
        <v>7</v>
      </c>
      <c r="AI92" t="s">
        <v>67</v>
      </c>
      <c r="AJ92">
        <v>468</v>
      </c>
      <c r="AK92" t="b">
        <v>0</v>
      </c>
      <c r="AL92">
        <v>453</v>
      </c>
      <c r="AM92" t="b">
        <v>0</v>
      </c>
      <c r="AN92">
        <v>0</v>
      </c>
      <c r="AO92" t="b">
        <v>0</v>
      </c>
      <c r="AP92">
        <v>0</v>
      </c>
      <c r="AQ92">
        <v>3607.2979999999998</v>
      </c>
      <c r="AR92">
        <v>3607.2979999999998</v>
      </c>
      <c r="AS92">
        <v>0</v>
      </c>
      <c r="AT92" t="b">
        <v>0</v>
      </c>
      <c r="AU92" t="b">
        <v>1</v>
      </c>
      <c r="BA92" t="str">
        <f t="shared" si="2"/>
        <v>Normal</v>
      </c>
      <c r="BG92" t="str">
        <f t="shared" si="3"/>
        <v>Normal</v>
      </c>
    </row>
    <row r="93" spans="1:59" x14ac:dyDescent="0.2">
      <c r="A93" t="s">
        <v>42</v>
      </c>
      <c r="B93" t="s">
        <v>43</v>
      </c>
      <c r="C93">
        <v>20190101</v>
      </c>
      <c r="D93">
        <v>2019</v>
      </c>
      <c r="E93">
        <v>52</v>
      </c>
      <c r="F93" t="s">
        <v>44</v>
      </c>
      <c r="G93">
        <v>764</v>
      </c>
      <c r="H93" t="s">
        <v>248</v>
      </c>
      <c r="I93" t="s">
        <v>249</v>
      </c>
      <c r="J93" t="s">
        <v>47</v>
      </c>
      <c r="K93" t="s">
        <v>48</v>
      </c>
      <c r="L93">
        <v>0</v>
      </c>
      <c r="M93" t="s">
        <v>49</v>
      </c>
      <c r="N93" t="s">
        <v>50</v>
      </c>
      <c r="O93">
        <v>0</v>
      </c>
      <c r="P93" t="s">
        <v>49</v>
      </c>
      <c r="Q93" t="s">
        <v>50</v>
      </c>
      <c r="R93" t="s">
        <v>51</v>
      </c>
      <c r="S93" t="s">
        <v>52</v>
      </c>
      <c r="T93" t="b">
        <v>1</v>
      </c>
      <c r="U93" t="s">
        <v>53</v>
      </c>
      <c r="V93" t="s">
        <v>54</v>
      </c>
      <c r="W93">
        <v>4</v>
      </c>
      <c r="X93" t="b">
        <v>0</v>
      </c>
      <c r="Y93" t="s">
        <v>55</v>
      </c>
      <c r="Z93" t="s">
        <v>56</v>
      </c>
      <c r="AA93" t="s">
        <v>57</v>
      </c>
      <c r="AB93">
        <v>0</v>
      </c>
      <c r="AC93" t="s">
        <v>58</v>
      </c>
      <c r="AD93">
        <v>8</v>
      </c>
      <c r="AE93" t="s">
        <v>59</v>
      </c>
      <c r="AF93">
        <v>1397479883</v>
      </c>
      <c r="AG93" t="b">
        <v>0</v>
      </c>
      <c r="AH93">
        <v>7</v>
      </c>
      <c r="AI93" t="s">
        <v>67</v>
      </c>
      <c r="AJ93">
        <v>1625124264</v>
      </c>
      <c r="AK93" t="b">
        <v>0</v>
      </c>
      <c r="AL93">
        <v>1397479883</v>
      </c>
      <c r="AM93" t="b">
        <v>0</v>
      </c>
      <c r="AN93">
        <v>0</v>
      </c>
      <c r="AO93" t="b">
        <v>0</v>
      </c>
      <c r="AQ93">
        <v>659258735.05299997</v>
      </c>
      <c r="AR93">
        <v>659258735.05299997</v>
      </c>
      <c r="AS93">
        <v>0</v>
      </c>
      <c r="AT93" t="b">
        <v>0</v>
      </c>
      <c r="AU93" t="b">
        <v>1</v>
      </c>
      <c r="BA93" t="str">
        <f t="shared" si="2"/>
        <v>Normal</v>
      </c>
      <c r="BG93" t="str">
        <f t="shared" si="3"/>
        <v>Normal</v>
      </c>
    </row>
    <row r="94" spans="1:59" x14ac:dyDescent="0.2">
      <c r="A94" t="s">
        <v>42</v>
      </c>
      <c r="B94" t="s">
        <v>43</v>
      </c>
      <c r="C94">
        <v>20190101</v>
      </c>
      <c r="D94">
        <v>2019</v>
      </c>
      <c r="E94">
        <v>52</v>
      </c>
      <c r="F94" t="s">
        <v>44</v>
      </c>
      <c r="G94">
        <v>776</v>
      </c>
      <c r="H94" t="s">
        <v>250</v>
      </c>
      <c r="I94" t="s">
        <v>251</v>
      </c>
      <c r="J94" t="s">
        <v>47</v>
      </c>
      <c r="K94" t="s">
        <v>48</v>
      </c>
      <c r="L94">
        <v>0</v>
      </c>
      <c r="M94" t="s">
        <v>49</v>
      </c>
      <c r="N94" t="s">
        <v>50</v>
      </c>
      <c r="O94">
        <v>0</v>
      </c>
      <c r="P94" t="s">
        <v>49</v>
      </c>
      <c r="Q94" t="s">
        <v>50</v>
      </c>
      <c r="R94" t="s">
        <v>51</v>
      </c>
      <c r="S94" t="s">
        <v>52</v>
      </c>
      <c r="T94" t="b">
        <v>1</v>
      </c>
      <c r="U94" t="s">
        <v>53</v>
      </c>
      <c r="V94" t="s">
        <v>54</v>
      </c>
      <c r="W94">
        <v>4</v>
      </c>
      <c r="X94" t="b">
        <v>0</v>
      </c>
      <c r="Y94" t="s">
        <v>55</v>
      </c>
      <c r="Z94" t="s">
        <v>56</v>
      </c>
      <c r="AA94" t="s">
        <v>57</v>
      </c>
      <c r="AB94">
        <v>0</v>
      </c>
      <c r="AC94" t="s">
        <v>58</v>
      </c>
      <c r="AD94">
        <v>8</v>
      </c>
      <c r="AE94" t="s">
        <v>59</v>
      </c>
      <c r="AF94">
        <v>5.8</v>
      </c>
      <c r="AG94" t="b">
        <v>0</v>
      </c>
      <c r="AH94">
        <v>7</v>
      </c>
      <c r="AI94" t="s">
        <v>67</v>
      </c>
      <c r="AJ94">
        <v>5.8</v>
      </c>
      <c r="AK94" t="b">
        <v>0</v>
      </c>
      <c r="AL94">
        <v>5.8</v>
      </c>
      <c r="AM94" t="b">
        <v>0</v>
      </c>
      <c r="AN94">
        <v>0</v>
      </c>
      <c r="AO94" t="b">
        <v>0</v>
      </c>
      <c r="AQ94">
        <v>11.135999999999999</v>
      </c>
      <c r="AR94">
        <v>11.135999999999999</v>
      </c>
      <c r="AS94">
        <v>0</v>
      </c>
      <c r="AT94" t="b">
        <v>0</v>
      </c>
      <c r="AU94" t="b">
        <v>1</v>
      </c>
      <c r="BA94" t="str">
        <f t="shared" si="2"/>
        <v>Normal</v>
      </c>
      <c r="BG94" t="str">
        <f t="shared" si="3"/>
        <v>Normal</v>
      </c>
    </row>
    <row r="95" spans="1:59" x14ac:dyDescent="0.2">
      <c r="A95" t="s">
        <v>42</v>
      </c>
      <c r="B95" t="s">
        <v>43</v>
      </c>
      <c r="C95">
        <v>20190101</v>
      </c>
      <c r="D95">
        <v>2019</v>
      </c>
      <c r="E95">
        <v>52</v>
      </c>
      <c r="F95" t="s">
        <v>44</v>
      </c>
      <c r="G95">
        <v>780</v>
      </c>
      <c r="H95" t="s">
        <v>252</v>
      </c>
      <c r="I95" t="s">
        <v>253</v>
      </c>
      <c r="J95" t="s">
        <v>47</v>
      </c>
      <c r="K95" t="s">
        <v>48</v>
      </c>
      <c r="L95">
        <v>0</v>
      </c>
      <c r="M95" t="s">
        <v>49</v>
      </c>
      <c r="N95" t="s">
        <v>50</v>
      </c>
      <c r="O95">
        <v>0</v>
      </c>
      <c r="P95" t="s">
        <v>49</v>
      </c>
      <c r="Q95" t="s">
        <v>50</v>
      </c>
      <c r="R95" t="s">
        <v>104</v>
      </c>
      <c r="S95" t="s">
        <v>52</v>
      </c>
      <c r="T95" t="b">
        <v>1</v>
      </c>
      <c r="U95" t="s">
        <v>53</v>
      </c>
      <c r="V95" t="s">
        <v>54</v>
      </c>
      <c r="W95">
        <v>4</v>
      </c>
      <c r="X95" t="b">
        <v>0</v>
      </c>
      <c r="Y95" t="s">
        <v>55</v>
      </c>
      <c r="Z95" t="s">
        <v>56</v>
      </c>
      <c r="AA95" t="s">
        <v>57</v>
      </c>
      <c r="AB95">
        <v>0</v>
      </c>
      <c r="AC95" t="s">
        <v>58</v>
      </c>
      <c r="AD95">
        <v>-1</v>
      </c>
      <c r="AE95" t="s">
        <v>73</v>
      </c>
      <c r="AF95">
        <v>0</v>
      </c>
      <c r="AG95" t="b">
        <v>0</v>
      </c>
      <c r="AH95">
        <v>-1</v>
      </c>
      <c r="AI95" t="s">
        <v>73</v>
      </c>
      <c r="AJ95">
        <v>0</v>
      </c>
      <c r="AK95" t="b">
        <v>0</v>
      </c>
      <c r="AL95">
        <v>0</v>
      </c>
      <c r="AM95" t="b">
        <v>0</v>
      </c>
      <c r="AN95">
        <v>0</v>
      </c>
      <c r="AO95" t="b">
        <v>0</v>
      </c>
      <c r="AP95">
        <v>0</v>
      </c>
      <c r="AQ95">
        <v>1114808226.1129999</v>
      </c>
      <c r="AR95">
        <v>1114808226.1129999</v>
      </c>
      <c r="AS95">
        <v>0</v>
      </c>
      <c r="AT95" t="b">
        <v>0</v>
      </c>
      <c r="AU95" t="b">
        <v>1</v>
      </c>
      <c r="BA95" t="str">
        <f t="shared" si="2"/>
        <v>Normal</v>
      </c>
      <c r="BG95" t="str">
        <f t="shared" si="3"/>
        <v>Normal</v>
      </c>
    </row>
    <row r="96" spans="1:59" x14ac:dyDescent="0.2">
      <c r="A96" t="s">
        <v>42</v>
      </c>
      <c r="B96" t="s">
        <v>43</v>
      </c>
      <c r="C96">
        <v>20190101</v>
      </c>
      <c r="D96">
        <v>2019</v>
      </c>
      <c r="E96">
        <v>52</v>
      </c>
      <c r="F96" t="s">
        <v>44</v>
      </c>
      <c r="G96">
        <v>784</v>
      </c>
      <c r="H96" t="s">
        <v>254</v>
      </c>
      <c r="I96" t="s">
        <v>255</v>
      </c>
      <c r="J96" t="s">
        <v>47</v>
      </c>
      <c r="K96" t="s">
        <v>48</v>
      </c>
      <c r="L96">
        <v>0</v>
      </c>
      <c r="M96" t="s">
        <v>49</v>
      </c>
      <c r="N96" t="s">
        <v>50</v>
      </c>
      <c r="O96">
        <v>0</v>
      </c>
      <c r="P96" t="s">
        <v>49</v>
      </c>
      <c r="Q96" t="s">
        <v>50</v>
      </c>
      <c r="R96" t="s">
        <v>51</v>
      </c>
      <c r="S96" t="s">
        <v>52</v>
      </c>
      <c r="T96" t="b">
        <v>1</v>
      </c>
      <c r="U96" t="s">
        <v>53</v>
      </c>
      <c r="V96" t="s">
        <v>54</v>
      </c>
      <c r="W96">
        <v>4</v>
      </c>
      <c r="X96" t="b">
        <v>0</v>
      </c>
      <c r="Y96" t="s">
        <v>55</v>
      </c>
      <c r="Z96" t="s">
        <v>56</v>
      </c>
      <c r="AA96" t="s">
        <v>57</v>
      </c>
      <c r="AB96">
        <v>0</v>
      </c>
      <c r="AC96" t="s">
        <v>58</v>
      </c>
      <c r="AD96">
        <v>8</v>
      </c>
      <c r="AE96" t="s">
        <v>59</v>
      </c>
      <c r="AF96">
        <v>271730227836.42999</v>
      </c>
      <c r="AG96" t="b">
        <v>1</v>
      </c>
      <c r="AH96">
        <v>-1</v>
      </c>
      <c r="AI96" t="s">
        <v>73</v>
      </c>
      <c r="AJ96">
        <v>0</v>
      </c>
      <c r="AK96" t="b">
        <v>0</v>
      </c>
      <c r="AL96">
        <v>271730227836.42999</v>
      </c>
      <c r="AM96" t="b">
        <v>1</v>
      </c>
      <c r="AN96">
        <v>0</v>
      </c>
      <c r="AO96" t="b">
        <v>0</v>
      </c>
      <c r="AP96">
        <v>0</v>
      </c>
      <c r="AQ96">
        <v>127284293029.92999</v>
      </c>
      <c r="AR96">
        <v>127284293029.92999</v>
      </c>
      <c r="AS96">
        <v>6</v>
      </c>
      <c r="AT96" t="b">
        <v>0</v>
      </c>
      <c r="AU96" t="b">
        <v>1</v>
      </c>
      <c r="BA96" t="str">
        <f t="shared" si="2"/>
        <v>Normal</v>
      </c>
      <c r="BG96" t="str">
        <f t="shared" si="3"/>
        <v>Normal</v>
      </c>
    </row>
    <row r="97" spans="1:59" x14ac:dyDescent="0.2">
      <c r="A97" t="s">
        <v>42</v>
      </c>
      <c r="B97" t="s">
        <v>43</v>
      </c>
      <c r="C97">
        <v>20190101</v>
      </c>
      <c r="D97">
        <v>2019</v>
      </c>
      <c r="E97">
        <v>52</v>
      </c>
      <c r="F97" t="s">
        <v>44</v>
      </c>
      <c r="G97">
        <v>788</v>
      </c>
      <c r="H97" t="s">
        <v>256</v>
      </c>
      <c r="I97" t="s">
        <v>257</v>
      </c>
      <c r="J97" t="s">
        <v>47</v>
      </c>
      <c r="K97" t="s">
        <v>48</v>
      </c>
      <c r="L97">
        <v>0</v>
      </c>
      <c r="M97" t="s">
        <v>49</v>
      </c>
      <c r="N97" t="s">
        <v>50</v>
      </c>
      <c r="O97">
        <v>0</v>
      </c>
      <c r="P97" t="s">
        <v>49</v>
      </c>
      <c r="Q97" t="s">
        <v>50</v>
      </c>
      <c r="R97" t="s">
        <v>51</v>
      </c>
      <c r="S97" t="s">
        <v>52</v>
      </c>
      <c r="T97" t="b">
        <v>1</v>
      </c>
      <c r="U97" t="s">
        <v>53</v>
      </c>
      <c r="V97" t="s">
        <v>54</v>
      </c>
      <c r="W97">
        <v>4</v>
      </c>
      <c r="X97" t="b">
        <v>0</v>
      </c>
      <c r="Y97" t="s">
        <v>55</v>
      </c>
      <c r="Z97" t="s">
        <v>56</v>
      </c>
      <c r="AA97" t="s">
        <v>57</v>
      </c>
      <c r="AB97">
        <v>0</v>
      </c>
      <c r="AC97" t="s">
        <v>58</v>
      </c>
      <c r="AD97">
        <v>8</v>
      </c>
      <c r="AE97" t="s">
        <v>59</v>
      </c>
      <c r="AF97">
        <v>1238026900</v>
      </c>
      <c r="AG97" t="b">
        <v>0</v>
      </c>
      <c r="AH97">
        <v>8</v>
      </c>
      <c r="AI97" t="s">
        <v>59</v>
      </c>
      <c r="AJ97">
        <v>1238026900</v>
      </c>
      <c r="AK97" t="b">
        <v>0</v>
      </c>
      <c r="AL97">
        <v>1238026900</v>
      </c>
      <c r="AM97" t="b">
        <v>0</v>
      </c>
      <c r="AN97">
        <v>0</v>
      </c>
      <c r="AO97" t="b">
        <v>0</v>
      </c>
      <c r="AQ97">
        <v>614836812.35599995</v>
      </c>
      <c r="AR97">
        <v>614836812.35599995</v>
      </c>
      <c r="AS97">
        <v>0</v>
      </c>
      <c r="AT97" t="b">
        <v>0</v>
      </c>
      <c r="AU97" t="b">
        <v>1</v>
      </c>
      <c r="BA97" t="str">
        <f t="shared" si="2"/>
        <v>Normal</v>
      </c>
      <c r="BG97" t="str">
        <f t="shared" si="3"/>
        <v>Normal</v>
      </c>
    </row>
    <row r="98" spans="1:59" x14ac:dyDescent="0.2">
      <c r="A98" t="s">
        <v>42</v>
      </c>
      <c r="B98" t="s">
        <v>43</v>
      </c>
      <c r="C98">
        <v>20190101</v>
      </c>
      <c r="D98">
        <v>2019</v>
      </c>
      <c r="E98">
        <v>52</v>
      </c>
      <c r="F98" t="s">
        <v>44</v>
      </c>
      <c r="G98">
        <v>800</v>
      </c>
      <c r="H98" t="s">
        <v>258</v>
      </c>
      <c r="I98" t="s">
        <v>259</v>
      </c>
      <c r="J98" t="s">
        <v>47</v>
      </c>
      <c r="K98" t="s">
        <v>48</v>
      </c>
      <c r="L98">
        <v>0</v>
      </c>
      <c r="M98" t="s">
        <v>49</v>
      </c>
      <c r="N98" t="s">
        <v>50</v>
      </c>
      <c r="O98">
        <v>0</v>
      </c>
      <c r="P98" t="s">
        <v>49</v>
      </c>
      <c r="Q98" t="s">
        <v>50</v>
      </c>
      <c r="R98" t="s">
        <v>51</v>
      </c>
      <c r="S98" t="s">
        <v>52</v>
      </c>
      <c r="T98" t="b">
        <v>1</v>
      </c>
      <c r="U98" t="s">
        <v>53</v>
      </c>
      <c r="V98" t="s">
        <v>54</v>
      </c>
      <c r="W98">
        <v>4</v>
      </c>
      <c r="X98" t="b">
        <v>0</v>
      </c>
      <c r="Y98" t="s">
        <v>55</v>
      </c>
      <c r="Z98" t="s">
        <v>56</v>
      </c>
      <c r="AA98" t="s">
        <v>57</v>
      </c>
      <c r="AB98">
        <v>0</v>
      </c>
      <c r="AC98" t="s">
        <v>58</v>
      </c>
      <c r="AD98">
        <v>8</v>
      </c>
      <c r="AE98" t="s">
        <v>59</v>
      </c>
      <c r="AF98">
        <v>23028</v>
      </c>
      <c r="AG98" t="b">
        <v>0</v>
      </c>
      <c r="AH98">
        <v>8</v>
      </c>
      <c r="AI98" t="s">
        <v>59</v>
      </c>
      <c r="AJ98">
        <v>23028</v>
      </c>
      <c r="AK98" t="b">
        <v>0</v>
      </c>
      <c r="AL98">
        <v>23028</v>
      </c>
      <c r="AM98" t="b">
        <v>0</v>
      </c>
      <c r="AN98">
        <v>0</v>
      </c>
      <c r="AO98" t="b">
        <v>0</v>
      </c>
      <c r="AP98">
        <v>0</v>
      </c>
      <c r="AQ98">
        <v>30335.87</v>
      </c>
      <c r="AR98">
        <v>30335.87</v>
      </c>
      <c r="AS98">
        <v>0</v>
      </c>
      <c r="AT98" t="b">
        <v>0</v>
      </c>
      <c r="AU98" t="b">
        <v>1</v>
      </c>
      <c r="BA98" t="str">
        <f t="shared" si="2"/>
        <v>Normal</v>
      </c>
      <c r="BG98" t="str">
        <f t="shared" si="3"/>
        <v>Normal</v>
      </c>
    </row>
    <row r="99" spans="1:59" x14ac:dyDescent="0.2">
      <c r="A99" t="s">
        <v>42</v>
      </c>
      <c r="B99" t="s">
        <v>43</v>
      </c>
      <c r="C99">
        <v>20190101</v>
      </c>
      <c r="D99">
        <v>2019</v>
      </c>
      <c r="E99">
        <v>52</v>
      </c>
      <c r="F99" t="s">
        <v>44</v>
      </c>
      <c r="G99">
        <v>804</v>
      </c>
      <c r="H99" t="s">
        <v>260</v>
      </c>
      <c r="I99" t="s">
        <v>261</v>
      </c>
      <c r="J99" t="s">
        <v>47</v>
      </c>
      <c r="K99" t="s">
        <v>48</v>
      </c>
      <c r="L99">
        <v>0</v>
      </c>
      <c r="M99" t="s">
        <v>49</v>
      </c>
      <c r="N99" t="s">
        <v>50</v>
      </c>
      <c r="O99">
        <v>0</v>
      </c>
      <c r="P99" t="s">
        <v>49</v>
      </c>
      <c r="Q99" t="s">
        <v>50</v>
      </c>
      <c r="R99" t="s">
        <v>104</v>
      </c>
      <c r="S99" t="s">
        <v>52</v>
      </c>
      <c r="T99" t="b">
        <v>1</v>
      </c>
      <c r="U99" t="s">
        <v>53</v>
      </c>
      <c r="V99" t="s">
        <v>54</v>
      </c>
      <c r="W99">
        <v>4</v>
      </c>
      <c r="X99" t="b">
        <v>0</v>
      </c>
      <c r="Y99" t="s">
        <v>55</v>
      </c>
      <c r="Z99" t="s">
        <v>56</v>
      </c>
      <c r="AA99" t="s">
        <v>57</v>
      </c>
      <c r="AB99">
        <v>0</v>
      </c>
      <c r="AC99" t="s">
        <v>58</v>
      </c>
      <c r="AD99">
        <v>8</v>
      </c>
      <c r="AE99" t="s">
        <v>59</v>
      </c>
      <c r="AF99">
        <v>103262.5</v>
      </c>
      <c r="AG99" t="b">
        <v>0</v>
      </c>
      <c r="AH99">
        <v>8</v>
      </c>
      <c r="AI99" t="s">
        <v>59</v>
      </c>
      <c r="AJ99">
        <v>103262.5</v>
      </c>
      <c r="AK99" t="b">
        <v>0</v>
      </c>
      <c r="AL99">
        <v>103262.5</v>
      </c>
      <c r="AM99" t="b">
        <v>0</v>
      </c>
      <c r="AN99">
        <v>0</v>
      </c>
      <c r="AO99" t="b">
        <v>0</v>
      </c>
      <c r="AP99">
        <v>0</v>
      </c>
      <c r="AQ99">
        <v>51143.7</v>
      </c>
      <c r="AR99">
        <v>51143.7</v>
      </c>
      <c r="AS99">
        <v>0</v>
      </c>
      <c r="AT99" t="b">
        <v>0</v>
      </c>
      <c r="AU99" t="b">
        <v>1</v>
      </c>
      <c r="BA99" t="str">
        <f t="shared" si="2"/>
        <v>Normal</v>
      </c>
      <c r="BG99" t="str">
        <f t="shared" si="3"/>
        <v>Normal</v>
      </c>
    </row>
    <row r="100" spans="1:59" x14ac:dyDescent="0.2">
      <c r="A100" t="s">
        <v>42</v>
      </c>
      <c r="B100" t="s">
        <v>43</v>
      </c>
      <c r="C100">
        <v>20190101</v>
      </c>
      <c r="D100">
        <v>2019</v>
      </c>
      <c r="E100">
        <v>52</v>
      </c>
      <c r="F100" t="s">
        <v>44</v>
      </c>
      <c r="G100">
        <v>818</v>
      </c>
      <c r="H100" t="s">
        <v>262</v>
      </c>
      <c r="I100" t="s">
        <v>263</v>
      </c>
      <c r="J100" t="s">
        <v>47</v>
      </c>
      <c r="K100" t="s">
        <v>48</v>
      </c>
      <c r="L100">
        <v>0</v>
      </c>
      <c r="M100" t="s">
        <v>49</v>
      </c>
      <c r="N100" t="s">
        <v>50</v>
      </c>
      <c r="O100">
        <v>0</v>
      </c>
      <c r="P100" t="s">
        <v>49</v>
      </c>
      <c r="Q100" t="s">
        <v>50</v>
      </c>
      <c r="R100" t="s">
        <v>104</v>
      </c>
      <c r="S100" t="s">
        <v>52</v>
      </c>
      <c r="T100" t="b">
        <v>1</v>
      </c>
      <c r="U100" t="s">
        <v>53</v>
      </c>
      <c r="V100" t="s">
        <v>54</v>
      </c>
      <c r="W100">
        <v>4</v>
      </c>
      <c r="X100" t="b">
        <v>0</v>
      </c>
      <c r="Y100" t="s">
        <v>55</v>
      </c>
      <c r="Z100" t="s">
        <v>56</v>
      </c>
      <c r="AA100" t="s">
        <v>57</v>
      </c>
      <c r="AB100">
        <v>0</v>
      </c>
      <c r="AC100" t="s">
        <v>58</v>
      </c>
      <c r="AD100">
        <v>8</v>
      </c>
      <c r="AE100" t="s">
        <v>59</v>
      </c>
      <c r="AF100">
        <v>4091666608.427</v>
      </c>
      <c r="AG100" t="b">
        <v>1</v>
      </c>
      <c r="AH100">
        <v>-1</v>
      </c>
      <c r="AI100" t="s">
        <v>73</v>
      </c>
      <c r="AJ100">
        <v>0</v>
      </c>
      <c r="AK100" t="b">
        <v>0</v>
      </c>
      <c r="AL100">
        <v>4091666608.427</v>
      </c>
      <c r="AM100" t="b">
        <v>1</v>
      </c>
      <c r="AN100">
        <v>0</v>
      </c>
      <c r="AO100" t="b">
        <v>0</v>
      </c>
      <c r="AQ100">
        <v>1916595894.2709999</v>
      </c>
      <c r="AR100">
        <v>1916595894.2709999</v>
      </c>
      <c r="AS100">
        <v>6</v>
      </c>
      <c r="AT100" t="b">
        <v>0</v>
      </c>
      <c r="AU100" t="b">
        <v>1</v>
      </c>
      <c r="BA100" t="str">
        <f t="shared" si="2"/>
        <v>Normal</v>
      </c>
      <c r="BG100" t="str">
        <f t="shared" si="3"/>
        <v>Normal</v>
      </c>
    </row>
    <row r="101" spans="1:59" x14ac:dyDescent="0.2">
      <c r="A101" t="s">
        <v>42</v>
      </c>
      <c r="B101" t="s">
        <v>43</v>
      </c>
      <c r="C101">
        <v>20190101</v>
      </c>
      <c r="D101">
        <v>2019</v>
      </c>
      <c r="E101">
        <v>52</v>
      </c>
      <c r="F101" t="s">
        <v>44</v>
      </c>
      <c r="G101">
        <v>826</v>
      </c>
      <c r="H101" t="s">
        <v>264</v>
      </c>
      <c r="I101" t="s">
        <v>265</v>
      </c>
      <c r="J101" t="s">
        <v>47</v>
      </c>
      <c r="K101" t="s">
        <v>48</v>
      </c>
      <c r="L101">
        <v>0</v>
      </c>
      <c r="M101" t="s">
        <v>49</v>
      </c>
      <c r="N101" t="s">
        <v>50</v>
      </c>
      <c r="O101">
        <v>0</v>
      </c>
      <c r="P101" t="s">
        <v>49</v>
      </c>
      <c r="Q101" t="s">
        <v>50</v>
      </c>
      <c r="R101" t="s">
        <v>51</v>
      </c>
      <c r="S101" t="s">
        <v>52</v>
      </c>
      <c r="T101" t="b">
        <v>1</v>
      </c>
      <c r="U101" t="s">
        <v>53</v>
      </c>
      <c r="V101" t="s">
        <v>54</v>
      </c>
      <c r="W101">
        <v>4</v>
      </c>
      <c r="X101" t="b">
        <v>0</v>
      </c>
      <c r="Y101" t="s">
        <v>55</v>
      </c>
      <c r="Z101" t="s">
        <v>56</v>
      </c>
      <c r="AA101" t="s">
        <v>57</v>
      </c>
      <c r="AB101">
        <v>0</v>
      </c>
      <c r="AC101" t="s">
        <v>58</v>
      </c>
      <c r="AD101">
        <v>-1</v>
      </c>
      <c r="AE101" t="s">
        <v>73</v>
      </c>
      <c r="AF101">
        <v>0</v>
      </c>
      <c r="AG101" t="b">
        <v>1</v>
      </c>
      <c r="AH101">
        <v>-1</v>
      </c>
      <c r="AI101" t="s">
        <v>73</v>
      </c>
      <c r="AJ101">
        <v>0</v>
      </c>
      <c r="AK101" t="b">
        <v>0</v>
      </c>
      <c r="AM101" t="b">
        <v>1</v>
      </c>
      <c r="AN101">
        <v>0</v>
      </c>
      <c r="AO101" t="b">
        <v>0</v>
      </c>
      <c r="AQ101">
        <v>23679681360.439999</v>
      </c>
      <c r="AR101">
        <v>23679681360.439999</v>
      </c>
      <c r="AS101">
        <v>6</v>
      </c>
      <c r="AT101" t="b">
        <v>0</v>
      </c>
      <c r="AU101" t="b">
        <v>1</v>
      </c>
      <c r="BA101" t="str">
        <f t="shared" si="2"/>
        <v>Normal</v>
      </c>
      <c r="BG101" t="str">
        <f t="shared" si="3"/>
        <v>Normal</v>
      </c>
    </row>
    <row r="102" spans="1:59" x14ac:dyDescent="0.2">
      <c r="A102" t="s">
        <v>42</v>
      </c>
      <c r="B102" t="s">
        <v>43</v>
      </c>
      <c r="C102">
        <v>20190101</v>
      </c>
      <c r="D102">
        <v>2019</v>
      </c>
      <c r="E102">
        <v>52</v>
      </c>
      <c r="F102" t="s">
        <v>44</v>
      </c>
      <c r="G102">
        <v>834</v>
      </c>
      <c r="H102" t="s">
        <v>266</v>
      </c>
      <c r="I102" t="s">
        <v>267</v>
      </c>
      <c r="J102" t="s">
        <v>47</v>
      </c>
      <c r="K102" t="s">
        <v>48</v>
      </c>
      <c r="L102">
        <v>0</v>
      </c>
      <c r="M102" t="s">
        <v>49</v>
      </c>
      <c r="N102" t="s">
        <v>50</v>
      </c>
      <c r="O102">
        <v>0</v>
      </c>
      <c r="P102" t="s">
        <v>49</v>
      </c>
      <c r="Q102" t="s">
        <v>50</v>
      </c>
      <c r="R102" t="s">
        <v>51</v>
      </c>
      <c r="S102" t="s">
        <v>52</v>
      </c>
      <c r="T102" t="b">
        <v>1</v>
      </c>
      <c r="U102" t="s">
        <v>53</v>
      </c>
      <c r="V102" t="s">
        <v>54</v>
      </c>
      <c r="W102">
        <v>4</v>
      </c>
      <c r="X102" t="b">
        <v>0</v>
      </c>
      <c r="Y102" t="s">
        <v>55</v>
      </c>
      <c r="Z102" t="s">
        <v>56</v>
      </c>
      <c r="AA102" t="s">
        <v>57</v>
      </c>
      <c r="AB102">
        <v>0</v>
      </c>
      <c r="AC102" t="s">
        <v>58</v>
      </c>
      <c r="AD102">
        <v>8</v>
      </c>
      <c r="AE102" t="s">
        <v>59</v>
      </c>
      <c r="AF102">
        <v>6530534</v>
      </c>
      <c r="AG102" t="b">
        <v>0</v>
      </c>
      <c r="AH102">
        <v>8</v>
      </c>
      <c r="AI102" t="s">
        <v>59</v>
      </c>
      <c r="AJ102">
        <v>6530534</v>
      </c>
      <c r="AK102" t="b">
        <v>0</v>
      </c>
      <c r="AL102">
        <v>6530534</v>
      </c>
      <c r="AM102" t="b">
        <v>0</v>
      </c>
      <c r="AN102">
        <v>0</v>
      </c>
      <c r="AO102" t="b">
        <v>0</v>
      </c>
      <c r="AP102">
        <v>0</v>
      </c>
      <c r="AQ102">
        <v>971652.25</v>
      </c>
      <c r="AR102">
        <v>971652.25</v>
      </c>
      <c r="AS102">
        <v>0</v>
      </c>
      <c r="AT102" t="b">
        <v>0</v>
      </c>
      <c r="AU102" t="b">
        <v>1</v>
      </c>
      <c r="BA102" t="str">
        <f t="shared" si="2"/>
        <v>Normal</v>
      </c>
      <c r="BG102" t="str">
        <f t="shared" si="3"/>
        <v>Normal</v>
      </c>
    </row>
    <row r="103" spans="1:59" x14ac:dyDescent="0.2">
      <c r="A103" t="s">
        <v>42</v>
      </c>
      <c r="B103" t="s">
        <v>43</v>
      </c>
      <c r="C103">
        <v>20190101</v>
      </c>
      <c r="D103">
        <v>2019</v>
      </c>
      <c r="E103">
        <v>52</v>
      </c>
      <c r="F103" t="s">
        <v>44</v>
      </c>
      <c r="G103">
        <v>842</v>
      </c>
      <c r="H103" t="s">
        <v>268</v>
      </c>
      <c r="I103" t="s">
        <v>268</v>
      </c>
      <c r="J103" t="s">
        <v>47</v>
      </c>
      <c r="K103" t="s">
        <v>48</v>
      </c>
      <c r="L103">
        <v>0</v>
      </c>
      <c r="M103" t="s">
        <v>49</v>
      </c>
      <c r="N103" t="s">
        <v>50</v>
      </c>
      <c r="O103">
        <v>0</v>
      </c>
      <c r="P103" t="s">
        <v>49</v>
      </c>
      <c r="Q103" t="s">
        <v>50</v>
      </c>
      <c r="R103" t="s">
        <v>51</v>
      </c>
      <c r="S103" t="s">
        <v>52</v>
      </c>
      <c r="T103" t="b">
        <v>1</v>
      </c>
      <c r="U103" t="s">
        <v>53</v>
      </c>
      <c r="V103" t="s">
        <v>54</v>
      </c>
      <c r="W103">
        <v>4</v>
      </c>
      <c r="X103" t="b">
        <v>0</v>
      </c>
      <c r="Y103" t="s">
        <v>55</v>
      </c>
      <c r="Z103" t="s">
        <v>56</v>
      </c>
      <c r="AA103" t="s">
        <v>57</v>
      </c>
      <c r="AB103">
        <v>0</v>
      </c>
      <c r="AC103" t="s">
        <v>58</v>
      </c>
      <c r="AD103">
        <v>8</v>
      </c>
      <c r="AE103" t="s">
        <v>59</v>
      </c>
      <c r="AF103">
        <v>139455959545.97501</v>
      </c>
      <c r="AG103" t="b">
        <v>1</v>
      </c>
      <c r="AH103">
        <v>-1</v>
      </c>
      <c r="AI103" t="s">
        <v>73</v>
      </c>
      <c r="AJ103">
        <v>0</v>
      </c>
      <c r="AK103" t="b">
        <v>0</v>
      </c>
      <c r="AL103">
        <v>139455959545.97501</v>
      </c>
      <c r="AM103" t="b">
        <v>1</v>
      </c>
      <c r="AN103">
        <v>0</v>
      </c>
      <c r="AO103" t="b">
        <v>0</v>
      </c>
      <c r="AP103">
        <v>0</v>
      </c>
      <c r="AQ103">
        <v>65323191031</v>
      </c>
      <c r="AR103">
        <v>65323191031</v>
      </c>
      <c r="AS103">
        <v>6</v>
      </c>
      <c r="AT103" t="b">
        <v>0</v>
      </c>
      <c r="AU103" t="b">
        <v>1</v>
      </c>
      <c r="BA103" t="str">
        <f t="shared" si="2"/>
        <v>Normal</v>
      </c>
      <c r="BG103" t="str">
        <f t="shared" si="3"/>
        <v>Normal</v>
      </c>
    </row>
    <row r="104" spans="1:59" x14ac:dyDescent="0.2">
      <c r="A104" t="s">
        <v>42</v>
      </c>
      <c r="B104" t="s">
        <v>43</v>
      </c>
      <c r="C104">
        <v>20190101</v>
      </c>
      <c r="D104">
        <v>2019</v>
      </c>
      <c r="E104">
        <v>52</v>
      </c>
      <c r="F104" t="s">
        <v>44</v>
      </c>
      <c r="G104">
        <v>882</v>
      </c>
      <c r="H104" t="s">
        <v>269</v>
      </c>
      <c r="I104" t="s">
        <v>270</v>
      </c>
      <c r="J104" t="s">
        <v>47</v>
      </c>
      <c r="K104" t="s">
        <v>48</v>
      </c>
      <c r="L104">
        <v>0</v>
      </c>
      <c r="M104" t="s">
        <v>49</v>
      </c>
      <c r="N104" t="s">
        <v>50</v>
      </c>
      <c r="O104">
        <v>0</v>
      </c>
      <c r="P104" t="s">
        <v>49</v>
      </c>
      <c r="Q104" t="s">
        <v>50</v>
      </c>
      <c r="R104" t="s">
        <v>104</v>
      </c>
      <c r="S104" t="s">
        <v>52</v>
      </c>
      <c r="T104" t="b">
        <v>1</v>
      </c>
      <c r="U104" t="s">
        <v>53</v>
      </c>
      <c r="V104" t="s">
        <v>54</v>
      </c>
      <c r="W104">
        <v>4</v>
      </c>
      <c r="X104" t="b">
        <v>0</v>
      </c>
      <c r="Y104" t="s">
        <v>55</v>
      </c>
      <c r="Z104" t="s">
        <v>56</v>
      </c>
      <c r="AA104" t="s">
        <v>57</v>
      </c>
      <c r="AB104">
        <v>0</v>
      </c>
      <c r="AC104" t="s">
        <v>58</v>
      </c>
      <c r="AD104">
        <v>8</v>
      </c>
      <c r="AE104" t="s">
        <v>59</v>
      </c>
      <c r="AF104">
        <v>72701</v>
      </c>
      <c r="AG104" t="b">
        <v>0</v>
      </c>
      <c r="AH104">
        <v>7</v>
      </c>
      <c r="AI104" t="s">
        <v>67</v>
      </c>
      <c r="AJ104">
        <v>72701</v>
      </c>
      <c r="AK104" t="b">
        <v>0</v>
      </c>
      <c r="AL104">
        <v>72701</v>
      </c>
      <c r="AM104" t="b">
        <v>0</v>
      </c>
      <c r="AN104">
        <v>0</v>
      </c>
      <c r="AO104" t="b">
        <v>0</v>
      </c>
      <c r="AQ104">
        <v>87458.27</v>
      </c>
      <c r="AR104">
        <v>87458.27</v>
      </c>
      <c r="AS104">
        <v>0</v>
      </c>
      <c r="AT104" t="b">
        <v>0</v>
      </c>
      <c r="AU104" t="b">
        <v>1</v>
      </c>
      <c r="BA104" t="str">
        <f t="shared" si="2"/>
        <v>Normal</v>
      </c>
      <c r="BG104" t="str">
        <f t="shared" si="3"/>
        <v>Normal</v>
      </c>
    </row>
    <row r="105" spans="1:59" x14ac:dyDescent="0.2">
      <c r="A105" t="s">
        <v>42</v>
      </c>
      <c r="B105" t="s">
        <v>43</v>
      </c>
      <c r="C105">
        <v>20200101</v>
      </c>
      <c r="D105">
        <v>2020</v>
      </c>
      <c r="E105">
        <v>52</v>
      </c>
      <c r="F105" t="s">
        <v>271</v>
      </c>
      <c r="G105">
        <v>24</v>
      </c>
      <c r="H105" t="s">
        <v>45</v>
      </c>
      <c r="I105" t="s">
        <v>46</v>
      </c>
      <c r="J105" t="s">
        <v>47</v>
      </c>
      <c r="K105" t="s">
        <v>48</v>
      </c>
      <c r="L105">
        <v>0</v>
      </c>
      <c r="M105" t="s">
        <v>49</v>
      </c>
      <c r="N105" t="s">
        <v>50</v>
      </c>
      <c r="O105">
        <v>0</v>
      </c>
      <c r="P105" t="s">
        <v>49</v>
      </c>
      <c r="Q105" t="s">
        <v>50</v>
      </c>
      <c r="R105" t="s">
        <v>51</v>
      </c>
      <c r="S105" t="s">
        <v>52</v>
      </c>
      <c r="T105" t="b">
        <v>1</v>
      </c>
      <c r="U105" t="s">
        <v>53</v>
      </c>
      <c r="V105" t="s">
        <v>54</v>
      </c>
      <c r="W105">
        <v>4</v>
      </c>
      <c r="X105" t="b">
        <v>0</v>
      </c>
      <c r="Y105" t="s">
        <v>55</v>
      </c>
      <c r="Z105" t="s">
        <v>56</v>
      </c>
      <c r="AA105" t="s">
        <v>57</v>
      </c>
      <c r="AB105">
        <v>0</v>
      </c>
      <c r="AC105" t="s">
        <v>58</v>
      </c>
      <c r="AD105">
        <v>8</v>
      </c>
      <c r="AE105" t="s">
        <v>59</v>
      </c>
      <c r="AF105">
        <v>70976644569</v>
      </c>
      <c r="AG105" t="b">
        <v>0</v>
      </c>
      <c r="AH105">
        <v>19</v>
      </c>
      <c r="AI105" t="s">
        <v>60</v>
      </c>
      <c r="AJ105">
        <v>446393991</v>
      </c>
      <c r="AK105" t="b">
        <v>0</v>
      </c>
      <c r="AL105">
        <v>70976644569</v>
      </c>
      <c r="AM105" t="b">
        <v>0</v>
      </c>
      <c r="AN105">
        <v>0</v>
      </c>
      <c r="AO105" t="b">
        <v>0</v>
      </c>
      <c r="AQ105">
        <v>18379869211.599998</v>
      </c>
      <c r="AR105">
        <v>18379869211.599998</v>
      </c>
      <c r="AS105">
        <v>0</v>
      </c>
      <c r="AT105" t="b">
        <v>0</v>
      </c>
      <c r="AU105" t="b">
        <v>1</v>
      </c>
      <c r="BA105" t="str">
        <f t="shared" si="2"/>
        <v>Normal</v>
      </c>
      <c r="BG105" t="str">
        <f t="shared" si="3"/>
        <v>Normal</v>
      </c>
    </row>
    <row r="106" spans="1:59" x14ac:dyDescent="0.2">
      <c r="A106" t="s">
        <v>42</v>
      </c>
      <c r="B106" t="s">
        <v>43</v>
      </c>
      <c r="C106">
        <v>20200101</v>
      </c>
      <c r="D106">
        <v>2020</v>
      </c>
      <c r="E106">
        <v>52</v>
      </c>
      <c r="F106" t="s">
        <v>271</v>
      </c>
      <c r="G106">
        <v>31</v>
      </c>
      <c r="H106" t="s">
        <v>61</v>
      </c>
      <c r="I106" t="s">
        <v>62</v>
      </c>
      <c r="J106" t="s">
        <v>47</v>
      </c>
      <c r="K106" t="s">
        <v>48</v>
      </c>
      <c r="L106">
        <v>0</v>
      </c>
      <c r="M106" t="s">
        <v>49</v>
      </c>
      <c r="N106" t="s">
        <v>50</v>
      </c>
      <c r="O106">
        <v>0</v>
      </c>
      <c r="P106" t="s">
        <v>49</v>
      </c>
      <c r="Q106" t="s">
        <v>50</v>
      </c>
      <c r="R106" t="s">
        <v>51</v>
      </c>
      <c r="S106" t="s">
        <v>52</v>
      </c>
      <c r="T106" t="b">
        <v>1</v>
      </c>
      <c r="U106" t="s">
        <v>53</v>
      </c>
      <c r="V106" t="s">
        <v>54</v>
      </c>
      <c r="W106">
        <v>4</v>
      </c>
      <c r="X106" t="b">
        <v>0</v>
      </c>
      <c r="Y106" t="s">
        <v>55</v>
      </c>
      <c r="Z106" t="s">
        <v>56</v>
      </c>
      <c r="AA106" t="s">
        <v>57</v>
      </c>
      <c r="AB106">
        <v>0</v>
      </c>
      <c r="AC106" t="s">
        <v>58</v>
      </c>
      <c r="AD106">
        <v>8</v>
      </c>
      <c r="AE106" t="s">
        <v>59</v>
      </c>
      <c r="AF106">
        <v>29023109052</v>
      </c>
      <c r="AG106" t="b">
        <v>0</v>
      </c>
      <c r="AH106">
        <v>8</v>
      </c>
      <c r="AI106" t="s">
        <v>59</v>
      </c>
      <c r="AJ106">
        <v>29023109052</v>
      </c>
      <c r="AK106" t="b">
        <v>0</v>
      </c>
      <c r="AL106">
        <v>29023109052</v>
      </c>
      <c r="AM106" t="b">
        <v>0</v>
      </c>
      <c r="AN106">
        <v>0</v>
      </c>
      <c r="AO106" t="b">
        <v>0</v>
      </c>
      <c r="AQ106">
        <v>9363570683.5499992</v>
      </c>
      <c r="AR106">
        <v>9363570683.5499992</v>
      </c>
      <c r="AS106">
        <v>0</v>
      </c>
      <c r="AT106" t="b">
        <v>0</v>
      </c>
      <c r="AU106" t="b">
        <v>1</v>
      </c>
      <c r="BA106" t="str">
        <f t="shared" si="2"/>
        <v>Normal</v>
      </c>
      <c r="BG106" t="str">
        <f t="shared" si="3"/>
        <v>Normal</v>
      </c>
    </row>
    <row r="107" spans="1:59" x14ac:dyDescent="0.2">
      <c r="A107" t="s">
        <v>42</v>
      </c>
      <c r="B107" t="s">
        <v>43</v>
      </c>
      <c r="C107">
        <v>20200101</v>
      </c>
      <c r="D107">
        <v>2020</v>
      </c>
      <c r="E107">
        <v>52</v>
      </c>
      <c r="F107" t="s">
        <v>271</v>
      </c>
      <c r="G107">
        <v>32</v>
      </c>
      <c r="H107" t="s">
        <v>63</v>
      </c>
      <c r="I107" t="s">
        <v>64</v>
      </c>
      <c r="J107" t="s">
        <v>47</v>
      </c>
      <c r="K107" t="s">
        <v>48</v>
      </c>
      <c r="L107">
        <v>0</v>
      </c>
      <c r="M107" t="s">
        <v>49</v>
      </c>
      <c r="N107" t="s">
        <v>50</v>
      </c>
      <c r="O107">
        <v>0</v>
      </c>
      <c r="P107" t="s">
        <v>49</v>
      </c>
      <c r="Q107" t="s">
        <v>50</v>
      </c>
      <c r="R107" t="s">
        <v>51</v>
      </c>
      <c r="S107" t="s">
        <v>52</v>
      </c>
      <c r="T107" t="b">
        <v>1</v>
      </c>
      <c r="U107" t="s">
        <v>53</v>
      </c>
      <c r="V107" t="s">
        <v>54</v>
      </c>
      <c r="W107">
        <v>4</v>
      </c>
      <c r="X107" t="b">
        <v>0</v>
      </c>
      <c r="Y107" t="s">
        <v>55</v>
      </c>
      <c r="Z107" t="s">
        <v>56</v>
      </c>
      <c r="AA107" t="s">
        <v>57</v>
      </c>
      <c r="AB107">
        <v>0</v>
      </c>
      <c r="AC107" t="s">
        <v>58</v>
      </c>
      <c r="AD107">
        <v>8</v>
      </c>
      <c r="AE107" t="s">
        <v>59</v>
      </c>
      <c r="AF107">
        <v>2377238700</v>
      </c>
      <c r="AG107" t="b">
        <v>0</v>
      </c>
      <c r="AH107">
        <v>8</v>
      </c>
      <c r="AI107" t="s">
        <v>59</v>
      </c>
      <c r="AJ107">
        <v>2377238700</v>
      </c>
      <c r="AK107" t="b">
        <v>0</v>
      </c>
      <c r="AL107">
        <v>2377238700</v>
      </c>
      <c r="AM107" t="b">
        <v>0</v>
      </c>
      <c r="AN107">
        <v>0</v>
      </c>
      <c r="AO107" t="b">
        <v>0</v>
      </c>
      <c r="AP107">
        <v>0</v>
      </c>
      <c r="AQ107">
        <v>570359836.67999995</v>
      </c>
      <c r="AR107">
        <v>570359836.67999995</v>
      </c>
      <c r="AS107">
        <v>0</v>
      </c>
      <c r="AT107" t="b">
        <v>0</v>
      </c>
      <c r="AU107" t="b">
        <v>1</v>
      </c>
      <c r="BA107" t="str">
        <f t="shared" si="2"/>
        <v>Normal</v>
      </c>
      <c r="BG107" t="str">
        <f t="shared" si="3"/>
        <v>Normal</v>
      </c>
    </row>
    <row r="108" spans="1:59" x14ac:dyDescent="0.2">
      <c r="A108" t="s">
        <v>42</v>
      </c>
      <c r="B108" t="s">
        <v>43</v>
      </c>
      <c r="C108">
        <v>20200101</v>
      </c>
      <c r="D108">
        <v>2020</v>
      </c>
      <c r="E108">
        <v>52</v>
      </c>
      <c r="F108" t="s">
        <v>271</v>
      </c>
      <c r="G108">
        <v>36</v>
      </c>
      <c r="H108" t="s">
        <v>65</v>
      </c>
      <c r="I108" t="s">
        <v>66</v>
      </c>
      <c r="J108" t="s">
        <v>47</v>
      </c>
      <c r="K108" t="s">
        <v>48</v>
      </c>
      <c r="L108">
        <v>0</v>
      </c>
      <c r="M108" t="s">
        <v>49</v>
      </c>
      <c r="N108" t="s">
        <v>50</v>
      </c>
      <c r="O108">
        <v>0</v>
      </c>
      <c r="P108" t="s">
        <v>49</v>
      </c>
      <c r="Q108" t="s">
        <v>50</v>
      </c>
      <c r="R108" t="s">
        <v>51</v>
      </c>
      <c r="S108" t="s">
        <v>52</v>
      </c>
      <c r="T108" t="b">
        <v>1</v>
      </c>
      <c r="U108" t="s">
        <v>53</v>
      </c>
      <c r="V108" t="s">
        <v>54</v>
      </c>
      <c r="W108">
        <v>4</v>
      </c>
      <c r="X108" t="b">
        <v>0</v>
      </c>
      <c r="Y108" t="s">
        <v>55</v>
      </c>
      <c r="Z108" t="s">
        <v>56</v>
      </c>
      <c r="AA108" t="s">
        <v>57</v>
      </c>
      <c r="AB108">
        <v>0</v>
      </c>
      <c r="AC108" t="s">
        <v>58</v>
      </c>
      <c r="AD108">
        <v>8</v>
      </c>
      <c r="AE108" t="s">
        <v>59</v>
      </c>
      <c r="AF108">
        <v>9713536460</v>
      </c>
      <c r="AG108" t="b">
        <v>0</v>
      </c>
      <c r="AH108">
        <v>7</v>
      </c>
      <c r="AI108" t="s">
        <v>67</v>
      </c>
      <c r="AJ108">
        <v>9713536460</v>
      </c>
      <c r="AK108" t="b">
        <v>0</v>
      </c>
      <c r="AM108" t="b">
        <v>0</v>
      </c>
      <c r="AN108">
        <v>8255166638.6000004</v>
      </c>
      <c r="AO108" t="b">
        <v>0</v>
      </c>
      <c r="AQ108">
        <v>2975132784.3649998</v>
      </c>
      <c r="AR108">
        <v>2975132784.3649998</v>
      </c>
      <c r="AS108">
        <v>0</v>
      </c>
      <c r="AT108" t="b">
        <v>0</v>
      </c>
      <c r="AU108" t="b">
        <v>1</v>
      </c>
      <c r="BA108" t="str">
        <f t="shared" si="2"/>
        <v>Normal</v>
      </c>
      <c r="BG108" t="str">
        <f t="shared" si="3"/>
        <v>Normal</v>
      </c>
    </row>
    <row r="109" spans="1:59" x14ac:dyDescent="0.2">
      <c r="A109" t="s">
        <v>42</v>
      </c>
      <c r="B109" t="s">
        <v>43</v>
      </c>
      <c r="C109">
        <v>20200101</v>
      </c>
      <c r="D109">
        <v>2020</v>
      </c>
      <c r="E109">
        <v>52</v>
      </c>
      <c r="F109" t="s">
        <v>271</v>
      </c>
      <c r="G109">
        <v>52</v>
      </c>
      <c r="H109" t="s">
        <v>68</v>
      </c>
      <c r="I109" t="s">
        <v>69</v>
      </c>
      <c r="J109" t="s">
        <v>47</v>
      </c>
      <c r="K109" t="s">
        <v>48</v>
      </c>
      <c r="L109">
        <v>0</v>
      </c>
      <c r="M109" t="s">
        <v>49</v>
      </c>
      <c r="N109" t="s">
        <v>50</v>
      </c>
      <c r="O109">
        <v>0</v>
      </c>
      <c r="P109" t="s">
        <v>49</v>
      </c>
      <c r="Q109" t="s">
        <v>50</v>
      </c>
      <c r="R109" t="s">
        <v>51</v>
      </c>
      <c r="S109" t="s">
        <v>52</v>
      </c>
      <c r="T109" t="b">
        <v>1</v>
      </c>
      <c r="U109" t="s">
        <v>53</v>
      </c>
      <c r="V109" t="s">
        <v>54</v>
      </c>
      <c r="W109">
        <v>4</v>
      </c>
      <c r="X109" t="b">
        <v>0</v>
      </c>
      <c r="Y109" t="s">
        <v>55</v>
      </c>
      <c r="Z109" t="s">
        <v>56</v>
      </c>
      <c r="AA109" t="s">
        <v>57</v>
      </c>
      <c r="AB109">
        <v>0</v>
      </c>
      <c r="AC109" t="s">
        <v>58</v>
      </c>
      <c r="AD109">
        <v>8</v>
      </c>
      <c r="AE109" t="s">
        <v>59</v>
      </c>
      <c r="AF109">
        <v>29734740</v>
      </c>
      <c r="AG109" t="b">
        <v>0</v>
      </c>
      <c r="AH109">
        <v>8</v>
      </c>
      <c r="AI109" t="s">
        <v>59</v>
      </c>
      <c r="AJ109">
        <v>29734740</v>
      </c>
      <c r="AK109" t="b">
        <v>0</v>
      </c>
      <c r="AL109">
        <v>29734740</v>
      </c>
      <c r="AM109" t="b">
        <v>0</v>
      </c>
      <c r="AN109">
        <v>0</v>
      </c>
      <c r="AO109" t="b">
        <v>0</v>
      </c>
      <c r="AP109">
        <v>0</v>
      </c>
      <c r="AQ109">
        <v>9292123</v>
      </c>
      <c r="AR109">
        <v>9292123</v>
      </c>
      <c r="AS109">
        <v>0</v>
      </c>
      <c r="AT109" t="b">
        <v>0</v>
      </c>
      <c r="AU109" t="b">
        <v>1</v>
      </c>
      <c r="BA109" t="str">
        <f t="shared" si="2"/>
        <v>Normal</v>
      </c>
      <c r="BG109" t="str">
        <f t="shared" si="3"/>
        <v>Normal</v>
      </c>
    </row>
    <row r="110" spans="1:59" x14ac:dyDescent="0.2">
      <c r="A110" t="s">
        <v>42</v>
      </c>
      <c r="B110" t="s">
        <v>43</v>
      </c>
      <c r="C110">
        <v>20200101</v>
      </c>
      <c r="D110">
        <v>2020</v>
      </c>
      <c r="E110">
        <v>52</v>
      </c>
      <c r="F110" t="s">
        <v>271</v>
      </c>
      <c r="G110">
        <v>56</v>
      </c>
      <c r="H110" t="s">
        <v>71</v>
      </c>
      <c r="I110" t="s">
        <v>72</v>
      </c>
      <c r="J110" t="s">
        <v>47</v>
      </c>
      <c r="K110" t="s">
        <v>48</v>
      </c>
      <c r="L110">
        <v>0</v>
      </c>
      <c r="M110" t="s">
        <v>49</v>
      </c>
      <c r="N110" t="s">
        <v>50</v>
      </c>
      <c r="O110">
        <v>0</v>
      </c>
      <c r="P110" t="s">
        <v>49</v>
      </c>
      <c r="Q110" t="s">
        <v>50</v>
      </c>
      <c r="R110" t="s">
        <v>51</v>
      </c>
      <c r="S110" t="s">
        <v>52</v>
      </c>
      <c r="T110" t="b">
        <v>1</v>
      </c>
      <c r="U110" t="s">
        <v>53</v>
      </c>
      <c r="V110" t="s">
        <v>54</v>
      </c>
      <c r="W110">
        <v>4</v>
      </c>
      <c r="X110" t="b">
        <v>0</v>
      </c>
      <c r="Y110" t="s">
        <v>55</v>
      </c>
      <c r="Z110" t="s">
        <v>56</v>
      </c>
      <c r="AA110" t="s">
        <v>57</v>
      </c>
      <c r="AB110">
        <v>0</v>
      </c>
      <c r="AC110" t="s">
        <v>58</v>
      </c>
      <c r="AD110">
        <v>-1</v>
      </c>
      <c r="AE110" t="s">
        <v>73</v>
      </c>
      <c r="AF110">
        <v>0</v>
      </c>
      <c r="AG110" t="b">
        <v>0</v>
      </c>
      <c r="AH110">
        <v>-1</v>
      </c>
      <c r="AI110" t="s">
        <v>73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Q110">
        <v>35232873.699000001</v>
      </c>
      <c r="AR110">
        <v>35232873.699000001</v>
      </c>
      <c r="AS110">
        <v>0</v>
      </c>
      <c r="AT110" t="b">
        <v>0</v>
      </c>
      <c r="AU110" t="b">
        <v>1</v>
      </c>
      <c r="BA110" t="str">
        <f t="shared" si="2"/>
        <v>Normal</v>
      </c>
      <c r="BG110" t="str">
        <f t="shared" si="3"/>
        <v>Normal</v>
      </c>
    </row>
    <row r="111" spans="1:59" x14ac:dyDescent="0.2">
      <c r="A111" t="s">
        <v>42</v>
      </c>
      <c r="B111" t="s">
        <v>43</v>
      </c>
      <c r="C111">
        <v>20200101</v>
      </c>
      <c r="D111">
        <v>2020</v>
      </c>
      <c r="E111">
        <v>52</v>
      </c>
      <c r="F111" t="s">
        <v>271</v>
      </c>
      <c r="G111">
        <v>68</v>
      </c>
      <c r="H111" t="s">
        <v>74</v>
      </c>
      <c r="I111" t="s">
        <v>75</v>
      </c>
      <c r="J111" t="s">
        <v>47</v>
      </c>
      <c r="K111" t="s">
        <v>48</v>
      </c>
      <c r="L111">
        <v>0</v>
      </c>
      <c r="M111" t="s">
        <v>49</v>
      </c>
      <c r="N111" t="s">
        <v>50</v>
      </c>
      <c r="O111">
        <v>0</v>
      </c>
      <c r="P111" t="s">
        <v>49</v>
      </c>
      <c r="Q111" t="s">
        <v>50</v>
      </c>
      <c r="R111" t="s">
        <v>51</v>
      </c>
      <c r="S111" t="s">
        <v>52</v>
      </c>
      <c r="T111" t="b">
        <v>1</v>
      </c>
      <c r="U111" t="s">
        <v>53</v>
      </c>
      <c r="V111" t="s">
        <v>54</v>
      </c>
      <c r="W111">
        <v>4</v>
      </c>
      <c r="X111" t="b">
        <v>0</v>
      </c>
      <c r="Y111" t="s">
        <v>55</v>
      </c>
      <c r="Z111" t="s">
        <v>56</v>
      </c>
      <c r="AA111" t="s">
        <v>57</v>
      </c>
      <c r="AB111">
        <v>0</v>
      </c>
      <c r="AC111" t="s">
        <v>58</v>
      </c>
      <c r="AD111">
        <v>8</v>
      </c>
      <c r="AE111" t="s">
        <v>59</v>
      </c>
      <c r="AF111">
        <v>34681476.256999999</v>
      </c>
      <c r="AG111" t="b">
        <v>1</v>
      </c>
      <c r="AH111">
        <v>-1</v>
      </c>
      <c r="AI111" t="s">
        <v>73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P111">
        <v>0</v>
      </c>
      <c r="AQ111">
        <v>10517484.710000001</v>
      </c>
      <c r="AR111">
        <v>10517484.710000001</v>
      </c>
      <c r="AS111">
        <v>6</v>
      </c>
      <c r="AT111" t="b">
        <v>0</v>
      </c>
      <c r="AU111" t="b">
        <v>1</v>
      </c>
      <c r="BA111" t="str">
        <f t="shared" si="2"/>
        <v>Normal</v>
      </c>
      <c r="BG111" t="str">
        <f t="shared" si="3"/>
        <v>Normal</v>
      </c>
    </row>
    <row r="112" spans="1:59" x14ac:dyDescent="0.2">
      <c r="A112" t="s">
        <v>42</v>
      </c>
      <c r="B112" t="s">
        <v>43</v>
      </c>
      <c r="C112">
        <v>20200101</v>
      </c>
      <c r="D112">
        <v>2020</v>
      </c>
      <c r="E112">
        <v>52</v>
      </c>
      <c r="F112" t="s">
        <v>271</v>
      </c>
      <c r="G112">
        <v>70</v>
      </c>
      <c r="H112" t="s">
        <v>76</v>
      </c>
      <c r="I112" t="s">
        <v>77</v>
      </c>
      <c r="J112" t="s">
        <v>47</v>
      </c>
      <c r="K112" t="s">
        <v>48</v>
      </c>
      <c r="L112">
        <v>0</v>
      </c>
      <c r="M112" t="s">
        <v>49</v>
      </c>
      <c r="N112" t="s">
        <v>50</v>
      </c>
      <c r="O112">
        <v>0</v>
      </c>
      <c r="P112" t="s">
        <v>49</v>
      </c>
      <c r="Q112" t="s">
        <v>50</v>
      </c>
      <c r="R112" t="s">
        <v>51</v>
      </c>
      <c r="S112" t="s">
        <v>52</v>
      </c>
      <c r="T112" t="b">
        <v>1</v>
      </c>
      <c r="U112" t="s">
        <v>53</v>
      </c>
      <c r="V112" t="s">
        <v>54</v>
      </c>
      <c r="W112">
        <v>4</v>
      </c>
      <c r="X112" t="b">
        <v>0</v>
      </c>
      <c r="Y112" t="s">
        <v>55</v>
      </c>
      <c r="Z112" t="s">
        <v>56</v>
      </c>
      <c r="AA112" t="s">
        <v>57</v>
      </c>
      <c r="AB112">
        <v>0</v>
      </c>
      <c r="AC112" t="s">
        <v>58</v>
      </c>
      <c r="AD112">
        <v>8</v>
      </c>
      <c r="AE112" t="s">
        <v>59</v>
      </c>
      <c r="AF112">
        <v>1561030</v>
      </c>
      <c r="AG112" t="b">
        <v>0</v>
      </c>
      <c r="AH112">
        <v>8</v>
      </c>
      <c r="AI112" t="s">
        <v>59</v>
      </c>
      <c r="AJ112">
        <v>1561030</v>
      </c>
      <c r="AK112" t="b">
        <v>0</v>
      </c>
      <c r="AL112">
        <v>1561030</v>
      </c>
      <c r="AM112" t="b">
        <v>0</v>
      </c>
      <c r="AN112">
        <v>0</v>
      </c>
      <c r="AO112" t="b">
        <v>0</v>
      </c>
      <c r="AQ112">
        <v>485551.64</v>
      </c>
      <c r="AR112">
        <v>485551.64</v>
      </c>
      <c r="AS112">
        <v>0</v>
      </c>
      <c r="AT112" t="b">
        <v>0</v>
      </c>
      <c r="AU112" t="b">
        <v>1</v>
      </c>
      <c r="BA112" t="str">
        <f t="shared" si="2"/>
        <v>Normal</v>
      </c>
      <c r="BG112" t="str">
        <f t="shared" si="3"/>
        <v>Normal</v>
      </c>
    </row>
    <row r="113" spans="1:59" x14ac:dyDescent="0.2">
      <c r="A113" t="s">
        <v>42</v>
      </c>
      <c r="B113" t="s">
        <v>43</v>
      </c>
      <c r="C113">
        <v>20200101</v>
      </c>
      <c r="D113">
        <v>2020</v>
      </c>
      <c r="E113">
        <v>52</v>
      </c>
      <c r="F113" t="s">
        <v>271</v>
      </c>
      <c r="G113">
        <v>72</v>
      </c>
      <c r="H113" t="s">
        <v>78</v>
      </c>
      <c r="I113" t="s">
        <v>79</v>
      </c>
      <c r="J113" t="s">
        <v>47</v>
      </c>
      <c r="K113" t="s">
        <v>48</v>
      </c>
      <c r="L113">
        <v>0</v>
      </c>
      <c r="M113" t="s">
        <v>49</v>
      </c>
      <c r="N113" t="s">
        <v>50</v>
      </c>
      <c r="O113">
        <v>0</v>
      </c>
      <c r="P113" t="s">
        <v>49</v>
      </c>
      <c r="Q113" t="s">
        <v>50</v>
      </c>
      <c r="R113" t="s">
        <v>51</v>
      </c>
      <c r="S113" t="s">
        <v>52</v>
      </c>
      <c r="T113" t="b">
        <v>1</v>
      </c>
      <c r="U113" t="s">
        <v>53</v>
      </c>
      <c r="V113" t="s">
        <v>54</v>
      </c>
      <c r="W113">
        <v>4</v>
      </c>
      <c r="X113" t="b">
        <v>0</v>
      </c>
      <c r="Y113" t="s">
        <v>55</v>
      </c>
      <c r="Z113" t="s">
        <v>56</v>
      </c>
      <c r="AA113" t="s">
        <v>57</v>
      </c>
      <c r="AB113">
        <v>0</v>
      </c>
      <c r="AC113" t="s">
        <v>58</v>
      </c>
      <c r="AD113">
        <v>-1</v>
      </c>
      <c r="AE113" t="s">
        <v>73</v>
      </c>
      <c r="AF113">
        <v>0</v>
      </c>
      <c r="AG113" t="b">
        <v>0</v>
      </c>
      <c r="AH113">
        <v>8</v>
      </c>
      <c r="AI113" t="s">
        <v>59</v>
      </c>
      <c r="AJ113">
        <v>2</v>
      </c>
      <c r="AK113" t="b">
        <v>0</v>
      </c>
      <c r="AL113">
        <v>20005</v>
      </c>
      <c r="AM113" t="b">
        <v>0</v>
      </c>
      <c r="AN113">
        <v>0</v>
      </c>
      <c r="AO113" t="b">
        <v>0</v>
      </c>
      <c r="AQ113">
        <v>4516.9520000000002</v>
      </c>
      <c r="AR113">
        <v>4516.9520000000002</v>
      </c>
      <c r="AS113">
        <v>0</v>
      </c>
      <c r="AT113" t="b">
        <v>0</v>
      </c>
      <c r="AU113" t="b">
        <v>1</v>
      </c>
      <c r="BA113" t="str">
        <f t="shared" si="2"/>
        <v>Normal</v>
      </c>
      <c r="BG113" t="str">
        <f t="shared" si="3"/>
        <v>Normal</v>
      </c>
    </row>
    <row r="114" spans="1:59" x14ac:dyDescent="0.2">
      <c r="A114" t="s">
        <v>42</v>
      </c>
      <c r="B114" t="s">
        <v>43</v>
      </c>
      <c r="C114">
        <v>20200101</v>
      </c>
      <c r="D114">
        <v>2020</v>
      </c>
      <c r="E114">
        <v>52</v>
      </c>
      <c r="F114" t="s">
        <v>271</v>
      </c>
      <c r="G114">
        <v>76</v>
      </c>
      <c r="H114" t="s">
        <v>80</v>
      </c>
      <c r="I114" t="s">
        <v>81</v>
      </c>
      <c r="J114" t="s">
        <v>47</v>
      </c>
      <c r="K114" t="s">
        <v>48</v>
      </c>
      <c r="L114">
        <v>0</v>
      </c>
      <c r="M114" t="s">
        <v>49</v>
      </c>
      <c r="N114" t="s">
        <v>50</v>
      </c>
      <c r="O114">
        <v>0</v>
      </c>
      <c r="P114" t="s">
        <v>49</v>
      </c>
      <c r="Q114" t="s">
        <v>50</v>
      </c>
      <c r="R114" t="s">
        <v>51</v>
      </c>
      <c r="S114" t="s">
        <v>52</v>
      </c>
      <c r="T114" t="b">
        <v>1</v>
      </c>
      <c r="U114" t="s">
        <v>53</v>
      </c>
      <c r="V114" t="s">
        <v>54</v>
      </c>
      <c r="W114">
        <v>4</v>
      </c>
      <c r="X114" t="b">
        <v>0</v>
      </c>
      <c r="Y114" t="s">
        <v>55</v>
      </c>
      <c r="Z114" t="s">
        <v>56</v>
      </c>
      <c r="AA114" t="s">
        <v>57</v>
      </c>
      <c r="AB114">
        <v>0</v>
      </c>
      <c r="AC114" t="s">
        <v>58</v>
      </c>
      <c r="AD114">
        <v>8</v>
      </c>
      <c r="AE114" t="s">
        <v>59</v>
      </c>
      <c r="AF114">
        <v>70009939004.143997</v>
      </c>
      <c r="AG114" t="b">
        <v>1</v>
      </c>
      <c r="AH114">
        <v>-1</v>
      </c>
      <c r="AI114" t="s">
        <v>73</v>
      </c>
      <c r="AJ114">
        <v>0</v>
      </c>
      <c r="AK114" t="b">
        <v>0</v>
      </c>
      <c r="AL114">
        <v>70009939004.143997</v>
      </c>
      <c r="AM114" t="b">
        <v>1</v>
      </c>
      <c r="AN114">
        <v>0</v>
      </c>
      <c r="AO114" t="b">
        <v>0</v>
      </c>
      <c r="AQ114">
        <v>19613857928</v>
      </c>
      <c r="AR114">
        <v>19613857928</v>
      </c>
      <c r="AS114">
        <v>6</v>
      </c>
      <c r="AT114" t="b">
        <v>0</v>
      </c>
      <c r="AU114" t="b">
        <v>1</v>
      </c>
      <c r="BA114" t="str">
        <f t="shared" si="2"/>
        <v>Normal</v>
      </c>
      <c r="BG114" t="str">
        <f t="shared" si="3"/>
        <v>Normal</v>
      </c>
    </row>
    <row r="115" spans="1:59" x14ac:dyDescent="0.2">
      <c r="A115" t="s">
        <v>42</v>
      </c>
      <c r="B115" t="s">
        <v>43</v>
      </c>
      <c r="C115">
        <v>20200101</v>
      </c>
      <c r="D115">
        <v>2020</v>
      </c>
      <c r="E115">
        <v>52</v>
      </c>
      <c r="F115" t="s">
        <v>271</v>
      </c>
      <c r="G115">
        <v>84</v>
      </c>
      <c r="H115" t="s">
        <v>82</v>
      </c>
      <c r="I115" t="s">
        <v>83</v>
      </c>
      <c r="J115" t="s">
        <v>47</v>
      </c>
      <c r="K115" t="s">
        <v>48</v>
      </c>
      <c r="L115">
        <v>0</v>
      </c>
      <c r="M115" t="s">
        <v>49</v>
      </c>
      <c r="N115" t="s">
        <v>50</v>
      </c>
      <c r="O115">
        <v>0</v>
      </c>
      <c r="P115" t="s">
        <v>49</v>
      </c>
      <c r="Q115" t="s">
        <v>50</v>
      </c>
      <c r="R115" t="s">
        <v>51</v>
      </c>
      <c r="S115" t="s">
        <v>52</v>
      </c>
      <c r="T115" t="b">
        <v>1</v>
      </c>
      <c r="U115" t="s">
        <v>53</v>
      </c>
      <c r="V115" t="s">
        <v>54</v>
      </c>
      <c r="W115">
        <v>4</v>
      </c>
      <c r="X115" t="b">
        <v>0</v>
      </c>
      <c r="Y115" t="s">
        <v>55</v>
      </c>
      <c r="Z115" t="s">
        <v>56</v>
      </c>
      <c r="AA115" t="s">
        <v>57</v>
      </c>
      <c r="AB115">
        <v>0</v>
      </c>
      <c r="AC115" t="s">
        <v>58</v>
      </c>
      <c r="AD115">
        <v>8</v>
      </c>
      <c r="AE115" t="s">
        <v>59</v>
      </c>
      <c r="AF115">
        <v>10303429</v>
      </c>
      <c r="AG115" t="b">
        <v>0</v>
      </c>
      <c r="AH115">
        <v>8</v>
      </c>
      <c r="AI115" t="s">
        <v>59</v>
      </c>
      <c r="AJ115">
        <v>10303429</v>
      </c>
      <c r="AK115" t="b">
        <v>0</v>
      </c>
      <c r="AL115">
        <v>10303429</v>
      </c>
      <c r="AM115" t="b">
        <v>0</v>
      </c>
      <c r="AN115">
        <v>0</v>
      </c>
      <c r="AO115" t="b">
        <v>0</v>
      </c>
      <c r="AQ115">
        <v>2445222.2650000001</v>
      </c>
      <c r="AR115">
        <v>2445222.2650000001</v>
      </c>
      <c r="AS115">
        <v>0</v>
      </c>
      <c r="AT115" t="b">
        <v>0</v>
      </c>
      <c r="AU115" t="b">
        <v>1</v>
      </c>
      <c r="BA115" t="str">
        <f t="shared" si="2"/>
        <v>Normal</v>
      </c>
      <c r="BG115" t="str">
        <f t="shared" si="3"/>
        <v>Normal</v>
      </c>
    </row>
    <row r="116" spans="1:59" x14ac:dyDescent="0.2">
      <c r="A116" t="s">
        <v>42</v>
      </c>
      <c r="B116" t="s">
        <v>43</v>
      </c>
      <c r="C116">
        <v>20200101</v>
      </c>
      <c r="D116">
        <v>2020</v>
      </c>
      <c r="E116">
        <v>52</v>
      </c>
      <c r="F116" t="s">
        <v>271</v>
      </c>
      <c r="G116">
        <v>96</v>
      </c>
      <c r="H116" t="s">
        <v>84</v>
      </c>
      <c r="I116" t="s">
        <v>85</v>
      </c>
      <c r="J116" t="s">
        <v>47</v>
      </c>
      <c r="K116" t="s">
        <v>48</v>
      </c>
      <c r="L116">
        <v>0</v>
      </c>
      <c r="M116" t="s">
        <v>49</v>
      </c>
      <c r="N116" t="s">
        <v>50</v>
      </c>
      <c r="O116">
        <v>0</v>
      </c>
      <c r="P116" t="s">
        <v>49</v>
      </c>
      <c r="Q116" t="s">
        <v>50</v>
      </c>
      <c r="R116" t="s">
        <v>51</v>
      </c>
      <c r="S116" t="s">
        <v>52</v>
      </c>
      <c r="T116" t="b">
        <v>1</v>
      </c>
      <c r="U116" t="s">
        <v>53</v>
      </c>
      <c r="V116" t="s">
        <v>54</v>
      </c>
      <c r="W116">
        <v>4</v>
      </c>
      <c r="X116" t="b">
        <v>0</v>
      </c>
      <c r="Y116" t="s">
        <v>55</v>
      </c>
      <c r="Z116" t="s">
        <v>56</v>
      </c>
      <c r="AA116" t="s">
        <v>57</v>
      </c>
      <c r="AB116">
        <v>0</v>
      </c>
      <c r="AC116" t="s">
        <v>58</v>
      </c>
      <c r="AD116">
        <v>8</v>
      </c>
      <c r="AE116" t="s">
        <v>59</v>
      </c>
      <c r="AF116">
        <v>4115723466</v>
      </c>
      <c r="AG116" t="b">
        <v>0</v>
      </c>
      <c r="AH116">
        <v>8</v>
      </c>
      <c r="AI116" t="s">
        <v>59</v>
      </c>
      <c r="AJ116">
        <v>4115723466</v>
      </c>
      <c r="AK116" t="b">
        <v>0</v>
      </c>
      <c r="AL116">
        <v>4115723466</v>
      </c>
      <c r="AM116" t="b">
        <v>0</v>
      </c>
      <c r="AN116">
        <v>0</v>
      </c>
      <c r="AO116" t="b">
        <v>0</v>
      </c>
      <c r="AP116">
        <v>0</v>
      </c>
      <c r="AQ116">
        <v>1273034900.0999999</v>
      </c>
      <c r="AR116">
        <v>1273034900.0999999</v>
      </c>
      <c r="AS116">
        <v>0</v>
      </c>
      <c r="AT116" t="b">
        <v>0</v>
      </c>
      <c r="AU116" t="b">
        <v>1</v>
      </c>
      <c r="BA116" t="str">
        <f t="shared" si="2"/>
        <v>Normal</v>
      </c>
      <c r="BG116" t="str">
        <f t="shared" si="3"/>
        <v>Normal</v>
      </c>
    </row>
    <row r="117" spans="1:59" x14ac:dyDescent="0.2">
      <c r="A117" t="s">
        <v>42</v>
      </c>
      <c r="B117" t="s">
        <v>43</v>
      </c>
      <c r="C117">
        <v>20200101</v>
      </c>
      <c r="D117">
        <v>2020</v>
      </c>
      <c r="E117">
        <v>52</v>
      </c>
      <c r="F117" t="s">
        <v>271</v>
      </c>
      <c r="G117">
        <v>104</v>
      </c>
      <c r="H117" t="s">
        <v>88</v>
      </c>
      <c r="I117" t="s">
        <v>89</v>
      </c>
      <c r="J117" t="s">
        <v>47</v>
      </c>
      <c r="K117" t="s">
        <v>48</v>
      </c>
      <c r="L117">
        <v>0</v>
      </c>
      <c r="M117" t="s">
        <v>49</v>
      </c>
      <c r="N117" t="s">
        <v>50</v>
      </c>
      <c r="O117">
        <v>0</v>
      </c>
      <c r="P117" t="s">
        <v>49</v>
      </c>
      <c r="Q117" t="s">
        <v>50</v>
      </c>
      <c r="R117" t="s">
        <v>51</v>
      </c>
      <c r="S117" t="s">
        <v>52</v>
      </c>
      <c r="T117" t="b">
        <v>1</v>
      </c>
      <c r="U117" t="s">
        <v>53</v>
      </c>
      <c r="V117" t="s">
        <v>54</v>
      </c>
      <c r="W117">
        <v>4</v>
      </c>
      <c r="X117" t="b">
        <v>0</v>
      </c>
      <c r="Y117" t="s">
        <v>55</v>
      </c>
      <c r="Z117" t="s">
        <v>56</v>
      </c>
      <c r="AA117" t="s">
        <v>57</v>
      </c>
      <c r="AB117">
        <v>0</v>
      </c>
      <c r="AC117" t="s">
        <v>58</v>
      </c>
      <c r="AD117">
        <v>8</v>
      </c>
      <c r="AE117" t="s">
        <v>59</v>
      </c>
      <c r="AF117">
        <v>33440000</v>
      </c>
      <c r="AG117" t="b">
        <v>0</v>
      </c>
      <c r="AH117">
        <v>-1</v>
      </c>
      <c r="AI117" t="s">
        <v>73</v>
      </c>
      <c r="AJ117">
        <v>0</v>
      </c>
      <c r="AK117" t="b">
        <v>0</v>
      </c>
      <c r="AL117">
        <v>33440000</v>
      </c>
      <c r="AM117" t="b">
        <v>0</v>
      </c>
      <c r="AN117">
        <v>0</v>
      </c>
      <c r="AO117" t="b">
        <v>0</v>
      </c>
      <c r="AQ117">
        <v>18656200</v>
      </c>
      <c r="AR117">
        <v>18656200</v>
      </c>
      <c r="AS117">
        <v>0</v>
      </c>
      <c r="AT117" t="b">
        <v>0</v>
      </c>
      <c r="AU117" t="b">
        <v>1</v>
      </c>
      <c r="BA117" t="str">
        <f t="shared" si="2"/>
        <v>Normal</v>
      </c>
      <c r="BG117" t="str">
        <f t="shared" si="3"/>
        <v>Normal</v>
      </c>
    </row>
    <row r="118" spans="1:59" x14ac:dyDescent="0.2">
      <c r="A118" t="s">
        <v>42</v>
      </c>
      <c r="B118" t="s">
        <v>43</v>
      </c>
      <c r="C118">
        <v>20200101</v>
      </c>
      <c r="D118">
        <v>2020</v>
      </c>
      <c r="E118">
        <v>52</v>
      </c>
      <c r="F118" t="s">
        <v>271</v>
      </c>
      <c r="G118">
        <v>112</v>
      </c>
      <c r="H118" t="s">
        <v>90</v>
      </c>
      <c r="I118" t="s">
        <v>91</v>
      </c>
      <c r="J118" t="s">
        <v>47</v>
      </c>
      <c r="K118" t="s">
        <v>48</v>
      </c>
      <c r="L118">
        <v>0</v>
      </c>
      <c r="M118" t="s">
        <v>49</v>
      </c>
      <c r="N118" t="s">
        <v>50</v>
      </c>
      <c r="O118">
        <v>0</v>
      </c>
      <c r="P118" t="s">
        <v>49</v>
      </c>
      <c r="Q118" t="s">
        <v>50</v>
      </c>
      <c r="R118" t="s">
        <v>51</v>
      </c>
      <c r="S118" t="s">
        <v>52</v>
      </c>
      <c r="T118" t="b">
        <v>1</v>
      </c>
      <c r="U118" t="s">
        <v>53</v>
      </c>
      <c r="V118" t="s">
        <v>54</v>
      </c>
      <c r="W118">
        <v>4</v>
      </c>
      <c r="X118" t="b">
        <v>0</v>
      </c>
      <c r="Y118" t="s">
        <v>55</v>
      </c>
      <c r="Z118" t="s">
        <v>56</v>
      </c>
      <c r="AA118" t="s">
        <v>57</v>
      </c>
      <c r="AB118">
        <v>0</v>
      </c>
      <c r="AC118" t="s">
        <v>58</v>
      </c>
      <c r="AD118">
        <v>8</v>
      </c>
      <c r="AE118" t="s">
        <v>59</v>
      </c>
      <c r="AF118">
        <v>1143476435.1070001</v>
      </c>
      <c r="AG118" t="b">
        <v>1</v>
      </c>
      <c r="AH118">
        <v>-1</v>
      </c>
      <c r="AI118" t="s">
        <v>73</v>
      </c>
      <c r="AJ118">
        <v>0</v>
      </c>
      <c r="AK118" t="b">
        <v>0</v>
      </c>
      <c r="AL118">
        <v>1143476435.1070001</v>
      </c>
      <c r="AM118" t="b">
        <v>1</v>
      </c>
      <c r="AN118">
        <v>0</v>
      </c>
      <c r="AO118" t="b">
        <v>0</v>
      </c>
      <c r="AP118">
        <v>0</v>
      </c>
      <c r="AQ118">
        <v>343163600</v>
      </c>
      <c r="AR118">
        <v>343163600</v>
      </c>
      <c r="AS118">
        <v>6</v>
      </c>
      <c r="AT118" t="b">
        <v>0</v>
      </c>
      <c r="AU118" t="b">
        <v>1</v>
      </c>
      <c r="BA118" t="str">
        <f t="shared" si="2"/>
        <v>Normal</v>
      </c>
      <c r="BG118" t="str">
        <f t="shared" si="3"/>
        <v>Normal</v>
      </c>
    </row>
    <row r="119" spans="1:59" x14ac:dyDescent="0.2">
      <c r="A119" t="s">
        <v>42</v>
      </c>
      <c r="B119" t="s">
        <v>43</v>
      </c>
      <c r="C119">
        <v>20200101</v>
      </c>
      <c r="D119">
        <v>2020</v>
      </c>
      <c r="E119">
        <v>52</v>
      </c>
      <c r="F119" t="s">
        <v>271</v>
      </c>
      <c r="G119">
        <v>120</v>
      </c>
      <c r="H119" t="s">
        <v>92</v>
      </c>
      <c r="I119" t="s">
        <v>93</v>
      </c>
      <c r="J119" t="s">
        <v>47</v>
      </c>
      <c r="K119" t="s">
        <v>48</v>
      </c>
      <c r="L119">
        <v>0</v>
      </c>
      <c r="M119" t="s">
        <v>49</v>
      </c>
      <c r="N119" t="s">
        <v>50</v>
      </c>
      <c r="O119">
        <v>0</v>
      </c>
      <c r="P119" t="s">
        <v>49</v>
      </c>
      <c r="Q119" t="s">
        <v>50</v>
      </c>
      <c r="R119" t="s">
        <v>51</v>
      </c>
      <c r="S119" t="s">
        <v>52</v>
      </c>
      <c r="T119" t="b">
        <v>1</v>
      </c>
      <c r="U119" t="s">
        <v>53</v>
      </c>
      <c r="V119" t="s">
        <v>54</v>
      </c>
      <c r="W119">
        <v>4</v>
      </c>
      <c r="X119" t="b">
        <v>0</v>
      </c>
      <c r="Y119" t="s">
        <v>55</v>
      </c>
      <c r="Z119" t="s">
        <v>56</v>
      </c>
      <c r="AA119" t="s">
        <v>57</v>
      </c>
      <c r="AB119">
        <v>0</v>
      </c>
      <c r="AC119" t="s">
        <v>58</v>
      </c>
      <c r="AD119">
        <v>8</v>
      </c>
      <c r="AE119" t="s">
        <v>59</v>
      </c>
      <c r="AF119">
        <v>3715162050</v>
      </c>
      <c r="AG119" t="b">
        <v>0</v>
      </c>
      <c r="AH119">
        <v>8</v>
      </c>
      <c r="AI119" t="s">
        <v>59</v>
      </c>
      <c r="AJ119">
        <v>3715162050</v>
      </c>
      <c r="AK119" t="b">
        <v>0</v>
      </c>
      <c r="AL119">
        <v>3715162050</v>
      </c>
      <c r="AM119" t="b">
        <v>0</v>
      </c>
      <c r="AN119">
        <v>0</v>
      </c>
      <c r="AO119" t="b">
        <v>0</v>
      </c>
      <c r="AQ119">
        <v>1115883771.3599999</v>
      </c>
      <c r="AR119">
        <v>1115883771.3599999</v>
      </c>
      <c r="AS119">
        <v>0</v>
      </c>
      <c r="AT119" t="b">
        <v>0</v>
      </c>
      <c r="AU119" t="b">
        <v>1</v>
      </c>
      <c r="BA119" t="str">
        <f t="shared" si="2"/>
        <v>Normal</v>
      </c>
      <c r="BG119" t="str">
        <f t="shared" si="3"/>
        <v>Normal</v>
      </c>
    </row>
    <row r="120" spans="1:59" x14ac:dyDescent="0.2">
      <c r="A120" t="s">
        <v>42</v>
      </c>
      <c r="B120" t="s">
        <v>43</v>
      </c>
      <c r="C120">
        <v>20200101</v>
      </c>
      <c r="D120">
        <v>2020</v>
      </c>
      <c r="E120">
        <v>52</v>
      </c>
      <c r="F120" t="s">
        <v>271</v>
      </c>
      <c r="G120">
        <v>124</v>
      </c>
      <c r="H120" t="s">
        <v>94</v>
      </c>
      <c r="I120" t="s">
        <v>95</v>
      </c>
      <c r="J120" t="s">
        <v>47</v>
      </c>
      <c r="K120" t="s">
        <v>48</v>
      </c>
      <c r="L120">
        <v>0</v>
      </c>
      <c r="M120" t="s">
        <v>49</v>
      </c>
      <c r="N120" t="s">
        <v>50</v>
      </c>
      <c r="O120">
        <v>0</v>
      </c>
      <c r="P120" t="s">
        <v>49</v>
      </c>
      <c r="Q120" t="s">
        <v>50</v>
      </c>
      <c r="R120" t="s">
        <v>51</v>
      </c>
      <c r="S120" t="s">
        <v>52</v>
      </c>
      <c r="T120" t="b">
        <v>1</v>
      </c>
      <c r="U120" t="s">
        <v>53</v>
      </c>
      <c r="V120" t="s">
        <v>54</v>
      </c>
      <c r="W120">
        <v>4</v>
      </c>
      <c r="X120" t="b">
        <v>0</v>
      </c>
      <c r="Y120" t="s">
        <v>55</v>
      </c>
      <c r="Z120" t="s">
        <v>56</v>
      </c>
      <c r="AA120" t="s">
        <v>57</v>
      </c>
      <c r="AB120">
        <v>0</v>
      </c>
      <c r="AC120" t="s">
        <v>58</v>
      </c>
      <c r="AD120">
        <v>8</v>
      </c>
      <c r="AE120" t="s">
        <v>59</v>
      </c>
      <c r="AF120">
        <v>156876691871.57401</v>
      </c>
      <c r="AG120" t="b">
        <v>1</v>
      </c>
      <c r="AH120">
        <v>-1</v>
      </c>
      <c r="AI120" t="s">
        <v>73</v>
      </c>
      <c r="AJ120">
        <v>0</v>
      </c>
      <c r="AK120" t="b">
        <v>0</v>
      </c>
      <c r="AL120">
        <v>156876691871.57401</v>
      </c>
      <c r="AM120" t="b">
        <v>1</v>
      </c>
      <c r="AN120">
        <v>0</v>
      </c>
      <c r="AO120" t="b">
        <v>0</v>
      </c>
      <c r="AQ120">
        <v>47574336106.391998</v>
      </c>
      <c r="AR120">
        <v>47574336106.391998</v>
      </c>
      <c r="AS120">
        <v>6</v>
      </c>
      <c r="AT120" t="b">
        <v>0</v>
      </c>
      <c r="AU120" t="b">
        <v>1</v>
      </c>
      <c r="BA120" t="str">
        <f t="shared" si="2"/>
        <v>Normal</v>
      </c>
      <c r="BG120" t="str">
        <f t="shared" si="3"/>
        <v>Normal</v>
      </c>
    </row>
    <row r="121" spans="1:59" x14ac:dyDescent="0.2">
      <c r="A121" t="s">
        <v>42</v>
      </c>
      <c r="B121" t="s">
        <v>43</v>
      </c>
      <c r="C121">
        <v>20200101</v>
      </c>
      <c r="D121">
        <v>2020</v>
      </c>
      <c r="E121">
        <v>52</v>
      </c>
      <c r="F121" t="s">
        <v>271</v>
      </c>
      <c r="G121">
        <v>152</v>
      </c>
      <c r="H121" t="s">
        <v>272</v>
      </c>
      <c r="I121" t="s">
        <v>273</v>
      </c>
      <c r="J121" t="s">
        <v>47</v>
      </c>
      <c r="K121" t="s">
        <v>48</v>
      </c>
      <c r="L121">
        <v>0</v>
      </c>
      <c r="M121" t="s">
        <v>49</v>
      </c>
      <c r="N121" t="s">
        <v>50</v>
      </c>
      <c r="O121">
        <v>0</v>
      </c>
      <c r="P121" t="s">
        <v>49</v>
      </c>
      <c r="Q121" t="s">
        <v>50</v>
      </c>
      <c r="R121" t="s">
        <v>51</v>
      </c>
      <c r="S121" t="s">
        <v>52</v>
      </c>
      <c r="T121" t="b">
        <v>1</v>
      </c>
      <c r="U121" t="s">
        <v>53</v>
      </c>
      <c r="V121" t="s">
        <v>54</v>
      </c>
      <c r="W121">
        <v>4</v>
      </c>
      <c r="X121" t="b">
        <v>0</v>
      </c>
      <c r="Y121" t="s">
        <v>55</v>
      </c>
      <c r="Z121" t="s">
        <v>56</v>
      </c>
      <c r="AA121" t="s">
        <v>57</v>
      </c>
      <c r="AB121">
        <v>0</v>
      </c>
      <c r="AC121" t="s">
        <v>58</v>
      </c>
      <c r="AD121">
        <v>8</v>
      </c>
      <c r="AE121" t="s">
        <v>59</v>
      </c>
      <c r="AF121">
        <v>51567100</v>
      </c>
      <c r="AG121" t="b">
        <v>0</v>
      </c>
      <c r="AH121">
        <v>8</v>
      </c>
      <c r="AI121" t="s">
        <v>59</v>
      </c>
      <c r="AJ121">
        <v>51567100</v>
      </c>
      <c r="AK121" t="b">
        <v>0</v>
      </c>
      <c r="AL121">
        <v>51567100</v>
      </c>
      <c r="AM121" t="b">
        <v>0</v>
      </c>
      <c r="AN121">
        <v>0</v>
      </c>
      <c r="AO121" t="b">
        <v>0</v>
      </c>
      <c r="AP121">
        <v>0</v>
      </c>
      <c r="AQ121">
        <v>11870850.66</v>
      </c>
      <c r="AR121">
        <v>11870850.66</v>
      </c>
      <c r="AS121">
        <v>0</v>
      </c>
      <c r="AT121" t="b">
        <v>0</v>
      </c>
      <c r="AU121" t="b">
        <v>1</v>
      </c>
      <c r="BA121" t="str">
        <f t="shared" si="2"/>
        <v>Normal</v>
      </c>
      <c r="BG121" t="str">
        <f t="shared" si="3"/>
        <v>Normal</v>
      </c>
    </row>
    <row r="122" spans="1:59" x14ac:dyDescent="0.2">
      <c r="A122" t="s">
        <v>42</v>
      </c>
      <c r="B122" t="s">
        <v>43</v>
      </c>
      <c r="C122">
        <v>20200101</v>
      </c>
      <c r="D122">
        <v>2020</v>
      </c>
      <c r="E122">
        <v>52</v>
      </c>
      <c r="F122" t="s">
        <v>271</v>
      </c>
      <c r="G122">
        <v>156</v>
      </c>
      <c r="H122" t="s">
        <v>96</v>
      </c>
      <c r="I122" t="s">
        <v>97</v>
      </c>
      <c r="J122" t="s">
        <v>47</v>
      </c>
      <c r="K122" t="s">
        <v>48</v>
      </c>
      <c r="L122">
        <v>0</v>
      </c>
      <c r="M122" t="s">
        <v>49</v>
      </c>
      <c r="N122" t="s">
        <v>50</v>
      </c>
      <c r="O122">
        <v>0</v>
      </c>
      <c r="P122" t="s">
        <v>49</v>
      </c>
      <c r="Q122" t="s">
        <v>50</v>
      </c>
      <c r="R122" t="s">
        <v>51</v>
      </c>
      <c r="S122" t="s">
        <v>52</v>
      </c>
      <c r="T122" t="b">
        <v>1</v>
      </c>
      <c r="U122" t="s">
        <v>53</v>
      </c>
      <c r="V122" t="s">
        <v>54</v>
      </c>
      <c r="W122">
        <v>4</v>
      </c>
      <c r="X122" t="b">
        <v>0</v>
      </c>
      <c r="Y122" t="s">
        <v>55</v>
      </c>
      <c r="Z122" t="s">
        <v>56</v>
      </c>
      <c r="AA122" t="s">
        <v>57</v>
      </c>
      <c r="AB122">
        <v>0</v>
      </c>
      <c r="AC122" t="s">
        <v>58</v>
      </c>
      <c r="AD122">
        <v>8</v>
      </c>
      <c r="AE122" t="s">
        <v>59</v>
      </c>
      <c r="AF122">
        <v>1638107900</v>
      </c>
      <c r="AG122" t="b">
        <v>0</v>
      </c>
      <c r="AH122">
        <v>8</v>
      </c>
      <c r="AI122" t="s">
        <v>59</v>
      </c>
      <c r="AJ122">
        <v>1638107900</v>
      </c>
      <c r="AK122" t="b">
        <v>0</v>
      </c>
      <c r="AL122">
        <v>1638107900</v>
      </c>
      <c r="AM122" t="b">
        <v>0</v>
      </c>
      <c r="AN122">
        <v>0</v>
      </c>
      <c r="AO122" t="b">
        <v>0</v>
      </c>
      <c r="AP122">
        <v>0</v>
      </c>
      <c r="AQ122">
        <v>481625542</v>
      </c>
      <c r="AR122">
        <v>481625542</v>
      </c>
      <c r="AS122">
        <v>0</v>
      </c>
      <c r="AT122" t="b">
        <v>0</v>
      </c>
      <c r="AU122" t="b">
        <v>1</v>
      </c>
      <c r="BA122" t="str">
        <f t="shared" si="2"/>
        <v>Normal</v>
      </c>
      <c r="BG122" t="str">
        <f t="shared" si="3"/>
        <v>Normal</v>
      </c>
    </row>
    <row r="123" spans="1:59" x14ac:dyDescent="0.2">
      <c r="A123" t="s">
        <v>42</v>
      </c>
      <c r="B123" t="s">
        <v>43</v>
      </c>
      <c r="C123">
        <v>20200101</v>
      </c>
      <c r="D123">
        <v>2020</v>
      </c>
      <c r="E123">
        <v>52</v>
      </c>
      <c r="F123" t="s">
        <v>271</v>
      </c>
      <c r="G123">
        <v>170</v>
      </c>
      <c r="H123" t="s">
        <v>98</v>
      </c>
      <c r="I123" t="s">
        <v>99</v>
      </c>
      <c r="J123" t="s">
        <v>47</v>
      </c>
      <c r="K123" t="s">
        <v>48</v>
      </c>
      <c r="L123">
        <v>0</v>
      </c>
      <c r="M123" t="s">
        <v>49</v>
      </c>
      <c r="N123" t="s">
        <v>50</v>
      </c>
      <c r="O123">
        <v>0</v>
      </c>
      <c r="P123" t="s">
        <v>49</v>
      </c>
      <c r="Q123" t="s">
        <v>50</v>
      </c>
      <c r="R123" t="s">
        <v>51</v>
      </c>
      <c r="S123" t="s">
        <v>52</v>
      </c>
      <c r="T123" t="b">
        <v>1</v>
      </c>
      <c r="U123" t="s">
        <v>53</v>
      </c>
      <c r="V123" t="s">
        <v>54</v>
      </c>
      <c r="W123">
        <v>4</v>
      </c>
      <c r="X123" t="b">
        <v>0</v>
      </c>
      <c r="Y123" t="s">
        <v>55</v>
      </c>
      <c r="Z123" t="s">
        <v>56</v>
      </c>
      <c r="AA123" t="s">
        <v>57</v>
      </c>
      <c r="AB123">
        <v>0</v>
      </c>
      <c r="AC123" t="s">
        <v>58</v>
      </c>
      <c r="AD123">
        <v>8</v>
      </c>
      <c r="AE123" t="s">
        <v>59</v>
      </c>
      <c r="AF123">
        <v>29252405120</v>
      </c>
      <c r="AG123" t="b">
        <v>0</v>
      </c>
      <c r="AH123">
        <v>12</v>
      </c>
      <c r="AI123" t="s">
        <v>70</v>
      </c>
      <c r="AJ123">
        <v>31640354.379999999</v>
      </c>
      <c r="AK123" t="b">
        <v>0</v>
      </c>
      <c r="AL123">
        <v>29252405120</v>
      </c>
      <c r="AM123" t="b">
        <v>0</v>
      </c>
      <c r="AN123">
        <v>0</v>
      </c>
      <c r="AO123" t="b">
        <v>0</v>
      </c>
      <c r="AP123">
        <v>0</v>
      </c>
      <c r="AQ123">
        <v>7130106325.3500004</v>
      </c>
      <c r="AR123">
        <v>7130106325.3500004</v>
      </c>
      <c r="AS123">
        <v>0</v>
      </c>
      <c r="AT123" t="b">
        <v>0</v>
      </c>
      <c r="AU123" t="b">
        <v>1</v>
      </c>
      <c r="BA123" t="str">
        <f t="shared" si="2"/>
        <v>Normal</v>
      </c>
      <c r="BG123" t="str">
        <f t="shared" si="3"/>
        <v>Normal</v>
      </c>
    </row>
    <row r="124" spans="1:59" x14ac:dyDescent="0.2">
      <c r="A124" t="s">
        <v>42</v>
      </c>
      <c r="B124" t="s">
        <v>43</v>
      </c>
      <c r="C124">
        <v>20200101</v>
      </c>
      <c r="D124">
        <v>2020</v>
      </c>
      <c r="E124">
        <v>52</v>
      </c>
      <c r="F124" t="s">
        <v>271</v>
      </c>
      <c r="G124">
        <v>178</v>
      </c>
      <c r="H124" t="s">
        <v>100</v>
      </c>
      <c r="I124" t="s">
        <v>101</v>
      </c>
      <c r="J124" t="s">
        <v>47</v>
      </c>
      <c r="K124" t="s">
        <v>48</v>
      </c>
      <c r="L124">
        <v>0</v>
      </c>
      <c r="M124" t="s">
        <v>49</v>
      </c>
      <c r="N124" t="s">
        <v>50</v>
      </c>
      <c r="O124">
        <v>0</v>
      </c>
      <c r="P124" t="s">
        <v>49</v>
      </c>
      <c r="Q124" t="s">
        <v>50</v>
      </c>
      <c r="R124" t="s">
        <v>51</v>
      </c>
      <c r="S124" t="s">
        <v>52</v>
      </c>
      <c r="T124" t="b">
        <v>1</v>
      </c>
      <c r="U124" t="s">
        <v>53</v>
      </c>
      <c r="V124" t="s">
        <v>54</v>
      </c>
      <c r="W124">
        <v>4</v>
      </c>
      <c r="X124" t="b">
        <v>0</v>
      </c>
      <c r="Y124" t="s">
        <v>55</v>
      </c>
      <c r="Z124" t="s">
        <v>56</v>
      </c>
      <c r="AA124" t="s">
        <v>57</v>
      </c>
      <c r="AB124">
        <v>0</v>
      </c>
      <c r="AC124" t="s">
        <v>58</v>
      </c>
      <c r="AD124">
        <v>8</v>
      </c>
      <c r="AE124" t="s">
        <v>59</v>
      </c>
      <c r="AF124">
        <v>8650148349</v>
      </c>
      <c r="AG124" t="b">
        <v>0</v>
      </c>
      <c r="AH124">
        <v>8</v>
      </c>
      <c r="AI124" t="s">
        <v>59</v>
      </c>
      <c r="AJ124">
        <v>8650148349</v>
      </c>
      <c r="AK124" t="b">
        <v>0</v>
      </c>
      <c r="AL124">
        <v>8650148349</v>
      </c>
      <c r="AM124" t="b">
        <v>0</v>
      </c>
      <c r="AN124">
        <v>0</v>
      </c>
      <c r="AO124" t="b">
        <v>0</v>
      </c>
      <c r="AP124">
        <v>0</v>
      </c>
      <c r="AQ124">
        <v>3448746965.6500001</v>
      </c>
      <c r="AR124">
        <v>3448746965.6500001</v>
      </c>
      <c r="AS124">
        <v>0</v>
      </c>
      <c r="AT124" t="b">
        <v>0</v>
      </c>
      <c r="AU124" t="b">
        <v>1</v>
      </c>
      <c r="BA124" t="str">
        <f t="shared" si="2"/>
        <v>Normal</v>
      </c>
      <c r="BG124" t="str">
        <f t="shared" si="3"/>
        <v>Normal</v>
      </c>
    </row>
    <row r="125" spans="1:59" x14ac:dyDescent="0.2">
      <c r="A125" t="s">
        <v>42</v>
      </c>
      <c r="B125" t="s">
        <v>43</v>
      </c>
      <c r="C125">
        <v>20200101</v>
      </c>
      <c r="D125">
        <v>2020</v>
      </c>
      <c r="E125">
        <v>52</v>
      </c>
      <c r="F125" t="s">
        <v>271</v>
      </c>
      <c r="G125">
        <v>191</v>
      </c>
      <c r="H125" t="s">
        <v>105</v>
      </c>
      <c r="I125" t="s">
        <v>106</v>
      </c>
      <c r="J125" t="s">
        <v>47</v>
      </c>
      <c r="K125" t="s">
        <v>48</v>
      </c>
      <c r="L125">
        <v>0</v>
      </c>
      <c r="M125" t="s">
        <v>49</v>
      </c>
      <c r="N125" t="s">
        <v>50</v>
      </c>
      <c r="O125">
        <v>0</v>
      </c>
      <c r="P125" t="s">
        <v>49</v>
      </c>
      <c r="Q125" t="s">
        <v>50</v>
      </c>
      <c r="R125" t="s">
        <v>51</v>
      </c>
      <c r="S125" t="s">
        <v>52</v>
      </c>
      <c r="T125" t="b">
        <v>1</v>
      </c>
      <c r="U125" t="s">
        <v>53</v>
      </c>
      <c r="V125" t="s">
        <v>54</v>
      </c>
      <c r="W125">
        <v>4</v>
      </c>
      <c r="X125" t="b">
        <v>0</v>
      </c>
      <c r="Y125" t="s">
        <v>55</v>
      </c>
      <c r="Z125" t="s">
        <v>56</v>
      </c>
      <c r="AA125" t="s">
        <v>57</v>
      </c>
      <c r="AB125">
        <v>0</v>
      </c>
      <c r="AC125" t="s">
        <v>58</v>
      </c>
      <c r="AD125">
        <v>8</v>
      </c>
      <c r="AE125" t="s">
        <v>59</v>
      </c>
      <c r="AF125">
        <v>2032590010</v>
      </c>
      <c r="AG125" t="b">
        <v>0</v>
      </c>
      <c r="AH125">
        <v>8</v>
      </c>
      <c r="AI125" t="s">
        <v>59</v>
      </c>
      <c r="AJ125">
        <v>2032590010</v>
      </c>
      <c r="AK125" t="b">
        <v>0</v>
      </c>
      <c r="AL125">
        <v>2032590010</v>
      </c>
      <c r="AM125" t="b">
        <v>0</v>
      </c>
      <c r="AN125">
        <v>0</v>
      </c>
      <c r="AO125" t="b">
        <v>0</v>
      </c>
      <c r="AP125">
        <v>0</v>
      </c>
      <c r="AQ125">
        <v>635252576</v>
      </c>
      <c r="AR125">
        <v>635252576</v>
      </c>
      <c r="AS125">
        <v>0</v>
      </c>
      <c r="AT125" t="b">
        <v>0</v>
      </c>
      <c r="AU125" t="b">
        <v>1</v>
      </c>
      <c r="BA125" t="str">
        <f t="shared" si="2"/>
        <v>Normal</v>
      </c>
      <c r="BG125" t="str">
        <f t="shared" si="3"/>
        <v>Normal</v>
      </c>
    </row>
    <row r="126" spans="1:59" x14ac:dyDescent="0.2">
      <c r="A126" t="s">
        <v>42</v>
      </c>
      <c r="B126" t="s">
        <v>43</v>
      </c>
      <c r="C126">
        <v>20200101</v>
      </c>
      <c r="D126">
        <v>2020</v>
      </c>
      <c r="E126">
        <v>52</v>
      </c>
      <c r="F126" t="s">
        <v>271</v>
      </c>
      <c r="G126">
        <v>192</v>
      </c>
      <c r="H126" t="s">
        <v>274</v>
      </c>
      <c r="I126" t="s">
        <v>275</v>
      </c>
      <c r="J126" t="s">
        <v>47</v>
      </c>
      <c r="K126" t="s">
        <v>48</v>
      </c>
      <c r="L126">
        <v>0</v>
      </c>
      <c r="M126" t="s">
        <v>49</v>
      </c>
      <c r="N126" t="s">
        <v>50</v>
      </c>
      <c r="O126">
        <v>0</v>
      </c>
      <c r="P126" t="s">
        <v>49</v>
      </c>
      <c r="Q126" t="s">
        <v>50</v>
      </c>
      <c r="R126" t="s">
        <v>51</v>
      </c>
      <c r="S126" t="s">
        <v>52</v>
      </c>
      <c r="T126" t="b">
        <v>1</v>
      </c>
      <c r="U126" t="s">
        <v>53</v>
      </c>
      <c r="V126" t="s">
        <v>54</v>
      </c>
      <c r="W126">
        <v>4</v>
      </c>
      <c r="X126" t="b">
        <v>0</v>
      </c>
      <c r="Y126" t="s">
        <v>55</v>
      </c>
      <c r="Z126" t="s">
        <v>56</v>
      </c>
      <c r="AA126" t="s">
        <v>57</v>
      </c>
      <c r="AB126">
        <v>0</v>
      </c>
      <c r="AC126" t="s">
        <v>58</v>
      </c>
      <c r="AD126">
        <v>8</v>
      </c>
      <c r="AE126" t="s">
        <v>59</v>
      </c>
      <c r="AF126">
        <v>73910099.5</v>
      </c>
      <c r="AG126" t="b">
        <v>0</v>
      </c>
      <c r="AH126">
        <v>21</v>
      </c>
      <c r="AI126" t="s">
        <v>170</v>
      </c>
      <c r="AJ126">
        <v>73910.099000000002</v>
      </c>
      <c r="AK126" t="b">
        <v>0</v>
      </c>
      <c r="AL126">
        <v>73910099.5</v>
      </c>
      <c r="AM126" t="b">
        <v>0</v>
      </c>
      <c r="AN126">
        <v>0</v>
      </c>
      <c r="AO126" t="b">
        <v>0</v>
      </c>
      <c r="AQ126">
        <v>10079429.92</v>
      </c>
      <c r="AR126">
        <v>10079429.92</v>
      </c>
      <c r="AS126">
        <v>0</v>
      </c>
      <c r="AT126" t="b">
        <v>0</v>
      </c>
      <c r="AU126" t="b">
        <v>1</v>
      </c>
      <c r="BA126" t="str">
        <f t="shared" si="2"/>
        <v>Normal</v>
      </c>
      <c r="BG126" t="str">
        <f t="shared" si="3"/>
        <v>Normal</v>
      </c>
    </row>
    <row r="127" spans="1:59" x14ac:dyDescent="0.2">
      <c r="A127" t="s">
        <v>42</v>
      </c>
      <c r="B127" t="s">
        <v>43</v>
      </c>
      <c r="C127">
        <v>20200101</v>
      </c>
      <c r="D127">
        <v>2020</v>
      </c>
      <c r="E127">
        <v>52</v>
      </c>
      <c r="F127" t="s">
        <v>271</v>
      </c>
      <c r="G127">
        <v>203</v>
      </c>
      <c r="H127" t="s">
        <v>107</v>
      </c>
      <c r="I127" t="s">
        <v>108</v>
      </c>
      <c r="J127" t="s">
        <v>47</v>
      </c>
      <c r="K127" t="s">
        <v>48</v>
      </c>
      <c r="L127">
        <v>0</v>
      </c>
      <c r="M127" t="s">
        <v>49</v>
      </c>
      <c r="N127" t="s">
        <v>50</v>
      </c>
      <c r="O127">
        <v>0</v>
      </c>
      <c r="P127" t="s">
        <v>49</v>
      </c>
      <c r="Q127" t="s">
        <v>50</v>
      </c>
      <c r="R127" t="s">
        <v>51</v>
      </c>
      <c r="S127" t="s">
        <v>52</v>
      </c>
      <c r="T127" t="b">
        <v>1</v>
      </c>
      <c r="U127" t="s">
        <v>53</v>
      </c>
      <c r="V127" t="s">
        <v>54</v>
      </c>
      <c r="W127">
        <v>4</v>
      </c>
      <c r="X127" t="b">
        <v>0</v>
      </c>
      <c r="Y127" t="s">
        <v>55</v>
      </c>
      <c r="Z127" t="s">
        <v>56</v>
      </c>
      <c r="AA127" t="s">
        <v>57</v>
      </c>
      <c r="AB127">
        <v>0</v>
      </c>
      <c r="AC127" t="s">
        <v>58</v>
      </c>
      <c r="AD127">
        <v>8</v>
      </c>
      <c r="AE127" t="s">
        <v>59</v>
      </c>
      <c r="AF127">
        <v>373</v>
      </c>
      <c r="AG127" t="b">
        <v>0</v>
      </c>
      <c r="AH127">
        <v>8</v>
      </c>
      <c r="AI127" t="s">
        <v>59</v>
      </c>
      <c r="AJ127">
        <v>373</v>
      </c>
      <c r="AK127" t="b">
        <v>0</v>
      </c>
      <c r="AL127">
        <v>373</v>
      </c>
      <c r="AM127" t="b">
        <v>0</v>
      </c>
      <c r="AN127">
        <v>0</v>
      </c>
      <c r="AO127" t="b">
        <v>0</v>
      </c>
      <c r="AP127">
        <v>0</v>
      </c>
      <c r="AQ127">
        <v>7621</v>
      </c>
      <c r="AR127">
        <v>7621</v>
      </c>
      <c r="AS127">
        <v>0</v>
      </c>
      <c r="AT127" t="b">
        <v>0</v>
      </c>
      <c r="AU127" t="b">
        <v>1</v>
      </c>
      <c r="BA127" t="str">
        <f t="shared" si="2"/>
        <v>Normal</v>
      </c>
      <c r="BG127" t="str">
        <f t="shared" si="3"/>
        <v>Normal</v>
      </c>
    </row>
    <row r="128" spans="1:59" x14ac:dyDescent="0.2">
      <c r="A128" t="s">
        <v>42</v>
      </c>
      <c r="B128" t="s">
        <v>43</v>
      </c>
      <c r="C128">
        <v>20200101</v>
      </c>
      <c r="D128">
        <v>2020</v>
      </c>
      <c r="E128">
        <v>52</v>
      </c>
      <c r="F128" t="s">
        <v>271</v>
      </c>
      <c r="G128">
        <v>208</v>
      </c>
      <c r="H128" t="s">
        <v>109</v>
      </c>
      <c r="I128" t="s">
        <v>110</v>
      </c>
      <c r="J128" t="s">
        <v>47</v>
      </c>
      <c r="K128" t="s">
        <v>48</v>
      </c>
      <c r="L128">
        <v>0</v>
      </c>
      <c r="M128" t="s">
        <v>49</v>
      </c>
      <c r="N128" t="s">
        <v>50</v>
      </c>
      <c r="O128">
        <v>0</v>
      </c>
      <c r="P128" t="s">
        <v>49</v>
      </c>
      <c r="Q128" t="s">
        <v>50</v>
      </c>
      <c r="R128" t="s">
        <v>51</v>
      </c>
      <c r="S128" t="s">
        <v>52</v>
      </c>
      <c r="T128" t="b">
        <v>1</v>
      </c>
      <c r="U128" t="s">
        <v>53</v>
      </c>
      <c r="V128" t="s">
        <v>54</v>
      </c>
      <c r="W128">
        <v>4</v>
      </c>
      <c r="X128" t="b">
        <v>0</v>
      </c>
      <c r="Y128" t="s">
        <v>55</v>
      </c>
      <c r="Z128" t="s">
        <v>56</v>
      </c>
      <c r="AA128" t="s">
        <v>57</v>
      </c>
      <c r="AB128">
        <v>0</v>
      </c>
      <c r="AC128" t="s">
        <v>58</v>
      </c>
      <c r="AD128">
        <v>8</v>
      </c>
      <c r="AE128" t="s">
        <v>59</v>
      </c>
      <c r="AF128">
        <v>1003573837</v>
      </c>
      <c r="AG128" t="b">
        <v>0</v>
      </c>
      <c r="AH128">
        <v>8</v>
      </c>
      <c r="AI128" t="s">
        <v>59</v>
      </c>
      <c r="AJ128">
        <v>1003573837</v>
      </c>
      <c r="AK128" t="b">
        <v>0</v>
      </c>
      <c r="AL128">
        <v>1003573837</v>
      </c>
      <c r="AM128" t="b">
        <v>0</v>
      </c>
      <c r="AN128">
        <v>0</v>
      </c>
      <c r="AO128" t="b">
        <v>0</v>
      </c>
      <c r="AP128">
        <v>0</v>
      </c>
      <c r="AQ128">
        <v>279519317.83999997</v>
      </c>
      <c r="AR128">
        <v>279519317.83999997</v>
      </c>
      <c r="AS128">
        <v>0</v>
      </c>
      <c r="AT128" t="b">
        <v>0</v>
      </c>
      <c r="AU128" t="b">
        <v>1</v>
      </c>
      <c r="BA128" t="str">
        <f t="shared" si="2"/>
        <v>Normal</v>
      </c>
      <c r="BG128" t="str">
        <f t="shared" si="3"/>
        <v>Normal</v>
      </c>
    </row>
    <row r="129" spans="1:59" x14ac:dyDescent="0.2">
      <c r="A129" t="s">
        <v>42</v>
      </c>
      <c r="B129" t="s">
        <v>43</v>
      </c>
      <c r="C129">
        <v>20200101</v>
      </c>
      <c r="D129">
        <v>2020</v>
      </c>
      <c r="E129">
        <v>52</v>
      </c>
      <c r="F129" t="s">
        <v>271</v>
      </c>
      <c r="G129">
        <v>218</v>
      </c>
      <c r="H129" t="s">
        <v>113</v>
      </c>
      <c r="I129" t="s">
        <v>114</v>
      </c>
      <c r="J129" t="s">
        <v>47</v>
      </c>
      <c r="K129" t="s">
        <v>48</v>
      </c>
      <c r="L129">
        <v>0</v>
      </c>
      <c r="M129" t="s">
        <v>49</v>
      </c>
      <c r="N129" t="s">
        <v>50</v>
      </c>
      <c r="O129">
        <v>0</v>
      </c>
      <c r="P129" t="s">
        <v>49</v>
      </c>
      <c r="Q129" t="s">
        <v>50</v>
      </c>
      <c r="R129" t="s">
        <v>51</v>
      </c>
      <c r="S129" t="s">
        <v>52</v>
      </c>
      <c r="T129" t="b">
        <v>1</v>
      </c>
      <c r="U129" t="s">
        <v>53</v>
      </c>
      <c r="V129" t="s">
        <v>54</v>
      </c>
      <c r="W129">
        <v>4</v>
      </c>
      <c r="X129" t="b">
        <v>0</v>
      </c>
      <c r="Y129" t="s">
        <v>55</v>
      </c>
      <c r="Z129" t="s">
        <v>56</v>
      </c>
      <c r="AA129" t="s">
        <v>57</v>
      </c>
      <c r="AB129">
        <v>0</v>
      </c>
      <c r="AC129" t="s">
        <v>58</v>
      </c>
      <c r="AD129">
        <v>-1</v>
      </c>
      <c r="AE129" t="s">
        <v>73</v>
      </c>
      <c r="AF129">
        <v>0</v>
      </c>
      <c r="AG129" t="b">
        <v>1</v>
      </c>
      <c r="AH129">
        <v>-1</v>
      </c>
      <c r="AI129" t="s">
        <v>73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P129">
        <v>0</v>
      </c>
      <c r="AQ129">
        <v>4684794164.5900002</v>
      </c>
      <c r="AR129">
        <v>4684794164.5900002</v>
      </c>
      <c r="AS129">
        <v>6</v>
      </c>
      <c r="AT129" t="b">
        <v>0</v>
      </c>
      <c r="AU129" t="b">
        <v>1</v>
      </c>
      <c r="BA129" t="str">
        <f t="shared" si="2"/>
        <v>Normal</v>
      </c>
      <c r="BG129" t="str">
        <f t="shared" si="3"/>
        <v>Normal</v>
      </c>
    </row>
    <row r="130" spans="1:59" x14ac:dyDescent="0.2">
      <c r="A130" t="s">
        <v>42</v>
      </c>
      <c r="B130" t="s">
        <v>43</v>
      </c>
      <c r="C130">
        <v>20200101</v>
      </c>
      <c r="D130">
        <v>2020</v>
      </c>
      <c r="E130">
        <v>52</v>
      </c>
      <c r="F130" t="s">
        <v>271</v>
      </c>
      <c r="G130">
        <v>233</v>
      </c>
      <c r="H130" t="s">
        <v>117</v>
      </c>
      <c r="I130" t="s">
        <v>118</v>
      </c>
      <c r="J130" t="s">
        <v>47</v>
      </c>
      <c r="K130" t="s">
        <v>48</v>
      </c>
      <c r="L130">
        <v>0</v>
      </c>
      <c r="M130" t="s">
        <v>49</v>
      </c>
      <c r="N130" t="s">
        <v>50</v>
      </c>
      <c r="O130">
        <v>0</v>
      </c>
      <c r="P130" t="s">
        <v>49</v>
      </c>
      <c r="Q130" t="s">
        <v>50</v>
      </c>
      <c r="R130" t="s">
        <v>51</v>
      </c>
      <c r="S130" t="s">
        <v>52</v>
      </c>
      <c r="T130" t="b">
        <v>1</v>
      </c>
      <c r="U130" t="s">
        <v>53</v>
      </c>
      <c r="V130" t="s">
        <v>54</v>
      </c>
      <c r="W130">
        <v>4</v>
      </c>
      <c r="X130" t="b">
        <v>0</v>
      </c>
      <c r="Y130" t="s">
        <v>55</v>
      </c>
      <c r="Z130" t="s">
        <v>56</v>
      </c>
      <c r="AA130" t="s">
        <v>57</v>
      </c>
      <c r="AB130">
        <v>0</v>
      </c>
      <c r="AC130" t="s">
        <v>58</v>
      </c>
      <c r="AD130">
        <v>8</v>
      </c>
      <c r="AE130" t="s">
        <v>59</v>
      </c>
      <c r="AF130">
        <v>7846586.6500000004</v>
      </c>
      <c r="AG130" t="b">
        <v>0</v>
      </c>
      <c r="AH130">
        <v>8</v>
      </c>
      <c r="AI130" t="s">
        <v>59</v>
      </c>
      <c r="AJ130">
        <v>7846586.6500000004</v>
      </c>
      <c r="AK130" t="b">
        <v>0</v>
      </c>
      <c r="AL130">
        <v>7846586.6500000004</v>
      </c>
      <c r="AM130" t="b">
        <v>0</v>
      </c>
      <c r="AN130">
        <v>0</v>
      </c>
      <c r="AO130" t="b">
        <v>0</v>
      </c>
      <c r="AQ130">
        <v>2907914.98</v>
      </c>
      <c r="AR130">
        <v>2907914.98</v>
      </c>
      <c r="AS130">
        <v>0</v>
      </c>
      <c r="AT130" t="b">
        <v>0</v>
      </c>
      <c r="AU130" t="b">
        <v>1</v>
      </c>
      <c r="BA130" t="str">
        <f t="shared" si="2"/>
        <v>Normal</v>
      </c>
      <c r="BG130" t="str">
        <f t="shared" si="3"/>
        <v>Normal</v>
      </c>
    </row>
    <row r="131" spans="1:59" x14ac:dyDescent="0.2">
      <c r="A131" t="s">
        <v>42</v>
      </c>
      <c r="B131" t="s">
        <v>43</v>
      </c>
      <c r="C131">
        <v>20200101</v>
      </c>
      <c r="D131">
        <v>2020</v>
      </c>
      <c r="E131">
        <v>52</v>
      </c>
      <c r="F131" t="s">
        <v>271</v>
      </c>
      <c r="G131">
        <v>242</v>
      </c>
      <c r="H131" t="s">
        <v>119</v>
      </c>
      <c r="I131" t="s">
        <v>120</v>
      </c>
      <c r="J131" t="s">
        <v>47</v>
      </c>
      <c r="K131" t="s">
        <v>48</v>
      </c>
      <c r="L131">
        <v>0</v>
      </c>
      <c r="M131" t="s">
        <v>49</v>
      </c>
      <c r="N131" t="s">
        <v>50</v>
      </c>
      <c r="O131">
        <v>0</v>
      </c>
      <c r="P131" t="s">
        <v>49</v>
      </c>
      <c r="Q131" t="s">
        <v>50</v>
      </c>
      <c r="R131" t="s">
        <v>51</v>
      </c>
      <c r="S131" t="s">
        <v>52</v>
      </c>
      <c r="T131" t="b">
        <v>1</v>
      </c>
      <c r="U131" t="s">
        <v>53</v>
      </c>
      <c r="V131" t="s">
        <v>54</v>
      </c>
      <c r="W131">
        <v>4</v>
      </c>
      <c r="X131" t="b">
        <v>0</v>
      </c>
      <c r="Y131" t="s">
        <v>55</v>
      </c>
      <c r="Z131" t="s">
        <v>56</v>
      </c>
      <c r="AA131" t="s">
        <v>57</v>
      </c>
      <c r="AB131">
        <v>0</v>
      </c>
      <c r="AC131" t="s">
        <v>58</v>
      </c>
      <c r="AD131">
        <v>8</v>
      </c>
      <c r="AE131" t="s">
        <v>59</v>
      </c>
      <c r="AF131">
        <v>974851.29599999997</v>
      </c>
      <c r="AG131" t="b">
        <v>1</v>
      </c>
      <c r="AH131">
        <v>-1</v>
      </c>
      <c r="AI131" t="s">
        <v>73</v>
      </c>
      <c r="AJ131">
        <v>0</v>
      </c>
      <c r="AK131" t="b">
        <v>0</v>
      </c>
      <c r="AL131">
        <v>974851.29599999997</v>
      </c>
      <c r="AM131" t="b">
        <v>1</v>
      </c>
      <c r="AN131">
        <v>0</v>
      </c>
      <c r="AO131" t="b">
        <v>0</v>
      </c>
      <c r="AP131">
        <v>0</v>
      </c>
      <c r="AQ131">
        <v>868602.28</v>
      </c>
      <c r="AR131">
        <v>868602.28</v>
      </c>
      <c r="AS131">
        <v>6</v>
      </c>
      <c r="AT131" t="b">
        <v>0</v>
      </c>
      <c r="AU131" t="b">
        <v>1</v>
      </c>
      <c r="BA131" t="str">
        <f t="shared" ref="BA131:BA194" si="4">IF(OR(AJ131&lt;AY131,AJ705&gt;AZ131),"Outlier","Normal")</f>
        <v>Normal</v>
      </c>
      <c r="BG131" t="str">
        <f t="shared" ref="BG131:BG194" si="5">IF(OR(AQ131&lt;BE131,AQ705&gt;BF131),"Outlier","Normal")</f>
        <v>Normal</v>
      </c>
    </row>
    <row r="132" spans="1:59" x14ac:dyDescent="0.2">
      <c r="A132" t="s">
        <v>42</v>
      </c>
      <c r="B132" t="s">
        <v>43</v>
      </c>
      <c r="C132">
        <v>20200101</v>
      </c>
      <c r="D132">
        <v>2020</v>
      </c>
      <c r="E132">
        <v>52</v>
      </c>
      <c r="F132" t="s">
        <v>271</v>
      </c>
      <c r="G132">
        <v>246</v>
      </c>
      <c r="H132" t="s">
        <v>121</v>
      </c>
      <c r="I132" t="s">
        <v>122</v>
      </c>
      <c r="J132" t="s">
        <v>47</v>
      </c>
      <c r="K132" t="s">
        <v>48</v>
      </c>
      <c r="L132">
        <v>0</v>
      </c>
      <c r="M132" t="s">
        <v>49</v>
      </c>
      <c r="N132" t="s">
        <v>50</v>
      </c>
      <c r="O132">
        <v>0</v>
      </c>
      <c r="P132" t="s">
        <v>49</v>
      </c>
      <c r="Q132" t="s">
        <v>50</v>
      </c>
      <c r="R132" t="s">
        <v>51</v>
      </c>
      <c r="S132" t="s">
        <v>52</v>
      </c>
      <c r="T132" t="b">
        <v>1</v>
      </c>
      <c r="U132" t="s">
        <v>53</v>
      </c>
      <c r="V132" t="s">
        <v>54</v>
      </c>
      <c r="W132">
        <v>4</v>
      </c>
      <c r="X132" t="b">
        <v>0</v>
      </c>
      <c r="Y132" t="s">
        <v>55</v>
      </c>
      <c r="Z132" t="s">
        <v>56</v>
      </c>
      <c r="AA132" t="s">
        <v>57</v>
      </c>
      <c r="AB132">
        <v>0</v>
      </c>
      <c r="AC132" t="s">
        <v>58</v>
      </c>
      <c r="AD132">
        <v>8</v>
      </c>
      <c r="AE132" t="s">
        <v>59</v>
      </c>
      <c r="AF132">
        <v>46332</v>
      </c>
      <c r="AG132" t="b">
        <v>0</v>
      </c>
      <c r="AH132">
        <v>8</v>
      </c>
      <c r="AI132" t="s">
        <v>59</v>
      </c>
      <c r="AJ132">
        <v>46332</v>
      </c>
      <c r="AK132" t="b">
        <v>0</v>
      </c>
      <c r="AL132">
        <v>46332</v>
      </c>
      <c r="AM132" t="b">
        <v>0</v>
      </c>
      <c r="AN132">
        <v>0</v>
      </c>
      <c r="AO132" t="b">
        <v>0</v>
      </c>
      <c r="AP132">
        <v>0</v>
      </c>
      <c r="AQ132">
        <v>4106.1949999999997</v>
      </c>
      <c r="AR132">
        <v>4106.1949999999997</v>
      </c>
      <c r="AS132">
        <v>0</v>
      </c>
      <c r="AT132" t="b">
        <v>0</v>
      </c>
      <c r="AU132" t="b">
        <v>1</v>
      </c>
      <c r="BA132" t="str">
        <f t="shared" si="4"/>
        <v>Normal</v>
      </c>
      <c r="BG132" t="str">
        <f t="shared" si="5"/>
        <v>Normal</v>
      </c>
    </row>
    <row r="133" spans="1:59" x14ac:dyDescent="0.2">
      <c r="A133" t="s">
        <v>42</v>
      </c>
      <c r="B133" t="s">
        <v>43</v>
      </c>
      <c r="C133">
        <v>20200101</v>
      </c>
      <c r="D133">
        <v>2020</v>
      </c>
      <c r="E133">
        <v>52</v>
      </c>
      <c r="F133" t="s">
        <v>271</v>
      </c>
      <c r="G133">
        <v>251</v>
      </c>
      <c r="H133" t="s">
        <v>123</v>
      </c>
      <c r="I133" t="s">
        <v>124</v>
      </c>
      <c r="J133" t="s">
        <v>47</v>
      </c>
      <c r="K133" t="s">
        <v>48</v>
      </c>
      <c r="L133">
        <v>0</v>
      </c>
      <c r="M133" t="s">
        <v>49</v>
      </c>
      <c r="N133" t="s">
        <v>50</v>
      </c>
      <c r="O133">
        <v>0</v>
      </c>
      <c r="P133" t="s">
        <v>49</v>
      </c>
      <c r="Q133" t="s">
        <v>50</v>
      </c>
      <c r="R133" t="s">
        <v>51</v>
      </c>
      <c r="S133" t="s">
        <v>52</v>
      </c>
      <c r="T133" t="b">
        <v>1</v>
      </c>
      <c r="U133" t="s">
        <v>53</v>
      </c>
      <c r="V133" t="s">
        <v>54</v>
      </c>
      <c r="W133">
        <v>4</v>
      </c>
      <c r="X133" t="b">
        <v>0</v>
      </c>
      <c r="Y133" t="s">
        <v>55</v>
      </c>
      <c r="Z133" t="s">
        <v>56</v>
      </c>
      <c r="AA133" t="s">
        <v>57</v>
      </c>
      <c r="AB133">
        <v>0</v>
      </c>
      <c r="AC133" t="s">
        <v>58</v>
      </c>
      <c r="AD133">
        <v>-1</v>
      </c>
      <c r="AE133" t="s">
        <v>73</v>
      </c>
      <c r="AF133">
        <v>0</v>
      </c>
      <c r="AG133" t="b">
        <v>0</v>
      </c>
      <c r="AH133">
        <v>-1</v>
      </c>
      <c r="AI133" t="s">
        <v>73</v>
      </c>
      <c r="AJ133">
        <v>0</v>
      </c>
      <c r="AK133" t="b">
        <v>0</v>
      </c>
      <c r="AM133" t="b">
        <v>0</v>
      </c>
      <c r="AN133">
        <v>0</v>
      </c>
      <c r="AO133" t="b">
        <v>0</v>
      </c>
      <c r="AQ133">
        <v>40617567.993000001</v>
      </c>
      <c r="AR133">
        <v>40617567.993000001</v>
      </c>
      <c r="AS133">
        <v>0</v>
      </c>
      <c r="AT133" t="b">
        <v>0</v>
      </c>
      <c r="AU133" t="b">
        <v>1</v>
      </c>
      <c r="BA133" t="str">
        <f t="shared" si="4"/>
        <v>Normal</v>
      </c>
      <c r="BG133" t="str">
        <f t="shared" si="5"/>
        <v>Normal</v>
      </c>
    </row>
    <row r="134" spans="1:59" x14ac:dyDescent="0.2">
      <c r="A134" t="s">
        <v>42</v>
      </c>
      <c r="B134" t="s">
        <v>43</v>
      </c>
      <c r="C134">
        <v>20200101</v>
      </c>
      <c r="D134">
        <v>2020</v>
      </c>
      <c r="E134">
        <v>52</v>
      </c>
      <c r="F134" t="s">
        <v>271</v>
      </c>
      <c r="G134">
        <v>266</v>
      </c>
      <c r="H134" t="s">
        <v>125</v>
      </c>
      <c r="I134" t="s">
        <v>126</v>
      </c>
      <c r="J134" t="s">
        <v>47</v>
      </c>
      <c r="K134" t="s">
        <v>48</v>
      </c>
      <c r="L134">
        <v>0</v>
      </c>
      <c r="M134" t="s">
        <v>49</v>
      </c>
      <c r="N134" t="s">
        <v>50</v>
      </c>
      <c r="O134">
        <v>0</v>
      </c>
      <c r="P134" t="s">
        <v>49</v>
      </c>
      <c r="Q134" t="s">
        <v>50</v>
      </c>
      <c r="R134" t="s">
        <v>51</v>
      </c>
      <c r="S134" t="s">
        <v>52</v>
      </c>
      <c r="T134" t="b">
        <v>1</v>
      </c>
      <c r="U134" t="s">
        <v>53</v>
      </c>
      <c r="V134" t="s">
        <v>54</v>
      </c>
      <c r="W134">
        <v>4</v>
      </c>
      <c r="X134" t="b">
        <v>0</v>
      </c>
      <c r="Y134" t="s">
        <v>55</v>
      </c>
      <c r="Z134" t="s">
        <v>56</v>
      </c>
      <c r="AA134" t="s">
        <v>57</v>
      </c>
      <c r="AB134">
        <v>0</v>
      </c>
      <c r="AC134" t="s">
        <v>58</v>
      </c>
      <c r="AD134">
        <v>8</v>
      </c>
      <c r="AE134" t="s">
        <v>59</v>
      </c>
      <c r="AF134">
        <v>11640938995</v>
      </c>
      <c r="AG134" t="b">
        <v>0</v>
      </c>
      <c r="AH134">
        <v>19</v>
      </c>
      <c r="AI134" t="s">
        <v>60</v>
      </c>
      <c r="AJ134">
        <v>2293479152.1199999</v>
      </c>
      <c r="AK134" t="b">
        <v>0</v>
      </c>
      <c r="AL134">
        <v>11640938995</v>
      </c>
      <c r="AM134" t="b">
        <v>0</v>
      </c>
      <c r="AN134">
        <v>0</v>
      </c>
      <c r="AO134" t="b">
        <v>0</v>
      </c>
      <c r="AQ134">
        <v>3682154879.5929999</v>
      </c>
      <c r="AR134">
        <v>3682154879.5929999</v>
      </c>
      <c r="AS134">
        <v>0</v>
      </c>
      <c r="AT134" t="b">
        <v>0</v>
      </c>
      <c r="AU134" t="b">
        <v>1</v>
      </c>
      <c r="BA134" t="str">
        <f t="shared" si="4"/>
        <v>Normal</v>
      </c>
      <c r="BG134" t="str">
        <f t="shared" si="5"/>
        <v>Normal</v>
      </c>
    </row>
    <row r="135" spans="1:59" x14ac:dyDescent="0.2">
      <c r="A135" t="s">
        <v>42</v>
      </c>
      <c r="B135" t="s">
        <v>43</v>
      </c>
      <c r="C135">
        <v>20200101</v>
      </c>
      <c r="D135">
        <v>2020</v>
      </c>
      <c r="E135">
        <v>52</v>
      </c>
      <c r="F135" t="s">
        <v>271</v>
      </c>
      <c r="G135">
        <v>268</v>
      </c>
      <c r="H135" t="s">
        <v>128</v>
      </c>
      <c r="I135" t="s">
        <v>129</v>
      </c>
      <c r="J135" t="s">
        <v>47</v>
      </c>
      <c r="K135" t="s">
        <v>48</v>
      </c>
      <c r="L135">
        <v>0</v>
      </c>
      <c r="M135" t="s">
        <v>49</v>
      </c>
      <c r="N135" t="s">
        <v>50</v>
      </c>
      <c r="O135">
        <v>0</v>
      </c>
      <c r="P135" t="s">
        <v>49</v>
      </c>
      <c r="Q135" t="s">
        <v>50</v>
      </c>
      <c r="R135" t="s">
        <v>51</v>
      </c>
      <c r="S135" t="s">
        <v>52</v>
      </c>
      <c r="T135" t="b">
        <v>1</v>
      </c>
      <c r="U135" t="s">
        <v>53</v>
      </c>
      <c r="V135" t="s">
        <v>54</v>
      </c>
      <c r="W135">
        <v>4</v>
      </c>
      <c r="X135" t="b">
        <v>0</v>
      </c>
      <c r="Y135" t="s">
        <v>55</v>
      </c>
      <c r="Z135" t="s">
        <v>56</v>
      </c>
      <c r="AA135" t="s">
        <v>57</v>
      </c>
      <c r="AB135">
        <v>0</v>
      </c>
      <c r="AC135" t="s">
        <v>58</v>
      </c>
      <c r="AD135">
        <v>8</v>
      </c>
      <c r="AE135" t="s">
        <v>59</v>
      </c>
      <c r="AF135">
        <v>33.475000000000001</v>
      </c>
      <c r="AG135" t="b">
        <v>1</v>
      </c>
      <c r="AH135">
        <v>-1</v>
      </c>
      <c r="AI135" t="s">
        <v>73</v>
      </c>
      <c r="AJ135">
        <v>0</v>
      </c>
      <c r="AK135" t="b">
        <v>0</v>
      </c>
      <c r="AL135">
        <v>33.475000000000001</v>
      </c>
      <c r="AM135" t="b">
        <v>1</v>
      </c>
      <c r="AN135">
        <v>0</v>
      </c>
      <c r="AO135" t="b">
        <v>0</v>
      </c>
      <c r="AQ135">
        <v>20</v>
      </c>
      <c r="AR135">
        <v>20</v>
      </c>
      <c r="AS135">
        <v>6</v>
      </c>
      <c r="AT135" t="b">
        <v>0</v>
      </c>
      <c r="AU135" t="b">
        <v>1</v>
      </c>
      <c r="BA135" t="str">
        <f t="shared" si="4"/>
        <v>Normal</v>
      </c>
      <c r="BG135" t="str">
        <f t="shared" si="5"/>
        <v>Normal</v>
      </c>
    </row>
    <row r="136" spans="1:59" x14ac:dyDescent="0.2">
      <c r="A136" t="s">
        <v>42</v>
      </c>
      <c r="B136" t="s">
        <v>43</v>
      </c>
      <c r="C136">
        <v>20200101</v>
      </c>
      <c r="D136">
        <v>2020</v>
      </c>
      <c r="E136">
        <v>52</v>
      </c>
      <c r="F136" t="s">
        <v>271</v>
      </c>
      <c r="G136">
        <v>276</v>
      </c>
      <c r="H136" t="s">
        <v>130</v>
      </c>
      <c r="I136" t="s">
        <v>131</v>
      </c>
      <c r="J136" t="s">
        <v>47</v>
      </c>
      <c r="K136" t="s">
        <v>48</v>
      </c>
      <c r="L136">
        <v>0</v>
      </c>
      <c r="M136" t="s">
        <v>49</v>
      </c>
      <c r="N136" t="s">
        <v>50</v>
      </c>
      <c r="O136">
        <v>0</v>
      </c>
      <c r="P136" t="s">
        <v>49</v>
      </c>
      <c r="Q136" t="s">
        <v>50</v>
      </c>
      <c r="R136" t="s">
        <v>51</v>
      </c>
      <c r="S136" t="s">
        <v>52</v>
      </c>
      <c r="T136" t="b">
        <v>1</v>
      </c>
      <c r="U136" t="s">
        <v>53</v>
      </c>
      <c r="V136" t="s">
        <v>54</v>
      </c>
      <c r="W136">
        <v>4</v>
      </c>
      <c r="X136" t="b">
        <v>0</v>
      </c>
      <c r="Y136" t="s">
        <v>55</v>
      </c>
      <c r="Z136" t="s">
        <v>56</v>
      </c>
      <c r="AA136" t="s">
        <v>57</v>
      </c>
      <c r="AB136">
        <v>0</v>
      </c>
      <c r="AC136" t="s">
        <v>58</v>
      </c>
      <c r="AD136">
        <v>8</v>
      </c>
      <c r="AE136" t="s">
        <v>59</v>
      </c>
      <c r="AF136">
        <v>30554440.868000001</v>
      </c>
      <c r="AG136" t="b">
        <v>1</v>
      </c>
      <c r="AH136">
        <v>-1</v>
      </c>
      <c r="AI136" t="s">
        <v>73</v>
      </c>
      <c r="AJ136">
        <v>0</v>
      </c>
      <c r="AK136" t="b">
        <v>0</v>
      </c>
      <c r="AL136">
        <v>30554440.868000001</v>
      </c>
      <c r="AM136" t="b">
        <v>1</v>
      </c>
      <c r="AN136">
        <v>0</v>
      </c>
      <c r="AO136" t="b">
        <v>0</v>
      </c>
      <c r="AP136">
        <v>0</v>
      </c>
      <c r="AQ136">
        <v>7878351.0539999995</v>
      </c>
      <c r="AR136">
        <v>7878351.0539999995</v>
      </c>
      <c r="AS136">
        <v>6</v>
      </c>
      <c r="AT136" t="b">
        <v>0</v>
      </c>
      <c r="AU136" t="b">
        <v>1</v>
      </c>
      <c r="BA136" t="str">
        <f t="shared" si="4"/>
        <v>Normal</v>
      </c>
      <c r="BG136" t="str">
        <f t="shared" si="5"/>
        <v>Normal</v>
      </c>
    </row>
    <row r="137" spans="1:59" x14ac:dyDescent="0.2">
      <c r="A137" t="s">
        <v>42</v>
      </c>
      <c r="B137" t="s">
        <v>43</v>
      </c>
      <c r="C137">
        <v>20200101</v>
      </c>
      <c r="D137">
        <v>2020</v>
      </c>
      <c r="E137">
        <v>52</v>
      </c>
      <c r="F137" t="s">
        <v>271</v>
      </c>
      <c r="G137">
        <v>300</v>
      </c>
      <c r="H137" t="s">
        <v>134</v>
      </c>
      <c r="I137" t="s">
        <v>135</v>
      </c>
      <c r="J137" t="s">
        <v>47</v>
      </c>
      <c r="K137" t="s">
        <v>48</v>
      </c>
      <c r="L137">
        <v>0</v>
      </c>
      <c r="M137" t="s">
        <v>49</v>
      </c>
      <c r="N137" t="s">
        <v>50</v>
      </c>
      <c r="O137">
        <v>0</v>
      </c>
      <c r="P137" t="s">
        <v>49</v>
      </c>
      <c r="Q137" t="s">
        <v>50</v>
      </c>
      <c r="R137" t="s">
        <v>51</v>
      </c>
      <c r="S137" t="s">
        <v>52</v>
      </c>
      <c r="T137" t="b">
        <v>1</v>
      </c>
      <c r="U137" t="s">
        <v>53</v>
      </c>
      <c r="V137" t="s">
        <v>54</v>
      </c>
      <c r="W137">
        <v>4</v>
      </c>
      <c r="X137" t="b">
        <v>0</v>
      </c>
      <c r="Y137" t="s">
        <v>55</v>
      </c>
      <c r="Z137" t="s">
        <v>56</v>
      </c>
      <c r="AA137" t="s">
        <v>57</v>
      </c>
      <c r="AB137">
        <v>0</v>
      </c>
      <c r="AC137" t="s">
        <v>58</v>
      </c>
      <c r="AD137">
        <v>-1</v>
      </c>
      <c r="AE137" t="s">
        <v>73</v>
      </c>
      <c r="AF137">
        <v>0</v>
      </c>
      <c r="AG137" t="b">
        <v>1</v>
      </c>
      <c r="AH137">
        <v>-1</v>
      </c>
      <c r="AI137" t="s">
        <v>73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P137">
        <v>0</v>
      </c>
      <c r="AQ137">
        <v>17274782.467999998</v>
      </c>
      <c r="AR137">
        <v>17274782.467999998</v>
      </c>
      <c r="AS137">
        <v>6</v>
      </c>
      <c r="AT137" t="b">
        <v>0</v>
      </c>
      <c r="AU137" t="b">
        <v>1</v>
      </c>
      <c r="BA137" t="str">
        <f t="shared" si="4"/>
        <v>Normal</v>
      </c>
      <c r="BG137" t="str">
        <f t="shared" si="5"/>
        <v>Normal</v>
      </c>
    </row>
    <row r="138" spans="1:59" x14ac:dyDescent="0.2">
      <c r="A138" t="s">
        <v>42</v>
      </c>
      <c r="B138" t="s">
        <v>43</v>
      </c>
      <c r="C138">
        <v>20200101</v>
      </c>
      <c r="D138">
        <v>2020</v>
      </c>
      <c r="E138">
        <v>52</v>
      </c>
      <c r="F138" t="s">
        <v>271</v>
      </c>
      <c r="G138">
        <v>320</v>
      </c>
      <c r="H138" t="s">
        <v>136</v>
      </c>
      <c r="I138" t="s">
        <v>137</v>
      </c>
      <c r="J138" t="s">
        <v>47</v>
      </c>
      <c r="K138" t="s">
        <v>48</v>
      </c>
      <c r="L138">
        <v>0</v>
      </c>
      <c r="M138" t="s">
        <v>49</v>
      </c>
      <c r="N138" t="s">
        <v>50</v>
      </c>
      <c r="O138">
        <v>0</v>
      </c>
      <c r="P138" t="s">
        <v>49</v>
      </c>
      <c r="Q138" t="s">
        <v>50</v>
      </c>
      <c r="R138" t="s">
        <v>51</v>
      </c>
      <c r="S138" t="s">
        <v>52</v>
      </c>
      <c r="T138" t="b">
        <v>1</v>
      </c>
      <c r="U138" t="s">
        <v>53</v>
      </c>
      <c r="V138" t="s">
        <v>54</v>
      </c>
      <c r="W138">
        <v>4</v>
      </c>
      <c r="X138" t="b">
        <v>0</v>
      </c>
      <c r="Y138" t="s">
        <v>55</v>
      </c>
      <c r="Z138" t="s">
        <v>56</v>
      </c>
      <c r="AA138" t="s">
        <v>57</v>
      </c>
      <c r="AB138">
        <v>0</v>
      </c>
      <c r="AC138" t="s">
        <v>58</v>
      </c>
      <c r="AD138">
        <v>8</v>
      </c>
      <c r="AE138" t="s">
        <v>59</v>
      </c>
      <c r="AF138">
        <v>216579128</v>
      </c>
      <c r="AG138" t="b">
        <v>0</v>
      </c>
      <c r="AH138">
        <v>8</v>
      </c>
      <c r="AI138" t="s">
        <v>59</v>
      </c>
      <c r="AJ138">
        <v>216579128</v>
      </c>
      <c r="AK138" t="b">
        <v>0</v>
      </c>
      <c r="AL138">
        <v>216579128</v>
      </c>
      <c r="AM138" t="b">
        <v>0</v>
      </c>
      <c r="AN138">
        <v>0</v>
      </c>
      <c r="AO138" t="b">
        <v>0</v>
      </c>
      <c r="AP138">
        <v>0</v>
      </c>
      <c r="AQ138">
        <v>62788644</v>
      </c>
      <c r="AR138">
        <v>62788644</v>
      </c>
      <c r="AS138">
        <v>0</v>
      </c>
      <c r="AT138" t="b">
        <v>0</v>
      </c>
      <c r="AU138" t="b">
        <v>1</v>
      </c>
      <c r="BA138" t="str">
        <f t="shared" si="4"/>
        <v>Normal</v>
      </c>
      <c r="BG138" t="str">
        <f t="shared" si="5"/>
        <v>Normal</v>
      </c>
    </row>
    <row r="139" spans="1:59" x14ac:dyDescent="0.2">
      <c r="A139" t="s">
        <v>42</v>
      </c>
      <c r="B139" t="s">
        <v>43</v>
      </c>
      <c r="C139">
        <v>20200101</v>
      </c>
      <c r="D139">
        <v>2020</v>
      </c>
      <c r="E139">
        <v>52</v>
      </c>
      <c r="F139" t="s">
        <v>271</v>
      </c>
      <c r="G139">
        <v>328</v>
      </c>
      <c r="H139" t="s">
        <v>276</v>
      </c>
      <c r="I139" t="s">
        <v>277</v>
      </c>
      <c r="J139" t="s">
        <v>47</v>
      </c>
      <c r="K139" t="s">
        <v>48</v>
      </c>
      <c r="L139">
        <v>0</v>
      </c>
      <c r="M139" t="s">
        <v>49</v>
      </c>
      <c r="N139" t="s">
        <v>50</v>
      </c>
      <c r="O139">
        <v>0</v>
      </c>
      <c r="P139" t="s">
        <v>49</v>
      </c>
      <c r="Q139" t="s">
        <v>50</v>
      </c>
      <c r="R139" t="s">
        <v>51</v>
      </c>
      <c r="S139" t="s">
        <v>52</v>
      </c>
      <c r="T139" t="b">
        <v>1</v>
      </c>
      <c r="U139" t="s">
        <v>53</v>
      </c>
      <c r="V139" t="s">
        <v>54</v>
      </c>
      <c r="W139">
        <v>4</v>
      </c>
      <c r="X139" t="b">
        <v>0</v>
      </c>
      <c r="Y139" t="s">
        <v>55</v>
      </c>
      <c r="Z139" t="s">
        <v>56</v>
      </c>
      <c r="AA139" t="s">
        <v>57</v>
      </c>
      <c r="AB139">
        <v>0</v>
      </c>
      <c r="AC139" t="s">
        <v>58</v>
      </c>
      <c r="AD139">
        <v>8</v>
      </c>
      <c r="AE139" t="s">
        <v>59</v>
      </c>
      <c r="AF139">
        <v>17159060852</v>
      </c>
      <c r="AG139" t="b">
        <v>0</v>
      </c>
      <c r="AH139">
        <v>2</v>
      </c>
      <c r="AI139" t="s">
        <v>278</v>
      </c>
      <c r="AJ139">
        <v>356192971000000</v>
      </c>
      <c r="AK139" t="b">
        <v>0</v>
      </c>
      <c r="AL139">
        <v>17159060852</v>
      </c>
      <c r="AM139" t="b">
        <v>0</v>
      </c>
      <c r="AN139">
        <v>0</v>
      </c>
      <c r="AO139" t="b">
        <v>0</v>
      </c>
      <c r="AQ139">
        <v>2128162637.9749999</v>
      </c>
      <c r="AR139">
        <v>2128162637.9749999</v>
      </c>
      <c r="AS139">
        <v>0</v>
      </c>
      <c r="AT139" t="b">
        <v>0</v>
      </c>
      <c r="AU139" t="b">
        <v>1</v>
      </c>
      <c r="BA139" t="str">
        <f t="shared" si="4"/>
        <v>Normal</v>
      </c>
      <c r="BG139" t="str">
        <f t="shared" si="5"/>
        <v>Normal</v>
      </c>
    </row>
    <row r="140" spans="1:59" x14ac:dyDescent="0.2">
      <c r="A140" t="s">
        <v>42</v>
      </c>
      <c r="B140" t="s">
        <v>43</v>
      </c>
      <c r="C140">
        <v>20200101</v>
      </c>
      <c r="D140">
        <v>2020</v>
      </c>
      <c r="E140">
        <v>52</v>
      </c>
      <c r="F140" t="s">
        <v>271</v>
      </c>
      <c r="G140">
        <v>348</v>
      </c>
      <c r="H140" t="s">
        <v>138</v>
      </c>
      <c r="I140" t="s">
        <v>139</v>
      </c>
      <c r="J140" t="s">
        <v>47</v>
      </c>
      <c r="K140" t="s">
        <v>48</v>
      </c>
      <c r="L140">
        <v>0</v>
      </c>
      <c r="M140" t="s">
        <v>49</v>
      </c>
      <c r="N140" t="s">
        <v>50</v>
      </c>
      <c r="O140">
        <v>0</v>
      </c>
      <c r="P140" t="s">
        <v>49</v>
      </c>
      <c r="Q140" t="s">
        <v>50</v>
      </c>
      <c r="R140" t="s">
        <v>51</v>
      </c>
      <c r="S140" t="s">
        <v>52</v>
      </c>
      <c r="T140" t="b">
        <v>1</v>
      </c>
      <c r="U140" t="s">
        <v>53</v>
      </c>
      <c r="V140" t="s">
        <v>54</v>
      </c>
      <c r="W140">
        <v>4</v>
      </c>
      <c r="X140" t="b">
        <v>0</v>
      </c>
      <c r="Y140" t="s">
        <v>55</v>
      </c>
      <c r="Z140" t="s">
        <v>56</v>
      </c>
      <c r="AA140" t="s">
        <v>57</v>
      </c>
      <c r="AB140">
        <v>0</v>
      </c>
      <c r="AC140" t="s">
        <v>58</v>
      </c>
      <c r="AD140">
        <v>8</v>
      </c>
      <c r="AE140" t="s">
        <v>59</v>
      </c>
      <c r="AF140">
        <v>361309700</v>
      </c>
      <c r="AG140" t="b">
        <v>0</v>
      </c>
      <c r="AH140">
        <v>8</v>
      </c>
      <c r="AI140" t="s">
        <v>59</v>
      </c>
      <c r="AJ140">
        <v>361309700</v>
      </c>
      <c r="AK140" t="b">
        <v>0</v>
      </c>
      <c r="AL140">
        <v>361309700</v>
      </c>
      <c r="AM140" t="b">
        <v>0</v>
      </c>
      <c r="AN140">
        <v>0</v>
      </c>
      <c r="AO140" t="b">
        <v>0</v>
      </c>
      <c r="AP140">
        <v>0</v>
      </c>
      <c r="AQ140">
        <v>110628172</v>
      </c>
      <c r="AR140">
        <v>110628172</v>
      </c>
      <c r="AS140">
        <v>0</v>
      </c>
      <c r="AT140" t="b">
        <v>0</v>
      </c>
      <c r="AU140" t="b">
        <v>1</v>
      </c>
      <c r="BA140" t="str">
        <f t="shared" si="4"/>
        <v>Normal</v>
      </c>
      <c r="BG140" t="str">
        <f t="shared" si="5"/>
        <v>Normal</v>
      </c>
    </row>
    <row r="141" spans="1:59" x14ac:dyDescent="0.2">
      <c r="A141" t="s">
        <v>42</v>
      </c>
      <c r="B141" t="s">
        <v>43</v>
      </c>
      <c r="C141">
        <v>20200101</v>
      </c>
      <c r="D141">
        <v>2020</v>
      </c>
      <c r="E141">
        <v>52</v>
      </c>
      <c r="F141" t="s">
        <v>271</v>
      </c>
      <c r="G141">
        <v>360</v>
      </c>
      <c r="H141" t="s">
        <v>140</v>
      </c>
      <c r="I141" t="s">
        <v>141</v>
      </c>
      <c r="J141" t="s">
        <v>47</v>
      </c>
      <c r="K141" t="s">
        <v>48</v>
      </c>
      <c r="L141">
        <v>0</v>
      </c>
      <c r="M141" t="s">
        <v>49</v>
      </c>
      <c r="N141" t="s">
        <v>50</v>
      </c>
      <c r="O141">
        <v>0</v>
      </c>
      <c r="P141" t="s">
        <v>49</v>
      </c>
      <c r="Q141" t="s">
        <v>50</v>
      </c>
      <c r="R141" t="s">
        <v>51</v>
      </c>
      <c r="S141" t="s">
        <v>52</v>
      </c>
      <c r="T141" t="b">
        <v>1</v>
      </c>
      <c r="U141" t="s">
        <v>53</v>
      </c>
      <c r="V141" t="s">
        <v>54</v>
      </c>
      <c r="W141">
        <v>4</v>
      </c>
      <c r="X141" t="b">
        <v>0</v>
      </c>
      <c r="Y141" t="s">
        <v>55</v>
      </c>
      <c r="Z141" t="s">
        <v>56</v>
      </c>
      <c r="AA141" t="s">
        <v>57</v>
      </c>
      <c r="AB141">
        <v>0</v>
      </c>
      <c r="AC141" t="s">
        <v>58</v>
      </c>
      <c r="AD141">
        <v>8</v>
      </c>
      <c r="AE141" t="s">
        <v>59</v>
      </c>
      <c r="AF141">
        <v>4395637676.4799995</v>
      </c>
      <c r="AG141" t="b">
        <v>0</v>
      </c>
      <c r="AH141">
        <v>8</v>
      </c>
      <c r="AI141" t="s">
        <v>59</v>
      </c>
      <c r="AJ141">
        <v>4395637676.4799995</v>
      </c>
      <c r="AK141" t="b">
        <v>0</v>
      </c>
      <c r="AL141">
        <v>4395637676.4799995</v>
      </c>
      <c r="AM141" t="b">
        <v>0</v>
      </c>
      <c r="AN141">
        <v>0</v>
      </c>
      <c r="AO141" t="b">
        <v>0</v>
      </c>
      <c r="AP141">
        <v>0</v>
      </c>
      <c r="AQ141">
        <v>1396868368.141</v>
      </c>
      <c r="AR141">
        <v>1396868368.141</v>
      </c>
      <c r="AS141">
        <v>0</v>
      </c>
      <c r="AT141" t="b">
        <v>0</v>
      </c>
      <c r="AU141" t="b">
        <v>1</v>
      </c>
      <c r="BA141" t="str">
        <f t="shared" si="4"/>
        <v>Normal</v>
      </c>
      <c r="BG141" t="str">
        <f t="shared" si="5"/>
        <v>Normal</v>
      </c>
    </row>
    <row r="142" spans="1:59" x14ac:dyDescent="0.2">
      <c r="A142" t="s">
        <v>42</v>
      </c>
      <c r="B142" t="s">
        <v>43</v>
      </c>
      <c r="C142">
        <v>20200101</v>
      </c>
      <c r="D142">
        <v>2020</v>
      </c>
      <c r="E142">
        <v>52</v>
      </c>
      <c r="F142" t="s">
        <v>271</v>
      </c>
      <c r="G142">
        <v>364</v>
      </c>
      <c r="H142" t="s">
        <v>142</v>
      </c>
      <c r="I142" t="s">
        <v>143</v>
      </c>
      <c r="J142" t="s">
        <v>47</v>
      </c>
      <c r="K142" t="s">
        <v>48</v>
      </c>
      <c r="L142">
        <v>0</v>
      </c>
      <c r="M142" t="s">
        <v>49</v>
      </c>
      <c r="N142" t="s">
        <v>50</v>
      </c>
      <c r="O142">
        <v>0</v>
      </c>
      <c r="P142" t="s">
        <v>49</v>
      </c>
      <c r="Q142" t="s">
        <v>50</v>
      </c>
      <c r="R142" t="s">
        <v>51</v>
      </c>
      <c r="S142" t="s">
        <v>52</v>
      </c>
      <c r="T142" t="b">
        <v>1</v>
      </c>
      <c r="U142" t="s">
        <v>53</v>
      </c>
      <c r="V142" t="s">
        <v>54</v>
      </c>
      <c r="W142">
        <v>4</v>
      </c>
      <c r="X142" t="b">
        <v>0</v>
      </c>
      <c r="Y142" t="s">
        <v>55</v>
      </c>
      <c r="Z142" t="s">
        <v>56</v>
      </c>
      <c r="AA142" t="s">
        <v>57</v>
      </c>
      <c r="AB142">
        <v>0</v>
      </c>
      <c r="AC142" t="s">
        <v>58</v>
      </c>
      <c r="AD142">
        <v>-1</v>
      </c>
      <c r="AE142" t="s">
        <v>73</v>
      </c>
      <c r="AF142">
        <v>0</v>
      </c>
      <c r="AG142" t="b">
        <v>0</v>
      </c>
      <c r="AH142">
        <v>-1</v>
      </c>
      <c r="AI142" t="s">
        <v>73</v>
      </c>
      <c r="AJ142">
        <v>0</v>
      </c>
      <c r="AK142" t="b">
        <v>0</v>
      </c>
      <c r="AM142" t="b">
        <v>0</v>
      </c>
      <c r="AN142">
        <v>0</v>
      </c>
      <c r="AO142" t="b">
        <v>0</v>
      </c>
      <c r="AQ142">
        <v>10034998162.6</v>
      </c>
      <c r="AR142">
        <v>10034998162.6</v>
      </c>
      <c r="AS142">
        <v>0</v>
      </c>
      <c r="AT142" t="b">
        <v>0</v>
      </c>
      <c r="AU142" t="b">
        <v>1</v>
      </c>
      <c r="BA142" t="str">
        <f t="shared" si="4"/>
        <v>Normal</v>
      </c>
      <c r="BG142" t="str">
        <f t="shared" si="5"/>
        <v>Normal</v>
      </c>
    </row>
    <row r="143" spans="1:59" x14ac:dyDescent="0.2">
      <c r="A143" t="s">
        <v>42</v>
      </c>
      <c r="B143" t="s">
        <v>43</v>
      </c>
      <c r="C143">
        <v>20200101</v>
      </c>
      <c r="D143">
        <v>2020</v>
      </c>
      <c r="E143">
        <v>52</v>
      </c>
      <c r="F143" t="s">
        <v>271</v>
      </c>
      <c r="G143">
        <v>372</v>
      </c>
      <c r="H143" t="s">
        <v>144</v>
      </c>
      <c r="I143" t="s">
        <v>145</v>
      </c>
      <c r="J143" t="s">
        <v>47</v>
      </c>
      <c r="K143" t="s">
        <v>48</v>
      </c>
      <c r="L143">
        <v>0</v>
      </c>
      <c r="M143" t="s">
        <v>49</v>
      </c>
      <c r="N143" t="s">
        <v>50</v>
      </c>
      <c r="O143">
        <v>0</v>
      </c>
      <c r="P143" t="s">
        <v>49</v>
      </c>
      <c r="Q143" t="s">
        <v>50</v>
      </c>
      <c r="R143" t="s">
        <v>51</v>
      </c>
      <c r="S143" t="s">
        <v>52</v>
      </c>
      <c r="T143" t="b">
        <v>1</v>
      </c>
      <c r="U143" t="s">
        <v>53</v>
      </c>
      <c r="V143" t="s">
        <v>54</v>
      </c>
      <c r="W143">
        <v>4</v>
      </c>
      <c r="X143" t="b">
        <v>0</v>
      </c>
      <c r="Y143" t="s">
        <v>55</v>
      </c>
      <c r="Z143" t="s">
        <v>56</v>
      </c>
      <c r="AA143" t="s">
        <v>57</v>
      </c>
      <c r="AB143">
        <v>0</v>
      </c>
      <c r="AC143" t="s">
        <v>58</v>
      </c>
      <c r="AD143">
        <v>8</v>
      </c>
      <c r="AE143" t="s">
        <v>59</v>
      </c>
      <c r="AF143">
        <v>90888931</v>
      </c>
      <c r="AG143" t="b">
        <v>0</v>
      </c>
      <c r="AH143">
        <v>8</v>
      </c>
      <c r="AI143" t="s">
        <v>59</v>
      </c>
      <c r="AJ143">
        <v>90888931</v>
      </c>
      <c r="AK143" t="b">
        <v>0</v>
      </c>
      <c r="AL143">
        <v>90888931</v>
      </c>
      <c r="AM143" t="b">
        <v>0</v>
      </c>
      <c r="AN143">
        <v>0</v>
      </c>
      <c r="AO143" t="b">
        <v>0</v>
      </c>
      <c r="AP143">
        <v>0</v>
      </c>
      <c r="AQ143">
        <v>47020626.251000002</v>
      </c>
      <c r="AR143">
        <v>47020626.251000002</v>
      </c>
      <c r="AS143">
        <v>0</v>
      </c>
      <c r="AT143" t="b">
        <v>0</v>
      </c>
      <c r="AU143" t="b">
        <v>1</v>
      </c>
      <c r="BA143" t="str">
        <f t="shared" si="4"/>
        <v>Normal</v>
      </c>
      <c r="BG143" t="str">
        <f t="shared" si="5"/>
        <v>Normal</v>
      </c>
    </row>
    <row r="144" spans="1:59" x14ac:dyDescent="0.2">
      <c r="A144" t="s">
        <v>42</v>
      </c>
      <c r="B144" t="s">
        <v>43</v>
      </c>
      <c r="C144">
        <v>20200101</v>
      </c>
      <c r="D144">
        <v>2020</v>
      </c>
      <c r="E144">
        <v>52</v>
      </c>
      <c r="F144" t="s">
        <v>271</v>
      </c>
      <c r="G144">
        <v>380</v>
      </c>
      <c r="H144" t="s">
        <v>148</v>
      </c>
      <c r="I144" t="s">
        <v>149</v>
      </c>
      <c r="J144" t="s">
        <v>47</v>
      </c>
      <c r="K144" t="s">
        <v>48</v>
      </c>
      <c r="L144">
        <v>0</v>
      </c>
      <c r="M144" t="s">
        <v>49</v>
      </c>
      <c r="N144" t="s">
        <v>50</v>
      </c>
      <c r="O144">
        <v>0</v>
      </c>
      <c r="P144" t="s">
        <v>49</v>
      </c>
      <c r="Q144" t="s">
        <v>50</v>
      </c>
      <c r="R144" t="s">
        <v>51</v>
      </c>
      <c r="S144" t="s">
        <v>52</v>
      </c>
      <c r="T144" t="b">
        <v>1</v>
      </c>
      <c r="U144" t="s">
        <v>53</v>
      </c>
      <c r="V144" t="s">
        <v>54</v>
      </c>
      <c r="W144">
        <v>4</v>
      </c>
      <c r="X144" t="b">
        <v>0</v>
      </c>
      <c r="Y144" t="s">
        <v>55</v>
      </c>
      <c r="Z144" t="s">
        <v>56</v>
      </c>
      <c r="AA144" t="s">
        <v>57</v>
      </c>
      <c r="AB144">
        <v>0</v>
      </c>
      <c r="AC144" t="s">
        <v>58</v>
      </c>
      <c r="AD144">
        <v>-1</v>
      </c>
      <c r="AE144" t="s">
        <v>73</v>
      </c>
      <c r="AF144">
        <v>0</v>
      </c>
      <c r="AG144" t="b">
        <v>0</v>
      </c>
      <c r="AH144">
        <v>-1</v>
      </c>
      <c r="AI144" t="s">
        <v>73</v>
      </c>
      <c r="AJ144">
        <v>0</v>
      </c>
      <c r="AK144" t="b">
        <v>0</v>
      </c>
      <c r="AM144" t="b">
        <v>0</v>
      </c>
      <c r="AN144">
        <v>0</v>
      </c>
      <c r="AO144" t="b">
        <v>0</v>
      </c>
      <c r="AQ144">
        <v>246780788.963</v>
      </c>
      <c r="AR144">
        <v>246780788.963</v>
      </c>
      <c r="AS144">
        <v>0</v>
      </c>
      <c r="AT144" t="b">
        <v>0</v>
      </c>
      <c r="AU144" t="b">
        <v>1</v>
      </c>
      <c r="BA144" t="str">
        <f t="shared" si="4"/>
        <v>Normal</v>
      </c>
      <c r="BG144" t="str">
        <f t="shared" si="5"/>
        <v>Normal</v>
      </c>
    </row>
    <row r="145" spans="1:59" x14ac:dyDescent="0.2">
      <c r="A145" t="s">
        <v>42</v>
      </c>
      <c r="B145" t="s">
        <v>43</v>
      </c>
      <c r="C145">
        <v>20200101</v>
      </c>
      <c r="D145">
        <v>2020</v>
      </c>
      <c r="E145">
        <v>52</v>
      </c>
      <c r="F145" t="s">
        <v>271</v>
      </c>
      <c r="G145">
        <v>384</v>
      </c>
      <c r="H145" t="s">
        <v>150</v>
      </c>
      <c r="I145" t="s">
        <v>151</v>
      </c>
      <c r="J145" t="s">
        <v>47</v>
      </c>
      <c r="K145" t="s">
        <v>48</v>
      </c>
      <c r="L145">
        <v>0</v>
      </c>
      <c r="M145" t="s">
        <v>49</v>
      </c>
      <c r="N145" t="s">
        <v>50</v>
      </c>
      <c r="O145">
        <v>0</v>
      </c>
      <c r="P145" t="s">
        <v>49</v>
      </c>
      <c r="Q145" t="s">
        <v>50</v>
      </c>
      <c r="R145" t="s">
        <v>51</v>
      </c>
      <c r="S145" t="s">
        <v>52</v>
      </c>
      <c r="T145" t="b">
        <v>1</v>
      </c>
      <c r="U145" t="s">
        <v>53</v>
      </c>
      <c r="V145" t="s">
        <v>54</v>
      </c>
      <c r="W145">
        <v>4</v>
      </c>
      <c r="X145" t="b">
        <v>0</v>
      </c>
      <c r="Y145" t="s">
        <v>55</v>
      </c>
      <c r="Z145" t="s">
        <v>56</v>
      </c>
      <c r="AA145" t="s">
        <v>57</v>
      </c>
      <c r="AB145">
        <v>0</v>
      </c>
      <c r="AC145" t="s">
        <v>58</v>
      </c>
      <c r="AD145">
        <v>8</v>
      </c>
      <c r="AE145" t="s">
        <v>59</v>
      </c>
      <c r="AF145">
        <v>1446485001</v>
      </c>
      <c r="AG145" t="b">
        <v>0</v>
      </c>
      <c r="AH145">
        <v>8</v>
      </c>
      <c r="AI145" t="s">
        <v>59</v>
      </c>
      <c r="AJ145">
        <v>1446485001</v>
      </c>
      <c r="AK145" t="b">
        <v>0</v>
      </c>
      <c r="AL145">
        <v>1446485001</v>
      </c>
      <c r="AM145" t="b">
        <v>0</v>
      </c>
      <c r="AN145">
        <v>0</v>
      </c>
      <c r="AO145" t="b">
        <v>0</v>
      </c>
      <c r="AP145">
        <v>0</v>
      </c>
      <c r="AQ145">
        <v>446152496.89999998</v>
      </c>
      <c r="AR145">
        <v>446152496.89999998</v>
      </c>
      <c r="AS145">
        <v>0</v>
      </c>
      <c r="AT145" t="b">
        <v>0</v>
      </c>
      <c r="AU145" t="b">
        <v>1</v>
      </c>
      <c r="BA145" t="str">
        <f t="shared" si="4"/>
        <v>Normal</v>
      </c>
      <c r="BG145" t="str">
        <f t="shared" si="5"/>
        <v>Normal</v>
      </c>
    </row>
    <row r="146" spans="1:59" x14ac:dyDescent="0.2">
      <c r="A146" t="s">
        <v>42</v>
      </c>
      <c r="B146" t="s">
        <v>43</v>
      </c>
      <c r="C146">
        <v>20200101</v>
      </c>
      <c r="D146">
        <v>2020</v>
      </c>
      <c r="E146">
        <v>52</v>
      </c>
      <c r="F146" t="s">
        <v>271</v>
      </c>
      <c r="G146">
        <v>398</v>
      </c>
      <c r="H146" t="s">
        <v>152</v>
      </c>
      <c r="I146" t="s">
        <v>153</v>
      </c>
      <c r="J146" t="s">
        <v>47</v>
      </c>
      <c r="K146" t="s">
        <v>48</v>
      </c>
      <c r="L146">
        <v>0</v>
      </c>
      <c r="M146" t="s">
        <v>49</v>
      </c>
      <c r="N146" t="s">
        <v>50</v>
      </c>
      <c r="O146">
        <v>0</v>
      </c>
      <c r="P146" t="s">
        <v>49</v>
      </c>
      <c r="Q146" t="s">
        <v>50</v>
      </c>
      <c r="R146" t="s">
        <v>51</v>
      </c>
      <c r="S146" t="s">
        <v>52</v>
      </c>
      <c r="T146" t="b">
        <v>1</v>
      </c>
      <c r="U146" t="s">
        <v>53</v>
      </c>
      <c r="V146" t="s">
        <v>54</v>
      </c>
      <c r="W146">
        <v>4</v>
      </c>
      <c r="X146" t="b">
        <v>0</v>
      </c>
      <c r="Y146" t="s">
        <v>55</v>
      </c>
      <c r="Z146" t="s">
        <v>56</v>
      </c>
      <c r="AA146" t="s">
        <v>57</v>
      </c>
      <c r="AB146">
        <v>0</v>
      </c>
      <c r="AC146" t="s">
        <v>58</v>
      </c>
      <c r="AD146">
        <v>8</v>
      </c>
      <c r="AE146" t="s">
        <v>59</v>
      </c>
      <c r="AF146">
        <v>70584352368</v>
      </c>
      <c r="AG146" t="b">
        <v>0</v>
      </c>
      <c r="AH146">
        <v>8</v>
      </c>
      <c r="AI146" t="s">
        <v>59</v>
      </c>
      <c r="AJ146">
        <v>70584352368</v>
      </c>
      <c r="AK146" t="b">
        <v>0</v>
      </c>
      <c r="AL146">
        <v>70584352368</v>
      </c>
      <c r="AM146" t="b">
        <v>0</v>
      </c>
      <c r="AN146">
        <v>0</v>
      </c>
      <c r="AO146" t="b">
        <v>0</v>
      </c>
      <c r="AQ146">
        <v>23703849619.59</v>
      </c>
      <c r="AR146">
        <v>23703849619.59</v>
      </c>
      <c r="AS146">
        <v>0</v>
      </c>
      <c r="AT146" t="b">
        <v>0</v>
      </c>
      <c r="AU146" t="b">
        <v>1</v>
      </c>
      <c r="BA146" t="str">
        <f t="shared" si="4"/>
        <v>Normal</v>
      </c>
      <c r="BG146" t="str">
        <f t="shared" si="5"/>
        <v>Normal</v>
      </c>
    </row>
    <row r="147" spans="1:59" x14ac:dyDescent="0.2">
      <c r="A147" t="s">
        <v>42</v>
      </c>
      <c r="B147" t="s">
        <v>43</v>
      </c>
      <c r="C147">
        <v>20200101</v>
      </c>
      <c r="D147">
        <v>2020</v>
      </c>
      <c r="E147">
        <v>52</v>
      </c>
      <c r="F147" t="s">
        <v>271</v>
      </c>
      <c r="G147">
        <v>404</v>
      </c>
      <c r="H147" t="s">
        <v>154</v>
      </c>
      <c r="I147" t="s">
        <v>155</v>
      </c>
      <c r="J147" t="s">
        <v>47</v>
      </c>
      <c r="K147" t="s">
        <v>48</v>
      </c>
      <c r="L147">
        <v>0</v>
      </c>
      <c r="M147" t="s">
        <v>49</v>
      </c>
      <c r="N147" t="s">
        <v>50</v>
      </c>
      <c r="O147">
        <v>0</v>
      </c>
      <c r="P147" t="s">
        <v>49</v>
      </c>
      <c r="Q147" t="s">
        <v>50</v>
      </c>
      <c r="R147" t="s">
        <v>51</v>
      </c>
      <c r="S147" t="s">
        <v>52</v>
      </c>
      <c r="T147" t="b">
        <v>1</v>
      </c>
      <c r="U147" t="s">
        <v>53</v>
      </c>
      <c r="V147" t="s">
        <v>54</v>
      </c>
      <c r="W147">
        <v>4</v>
      </c>
      <c r="X147" t="b">
        <v>0</v>
      </c>
      <c r="Y147" t="s">
        <v>55</v>
      </c>
      <c r="Z147" t="s">
        <v>56</v>
      </c>
      <c r="AA147" t="s">
        <v>57</v>
      </c>
      <c r="AB147">
        <v>0</v>
      </c>
      <c r="AC147" t="s">
        <v>58</v>
      </c>
      <c r="AD147">
        <v>8</v>
      </c>
      <c r="AE147" t="s">
        <v>59</v>
      </c>
      <c r="AF147">
        <v>1358</v>
      </c>
      <c r="AG147" t="b">
        <v>0</v>
      </c>
      <c r="AH147">
        <v>8</v>
      </c>
      <c r="AI147" t="s">
        <v>59</v>
      </c>
      <c r="AJ147">
        <v>1358</v>
      </c>
      <c r="AK147" t="b">
        <v>0</v>
      </c>
      <c r="AL147">
        <v>1358</v>
      </c>
      <c r="AM147" t="b">
        <v>0</v>
      </c>
      <c r="AN147">
        <v>0</v>
      </c>
      <c r="AO147" t="b">
        <v>0</v>
      </c>
      <c r="AQ147">
        <v>1992.92</v>
      </c>
      <c r="AR147">
        <v>1992.92</v>
      </c>
      <c r="AS147">
        <v>0</v>
      </c>
      <c r="AT147" t="b">
        <v>0</v>
      </c>
      <c r="AU147" t="b">
        <v>1</v>
      </c>
      <c r="BA147" t="str">
        <f t="shared" si="4"/>
        <v>Normal</v>
      </c>
      <c r="BG147" t="str">
        <f t="shared" si="5"/>
        <v>Normal</v>
      </c>
    </row>
    <row r="148" spans="1:59" x14ac:dyDescent="0.2">
      <c r="A148" t="s">
        <v>42</v>
      </c>
      <c r="B148" t="s">
        <v>43</v>
      </c>
      <c r="C148">
        <v>20200101</v>
      </c>
      <c r="D148">
        <v>2020</v>
      </c>
      <c r="E148">
        <v>52</v>
      </c>
      <c r="F148" t="s">
        <v>271</v>
      </c>
      <c r="G148">
        <v>410</v>
      </c>
      <c r="H148" t="s">
        <v>156</v>
      </c>
      <c r="I148" t="s">
        <v>157</v>
      </c>
      <c r="J148" t="s">
        <v>47</v>
      </c>
      <c r="K148" t="s">
        <v>48</v>
      </c>
      <c r="L148">
        <v>0</v>
      </c>
      <c r="M148" t="s">
        <v>49</v>
      </c>
      <c r="N148" t="s">
        <v>50</v>
      </c>
      <c r="O148">
        <v>0</v>
      </c>
      <c r="P148" t="s">
        <v>49</v>
      </c>
      <c r="Q148" t="s">
        <v>50</v>
      </c>
      <c r="R148" t="s">
        <v>51</v>
      </c>
      <c r="S148" t="s">
        <v>52</v>
      </c>
      <c r="T148" t="b">
        <v>1</v>
      </c>
      <c r="U148" t="s">
        <v>53</v>
      </c>
      <c r="V148" t="s">
        <v>54</v>
      </c>
      <c r="W148">
        <v>4</v>
      </c>
      <c r="X148" t="b">
        <v>0</v>
      </c>
      <c r="Y148" t="s">
        <v>55</v>
      </c>
      <c r="Z148" t="s">
        <v>56</v>
      </c>
      <c r="AA148" t="s">
        <v>57</v>
      </c>
      <c r="AB148">
        <v>0</v>
      </c>
      <c r="AC148" t="s">
        <v>58</v>
      </c>
      <c r="AD148">
        <v>8</v>
      </c>
      <c r="AE148" t="s">
        <v>59</v>
      </c>
      <c r="AF148">
        <v>1401.7439999999999</v>
      </c>
      <c r="AG148" t="b">
        <v>0</v>
      </c>
      <c r="AH148">
        <v>8</v>
      </c>
      <c r="AI148" t="s">
        <v>59</v>
      </c>
      <c r="AJ148">
        <v>1401.7439999999999</v>
      </c>
      <c r="AK148" t="b">
        <v>0</v>
      </c>
      <c r="AL148">
        <v>1401.7439999999999</v>
      </c>
      <c r="AM148" t="b">
        <v>0</v>
      </c>
      <c r="AN148">
        <v>0</v>
      </c>
      <c r="AO148" t="b">
        <v>0</v>
      </c>
      <c r="AQ148">
        <v>3234</v>
      </c>
      <c r="AR148">
        <v>3234</v>
      </c>
      <c r="AS148">
        <v>0</v>
      </c>
      <c r="AT148" t="b">
        <v>0</v>
      </c>
      <c r="AU148" t="b">
        <v>1</v>
      </c>
      <c r="BA148" t="str">
        <f t="shared" si="4"/>
        <v>Normal</v>
      </c>
      <c r="BG148" t="str">
        <f t="shared" si="5"/>
        <v>Normal</v>
      </c>
    </row>
    <row r="149" spans="1:59" x14ac:dyDescent="0.2">
      <c r="A149" t="s">
        <v>42</v>
      </c>
      <c r="B149" t="s">
        <v>43</v>
      </c>
      <c r="C149">
        <v>20200101</v>
      </c>
      <c r="D149">
        <v>2020</v>
      </c>
      <c r="E149">
        <v>52</v>
      </c>
      <c r="F149" t="s">
        <v>271</v>
      </c>
      <c r="G149">
        <v>414</v>
      </c>
      <c r="H149" t="s">
        <v>158</v>
      </c>
      <c r="I149" t="s">
        <v>159</v>
      </c>
      <c r="J149" t="s">
        <v>47</v>
      </c>
      <c r="K149" t="s">
        <v>48</v>
      </c>
      <c r="L149">
        <v>0</v>
      </c>
      <c r="M149" t="s">
        <v>49</v>
      </c>
      <c r="N149" t="s">
        <v>50</v>
      </c>
      <c r="O149">
        <v>0</v>
      </c>
      <c r="P149" t="s">
        <v>49</v>
      </c>
      <c r="Q149" t="s">
        <v>50</v>
      </c>
      <c r="R149" t="s">
        <v>51</v>
      </c>
      <c r="S149" t="s">
        <v>52</v>
      </c>
      <c r="T149" t="b">
        <v>1</v>
      </c>
      <c r="U149" t="s">
        <v>53</v>
      </c>
      <c r="V149" t="s">
        <v>54</v>
      </c>
      <c r="W149">
        <v>4</v>
      </c>
      <c r="X149" t="b">
        <v>0</v>
      </c>
      <c r="Y149" t="s">
        <v>55</v>
      </c>
      <c r="Z149" t="s">
        <v>56</v>
      </c>
      <c r="AA149" t="s">
        <v>57</v>
      </c>
      <c r="AB149">
        <v>0</v>
      </c>
      <c r="AC149" t="s">
        <v>58</v>
      </c>
      <c r="AD149">
        <v>-1</v>
      </c>
      <c r="AE149" t="s">
        <v>73</v>
      </c>
      <c r="AF149">
        <v>0</v>
      </c>
      <c r="AG149" t="b">
        <v>1</v>
      </c>
      <c r="AH149">
        <v>-1</v>
      </c>
      <c r="AI149" t="s">
        <v>73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P149">
        <v>0</v>
      </c>
      <c r="AQ149">
        <v>28629492308</v>
      </c>
      <c r="AR149">
        <v>28629492308</v>
      </c>
      <c r="AS149">
        <v>6</v>
      </c>
      <c r="AT149" t="b">
        <v>0</v>
      </c>
      <c r="AU149" t="b">
        <v>1</v>
      </c>
      <c r="BA149" t="str">
        <f t="shared" si="4"/>
        <v>Normal</v>
      </c>
      <c r="BG149" t="str">
        <f t="shared" si="5"/>
        <v>Normal</v>
      </c>
    </row>
    <row r="150" spans="1:59" x14ac:dyDescent="0.2">
      <c r="A150" t="s">
        <v>42</v>
      </c>
      <c r="B150" t="s">
        <v>43</v>
      </c>
      <c r="C150">
        <v>20200101</v>
      </c>
      <c r="D150">
        <v>2020</v>
      </c>
      <c r="E150">
        <v>52</v>
      </c>
      <c r="F150" t="s">
        <v>271</v>
      </c>
      <c r="G150">
        <v>417</v>
      </c>
      <c r="H150" t="s">
        <v>160</v>
      </c>
      <c r="I150" t="s">
        <v>161</v>
      </c>
      <c r="J150" t="s">
        <v>47</v>
      </c>
      <c r="K150" t="s">
        <v>48</v>
      </c>
      <c r="L150">
        <v>0</v>
      </c>
      <c r="M150" t="s">
        <v>49</v>
      </c>
      <c r="N150" t="s">
        <v>50</v>
      </c>
      <c r="O150">
        <v>0</v>
      </c>
      <c r="P150" t="s">
        <v>49</v>
      </c>
      <c r="Q150" t="s">
        <v>50</v>
      </c>
      <c r="R150" t="s">
        <v>51</v>
      </c>
      <c r="S150" t="s">
        <v>52</v>
      </c>
      <c r="T150" t="b">
        <v>1</v>
      </c>
      <c r="U150" t="s">
        <v>53</v>
      </c>
      <c r="V150" t="s">
        <v>54</v>
      </c>
      <c r="W150">
        <v>4</v>
      </c>
      <c r="X150" t="b">
        <v>0</v>
      </c>
      <c r="Y150" t="s">
        <v>55</v>
      </c>
      <c r="Z150" t="s">
        <v>56</v>
      </c>
      <c r="AA150" t="s">
        <v>57</v>
      </c>
      <c r="AB150">
        <v>0</v>
      </c>
      <c r="AC150" t="s">
        <v>58</v>
      </c>
      <c r="AD150">
        <v>8</v>
      </c>
      <c r="AE150" t="s">
        <v>59</v>
      </c>
      <c r="AF150">
        <v>51508186</v>
      </c>
      <c r="AG150" t="b">
        <v>0</v>
      </c>
      <c r="AH150">
        <v>8</v>
      </c>
      <c r="AI150" t="s">
        <v>59</v>
      </c>
      <c r="AJ150">
        <v>51508186</v>
      </c>
      <c r="AK150" t="b">
        <v>0</v>
      </c>
      <c r="AL150">
        <v>51508186</v>
      </c>
      <c r="AM150" t="b">
        <v>0</v>
      </c>
      <c r="AN150">
        <v>0</v>
      </c>
      <c r="AO150" t="b">
        <v>0</v>
      </c>
      <c r="AP150">
        <v>0</v>
      </c>
      <c r="AQ150">
        <v>10340116</v>
      </c>
      <c r="AR150">
        <v>10340116</v>
      </c>
      <c r="AS150">
        <v>0</v>
      </c>
      <c r="AT150" t="b">
        <v>0</v>
      </c>
      <c r="AU150" t="b">
        <v>1</v>
      </c>
      <c r="BA150" t="str">
        <f t="shared" si="4"/>
        <v>Normal</v>
      </c>
      <c r="BG150" t="str">
        <f t="shared" si="5"/>
        <v>Normal</v>
      </c>
    </row>
    <row r="151" spans="1:59" x14ac:dyDescent="0.2">
      <c r="A151" t="s">
        <v>42</v>
      </c>
      <c r="B151" t="s">
        <v>43</v>
      </c>
      <c r="C151">
        <v>20200101</v>
      </c>
      <c r="D151">
        <v>2020</v>
      </c>
      <c r="E151">
        <v>52</v>
      </c>
      <c r="F151" t="s">
        <v>271</v>
      </c>
      <c r="G151">
        <v>418</v>
      </c>
      <c r="H151" t="s">
        <v>162</v>
      </c>
      <c r="I151" t="s">
        <v>163</v>
      </c>
      <c r="J151" t="s">
        <v>47</v>
      </c>
      <c r="K151" t="s">
        <v>48</v>
      </c>
      <c r="L151">
        <v>0</v>
      </c>
      <c r="M151" t="s">
        <v>49</v>
      </c>
      <c r="N151" t="s">
        <v>50</v>
      </c>
      <c r="O151">
        <v>0</v>
      </c>
      <c r="P151" t="s">
        <v>49</v>
      </c>
      <c r="Q151" t="s">
        <v>50</v>
      </c>
      <c r="R151" t="s">
        <v>51</v>
      </c>
      <c r="S151" t="s">
        <v>52</v>
      </c>
      <c r="T151" t="b">
        <v>1</v>
      </c>
      <c r="U151" t="s">
        <v>53</v>
      </c>
      <c r="V151" t="s">
        <v>54</v>
      </c>
      <c r="W151">
        <v>4</v>
      </c>
      <c r="X151" t="b">
        <v>0</v>
      </c>
      <c r="Y151" t="s">
        <v>55</v>
      </c>
      <c r="Z151" t="s">
        <v>56</v>
      </c>
      <c r="AA151" t="s">
        <v>57</v>
      </c>
      <c r="AB151">
        <v>0</v>
      </c>
      <c r="AC151" t="s">
        <v>58</v>
      </c>
      <c r="AD151">
        <v>8</v>
      </c>
      <c r="AE151" t="s">
        <v>59</v>
      </c>
      <c r="AF151">
        <v>3000</v>
      </c>
      <c r="AG151" t="b">
        <v>0</v>
      </c>
      <c r="AH151">
        <v>8</v>
      </c>
      <c r="AI151" t="s">
        <v>59</v>
      </c>
      <c r="AJ151">
        <v>3000</v>
      </c>
      <c r="AK151" t="b">
        <v>0</v>
      </c>
      <c r="AL151">
        <v>3000</v>
      </c>
      <c r="AM151" t="b">
        <v>0</v>
      </c>
      <c r="AN151">
        <v>0</v>
      </c>
      <c r="AO151" t="b">
        <v>0</v>
      </c>
      <c r="AP151">
        <v>0</v>
      </c>
      <c r="AQ151">
        <v>150</v>
      </c>
      <c r="AR151">
        <v>150</v>
      </c>
      <c r="AS151">
        <v>0</v>
      </c>
      <c r="AT151" t="b">
        <v>0</v>
      </c>
      <c r="AU151" t="b">
        <v>1</v>
      </c>
      <c r="BA151" t="str">
        <f t="shared" si="4"/>
        <v>Normal</v>
      </c>
      <c r="BG151" t="str">
        <f t="shared" si="5"/>
        <v>Normal</v>
      </c>
    </row>
    <row r="152" spans="1:59" x14ac:dyDescent="0.2">
      <c r="A152" t="s">
        <v>42</v>
      </c>
      <c r="B152" t="s">
        <v>43</v>
      </c>
      <c r="C152">
        <v>20200101</v>
      </c>
      <c r="D152">
        <v>2020</v>
      </c>
      <c r="E152">
        <v>52</v>
      </c>
      <c r="F152" t="s">
        <v>271</v>
      </c>
      <c r="G152">
        <v>422</v>
      </c>
      <c r="H152" t="s">
        <v>164</v>
      </c>
      <c r="I152" t="s">
        <v>165</v>
      </c>
      <c r="J152" t="s">
        <v>47</v>
      </c>
      <c r="K152" t="s">
        <v>48</v>
      </c>
      <c r="L152">
        <v>0</v>
      </c>
      <c r="M152" t="s">
        <v>49</v>
      </c>
      <c r="N152" t="s">
        <v>50</v>
      </c>
      <c r="O152">
        <v>0</v>
      </c>
      <c r="P152" t="s">
        <v>49</v>
      </c>
      <c r="Q152" t="s">
        <v>50</v>
      </c>
      <c r="R152" t="s">
        <v>51</v>
      </c>
      <c r="S152" t="s">
        <v>52</v>
      </c>
      <c r="T152" t="b">
        <v>1</v>
      </c>
      <c r="U152" t="s">
        <v>53</v>
      </c>
      <c r="V152" t="s">
        <v>54</v>
      </c>
      <c r="W152">
        <v>4</v>
      </c>
      <c r="X152" t="b">
        <v>0</v>
      </c>
      <c r="Y152" t="s">
        <v>55</v>
      </c>
      <c r="Z152" t="s">
        <v>56</v>
      </c>
      <c r="AA152" t="s">
        <v>57</v>
      </c>
      <c r="AB152">
        <v>0</v>
      </c>
      <c r="AC152" t="s">
        <v>58</v>
      </c>
      <c r="AD152">
        <v>8</v>
      </c>
      <c r="AE152" t="s">
        <v>59</v>
      </c>
      <c r="AF152">
        <v>275</v>
      </c>
      <c r="AG152" t="b">
        <v>0</v>
      </c>
      <c r="AH152">
        <v>8</v>
      </c>
      <c r="AI152" t="s">
        <v>59</v>
      </c>
      <c r="AJ152">
        <v>275</v>
      </c>
      <c r="AK152" t="b">
        <v>0</v>
      </c>
      <c r="AL152">
        <v>275</v>
      </c>
      <c r="AM152" t="b">
        <v>0</v>
      </c>
      <c r="AN152">
        <v>0</v>
      </c>
      <c r="AO152" t="b">
        <v>0</v>
      </c>
      <c r="AP152">
        <v>0</v>
      </c>
      <c r="AQ152">
        <v>115</v>
      </c>
      <c r="AR152">
        <v>115</v>
      </c>
      <c r="AS152">
        <v>0</v>
      </c>
      <c r="AT152" t="b">
        <v>0</v>
      </c>
      <c r="AU152" t="b">
        <v>1</v>
      </c>
      <c r="BA152" t="str">
        <f t="shared" si="4"/>
        <v>Normal</v>
      </c>
      <c r="BG152" t="str">
        <f t="shared" si="5"/>
        <v>Normal</v>
      </c>
    </row>
    <row r="153" spans="1:59" x14ac:dyDescent="0.2">
      <c r="A153" t="s">
        <v>42</v>
      </c>
      <c r="B153" t="s">
        <v>43</v>
      </c>
      <c r="C153">
        <v>20200101</v>
      </c>
      <c r="D153">
        <v>2020</v>
      </c>
      <c r="E153">
        <v>52</v>
      </c>
      <c r="F153" t="s">
        <v>271</v>
      </c>
      <c r="G153">
        <v>428</v>
      </c>
      <c r="H153" t="s">
        <v>166</v>
      </c>
      <c r="I153" t="s">
        <v>167</v>
      </c>
      <c r="J153" t="s">
        <v>47</v>
      </c>
      <c r="K153" t="s">
        <v>48</v>
      </c>
      <c r="L153">
        <v>0</v>
      </c>
      <c r="M153" t="s">
        <v>49</v>
      </c>
      <c r="N153" t="s">
        <v>50</v>
      </c>
      <c r="O153">
        <v>0</v>
      </c>
      <c r="P153" t="s">
        <v>49</v>
      </c>
      <c r="Q153" t="s">
        <v>50</v>
      </c>
      <c r="R153" t="s">
        <v>51</v>
      </c>
      <c r="S153" t="s">
        <v>52</v>
      </c>
      <c r="T153" t="b">
        <v>1</v>
      </c>
      <c r="U153" t="s">
        <v>53</v>
      </c>
      <c r="V153" t="s">
        <v>54</v>
      </c>
      <c r="W153">
        <v>4</v>
      </c>
      <c r="X153" t="b">
        <v>0</v>
      </c>
      <c r="Y153" t="s">
        <v>55</v>
      </c>
      <c r="Z153" t="s">
        <v>56</v>
      </c>
      <c r="AA153" t="s">
        <v>57</v>
      </c>
      <c r="AB153">
        <v>0</v>
      </c>
      <c r="AC153" t="s">
        <v>58</v>
      </c>
      <c r="AD153">
        <v>8</v>
      </c>
      <c r="AE153" t="s">
        <v>59</v>
      </c>
      <c r="AF153">
        <v>6087325</v>
      </c>
      <c r="AG153" t="b">
        <v>0</v>
      </c>
      <c r="AH153">
        <v>8</v>
      </c>
      <c r="AI153" t="s">
        <v>59</v>
      </c>
      <c r="AJ153">
        <v>6087325</v>
      </c>
      <c r="AK153" t="b">
        <v>0</v>
      </c>
      <c r="AL153">
        <v>6087325</v>
      </c>
      <c r="AM153" t="b">
        <v>0</v>
      </c>
      <c r="AN153">
        <v>0</v>
      </c>
      <c r="AO153" t="b">
        <v>0</v>
      </c>
      <c r="AQ153">
        <v>1789035.4580000001</v>
      </c>
      <c r="AR153">
        <v>1789035.4580000001</v>
      </c>
      <c r="AS153">
        <v>0</v>
      </c>
      <c r="AT153" t="b">
        <v>0</v>
      </c>
      <c r="AU153" t="b">
        <v>1</v>
      </c>
      <c r="BA153" t="str">
        <f t="shared" si="4"/>
        <v>Normal</v>
      </c>
      <c r="BG153" t="str">
        <f t="shared" si="5"/>
        <v>Normal</v>
      </c>
    </row>
    <row r="154" spans="1:59" x14ac:dyDescent="0.2">
      <c r="A154" t="s">
        <v>42</v>
      </c>
      <c r="B154" t="s">
        <v>43</v>
      </c>
      <c r="C154">
        <v>20200101</v>
      </c>
      <c r="D154">
        <v>2020</v>
      </c>
      <c r="E154">
        <v>52</v>
      </c>
      <c r="F154" t="s">
        <v>271</v>
      </c>
      <c r="G154">
        <v>440</v>
      </c>
      <c r="H154" t="s">
        <v>171</v>
      </c>
      <c r="I154" t="s">
        <v>172</v>
      </c>
      <c r="J154" t="s">
        <v>47</v>
      </c>
      <c r="K154" t="s">
        <v>48</v>
      </c>
      <c r="L154">
        <v>0</v>
      </c>
      <c r="M154" t="s">
        <v>49</v>
      </c>
      <c r="N154" t="s">
        <v>50</v>
      </c>
      <c r="O154">
        <v>0</v>
      </c>
      <c r="P154" t="s">
        <v>49</v>
      </c>
      <c r="Q154" t="s">
        <v>50</v>
      </c>
      <c r="R154" t="s">
        <v>51</v>
      </c>
      <c r="S154" t="s">
        <v>52</v>
      </c>
      <c r="T154" t="b">
        <v>1</v>
      </c>
      <c r="U154" t="s">
        <v>53</v>
      </c>
      <c r="V154" t="s">
        <v>54</v>
      </c>
      <c r="W154">
        <v>4</v>
      </c>
      <c r="X154" t="b">
        <v>0</v>
      </c>
      <c r="Y154" t="s">
        <v>55</v>
      </c>
      <c r="Z154" t="s">
        <v>56</v>
      </c>
      <c r="AA154" t="s">
        <v>57</v>
      </c>
      <c r="AB154">
        <v>0</v>
      </c>
      <c r="AC154" t="s">
        <v>58</v>
      </c>
      <c r="AD154">
        <v>8</v>
      </c>
      <c r="AE154" t="s">
        <v>59</v>
      </c>
      <c r="AF154">
        <v>36772520</v>
      </c>
      <c r="AG154" t="b">
        <v>0</v>
      </c>
      <c r="AH154">
        <v>8</v>
      </c>
      <c r="AI154" t="s">
        <v>59</v>
      </c>
      <c r="AJ154">
        <v>36772520</v>
      </c>
      <c r="AK154" t="b">
        <v>0</v>
      </c>
      <c r="AL154">
        <v>36772520</v>
      </c>
      <c r="AM154" t="b">
        <v>0</v>
      </c>
      <c r="AN154">
        <v>0</v>
      </c>
      <c r="AO154" t="b">
        <v>0</v>
      </c>
      <c r="AQ154">
        <v>12330124</v>
      </c>
      <c r="AR154">
        <v>12330124</v>
      </c>
      <c r="AS154">
        <v>0</v>
      </c>
      <c r="AT154" t="b">
        <v>0</v>
      </c>
      <c r="AU154" t="b">
        <v>1</v>
      </c>
      <c r="BA154" t="str">
        <f t="shared" si="4"/>
        <v>Normal</v>
      </c>
      <c r="BG154" t="str">
        <f t="shared" si="5"/>
        <v>Normal</v>
      </c>
    </row>
    <row r="155" spans="1:59" x14ac:dyDescent="0.2">
      <c r="A155" t="s">
        <v>42</v>
      </c>
      <c r="B155" t="s">
        <v>43</v>
      </c>
      <c r="C155">
        <v>20200101</v>
      </c>
      <c r="D155">
        <v>2020</v>
      </c>
      <c r="E155">
        <v>52</v>
      </c>
      <c r="F155" t="s">
        <v>271</v>
      </c>
      <c r="G155">
        <v>442</v>
      </c>
      <c r="H155" t="s">
        <v>173</v>
      </c>
      <c r="I155" t="s">
        <v>174</v>
      </c>
      <c r="J155" t="s">
        <v>47</v>
      </c>
      <c r="K155" t="s">
        <v>48</v>
      </c>
      <c r="L155">
        <v>0</v>
      </c>
      <c r="M155" t="s">
        <v>49</v>
      </c>
      <c r="N155" t="s">
        <v>50</v>
      </c>
      <c r="O155">
        <v>0</v>
      </c>
      <c r="P155" t="s">
        <v>49</v>
      </c>
      <c r="Q155" t="s">
        <v>50</v>
      </c>
      <c r="R155" t="s">
        <v>51</v>
      </c>
      <c r="S155" t="s">
        <v>52</v>
      </c>
      <c r="T155" t="b">
        <v>1</v>
      </c>
      <c r="U155" t="s">
        <v>53</v>
      </c>
      <c r="V155" t="s">
        <v>54</v>
      </c>
      <c r="W155">
        <v>4</v>
      </c>
      <c r="X155" t="b">
        <v>0</v>
      </c>
      <c r="Y155" t="s">
        <v>55</v>
      </c>
      <c r="Z155" t="s">
        <v>56</v>
      </c>
      <c r="AA155" t="s">
        <v>57</v>
      </c>
      <c r="AB155">
        <v>0</v>
      </c>
      <c r="AC155" t="s">
        <v>58</v>
      </c>
      <c r="AD155">
        <v>8</v>
      </c>
      <c r="AE155" t="s">
        <v>59</v>
      </c>
      <c r="AF155">
        <v>440</v>
      </c>
      <c r="AG155" t="b">
        <v>0</v>
      </c>
      <c r="AH155">
        <v>8</v>
      </c>
      <c r="AI155" t="s">
        <v>59</v>
      </c>
      <c r="AJ155">
        <v>440</v>
      </c>
      <c r="AK155" t="b">
        <v>0</v>
      </c>
      <c r="AL155">
        <v>440</v>
      </c>
      <c r="AM155" t="b">
        <v>0</v>
      </c>
      <c r="AN155">
        <v>0</v>
      </c>
      <c r="AO155" t="b">
        <v>0</v>
      </c>
      <c r="AP155">
        <v>0</v>
      </c>
      <c r="AQ155">
        <v>547.29499999999996</v>
      </c>
      <c r="AR155">
        <v>547.29499999999996</v>
      </c>
      <c r="AS155">
        <v>0</v>
      </c>
      <c r="AT155" t="b">
        <v>0</v>
      </c>
      <c r="AU155" t="b">
        <v>1</v>
      </c>
      <c r="BA155" t="str">
        <f t="shared" si="4"/>
        <v>Normal</v>
      </c>
      <c r="BG155" t="str">
        <f t="shared" si="5"/>
        <v>Normal</v>
      </c>
    </row>
    <row r="156" spans="1:59" x14ac:dyDescent="0.2">
      <c r="A156" t="s">
        <v>42</v>
      </c>
      <c r="B156" t="s">
        <v>43</v>
      </c>
      <c r="C156">
        <v>20200101</v>
      </c>
      <c r="D156">
        <v>2020</v>
      </c>
      <c r="E156">
        <v>52</v>
      </c>
      <c r="F156" t="s">
        <v>271</v>
      </c>
      <c r="G156">
        <v>458</v>
      </c>
      <c r="H156" t="s">
        <v>177</v>
      </c>
      <c r="I156" t="s">
        <v>178</v>
      </c>
      <c r="J156" t="s">
        <v>47</v>
      </c>
      <c r="K156" t="s">
        <v>48</v>
      </c>
      <c r="L156">
        <v>0</v>
      </c>
      <c r="M156" t="s">
        <v>49</v>
      </c>
      <c r="N156" t="s">
        <v>50</v>
      </c>
      <c r="O156">
        <v>0</v>
      </c>
      <c r="P156" t="s">
        <v>49</v>
      </c>
      <c r="Q156" t="s">
        <v>50</v>
      </c>
      <c r="R156" t="s">
        <v>51</v>
      </c>
      <c r="S156" t="s">
        <v>52</v>
      </c>
      <c r="T156" t="b">
        <v>1</v>
      </c>
      <c r="U156" t="s">
        <v>53</v>
      </c>
      <c r="V156" t="s">
        <v>54</v>
      </c>
      <c r="W156">
        <v>4</v>
      </c>
      <c r="X156" t="b">
        <v>0</v>
      </c>
      <c r="Y156" t="s">
        <v>55</v>
      </c>
      <c r="Z156" t="s">
        <v>56</v>
      </c>
      <c r="AA156" t="s">
        <v>57</v>
      </c>
      <c r="AB156">
        <v>0</v>
      </c>
      <c r="AC156" t="s">
        <v>58</v>
      </c>
      <c r="AD156">
        <v>8</v>
      </c>
      <c r="AE156" t="s">
        <v>59</v>
      </c>
      <c r="AF156">
        <v>13685320600</v>
      </c>
      <c r="AG156" t="b">
        <v>0</v>
      </c>
      <c r="AH156">
        <v>8</v>
      </c>
      <c r="AI156" t="s">
        <v>59</v>
      </c>
      <c r="AJ156">
        <v>13685320600</v>
      </c>
      <c r="AK156" t="b">
        <v>0</v>
      </c>
      <c r="AL156">
        <v>13685320600</v>
      </c>
      <c r="AM156" t="b">
        <v>0</v>
      </c>
      <c r="AN156">
        <v>0</v>
      </c>
      <c r="AO156" t="b">
        <v>0</v>
      </c>
      <c r="AP156">
        <v>0</v>
      </c>
      <c r="AQ156">
        <v>4696973705.0760002</v>
      </c>
      <c r="AR156">
        <v>4696973705.0760002</v>
      </c>
      <c r="AS156">
        <v>0</v>
      </c>
      <c r="AT156" t="b">
        <v>0</v>
      </c>
      <c r="AU156" t="b">
        <v>1</v>
      </c>
      <c r="BA156" t="str">
        <f t="shared" si="4"/>
        <v>Normal</v>
      </c>
      <c r="BG156" t="str">
        <f t="shared" si="5"/>
        <v>Normal</v>
      </c>
    </row>
    <row r="157" spans="1:59" x14ac:dyDescent="0.2">
      <c r="A157" t="s">
        <v>42</v>
      </c>
      <c r="B157" t="s">
        <v>43</v>
      </c>
      <c r="C157">
        <v>20200101</v>
      </c>
      <c r="D157">
        <v>2020</v>
      </c>
      <c r="E157">
        <v>52</v>
      </c>
      <c r="F157" t="s">
        <v>271</v>
      </c>
      <c r="G157">
        <v>484</v>
      </c>
      <c r="H157" t="s">
        <v>181</v>
      </c>
      <c r="I157" t="s">
        <v>182</v>
      </c>
      <c r="J157" t="s">
        <v>47</v>
      </c>
      <c r="K157" t="s">
        <v>48</v>
      </c>
      <c r="L157">
        <v>0</v>
      </c>
      <c r="M157" t="s">
        <v>49</v>
      </c>
      <c r="N157" t="s">
        <v>50</v>
      </c>
      <c r="O157">
        <v>0</v>
      </c>
      <c r="P157" t="s">
        <v>49</v>
      </c>
      <c r="Q157" t="s">
        <v>50</v>
      </c>
      <c r="R157" t="s">
        <v>104</v>
      </c>
      <c r="S157" t="s">
        <v>52</v>
      </c>
      <c r="T157" t="b">
        <v>1</v>
      </c>
      <c r="U157" t="s">
        <v>53</v>
      </c>
      <c r="V157" t="s">
        <v>54</v>
      </c>
      <c r="W157">
        <v>4</v>
      </c>
      <c r="X157" t="b">
        <v>0</v>
      </c>
      <c r="Y157" t="s">
        <v>55</v>
      </c>
      <c r="Z157" t="s">
        <v>56</v>
      </c>
      <c r="AA157" t="s">
        <v>57</v>
      </c>
      <c r="AB157">
        <v>0</v>
      </c>
      <c r="AC157" t="s">
        <v>58</v>
      </c>
      <c r="AD157">
        <v>8</v>
      </c>
      <c r="AE157" t="s">
        <v>59</v>
      </c>
      <c r="AF157">
        <v>48419567931.324997</v>
      </c>
      <c r="AG157" t="b">
        <v>1</v>
      </c>
      <c r="AH157">
        <v>-1</v>
      </c>
      <c r="AI157" t="s">
        <v>73</v>
      </c>
      <c r="AJ157">
        <v>0</v>
      </c>
      <c r="AK157" t="b">
        <v>0</v>
      </c>
      <c r="AL157">
        <v>48419567931.324997</v>
      </c>
      <c r="AM157" t="b">
        <v>1</v>
      </c>
      <c r="AN157">
        <v>0</v>
      </c>
      <c r="AO157" t="b">
        <v>0</v>
      </c>
      <c r="AQ157">
        <v>14683690556</v>
      </c>
      <c r="AR157">
        <v>14683690556</v>
      </c>
      <c r="AS157">
        <v>6</v>
      </c>
      <c r="AT157" t="b">
        <v>0</v>
      </c>
      <c r="AU157" t="b">
        <v>1</v>
      </c>
      <c r="BA157" t="str">
        <f t="shared" si="4"/>
        <v>Normal</v>
      </c>
      <c r="BG157" t="str">
        <f t="shared" si="5"/>
        <v>Normal</v>
      </c>
    </row>
    <row r="158" spans="1:59" x14ac:dyDescent="0.2">
      <c r="A158" t="s">
        <v>42</v>
      </c>
      <c r="B158" t="s">
        <v>43</v>
      </c>
      <c r="C158">
        <v>20200101</v>
      </c>
      <c r="D158">
        <v>2020</v>
      </c>
      <c r="E158">
        <v>52</v>
      </c>
      <c r="F158" t="s">
        <v>271</v>
      </c>
      <c r="G158">
        <v>496</v>
      </c>
      <c r="H158" t="s">
        <v>183</v>
      </c>
      <c r="I158" t="s">
        <v>184</v>
      </c>
      <c r="J158" t="s">
        <v>47</v>
      </c>
      <c r="K158" t="s">
        <v>48</v>
      </c>
      <c r="L158">
        <v>0</v>
      </c>
      <c r="M158" t="s">
        <v>49</v>
      </c>
      <c r="N158" t="s">
        <v>50</v>
      </c>
      <c r="O158">
        <v>0</v>
      </c>
      <c r="P158" t="s">
        <v>49</v>
      </c>
      <c r="Q158" t="s">
        <v>50</v>
      </c>
      <c r="R158" t="s">
        <v>51</v>
      </c>
      <c r="S158" t="s">
        <v>52</v>
      </c>
      <c r="T158" t="b">
        <v>1</v>
      </c>
      <c r="U158" t="s">
        <v>53</v>
      </c>
      <c r="V158" t="s">
        <v>54</v>
      </c>
      <c r="W158">
        <v>4</v>
      </c>
      <c r="X158" t="b">
        <v>0</v>
      </c>
      <c r="Y158" t="s">
        <v>55</v>
      </c>
      <c r="Z158" t="s">
        <v>56</v>
      </c>
      <c r="AA158" t="s">
        <v>57</v>
      </c>
      <c r="AB158">
        <v>0</v>
      </c>
      <c r="AC158" t="s">
        <v>58</v>
      </c>
      <c r="AD158">
        <v>8</v>
      </c>
      <c r="AE158" t="s">
        <v>59</v>
      </c>
      <c r="AF158">
        <v>554023744</v>
      </c>
      <c r="AG158" t="b">
        <v>0</v>
      </c>
      <c r="AH158">
        <v>19</v>
      </c>
      <c r="AI158" t="s">
        <v>60</v>
      </c>
      <c r="AJ158">
        <v>4070534.94</v>
      </c>
      <c r="AK158" t="b">
        <v>0</v>
      </c>
      <c r="AL158">
        <v>554023744</v>
      </c>
      <c r="AM158" t="b">
        <v>0</v>
      </c>
      <c r="AN158">
        <v>0</v>
      </c>
      <c r="AO158" t="b">
        <v>0</v>
      </c>
      <c r="AP158">
        <v>0</v>
      </c>
      <c r="AQ158">
        <v>150853239.46000001</v>
      </c>
      <c r="AR158">
        <v>150853239.46000001</v>
      </c>
      <c r="AS158">
        <v>0</v>
      </c>
      <c r="AT158" t="b">
        <v>0</v>
      </c>
      <c r="AU158" t="b">
        <v>1</v>
      </c>
      <c r="BA158" t="str">
        <f t="shared" si="4"/>
        <v>Normal</v>
      </c>
      <c r="BG158" t="str">
        <f t="shared" si="5"/>
        <v>Normal</v>
      </c>
    </row>
    <row r="159" spans="1:59" x14ac:dyDescent="0.2">
      <c r="A159" t="s">
        <v>42</v>
      </c>
      <c r="B159" t="s">
        <v>43</v>
      </c>
      <c r="C159">
        <v>20200101</v>
      </c>
      <c r="D159">
        <v>2020</v>
      </c>
      <c r="E159">
        <v>52</v>
      </c>
      <c r="F159" t="s">
        <v>271</v>
      </c>
      <c r="G159">
        <v>498</v>
      </c>
      <c r="H159" t="s">
        <v>185</v>
      </c>
      <c r="I159" t="s">
        <v>186</v>
      </c>
      <c r="J159" t="s">
        <v>47</v>
      </c>
      <c r="K159" t="s">
        <v>48</v>
      </c>
      <c r="L159">
        <v>0</v>
      </c>
      <c r="M159" t="s">
        <v>49</v>
      </c>
      <c r="N159" t="s">
        <v>50</v>
      </c>
      <c r="O159">
        <v>0</v>
      </c>
      <c r="P159" t="s">
        <v>49</v>
      </c>
      <c r="Q159" t="s">
        <v>50</v>
      </c>
      <c r="R159" t="s">
        <v>51</v>
      </c>
      <c r="S159" t="s">
        <v>52</v>
      </c>
      <c r="T159" t="b">
        <v>1</v>
      </c>
      <c r="U159" t="s">
        <v>53</v>
      </c>
      <c r="V159" t="s">
        <v>54</v>
      </c>
      <c r="W159">
        <v>4</v>
      </c>
      <c r="X159" t="b">
        <v>0</v>
      </c>
      <c r="Y159" t="s">
        <v>55</v>
      </c>
      <c r="Z159" t="s">
        <v>56</v>
      </c>
      <c r="AA159" t="s">
        <v>57</v>
      </c>
      <c r="AB159">
        <v>0</v>
      </c>
      <c r="AC159" t="s">
        <v>58</v>
      </c>
      <c r="AD159">
        <v>8</v>
      </c>
      <c r="AE159" t="s">
        <v>59</v>
      </c>
      <c r="AF159">
        <v>4297520</v>
      </c>
      <c r="AG159" t="b">
        <v>0</v>
      </c>
      <c r="AH159">
        <v>8</v>
      </c>
      <c r="AI159" t="s">
        <v>59</v>
      </c>
      <c r="AJ159">
        <v>4297520</v>
      </c>
      <c r="AK159" t="b">
        <v>0</v>
      </c>
      <c r="AL159">
        <v>4297520</v>
      </c>
      <c r="AM159" t="b">
        <v>0</v>
      </c>
      <c r="AN159">
        <v>0</v>
      </c>
      <c r="AO159" t="b">
        <v>0</v>
      </c>
      <c r="AP159">
        <v>0</v>
      </c>
      <c r="AQ159">
        <v>833265</v>
      </c>
      <c r="AR159">
        <v>833265</v>
      </c>
      <c r="AS159">
        <v>0</v>
      </c>
      <c r="AT159" t="b">
        <v>0</v>
      </c>
      <c r="AU159" t="b">
        <v>1</v>
      </c>
      <c r="BA159" t="str">
        <f t="shared" si="4"/>
        <v>Normal</v>
      </c>
      <c r="BG159" t="str">
        <f t="shared" si="5"/>
        <v>Normal</v>
      </c>
    </row>
    <row r="160" spans="1:59" x14ac:dyDescent="0.2">
      <c r="A160" t="s">
        <v>42</v>
      </c>
      <c r="B160" t="s">
        <v>43</v>
      </c>
      <c r="C160">
        <v>20200101</v>
      </c>
      <c r="D160">
        <v>2020</v>
      </c>
      <c r="E160">
        <v>52</v>
      </c>
      <c r="F160" t="s">
        <v>271</v>
      </c>
      <c r="G160">
        <v>512</v>
      </c>
      <c r="H160" t="s">
        <v>187</v>
      </c>
      <c r="I160" t="s">
        <v>188</v>
      </c>
      <c r="J160" t="s">
        <v>47</v>
      </c>
      <c r="K160" t="s">
        <v>48</v>
      </c>
      <c r="L160">
        <v>0</v>
      </c>
      <c r="M160" t="s">
        <v>49</v>
      </c>
      <c r="N160" t="s">
        <v>50</v>
      </c>
      <c r="O160">
        <v>0</v>
      </c>
      <c r="P160" t="s">
        <v>49</v>
      </c>
      <c r="Q160" t="s">
        <v>50</v>
      </c>
      <c r="R160" t="s">
        <v>51</v>
      </c>
      <c r="S160" t="s">
        <v>52</v>
      </c>
      <c r="T160" t="b">
        <v>1</v>
      </c>
      <c r="U160" t="s">
        <v>53</v>
      </c>
      <c r="V160" t="s">
        <v>54</v>
      </c>
      <c r="W160">
        <v>4</v>
      </c>
      <c r="X160" t="b">
        <v>0</v>
      </c>
      <c r="Y160" t="s">
        <v>55</v>
      </c>
      <c r="Z160" t="s">
        <v>56</v>
      </c>
      <c r="AA160" t="s">
        <v>57</v>
      </c>
      <c r="AB160">
        <v>0</v>
      </c>
      <c r="AC160" t="s">
        <v>58</v>
      </c>
      <c r="AD160">
        <v>8</v>
      </c>
      <c r="AE160" t="s">
        <v>59</v>
      </c>
      <c r="AF160">
        <v>43339847820.652</v>
      </c>
      <c r="AG160" t="b">
        <v>1</v>
      </c>
      <c r="AH160">
        <v>-1</v>
      </c>
      <c r="AI160" t="s">
        <v>73</v>
      </c>
      <c r="AJ160">
        <v>0</v>
      </c>
      <c r="AK160" t="b">
        <v>0</v>
      </c>
      <c r="AL160">
        <v>43339847820.652</v>
      </c>
      <c r="AM160" t="b">
        <v>1</v>
      </c>
      <c r="AN160">
        <v>0</v>
      </c>
      <c r="AO160" t="b">
        <v>0</v>
      </c>
      <c r="AQ160">
        <v>13143217532.325001</v>
      </c>
      <c r="AR160">
        <v>13143217532.325001</v>
      </c>
      <c r="AS160">
        <v>6</v>
      </c>
      <c r="AT160" t="b">
        <v>0</v>
      </c>
      <c r="AU160" t="b">
        <v>1</v>
      </c>
      <c r="BA160" t="str">
        <f t="shared" si="4"/>
        <v>Normal</v>
      </c>
      <c r="BG160" t="str">
        <f t="shared" si="5"/>
        <v>Normal</v>
      </c>
    </row>
    <row r="161" spans="1:59" x14ac:dyDescent="0.2">
      <c r="A161" t="s">
        <v>42</v>
      </c>
      <c r="B161" t="s">
        <v>43</v>
      </c>
      <c r="C161">
        <v>20200101</v>
      </c>
      <c r="D161">
        <v>2020</v>
      </c>
      <c r="E161">
        <v>52</v>
      </c>
      <c r="F161" t="s">
        <v>271</v>
      </c>
      <c r="G161">
        <v>516</v>
      </c>
      <c r="H161" t="s">
        <v>189</v>
      </c>
      <c r="I161" t="s">
        <v>190</v>
      </c>
      <c r="J161" t="s">
        <v>47</v>
      </c>
      <c r="K161" t="s">
        <v>48</v>
      </c>
      <c r="L161">
        <v>0</v>
      </c>
      <c r="M161" t="s">
        <v>49</v>
      </c>
      <c r="N161" t="s">
        <v>50</v>
      </c>
      <c r="O161">
        <v>0</v>
      </c>
      <c r="P161" t="s">
        <v>49</v>
      </c>
      <c r="Q161" t="s">
        <v>50</v>
      </c>
      <c r="R161" t="s">
        <v>51</v>
      </c>
      <c r="S161" t="s">
        <v>52</v>
      </c>
      <c r="T161" t="b">
        <v>1</v>
      </c>
      <c r="U161" t="s">
        <v>53</v>
      </c>
      <c r="V161" t="s">
        <v>54</v>
      </c>
      <c r="W161">
        <v>4</v>
      </c>
      <c r="X161" t="b">
        <v>0</v>
      </c>
      <c r="Y161" t="s">
        <v>55</v>
      </c>
      <c r="Z161" t="s">
        <v>56</v>
      </c>
      <c r="AA161" t="s">
        <v>57</v>
      </c>
      <c r="AB161">
        <v>0</v>
      </c>
      <c r="AC161" t="s">
        <v>58</v>
      </c>
      <c r="AD161">
        <v>8</v>
      </c>
      <c r="AE161" t="s">
        <v>59</v>
      </c>
      <c r="AF161">
        <v>16620.374</v>
      </c>
      <c r="AG161" t="b">
        <v>1</v>
      </c>
      <c r="AH161">
        <v>-1</v>
      </c>
      <c r="AI161" t="s">
        <v>73</v>
      </c>
      <c r="AJ161">
        <v>0</v>
      </c>
      <c r="AK161" t="b">
        <v>0</v>
      </c>
      <c r="AL161">
        <v>16620.374</v>
      </c>
      <c r="AM161" t="b">
        <v>1</v>
      </c>
      <c r="AN161">
        <v>0</v>
      </c>
      <c r="AO161" t="b">
        <v>0</v>
      </c>
      <c r="AQ161">
        <v>59765.006999999998</v>
      </c>
      <c r="AR161">
        <v>59765.006999999998</v>
      </c>
      <c r="AS161">
        <v>6</v>
      </c>
      <c r="AT161" t="b">
        <v>0</v>
      </c>
      <c r="AU161" t="b">
        <v>1</v>
      </c>
      <c r="BA161" t="str">
        <f t="shared" si="4"/>
        <v>Normal</v>
      </c>
      <c r="BG161" t="str">
        <f t="shared" si="5"/>
        <v>Normal</v>
      </c>
    </row>
    <row r="162" spans="1:59" x14ac:dyDescent="0.2">
      <c r="A162" t="s">
        <v>42</v>
      </c>
      <c r="B162" t="s">
        <v>43</v>
      </c>
      <c r="C162">
        <v>20200101</v>
      </c>
      <c r="D162">
        <v>2020</v>
      </c>
      <c r="E162">
        <v>52</v>
      </c>
      <c r="F162" t="s">
        <v>271</v>
      </c>
      <c r="G162">
        <v>528</v>
      </c>
      <c r="H162" t="s">
        <v>191</v>
      </c>
      <c r="I162" t="s">
        <v>192</v>
      </c>
      <c r="J162" t="s">
        <v>47</v>
      </c>
      <c r="K162" t="s">
        <v>48</v>
      </c>
      <c r="L162">
        <v>0</v>
      </c>
      <c r="M162" t="s">
        <v>49</v>
      </c>
      <c r="N162" t="s">
        <v>50</v>
      </c>
      <c r="O162">
        <v>0</v>
      </c>
      <c r="P162" t="s">
        <v>49</v>
      </c>
      <c r="Q162" t="s">
        <v>50</v>
      </c>
      <c r="R162" t="s">
        <v>51</v>
      </c>
      <c r="S162" t="s">
        <v>52</v>
      </c>
      <c r="T162" t="b">
        <v>1</v>
      </c>
      <c r="U162" t="s">
        <v>53</v>
      </c>
      <c r="V162" t="s">
        <v>54</v>
      </c>
      <c r="W162">
        <v>4</v>
      </c>
      <c r="X162" t="b">
        <v>0</v>
      </c>
      <c r="Y162" t="s">
        <v>55</v>
      </c>
      <c r="Z162" t="s">
        <v>56</v>
      </c>
      <c r="AA162" t="s">
        <v>57</v>
      </c>
      <c r="AB162">
        <v>0</v>
      </c>
      <c r="AC162" t="s">
        <v>58</v>
      </c>
      <c r="AD162">
        <v>8</v>
      </c>
      <c r="AE162" t="s">
        <v>59</v>
      </c>
      <c r="AF162">
        <v>191919700</v>
      </c>
      <c r="AG162" t="b">
        <v>0</v>
      </c>
      <c r="AH162">
        <v>8</v>
      </c>
      <c r="AI162" t="s">
        <v>59</v>
      </c>
      <c r="AJ162">
        <v>191919700</v>
      </c>
      <c r="AK162" t="b">
        <v>0</v>
      </c>
      <c r="AL162">
        <v>191919700</v>
      </c>
      <c r="AM162" t="b">
        <v>0</v>
      </c>
      <c r="AN162">
        <v>0</v>
      </c>
      <c r="AO162" t="b">
        <v>0</v>
      </c>
      <c r="AP162">
        <v>0</v>
      </c>
      <c r="AQ162">
        <v>67889319.296000004</v>
      </c>
      <c r="AR162">
        <v>67889319.296000004</v>
      </c>
      <c r="AS162">
        <v>0</v>
      </c>
      <c r="AT162" t="b">
        <v>0</v>
      </c>
      <c r="AU162" t="b">
        <v>1</v>
      </c>
      <c r="BA162" t="str">
        <f t="shared" si="4"/>
        <v>Normal</v>
      </c>
      <c r="BG162" t="str">
        <f t="shared" si="5"/>
        <v>Normal</v>
      </c>
    </row>
    <row r="163" spans="1:59" x14ac:dyDescent="0.2">
      <c r="A163" t="s">
        <v>42</v>
      </c>
      <c r="B163" t="s">
        <v>43</v>
      </c>
      <c r="C163">
        <v>20200101</v>
      </c>
      <c r="D163">
        <v>2020</v>
      </c>
      <c r="E163">
        <v>52</v>
      </c>
      <c r="F163" t="s">
        <v>271</v>
      </c>
      <c r="G163">
        <v>533</v>
      </c>
      <c r="H163" t="s">
        <v>193</v>
      </c>
      <c r="I163" t="s">
        <v>194</v>
      </c>
      <c r="J163" t="s">
        <v>47</v>
      </c>
      <c r="K163" t="s">
        <v>48</v>
      </c>
      <c r="L163">
        <v>0</v>
      </c>
      <c r="M163" t="s">
        <v>49</v>
      </c>
      <c r="N163" t="s">
        <v>50</v>
      </c>
      <c r="O163">
        <v>0</v>
      </c>
      <c r="P163" t="s">
        <v>49</v>
      </c>
      <c r="Q163" t="s">
        <v>50</v>
      </c>
      <c r="R163" t="s">
        <v>104</v>
      </c>
      <c r="S163" t="s">
        <v>52</v>
      </c>
      <c r="T163" t="b">
        <v>1</v>
      </c>
      <c r="U163" t="s">
        <v>53</v>
      </c>
      <c r="V163" t="s">
        <v>54</v>
      </c>
      <c r="W163">
        <v>4</v>
      </c>
      <c r="X163" t="b">
        <v>0</v>
      </c>
      <c r="Y163" t="s">
        <v>55</v>
      </c>
      <c r="Z163" t="s">
        <v>56</v>
      </c>
      <c r="AA163" t="s">
        <v>57</v>
      </c>
      <c r="AB163">
        <v>0</v>
      </c>
      <c r="AC163" t="s">
        <v>58</v>
      </c>
      <c r="AD163">
        <v>8</v>
      </c>
      <c r="AE163" t="s">
        <v>59</v>
      </c>
      <c r="AF163">
        <v>1</v>
      </c>
      <c r="AG163" t="b">
        <v>0</v>
      </c>
      <c r="AH163">
        <v>8</v>
      </c>
      <c r="AI163" t="s">
        <v>59</v>
      </c>
      <c r="AJ163">
        <v>1</v>
      </c>
      <c r="AK163" t="b">
        <v>0</v>
      </c>
      <c r="AL163">
        <v>1</v>
      </c>
      <c r="AM163" t="b">
        <v>0</v>
      </c>
      <c r="AN163">
        <v>0</v>
      </c>
      <c r="AO163" t="b">
        <v>0</v>
      </c>
      <c r="AP163">
        <v>0</v>
      </c>
      <c r="AQ163">
        <v>2.2349999999999999</v>
      </c>
      <c r="AR163">
        <v>2.2349999999999999</v>
      </c>
      <c r="AS163">
        <v>0</v>
      </c>
      <c r="AT163" t="b">
        <v>0</v>
      </c>
      <c r="AU163" t="b">
        <v>1</v>
      </c>
      <c r="BA163" t="str">
        <f t="shared" si="4"/>
        <v>Normal</v>
      </c>
      <c r="BG163" t="str">
        <f t="shared" si="5"/>
        <v>Normal</v>
      </c>
    </row>
    <row r="164" spans="1:59" x14ac:dyDescent="0.2">
      <c r="A164" t="s">
        <v>42</v>
      </c>
      <c r="B164" t="s">
        <v>43</v>
      </c>
      <c r="C164">
        <v>20200101</v>
      </c>
      <c r="D164">
        <v>2020</v>
      </c>
      <c r="E164">
        <v>52</v>
      </c>
      <c r="F164" t="s">
        <v>271</v>
      </c>
      <c r="G164">
        <v>554</v>
      </c>
      <c r="H164" t="s">
        <v>195</v>
      </c>
      <c r="I164" t="s">
        <v>196</v>
      </c>
      <c r="J164" t="s">
        <v>47</v>
      </c>
      <c r="K164" t="s">
        <v>48</v>
      </c>
      <c r="L164">
        <v>0</v>
      </c>
      <c r="M164" t="s">
        <v>49</v>
      </c>
      <c r="N164" t="s">
        <v>50</v>
      </c>
      <c r="O164">
        <v>0</v>
      </c>
      <c r="P164" t="s">
        <v>49</v>
      </c>
      <c r="Q164" t="s">
        <v>50</v>
      </c>
      <c r="R164" t="s">
        <v>51</v>
      </c>
      <c r="S164" t="s">
        <v>52</v>
      </c>
      <c r="T164" t="b">
        <v>1</v>
      </c>
      <c r="U164" t="s">
        <v>53</v>
      </c>
      <c r="V164" t="s">
        <v>54</v>
      </c>
      <c r="W164">
        <v>4</v>
      </c>
      <c r="X164" t="b">
        <v>0</v>
      </c>
      <c r="Y164" t="s">
        <v>55</v>
      </c>
      <c r="Z164" t="s">
        <v>56</v>
      </c>
      <c r="AA164" t="s">
        <v>57</v>
      </c>
      <c r="AB164">
        <v>0</v>
      </c>
      <c r="AC164" t="s">
        <v>58</v>
      </c>
      <c r="AD164">
        <v>8</v>
      </c>
      <c r="AE164" t="s">
        <v>59</v>
      </c>
      <c r="AF164">
        <v>876903183.06900001</v>
      </c>
      <c r="AG164" t="b">
        <v>1</v>
      </c>
      <c r="AH164">
        <v>-1</v>
      </c>
      <c r="AI164" t="s">
        <v>73</v>
      </c>
      <c r="AJ164">
        <v>0</v>
      </c>
      <c r="AK164" t="b">
        <v>0</v>
      </c>
      <c r="AL164">
        <v>876903183.06900001</v>
      </c>
      <c r="AM164" t="b">
        <v>1</v>
      </c>
      <c r="AN164">
        <v>0</v>
      </c>
      <c r="AO164" t="b">
        <v>0</v>
      </c>
      <c r="AQ164">
        <v>276729578.01999998</v>
      </c>
      <c r="AR164">
        <v>276729578.01999998</v>
      </c>
      <c r="AS164">
        <v>6</v>
      </c>
      <c r="AT164" t="b">
        <v>0</v>
      </c>
      <c r="AU164" t="b">
        <v>1</v>
      </c>
      <c r="BA164" t="str">
        <f t="shared" si="4"/>
        <v>Normal</v>
      </c>
      <c r="BG164" t="str">
        <f t="shared" si="5"/>
        <v>Normal</v>
      </c>
    </row>
    <row r="165" spans="1:59" x14ac:dyDescent="0.2">
      <c r="A165" t="s">
        <v>42</v>
      </c>
      <c r="B165" t="s">
        <v>43</v>
      </c>
      <c r="C165">
        <v>20200101</v>
      </c>
      <c r="D165">
        <v>2020</v>
      </c>
      <c r="E165">
        <v>52</v>
      </c>
      <c r="F165" t="s">
        <v>271</v>
      </c>
      <c r="G165">
        <v>558</v>
      </c>
      <c r="H165" t="s">
        <v>279</v>
      </c>
      <c r="I165" t="s">
        <v>280</v>
      </c>
      <c r="J165" t="s">
        <v>47</v>
      </c>
      <c r="K165" t="s">
        <v>48</v>
      </c>
      <c r="L165">
        <v>0</v>
      </c>
      <c r="M165" t="s">
        <v>49</v>
      </c>
      <c r="N165" t="s">
        <v>50</v>
      </c>
      <c r="O165">
        <v>0</v>
      </c>
      <c r="P165" t="s">
        <v>49</v>
      </c>
      <c r="Q165" t="s">
        <v>50</v>
      </c>
      <c r="R165" t="s">
        <v>51</v>
      </c>
      <c r="S165" t="s">
        <v>52</v>
      </c>
      <c r="T165" t="b">
        <v>1</v>
      </c>
      <c r="U165" t="s">
        <v>53</v>
      </c>
      <c r="V165" t="s">
        <v>54</v>
      </c>
      <c r="W165">
        <v>4</v>
      </c>
      <c r="X165" t="b">
        <v>0</v>
      </c>
      <c r="Y165" t="s">
        <v>55</v>
      </c>
      <c r="Z165" t="s">
        <v>56</v>
      </c>
      <c r="AA165" t="s">
        <v>57</v>
      </c>
      <c r="AB165">
        <v>0</v>
      </c>
      <c r="AC165" t="s">
        <v>58</v>
      </c>
      <c r="AD165">
        <v>8</v>
      </c>
      <c r="AE165" t="s">
        <v>59</v>
      </c>
      <c r="AF165">
        <v>4.4000000000000004</v>
      </c>
      <c r="AG165" t="b">
        <v>0</v>
      </c>
      <c r="AH165">
        <v>8</v>
      </c>
      <c r="AI165" t="s">
        <v>59</v>
      </c>
      <c r="AJ165">
        <v>4.4000000000000004</v>
      </c>
      <c r="AK165" t="b">
        <v>0</v>
      </c>
      <c r="AL165">
        <v>4.4000000000000004</v>
      </c>
      <c r="AM165" t="b">
        <v>0</v>
      </c>
      <c r="AN165">
        <v>0</v>
      </c>
      <c r="AO165" t="b">
        <v>0</v>
      </c>
      <c r="AP165">
        <v>0</v>
      </c>
      <c r="AQ165">
        <v>51</v>
      </c>
      <c r="AR165">
        <v>51</v>
      </c>
      <c r="AS165">
        <v>0</v>
      </c>
      <c r="AT165" t="b">
        <v>0</v>
      </c>
      <c r="AU165" t="b">
        <v>1</v>
      </c>
      <c r="BA165" t="str">
        <f t="shared" si="4"/>
        <v>Normal</v>
      </c>
      <c r="BG165" t="str">
        <f t="shared" si="5"/>
        <v>Normal</v>
      </c>
    </row>
    <row r="166" spans="1:59" x14ac:dyDescent="0.2">
      <c r="A166" t="s">
        <v>42</v>
      </c>
      <c r="B166" t="s">
        <v>43</v>
      </c>
      <c r="C166">
        <v>20200101</v>
      </c>
      <c r="D166">
        <v>2020</v>
      </c>
      <c r="E166">
        <v>52</v>
      </c>
      <c r="F166" t="s">
        <v>271</v>
      </c>
      <c r="G166">
        <v>566</v>
      </c>
      <c r="H166" t="s">
        <v>197</v>
      </c>
      <c r="I166" t="s">
        <v>198</v>
      </c>
      <c r="J166" t="s">
        <v>47</v>
      </c>
      <c r="K166" t="s">
        <v>48</v>
      </c>
      <c r="L166">
        <v>0</v>
      </c>
      <c r="M166" t="s">
        <v>49</v>
      </c>
      <c r="N166" t="s">
        <v>50</v>
      </c>
      <c r="O166">
        <v>0</v>
      </c>
      <c r="P166" t="s">
        <v>49</v>
      </c>
      <c r="Q166" t="s">
        <v>50</v>
      </c>
      <c r="R166" t="s">
        <v>104</v>
      </c>
      <c r="S166" t="s">
        <v>52</v>
      </c>
      <c r="T166" t="b">
        <v>1</v>
      </c>
      <c r="U166" t="s">
        <v>53</v>
      </c>
      <c r="V166" t="s">
        <v>54</v>
      </c>
      <c r="W166">
        <v>4</v>
      </c>
      <c r="X166" t="b">
        <v>0</v>
      </c>
      <c r="Y166" t="s">
        <v>55</v>
      </c>
      <c r="Z166" t="s">
        <v>56</v>
      </c>
      <c r="AA166" t="s">
        <v>57</v>
      </c>
      <c r="AB166">
        <v>0</v>
      </c>
      <c r="AC166" t="s">
        <v>58</v>
      </c>
      <c r="AD166">
        <v>8</v>
      </c>
      <c r="AE166" t="s">
        <v>59</v>
      </c>
      <c r="AF166">
        <v>89594686600</v>
      </c>
      <c r="AG166" t="b">
        <v>0</v>
      </c>
      <c r="AH166">
        <v>8</v>
      </c>
      <c r="AI166" t="s">
        <v>59</v>
      </c>
      <c r="AJ166">
        <v>89594686600</v>
      </c>
      <c r="AK166" t="b">
        <v>0</v>
      </c>
      <c r="AL166">
        <v>89594686600</v>
      </c>
      <c r="AM166" t="b">
        <v>0</v>
      </c>
      <c r="AN166">
        <v>0</v>
      </c>
      <c r="AO166" t="b">
        <v>0</v>
      </c>
      <c r="AP166">
        <v>0</v>
      </c>
      <c r="AQ166">
        <v>26322067330.493</v>
      </c>
      <c r="AR166">
        <v>26322067330.493</v>
      </c>
      <c r="AS166">
        <v>0</v>
      </c>
      <c r="AT166" t="b">
        <v>0</v>
      </c>
      <c r="AU166" t="b">
        <v>1</v>
      </c>
      <c r="BA166" t="str">
        <f t="shared" si="4"/>
        <v>Normal</v>
      </c>
      <c r="BG166" t="str">
        <f t="shared" si="5"/>
        <v>Normal</v>
      </c>
    </row>
    <row r="167" spans="1:59" x14ac:dyDescent="0.2">
      <c r="A167" t="s">
        <v>42</v>
      </c>
      <c r="B167" t="s">
        <v>43</v>
      </c>
      <c r="C167">
        <v>20200101</v>
      </c>
      <c r="D167">
        <v>2020</v>
      </c>
      <c r="E167">
        <v>52</v>
      </c>
      <c r="F167" t="s">
        <v>271</v>
      </c>
      <c r="G167">
        <v>579</v>
      </c>
      <c r="H167" t="s">
        <v>199</v>
      </c>
      <c r="I167" t="s">
        <v>200</v>
      </c>
      <c r="J167" t="s">
        <v>47</v>
      </c>
      <c r="K167" t="s">
        <v>48</v>
      </c>
      <c r="L167">
        <v>0</v>
      </c>
      <c r="M167" t="s">
        <v>49</v>
      </c>
      <c r="N167" t="s">
        <v>50</v>
      </c>
      <c r="O167">
        <v>0</v>
      </c>
      <c r="P167" t="s">
        <v>49</v>
      </c>
      <c r="Q167" t="s">
        <v>50</v>
      </c>
      <c r="R167" t="s">
        <v>51</v>
      </c>
      <c r="S167" t="s">
        <v>52</v>
      </c>
      <c r="T167" t="b">
        <v>1</v>
      </c>
      <c r="U167" t="s">
        <v>53</v>
      </c>
      <c r="V167" t="s">
        <v>54</v>
      </c>
      <c r="W167">
        <v>4</v>
      </c>
      <c r="X167" t="b">
        <v>0</v>
      </c>
      <c r="Y167" t="s">
        <v>55</v>
      </c>
      <c r="Z167" t="s">
        <v>56</v>
      </c>
      <c r="AA167" t="s">
        <v>57</v>
      </c>
      <c r="AB167">
        <v>0</v>
      </c>
      <c r="AC167" t="s">
        <v>58</v>
      </c>
      <c r="AD167">
        <v>8</v>
      </c>
      <c r="AE167" t="s">
        <v>59</v>
      </c>
      <c r="AF167">
        <v>75958060280</v>
      </c>
      <c r="AG167" t="b">
        <v>0</v>
      </c>
      <c r="AH167">
        <v>-1</v>
      </c>
      <c r="AI167" t="s">
        <v>73</v>
      </c>
      <c r="AJ167">
        <v>0</v>
      </c>
      <c r="AK167" t="b">
        <v>0</v>
      </c>
      <c r="AL167">
        <v>75958060280</v>
      </c>
      <c r="AM167" t="b">
        <v>0</v>
      </c>
      <c r="AN167">
        <v>0</v>
      </c>
      <c r="AO167" t="b">
        <v>0</v>
      </c>
      <c r="AP167">
        <v>0</v>
      </c>
      <c r="AQ167">
        <v>22558847311.643002</v>
      </c>
      <c r="AR167">
        <v>22558847311.643002</v>
      </c>
      <c r="AS167">
        <v>0</v>
      </c>
      <c r="AT167" t="b">
        <v>0</v>
      </c>
      <c r="AU167" t="b">
        <v>1</v>
      </c>
      <c r="BA167" t="str">
        <f t="shared" si="4"/>
        <v>Normal</v>
      </c>
      <c r="BG167" t="str">
        <f t="shared" si="5"/>
        <v>Normal</v>
      </c>
    </row>
    <row r="168" spans="1:59" x14ac:dyDescent="0.2">
      <c r="A168" t="s">
        <v>42</v>
      </c>
      <c r="B168" t="s">
        <v>43</v>
      </c>
      <c r="C168">
        <v>20200101</v>
      </c>
      <c r="D168">
        <v>2020</v>
      </c>
      <c r="E168">
        <v>52</v>
      </c>
      <c r="F168" t="s">
        <v>271</v>
      </c>
      <c r="G168">
        <v>586</v>
      </c>
      <c r="H168" t="s">
        <v>201</v>
      </c>
      <c r="I168" t="s">
        <v>202</v>
      </c>
      <c r="J168" t="s">
        <v>47</v>
      </c>
      <c r="K168" t="s">
        <v>48</v>
      </c>
      <c r="L168">
        <v>0</v>
      </c>
      <c r="M168" t="s">
        <v>49</v>
      </c>
      <c r="N168" t="s">
        <v>50</v>
      </c>
      <c r="O168">
        <v>0</v>
      </c>
      <c r="P168" t="s">
        <v>49</v>
      </c>
      <c r="Q168" t="s">
        <v>50</v>
      </c>
      <c r="R168" t="s">
        <v>51</v>
      </c>
      <c r="S168" t="s">
        <v>52</v>
      </c>
      <c r="T168" t="b">
        <v>1</v>
      </c>
      <c r="U168" t="s">
        <v>53</v>
      </c>
      <c r="V168" t="s">
        <v>54</v>
      </c>
      <c r="W168">
        <v>4</v>
      </c>
      <c r="X168" t="b">
        <v>0</v>
      </c>
      <c r="Y168" t="s">
        <v>55</v>
      </c>
      <c r="Z168" t="s">
        <v>56</v>
      </c>
      <c r="AA168" t="s">
        <v>57</v>
      </c>
      <c r="AB168">
        <v>0</v>
      </c>
      <c r="AC168" t="s">
        <v>58</v>
      </c>
      <c r="AD168">
        <v>8</v>
      </c>
      <c r="AE168" t="s">
        <v>59</v>
      </c>
      <c r="AF168">
        <v>376507000</v>
      </c>
      <c r="AG168" t="b">
        <v>0</v>
      </c>
      <c r="AH168">
        <v>21</v>
      </c>
      <c r="AI168" t="s">
        <v>170</v>
      </c>
      <c r="AJ168">
        <v>376507</v>
      </c>
      <c r="AK168" t="b">
        <v>0</v>
      </c>
      <c r="AL168">
        <v>376507000</v>
      </c>
      <c r="AM168" t="b">
        <v>0</v>
      </c>
      <c r="AN168">
        <v>0</v>
      </c>
      <c r="AO168" t="b">
        <v>0</v>
      </c>
      <c r="AP168">
        <v>0</v>
      </c>
      <c r="AQ168">
        <v>119121643.862</v>
      </c>
      <c r="AR168">
        <v>119121643.862</v>
      </c>
      <c r="AS168">
        <v>0</v>
      </c>
      <c r="AT168" t="b">
        <v>0</v>
      </c>
      <c r="AU168" t="b">
        <v>1</v>
      </c>
      <c r="BA168" t="str">
        <f t="shared" si="4"/>
        <v>Normal</v>
      </c>
      <c r="BG168" t="str">
        <f t="shared" si="5"/>
        <v>Normal</v>
      </c>
    </row>
    <row r="169" spans="1:59" x14ac:dyDescent="0.2">
      <c r="A169" t="s">
        <v>42</v>
      </c>
      <c r="B169" t="s">
        <v>43</v>
      </c>
      <c r="C169">
        <v>20200101</v>
      </c>
      <c r="D169">
        <v>2020</v>
      </c>
      <c r="E169">
        <v>52</v>
      </c>
      <c r="F169" t="s">
        <v>271</v>
      </c>
      <c r="G169">
        <v>598</v>
      </c>
      <c r="H169" t="s">
        <v>203</v>
      </c>
      <c r="I169" t="s">
        <v>204</v>
      </c>
      <c r="J169" t="s">
        <v>47</v>
      </c>
      <c r="K169" t="s">
        <v>48</v>
      </c>
      <c r="L169">
        <v>0</v>
      </c>
      <c r="M169" t="s">
        <v>49</v>
      </c>
      <c r="N169" t="s">
        <v>50</v>
      </c>
      <c r="O169">
        <v>0</v>
      </c>
      <c r="P169" t="s">
        <v>49</v>
      </c>
      <c r="Q169" t="s">
        <v>50</v>
      </c>
      <c r="R169" t="s">
        <v>51</v>
      </c>
      <c r="S169" t="s">
        <v>52</v>
      </c>
      <c r="T169" t="b">
        <v>1</v>
      </c>
      <c r="U169" t="s">
        <v>53</v>
      </c>
      <c r="V169" t="s">
        <v>54</v>
      </c>
      <c r="W169">
        <v>4</v>
      </c>
      <c r="X169" t="b">
        <v>0</v>
      </c>
      <c r="Y169" t="s">
        <v>55</v>
      </c>
      <c r="Z169" t="s">
        <v>56</v>
      </c>
      <c r="AA169" t="s">
        <v>57</v>
      </c>
      <c r="AB169">
        <v>0</v>
      </c>
      <c r="AC169" t="s">
        <v>58</v>
      </c>
      <c r="AD169">
        <v>8</v>
      </c>
      <c r="AE169" t="s">
        <v>59</v>
      </c>
      <c r="AF169">
        <v>76423138.599999994</v>
      </c>
      <c r="AG169" t="b">
        <v>0</v>
      </c>
      <c r="AH169">
        <v>7</v>
      </c>
      <c r="AI169" t="s">
        <v>67</v>
      </c>
      <c r="AJ169">
        <v>76423138.599999994</v>
      </c>
      <c r="AK169" t="b">
        <v>0</v>
      </c>
      <c r="AL169">
        <v>76423138.599999994</v>
      </c>
      <c r="AM169" t="b">
        <v>0</v>
      </c>
      <c r="AN169">
        <v>0</v>
      </c>
      <c r="AO169" t="b">
        <v>0</v>
      </c>
      <c r="AQ169">
        <v>441126455.384</v>
      </c>
      <c r="AR169">
        <v>441126455.384</v>
      </c>
      <c r="AS169">
        <v>0</v>
      </c>
      <c r="AT169" t="b">
        <v>0</v>
      </c>
      <c r="AU169" t="b">
        <v>1</v>
      </c>
      <c r="BA169" t="str">
        <f t="shared" si="4"/>
        <v>Normal</v>
      </c>
      <c r="BG169" t="str">
        <f t="shared" si="5"/>
        <v>Normal</v>
      </c>
    </row>
    <row r="170" spans="1:59" x14ac:dyDescent="0.2">
      <c r="A170" t="s">
        <v>42</v>
      </c>
      <c r="B170" t="s">
        <v>43</v>
      </c>
      <c r="C170">
        <v>20200101</v>
      </c>
      <c r="D170">
        <v>2020</v>
      </c>
      <c r="E170">
        <v>52</v>
      </c>
      <c r="F170" t="s">
        <v>271</v>
      </c>
      <c r="G170">
        <v>604</v>
      </c>
      <c r="H170" t="s">
        <v>205</v>
      </c>
      <c r="I170" t="s">
        <v>206</v>
      </c>
      <c r="J170" t="s">
        <v>47</v>
      </c>
      <c r="K170" t="s">
        <v>48</v>
      </c>
      <c r="L170">
        <v>0</v>
      </c>
      <c r="M170" t="s">
        <v>49</v>
      </c>
      <c r="N170" t="s">
        <v>50</v>
      </c>
      <c r="O170">
        <v>0</v>
      </c>
      <c r="P170" t="s">
        <v>49</v>
      </c>
      <c r="Q170" t="s">
        <v>50</v>
      </c>
      <c r="R170" t="s">
        <v>51</v>
      </c>
      <c r="S170" t="s">
        <v>52</v>
      </c>
      <c r="T170" t="b">
        <v>1</v>
      </c>
      <c r="U170" t="s">
        <v>53</v>
      </c>
      <c r="V170" t="s">
        <v>54</v>
      </c>
      <c r="W170">
        <v>4</v>
      </c>
      <c r="X170" t="b">
        <v>0</v>
      </c>
      <c r="Y170" t="s">
        <v>55</v>
      </c>
      <c r="Z170" t="s">
        <v>56</v>
      </c>
      <c r="AA170" t="s">
        <v>57</v>
      </c>
      <c r="AB170">
        <v>0</v>
      </c>
      <c r="AC170" t="s">
        <v>58</v>
      </c>
      <c r="AD170">
        <v>8</v>
      </c>
      <c r="AE170" t="s">
        <v>59</v>
      </c>
      <c r="AF170">
        <v>576851055</v>
      </c>
      <c r="AG170" t="b">
        <v>0</v>
      </c>
      <c r="AH170">
        <v>12</v>
      </c>
      <c r="AI170" t="s">
        <v>70</v>
      </c>
      <c r="AJ170">
        <v>650043.62800000003</v>
      </c>
      <c r="AK170" t="b">
        <v>0</v>
      </c>
      <c r="AL170">
        <v>576851055</v>
      </c>
      <c r="AM170" t="b">
        <v>0</v>
      </c>
      <c r="AN170">
        <v>0</v>
      </c>
      <c r="AO170" t="b">
        <v>0</v>
      </c>
      <c r="AP170">
        <v>0</v>
      </c>
      <c r="AQ170">
        <v>151659630.28</v>
      </c>
      <c r="AR170">
        <v>151659630.28</v>
      </c>
      <c r="AS170">
        <v>0</v>
      </c>
      <c r="AT170" t="b">
        <v>0</v>
      </c>
      <c r="AU170" t="b">
        <v>1</v>
      </c>
      <c r="BA170" t="str">
        <f t="shared" si="4"/>
        <v>Normal</v>
      </c>
      <c r="BG170" t="str">
        <f t="shared" si="5"/>
        <v>Normal</v>
      </c>
    </row>
    <row r="171" spans="1:59" x14ac:dyDescent="0.2">
      <c r="A171" t="s">
        <v>42</v>
      </c>
      <c r="B171" t="s">
        <v>43</v>
      </c>
      <c r="C171">
        <v>20200101</v>
      </c>
      <c r="D171">
        <v>2020</v>
      </c>
      <c r="E171">
        <v>52</v>
      </c>
      <c r="F171" t="s">
        <v>271</v>
      </c>
      <c r="G171">
        <v>608</v>
      </c>
      <c r="H171" t="s">
        <v>207</v>
      </c>
      <c r="I171" t="s">
        <v>208</v>
      </c>
      <c r="J171" t="s">
        <v>47</v>
      </c>
      <c r="K171" t="s">
        <v>48</v>
      </c>
      <c r="L171">
        <v>0</v>
      </c>
      <c r="M171" t="s">
        <v>49</v>
      </c>
      <c r="N171" t="s">
        <v>50</v>
      </c>
      <c r="O171">
        <v>0</v>
      </c>
      <c r="P171" t="s">
        <v>49</v>
      </c>
      <c r="Q171" t="s">
        <v>50</v>
      </c>
      <c r="R171" t="s">
        <v>51</v>
      </c>
      <c r="S171" t="s">
        <v>52</v>
      </c>
      <c r="T171" t="b">
        <v>1</v>
      </c>
      <c r="U171" t="s">
        <v>53</v>
      </c>
      <c r="V171" t="s">
        <v>54</v>
      </c>
      <c r="W171">
        <v>4</v>
      </c>
      <c r="X171" t="b">
        <v>0</v>
      </c>
      <c r="Y171" t="s">
        <v>55</v>
      </c>
      <c r="Z171" t="s">
        <v>56</v>
      </c>
      <c r="AA171" t="s">
        <v>57</v>
      </c>
      <c r="AB171">
        <v>0</v>
      </c>
      <c r="AC171" t="s">
        <v>58</v>
      </c>
      <c r="AD171">
        <v>8</v>
      </c>
      <c r="AE171" t="s">
        <v>59</v>
      </c>
      <c r="AF171">
        <v>885855303</v>
      </c>
      <c r="AG171" t="b">
        <v>0</v>
      </c>
      <c r="AH171">
        <v>19</v>
      </c>
      <c r="AI171" t="s">
        <v>60</v>
      </c>
      <c r="AJ171">
        <v>5571417</v>
      </c>
      <c r="AK171" t="b">
        <v>0</v>
      </c>
      <c r="AL171">
        <v>885855303</v>
      </c>
      <c r="AM171" t="b">
        <v>0</v>
      </c>
      <c r="AN171">
        <v>740595028</v>
      </c>
      <c r="AO171" t="b">
        <v>0</v>
      </c>
      <c r="AQ171">
        <v>221360958</v>
      </c>
      <c r="AR171">
        <v>221360958</v>
      </c>
      <c r="AS171">
        <v>0</v>
      </c>
      <c r="AT171" t="b">
        <v>0</v>
      </c>
      <c r="AU171" t="b">
        <v>1</v>
      </c>
      <c r="BA171" t="str">
        <f t="shared" si="4"/>
        <v>Normal</v>
      </c>
      <c r="BG171" t="str">
        <f t="shared" si="5"/>
        <v>Normal</v>
      </c>
    </row>
    <row r="172" spans="1:59" x14ac:dyDescent="0.2">
      <c r="A172" t="s">
        <v>42</v>
      </c>
      <c r="B172" t="s">
        <v>43</v>
      </c>
      <c r="C172">
        <v>20200101</v>
      </c>
      <c r="D172">
        <v>2020</v>
      </c>
      <c r="E172">
        <v>52</v>
      </c>
      <c r="F172" t="s">
        <v>271</v>
      </c>
      <c r="G172">
        <v>616</v>
      </c>
      <c r="H172" t="s">
        <v>209</v>
      </c>
      <c r="I172" t="s">
        <v>210</v>
      </c>
      <c r="J172" t="s">
        <v>47</v>
      </c>
      <c r="K172" t="s">
        <v>48</v>
      </c>
      <c r="L172">
        <v>0</v>
      </c>
      <c r="M172" t="s">
        <v>49</v>
      </c>
      <c r="N172" t="s">
        <v>50</v>
      </c>
      <c r="O172">
        <v>0</v>
      </c>
      <c r="P172" t="s">
        <v>49</v>
      </c>
      <c r="Q172" t="s">
        <v>50</v>
      </c>
      <c r="R172" t="s">
        <v>51</v>
      </c>
      <c r="S172" t="s">
        <v>52</v>
      </c>
      <c r="T172" t="b">
        <v>1</v>
      </c>
      <c r="U172" t="s">
        <v>53</v>
      </c>
      <c r="V172" t="s">
        <v>54</v>
      </c>
      <c r="W172">
        <v>4</v>
      </c>
      <c r="X172" t="b">
        <v>0</v>
      </c>
      <c r="Y172" t="s">
        <v>55</v>
      </c>
      <c r="Z172" t="s">
        <v>56</v>
      </c>
      <c r="AA172" t="s">
        <v>57</v>
      </c>
      <c r="AB172">
        <v>0</v>
      </c>
      <c r="AC172" t="s">
        <v>58</v>
      </c>
      <c r="AD172">
        <v>-1</v>
      </c>
      <c r="AE172" t="s">
        <v>73</v>
      </c>
      <c r="AF172">
        <v>0</v>
      </c>
      <c r="AG172" t="b">
        <v>1</v>
      </c>
      <c r="AH172">
        <v>-1</v>
      </c>
      <c r="AI172" t="s">
        <v>73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0</v>
      </c>
      <c r="AQ172">
        <v>56552213</v>
      </c>
      <c r="AR172">
        <v>56552213</v>
      </c>
      <c r="AS172">
        <v>6</v>
      </c>
      <c r="AT172" t="b">
        <v>0</v>
      </c>
      <c r="AU172" t="b">
        <v>1</v>
      </c>
      <c r="BA172" t="str">
        <f t="shared" si="4"/>
        <v>Normal</v>
      </c>
      <c r="BG172" t="str">
        <f t="shared" si="5"/>
        <v>Normal</v>
      </c>
    </row>
    <row r="173" spans="1:59" x14ac:dyDescent="0.2">
      <c r="A173" t="s">
        <v>42</v>
      </c>
      <c r="B173" t="s">
        <v>43</v>
      </c>
      <c r="C173">
        <v>20200101</v>
      </c>
      <c r="D173">
        <v>2020</v>
      </c>
      <c r="E173">
        <v>52</v>
      </c>
      <c r="F173" t="s">
        <v>271</v>
      </c>
      <c r="G173">
        <v>626</v>
      </c>
      <c r="H173" t="s">
        <v>213</v>
      </c>
      <c r="I173" t="s">
        <v>214</v>
      </c>
      <c r="J173" t="s">
        <v>47</v>
      </c>
      <c r="K173" t="s">
        <v>48</v>
      </c>
      <c r="L173">
        <v>0</v>
      </c>
      <c r="M173" t="s">
        <v>49</v>
      </c>
      <c r="N173" t="s">
        <v>50</v>
      </c>
      <c r="O173">
        <v>0</v>
      </c>
      <c r="P173" t="s">
        <v>49</v>
      </c>
      <c r="Q173" t="s">
        <v>50</v>
      </c>
      <c r="R173" t="s">
        <v>51</v>
      </c>
      <c r="S173" t="s">
        <v>52</v>
      </c>
      <c r="T173" t="b">
        <v>1</v>
      </c>
      <c r="U173" t="s">
        <v>53</v>
      </c>
      <c r="V173" t="s">
        <v>54</v>
      </c>
      <c r="W173">
        <v>4</v>
      </c>
      <c r="X173" t="b">
        <v>0</v>
      </c>
      <c r="Y173" t="s">
        <v>55</v>
      </c>
      <c r="Z173" t="s">
        <v>56</v>
      </c>
      <c r="AA173" t="s">
        <v>57</v>
      </c>
      <c r="AB173">
        <v>0</v>
      </c>
      <c r="AC173" t="s">
        <v>58</v>
      </c>
      <c r="AD173">
        <v>-1</v>
      </c>
      <c r="AE173" t="s">
        <v>73</v>
      </c>
      <c r="AF173">
        <v>0</v>
      </c>
      <c r="AG173" t="b">
        <v>0</v>
      </c>
      <c r="AH173">
        <v>-1</v>
      </c>
      <c r="AI173" t="s">
        <v>73</v>
      </c>
      <c r="AJ173">
        <v>0</v>
      </c>
      <c r="AK173" t="b">
        <v>0</v>
      </c>
      <c r="AM173" t="b">
        <v>0</v>
      </c>
      <c r="AN173">
        <v>0</v>
      </c>
      <c r="AO173" t="b">
        <v>0</v>
      </c>
      <c r="AQ173">
        <v>163401306.22999999</v>
      </c>
      <c r="AR173">
        <v>163401306.22999999</v>
      </c>
      <c r="AS173">
        <v>0</v>
      </c>
      <c r="AT173" t="b">
        <v>0</v>
      </c>
      <c r="AU173" t="b">
        <v>1</v>
      </c>
      <c r="BA173" t="str">
        <f t="shared" si="4"/>
        <v>Normal</v>
      </c>
      <c r="BG173" t="str">
        <f t="shared" si="5"/>
        <v>Normal</v>
      </c>
    </row>
    <row r="174" spans="1:59" x14ac:dyDescent="0.2">
      <c r="A174" t="s">
        <v>42</v>
      </c>
      <c r="B174" t="s">
        <v>43</v>
      </c>
      <c r="C174">
        <v>20200101</v>
      </c>
      <c r="D174">
        <v>2020</v>
      </c>
      <c r="E174">
        <v>52</v>
      </c>
      <c r="F174" t="s">
        <v>271</v>
      </c>
      <c r="G174">
        <v>634</v>
      </c>
      <c r="H174" t="s">
        <v>216</v>
      </c>
      <c r="I174" t="s">
        <v>217</v>
      </c>
      <c r="J174" t="s">
        <v>47</v>
      </c>
      <c r="K174" t="s">
        <v>48</v>
      </c>
      <c r="L174">
        <v>0</v>
      </c>
      <c r="M174" t="s">
        <v>49</v>
      </c>
      <c r="N174" t="s">
        <v>50</v>
      </c>
      <c r="O174">
        <v>0</v>
      </c>
      <c r="P174" t="s">
        <v>49</v>
      </c>
      <c r="Q174" t="s">
        <v>50</v>
      </c>
      <c r="R174" t="s">
        <v>51</v>
      </c>
      <c r="S174" t="s">
        <v>52</v>
      </c>
      <c r="T174" t="b">
        <v>1</v>
      </c>
      <c r="U174" t="s">
        <v>53</v>
      </c>
      <c r="V174" t="s">
        <v>54</v>
      </c>
      <c r="W174">
        <v>4</v>
      </c>
      <c r="X174" t="b">
        <v>0</v>
      </c>
      <c r="Y174" t="s">
        <v>55</v>
      </c>
      <c r="Z174" t="s">
        <v>56</v>
      </c>
      <c r="AA174" t="s">
        <v>57</v>
      </c>
      <c r="AB174">
        <v>0</v>
      </c>
      <c r="AC174" t="s">
        <v>58</v>
      </c>
      <c r="AD174">
        <v>8</v>
      </c>
      <c r="AE174" t="s">
        <v>59</v>
      </c>
      <c r="AF174">
        <v>22671512853.514999</v>
      </c>
      <c r="AG174" t="b">
        <v>1</v>
      </c>
      <c r="AH174">
        <v>-1</v>
      </c>
      <c r="AI174" t="s">
        <v>73</v>
      </c>
      <c r="AJ174">
        <v>0</v>
      </c>
      <c r="AK174" t="b">
        <v>0</v>
      </c>
      <c r="AL174">
        <v>22671512853.514999</v>
      </c>
      <c r="AM174" t="b">
        <v>1</v>
      </c>
      <c r="AN174">
        <v>0</v>
      </c>
      <c r="AO174" t="b">
        <v>0</v>
      </c>
      <c r="AP174">
        <v>0</v>
      </c>
      <c r="AQ174">
        <v>7253522000.2580004</v>
      </c>
      <c r="AR174">
        <v>7253522000.2580004</v>
      </c>
      <c r="AS174">
        <v>6</v>
      </c>
      <c r="AT174" t="b">
        <v>0</v>
      </c>
      <c r="AU174" t="b">
        <v>1</v>
      </c>
      <c r="BA174" t="str">
        <f t="shared" si="4"/>
        <v>Normal</v>
      </c>
      <c r="BG174" t="str">
        <f t="shared" si="5"/>
        <v>Normal</v>
      </c>
    </row>
    <row r="175" spans="1:59" x14ac:dyDescent="0.2">
      <c r="A175" t="s">
        <v>42</v>
      </c>
      <c r="B175" t="s">
        <v>43</v>
      </c>
      <c r="C175">
        <v>20200101</v>
      </c>
      <c r="D175">
        <v>2020</v>
      </c>
      <c r="E175">
        <v>52</v>
      </c>
      <c r="F175" t="s">
        <v>271</v>
      </c>
      <c r="G175">
        <v>642</v>
      </c>
      <c r="H175" t="s">
        <v>218</v>
      </c>
      <c r="I175" t="s">
        <v>219</v>
      </c>
      <c r="J175" t="s">
        <v>47</v>
      </c>
      <c r="K175" t="s">
        <v>48</v>
      </c>
      <c r="L175">
        <v>0</v>
      </c>
      <c r="M175" t="s">
        <v>49</v>
      </c>
      <c r="N175" t="s">
        <v>50</v>
      </c>
      <c r="O175">
        <v>0</v>
      </c>
      <c r="P175" t="s">
        <v>49</v>
      </c>
      <c r="Q175" t="s">
        <v>50</v>
      </c>
      <c r="R175" t="s">
        <v>51</v>
      </c>
      <c r="S175" t="s">
        <v>52</v>
      </c>
      <c r="T175" t="b">
        <v>1</v>
      </c>
      <c r="U175" t="s">
        <v>53</v>
      </c>
      <c r="V175" t="s">
        <v>54</v>
      </c>
      <c r="W175">
        <v>4</v>
      </c>
      <c r="X175" t="b">
        <v>0</v>
      </c>
      <c r="Y175" t="s">
        <v>55</v>
      </c>
      <c r="Z175" t="s">
        <v>56</v>
      </c>
      <c r="AA175" t="s">
        <v>57</v>
      </c>
      <c r="AB175">
        <v>0</v>
      </c>
      <c r="AC175" t="s">
        <v>58</v>
      </c>
      <c r="AD175">
        <v>-1</v>
      </c>
      <c r="AE175" t="s">
        <v>73</v>
      </c>
      <c r="AF175">
        <v>0</v>
      </c>
      <c r="AG175" t="b">
        <v>1</v>
      </c>
      <c r="AH175">
        <v>-1</v>
      </c>
      <c r="AI175" t="s">
        <v>73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P175">
        <v>0</v>
      </c>
      <c r="AQ175">
        <v>10953530.720000001</v>
      </c>
      <c r="AR175">
        <v>10953530.720000001</v>
      </c>
      <c r="AS175">
        <v>6</v>
      </c>
      <c r="AT175" t="b">
        <v>0</v>
      </c>
      <c r="AU175" t="b">
        <v>1</v>
      </c>
      <c r="BA175" t="str">
        <f t="shared" si="4"/>
        <v>Normal</v>
      </c>
      <c r="BG175" t="str">
        <f t="shared" si="5"/>
        <v>Normal</v>
      </c>
    </row>
    <row r="176" spans="1:59" x14ac:dyDescent="0.2">
      <c r="A176" t="s">
        <v>42</v>
      </c>
      <c r="B176" t="s">
        <v>43</v>
      </c>
      <c r="C176">
        <v>20200101</v>
      </c>
      <c r="D176">
        <v>2020</v>
      </c>
      <c r="E176">
        <v>52</v>
      </c>
      <c r="F176" t="s">
        <v>271</v>
      </c>
      <c r="G176">
        <v>643</v>
      </c>
      <c r="H176" t="s">
        <v>220</v>
      </c>
      <c r="I176" t="s">
        <v>221</v>
      </c>
      <c r="J176" t="s">
        <v>47</v>
      </c>
      <c r="K176" t="s">
        <v>48</v>
      </c>
      <c r="L176">
        <v>0</v>
      </c>
      <c r="M176" t="s">
        <v>49</v>
      </c>
      <c r="N176" t="s">
        <v>50</v>
      </c>
      <c r="O176">
        <v>0</v>
      </c>
      <c r="P176" t="s">
        <v>49</v>
      </c>
      <c r="Q176" t="s">
        <v>50</v>
      </c>
      <c r="R176" t="s">
        <v>51</v>
      </c>
      <c r="S176" t="s">
        <v>52</v>
      </c>
      <c r="T176" t="b">
        <v>1</v>
      </c>
      <c r="U176" t="s">
        <v>53</v>
      </c>
      <c r="V176" t="s">
        <v>54</v>
      </c>
      <c r="W176">
        <v>4</v>
      </c>
      <c r="X176" t="b">
        <v>0</v>
      </c>
      <c r="Y176" t="s">
        <v>55</v>
      </c>
      <c r="Z176" t="s">
        <v>56</v>
      </c>
      <c r="AA176" t="s">
        <v>57</v>
      </c>
      <c r="AB176">
        <v>0</v>
      </c>
      <c r="AC176" t="s">
        <v>58</v>
      </c>
      <c r="AD176">
        <v>8</v>
      </c>
      <c r="AE176" t="s">
        <v>59</v>
      </c>
      <c r="AF176">
        <v>239170421479.91901</v>
      </c>
      <c r="AG176" t="b">
        <v>1</v>
      </c>
      <c r="AH176">
        <v>-1</v>
      </c>
      <c r="AI176" t="s">
        <v>73</v>
      </c>
      <c r="AJ176">
        <v>0</v>
      </c>
      <c r="AK176" t="b">
        <v>0</v>
      </c>
      <c r="AL176">
        <v>239170421479.91901</v>
      </c>
      <c r="AM176" t="b">
        <v>1</v>
      </c>
      <c r="AN176">
        <v>0</v>
      </c>
      <c r="AO176" t="b">
        <v>0</v>
      </c>
      <c r="AP176">
        <v>0</v>
      </c>
      <c r="AQ176">
        <v>72564293957.580002</v>
      </c>
      <c r="AR176">
        <v>72564293957.580002</v>
      </c>
      <c r="AS176">
        <v>6</v>
      </c>
      <c r="AT176" t="b">
        <v>0</v>
      </c>
      <c r="AU176" t="b">
        <v>1</v>
      </c>
      <c r="BA176" t="str">
        <f t="shared" si="4"/>
        <v>Normal</v>
      </c>
      <c r="BG176" t="str">
        <f t="shared" si="5"/>
        <v>Normal</v>
      </c>
    </row>
    <row r="177" spans="1:59" x14ac:dyDescent="0.2">
      <c r="A177" t="s">
        <v>42</v>
      </c>
      <c r="B177" t="s">
        <v>43</v>
      </c>
      <c r="C177">
        <v>20200101</v>
      </c>
      <c r="D177">
        <v>2020</v>
      </c>
      <c r="E177">
        <v>52</v>
      </c>
      <c r="F177" t="s">
        <v>271</v>
      </c>
      <c r="G177">
        <v>646</v>
      </c>
      <c r="H177" t="s">
        <v>222</v>
      </c>
      <c r="I177" t="s">
        <v>223</v>
      </c>
      <c r="J177" t="s">
        <v>47</v>
      </c>
      <c r="K177" t="s">
        <v>48</v>
      </c>
      <c r="L177">
        <v>0</v>
      </c>
      <c r="M177" t="s">
        <v>49</v>
      </c>
      <c r="N177" t="s">
        <v>50</v>
      </c>
      <c r="O177">
        <v>0</v>
      </c>
      <c r="P177" t="s">
        <v>49</v>
      </c>
      <c r="Q177" t="s">
        <v>50</v>
      </c>
      <c r="R177" t="s">
        <v>104</v>
      </c>
      <c r="S177" t="s">
        <v>52</v>
      </c>
      <c r="T177" t="b">
        <v>1</v>
      </c>
      <c r="U177" t="s">
        <v>53</v>
      </c>
      <c r="V177" t="s">
        <v>54</v>
      </c>
      <c r="W177">
        <v>4</v>
      </c>
      <c r="X177" t="b">
        <v>0</v>
      </c>
      <c r="Y177" t="s">
        <v>55</v>
      </c>
      <c r="Z177" t="s">
        <v>56</v>
      </c>
      <c r="AA177" t="s">
        <v>57</v>
      </c>
      <c r="AB177">
        <v>0</v>
      </c>
      <c r="AC177" t="s">
        <v>58</v>
      </c>
      <c r="AD177">
        <v>8</v>
      </c>
      <c r="AE177" t="s">
        <v>59</v>
      </c>
      <c r="AF177">
        <v>100</v>
      </c>
      <c r="AG177" t="b">
        <v>0</v>
      </c>
      <c r="AH177">
        <v>8</v>
      </c>
      <c r="AI177" t="s">
        <v>59</v>
      </c>
      <c r="AJ177">
        <v>100</v>
      </c>
      <c r="AK177" t="b">
        <v>0</v>
      </c>
      <c r="AL177">
        <v>100</v>
      </c>
      <c r="AM177" t="b">
        <v>0</v>
      </c>
      <c r="AN177">
        <v>0</v>
      </c>
      <c r="AO177" t="b">
        <v>0</v>
      </c>
      <c r="AQ177">
        <v>232.94</v>
      </c>
      <c r="AR177">
        <v>232.94</v>
      </c>
      <c r="AS177">
        <v>0</v>
      </c>
      <c r="AT177" t="b">
        <v>0</v>
      </c>
      <c r="AU177" t="b">
        <v>1</v>
      </c>
      <c r="BA177" t="str">
        <f t="shared" si="4"/>
        <v>Normal</v>
      </c>
      <c r="BG177" t="str">
        <f t="shared" si="5"/>
        <v>Normal</v>
      </c>
    </row>
    <row r="178" spans="1:59" x14ac:dyDescent="0.2">
      <c r="A178" t="s">
        <v>42</v>
      </c>
      <c r="B178" t="s">
        <v>43</v>
      </c>
      <c r="C178">
        <v>20200101</v>
      </c>
      <c r="D178">
        <v>2020</v>
      </c>
      <c r="E178">
        <v>52</v>
      </c>
      <c r="F178" t="s">
        <v>271</v>
      </c>
      <c r="G178">
        <v>682</v>
      </c>
      <c r="H178" t="s">
        <v>224</v>
      </c>
      <c r="I178" t="s">
        <v>225</v>
      </c>
      <c r="J178" t="s">
        <v>47</v>
      </c>
      <c r="K178" t="s">
        <v>48</v>
      </c>
      <c r="L178">
        <v>0</v>
      </c>
      <c r="M178" t="s">
        <v>49</v>
      </c>
      <c r="N178" t="s">
        <v>50</v>
      </c>
      <c r="O178">
        <v>0</v>
      </c>
      <c r="P178" t="s">
        <v>49</v>
      </c>
      <c r="Q178" t="s">
        <v>50</v>
      </c>
      <c r="R178" t="s">
        <v>104</v>
      </c>
      <c r="S178" t="s">
        <v>52</v>
      </c>
      <c r="T178" t="b">
        <v>1</v>
      </c>
      <c r="U178" t="s">
        <v>53</v>
      </c>
      <c r="V178" t="s">
        <v>54</v>
      </c>
      <c r="W178">
        <v>4</v>
      </c>
      <c r="X178" t="b">
        <v>0</v>
      </c>
      <c r="Y178" t="s">
        <v>55</v>
      </c>
      <c r="Z178" t="s">
        <v>56</v>
      </c>
      <c r="AA178" t="s">
        <v>57</v>
      </c>
      <c r="AB178">
        <v>0</v>
      </c>
      <c r="AC178" t="s">
        <v>58</v>
      </c>
      <c r="AD178">
        <v>8</v>
      </c>
      <c r="AE178" t="s">
        <v>59</v>
      </c>
      <c r="AF178">
        <v>335109400000</v>
      </c>
      <c r="AG178" t="b">
        <v>0</v>
      </c>
      <c r="AH178">
        <v>8</v>
      </c>
      <c r="AI178" t="s">
        <v>59</v>
      </c>
      <c r="AJ178">
        <v>335109400000</v>
      </c>
      <c r="AK178" t="b">
        <v>0</v>
      </c>
      <c r="AL178">
        <v>335109400000</v>
      </c>
      <c r="AM178" t="b">
        <v>0</v>
      </c>
      <c r="AN178">
        <v>0</v>
      </c>
      <c r="AO178" t="b">
        <v>0</v>
      </c>
      <c r="AQ178">
        <v>100382507626.70399</v>
      </c>
      <c r="AR178">
        <v>100382507626.70399</v>
      </c>
      <c r="AS178">
        <v>0</v>
      </c>
      <c r="AT178" t="b">
        <v>0</v>
      </c>
      <c r="AU178" t="b">
        <v>1</v>
      </c>
      <c r="BA178" t="str">
        <f t="shared" si="4"/>
        <v>Normal</v>
      </c>
      <c r="BG178" t="str">
        <f t="shared" si="5"/>
        <v>Normal</v>
      </c>
    </row>
    <row r="179" spans="1:59" x14ac:dyDescent="0.2">
      <c r="A179" t="s">
        <v>42</v>
      </c>
      <c r="B179" t="s">
        <v>43</v>
      </c>
      <c r="C179">
        <v>20200101</v>
      </c>
      <c r="D179">
        <v>2020</v>
      </c>
      <c r="E179">
        <v>52</v>
      </c>
      <c r="F179" t="s">
        <v>271</v>
      </c>
      <c r="G179">
        <v>686</v>
      </c>
      <c r="H179" t="s">
        <v>226</v>
      </c>
      <c r="I179" t="s">
        <v>227</v>
      </c>
      <c r="J179" t="s">
        <v>47</v>
      </c>
      <c r="K179" t="s">
        <v>48</v>
      </c>
      <c r="L179">
        <v>0</v>
      </c>
      <c r="M179" t="s">
        <v>49</v>
      </c>
      <c r="N179" t="s">
        <v>50</v>
      </c>
      <c r="O179">
        <v>0</v>
      </c>
      <c r="P179" t="s">
        <v>49</v>
      </c>
      <c r="Q179" t="s">
        <v>50</v>
      </c>
      <c r="R179" t="s">
        <v>51</v>
      </c>
      <c r="S179" t="s">
        <v>52</v>
      </c>
      <c r="T179" t="b">
        <v>1</v>
      </c>
      <c r="U179" t="s">
        <v>53</v>
      </c>
      <c r="V179" t="s">
        <v>54</v>
      </c>
      <c r="W179">
        <v>4</v>
      </c>
      <c r="X179" t="b">
        <v>0</v>
      </c>
      <c r="Y179" t="s">
        <v>55</v>
      </c>
      <c r="Z179" t="s">
        <v>56</v>
      </c>
      <c r="AA179" t="s">
        <v>57</v>
      </c>
      <c r="AB179">
        <v>0</v>
      </c>
      <c r="AC179" t="s">
        <v>58</v>
      </c>
      <c r="AD179">
        <v>8</v>
      </c>
      <c r="AE179" t="s">
        <v>59</v>
      </c>
      <c r="AF179">
        <v>46271610</v>
      </c>
      <c r="AG179" t="b">
        <v>0</v>
      </c>
      <c r="AH179">
        <v>8</v>
      </c>
      <c r="AI179" t="s">
        <v>59</v>
      </c>
      <c r="AJ179">
        <v>46271610</v>
      </c>
      <c r="AK179" t="b">
        <v>0</v>
      </c>
      <c r="AL179">
        <v>46271610</v>
      </c>
      <c r="AM179" t="b">
        <v>0</v>
      </c>
      <c r="AN179">
        <v>0</v>
      </c>
      <c r="AO179" t="b">
        <v>0</v>
      </c>
      <c r="AP179">
        <v>0</v>
      </c>
      <c r="AQ179">
        <v>6955687.307</v>
      </c>
      <c r="AR179">
        <v>6955687.307</v>
      </c>
      <c r="AS179">
        <v>0</v>
      </c>
      <c r="AT179" t="b">
        <v>0</v>
      </c>
      <c r="AU179" t="b">
        <v>1</v>
      </c>
      <c r="BA179" t="str">
        <f t="shared" si="4"/>
        <v>Normal</v>
      </c>
      <c r="BG179" t="str">
        <f t="shared" si="5"/>
        <v>Normal</v>
      </c>
    </row>
    <row r="180" spans="1:59" x14ac:dyDescent="0.2">
      <c r="A180" t="s">
        <v>42</v>
      </c>
      <c r="B180" t="s">
        <v>43</v>
      </c>
      <c r="C180">
        <v>20200101</v>
      </c>
      <c r="D180">
        <v>2020</v>
      </c>
      <c r="E180">
        <v>52</v>
      </c>
      <c r="F180" t="s">
        <v>271</v>
      </c>
      <c r="G180">
        <v>688</v>
      </c>
      <c r="H180" t="s">
        <v>228</v>
      </c>
      <c r="I180" t="s">
        <v>229</v>
      </c>
      <c r="J180" t="s">
        <v>47</v>
      </c>
      <c r="K180" t="s">
        <v>48</v>
      </c>
      <c r="L180">
        <v>0</v>
      </c>
      <c r="M180" t="s">
        <v>49</v>
      </c>
      <c r="N180" t="s">
        <v>50</v>
      </c>
      <c r="O180">
        <v>0</v>
      </c>
      <c r="P180" t="s">
        <v>49</v>
      </c>
      <c r="Q180" t="s">
        <v>50</v>
      </c>
      <c r="R180" t="s">
        <v>51</v>
      </c>
      <c r="S180" t="s">
        <v>52</v>
      </c>
      <c r="T180" t="b">
        <v>1</v>
      </c>
      <c r="U180" t="s">
        <v>53</v>
      </c>
      <c r="V180" t="s">
        <v>54</v>
      </c>
      <c r="W180">
        <v>4</v>
      </c>
      <c r="X180" t="b">
        <v>0</v>
      </c>
      <c r="Y180" t="s">
        <v>55</v>
      </c>
      <c r="Z180" t="s">
        <v>56</v>
      </c>
      <c r="AA180" t="s">
        <v>57</v>
      </c>
      <c r="AB180">
        <v>0</v>
      </c>
      <c r="AC180" t="s">
        <v>58</v>
      </c>
      <c r="AD180">
        <v>8</v>
      </c>
      <c r="AE180" t="s">
        <v>59</v>
      </c>
      <c r="AF180">
        <v>371540</v>
      </c>
      <c r="AG180" t="b">
        <v>0</v>
      </c>
      <c r="AH180">
        <v>8</v>
      </c>
      <c r="AI180" t="s">
        <v>59</v>
      </c>
      <c r="AJ180">
        <v>371540</v>
      </c>
      <c r="AK180" t="b">
        <v>0</v>
      </c>
      <c r="AL180">
        <v>371540</v>
      </c>
      <c r="AM180" t="b">
        <v>0</v>
      </c>
      <c r="AN180">
        <v>0</v>
      </c>
      <c r="AO180" t="b">
        <v>0</v>
      </c>
      <c r="AP180">
        <v>133534</v>
      </c>
      <c r="AQ180">
        <v>132740</v>
      </c>
      <c r="AR180">
        <v>132740</v>
      </c>
      <c r="AS180">
        <v>0</v>
      </c>
      <c r="AT180" t="b">
        <v>0</v>
      </c>
      <c r="AU180" t="b">
        <v>1</v>
      </c>
      <c r="BA180" t="str">
        <f t="shared" si="4"/>
        <v>Normal</v>
      </c>
      <c r="BG180" t="str">
        <f t="shared" si="5"/>
        <v>Normal</v>
      </c>
    </row>
    <row r="181" spans="1:59" x14ac:dyDescent="0.2">
      <c r="A181" t="s">
        <v>42</v>
      </c>
      <c r="B181" t="s">
        <v>43</v>
      </c>
      <c r="C181">
        <v>20200101</v>
      </c>
      <c r="D181">
        <v>2020</v>
      </c>
      <c r="E181">
        <v>52</v>
      </c>
      <c r="F181" t="s">
        <v>271</v>
      </c>
      <c r="G181">
        <v>702</v>
      </c>
      <c r="H181" t="s">
        <v>230</v>
      </c>
      <c r="I181" t="s">
        <v>231</v>
      </c>
      <c r="J181" t="s">
        <v>47</v>
      </c>
      <c r="K181" t="s">
        <v>48</v>
      </c>
      <c r="L181">
        <v>0</v>
      </c>
      <c r="M181" t="s">
        <v>49</v>
      </c>
      <c r="N181" t="s">
        <v>50</v>
      </c>
      <c r="O181">
        <v>0</v>
      </c>
      <c r="P181" t="s">
        <v>49</v>
      </c>
      <c r="Q181" t="s">
        <v>50</v>
      </c>
      <c r="R181" t="s">
        <v>51</v>
      </c>
      <c r="S181" t="s">
        <v>52</v>
      </c>
      <c r="T181" t="b">
        <v>1</v>
      </c>
      <c r="U181" t="s">
        <v>53</v>
      </c>
      <c r="V181" t="s">
        <v>54</v>
      </c>
      <c r="W181">
        <v>4</v>
      </c>
      <c r="X181" t="b">
        <v>0</v>
      </c>
      <c r="Y181" t="s">
        <v>55</v>
      </c>
      <c r="Z181" t="s">
        <v>56</v>
      </c>
      <c r="AA181" t="s">
        <v>57</v>
      </c>
      <c r="AB181">
        <v>0</v>
      </c>
      <c r="AC181" t="s">
        <v>58</v>
      </c>
      <c r="AD181">
        <v>8</v>
      </c>
      <c r="AE181" t="s">
        <v>59</v>
      </c>
      <c r="AF181">
        <v>11326.608</v>
      </c>
      <c r="AG181" t="b">
        <v>1</v>
      </c>
      <c r="AH181">
        <v>-1</v>
      </c>
      <c r="AI181" t="s">
        <v>73</v>
      </c>
      <c r="AJ181">
        <v>0</v>
      </c>
      <c r="AK181" t="b">
        <v>0</v>
      </c>
      <c r="AL181">
        <v>11326.608</v>
      </c>
      <c r="AM181" t="b">
        <v>1</v>
      </c>
      <c r="AN181">
        <v>0</v>
      </c>
      <c r="AO181" t="b">
        <v>0</v>
      </c>
      <c r="AP181">
        <v>0</v>
      </c>
      <c r="AQ181">
        <v>4681.5140000000001</v>
      </c>
      <c r="AR181">
        <v>4681.5140000000001</v>
      </c>
      <c r="AS181">
        <v>6</v>
      </c>
      <c r="AT181" t="b">
        <v>0</v>
      </c>
      <c r="AU181" t="b">
        <v>1</v>
      </c>
      <c r="BA181" t="str">
        <f t="shared" si="4"/>
        <v>Normal</v>
      </c>
      <c r="BG181" t="str">
        <f t="shared" si="5"/>
        <v>Normal</v>
      </c>
    </row>
    <row r="182" spans="1:59" x14ac:dyDescent="0.2">
      <c r="A182" t="s">
        <v>42</v>
      </c>
      <c r="B182" t="s">
        <v>43</v>
      </c>
      <c r="C182">
        <v>20200101</v>
      </c>
      <c r="D182">
        <v>2020</v>
      </c>
      <c r="E182">
        <v>52</v>
      </c>
      <c r="F182" t="s">
        <v>271</v>
      </c>
      <c r="G182">
        <v>703</v>
      </c>
      <c r="H182" t="s">
        <v>232</v>
      </c>
      <c r="I182" t="s">
        <v>233</v>
      </c>
      <c r="J182" t="s">
        <v>47</v>
      </c>
      <c r="K182" t="s">
        <v>48</v>
      </c>
      <c r="L182">
        <v>0</v>
      </c>
      <c r="M182" t="s">
        <v>49</v>
      </c>
      <c r="N182" t="s">
        <v>50</v>
      </c>
      <c r="O182">
        <v>0</v>
      </c>
      <c r="P182" t="s">
        <v>49</v>
      </c>
      <c r="Q182" t="s">
        <v>50</v>
      </c>
      <c r="R182" t="s">
        <v>51</v>
      </c>
      <c r="S182" t="s">
        <v>52</v>
      </c>
      <c r="T182" t="b">
        <v>1</v>
      </c>
      <c r="U182" t="s">
        <v>53</v>
      </c>
      <c r="V182" t="s">
        <v>54</v>
      </c>
      <c r="W182">
        <v>4</v>
      </c>
      <c r="X182" t="b">
        <v>0</v>
      </c>
      <c r="Y182" t="s">
        <v>55</v>
      </c>
      <c r="Z182" t="s">
        <v>56</v>
      </c>
      <c r="AA182" t="s">
        <v>57</v>
      </c>
      <c r="AB182">
        <v>0</v>
      </c>
      <c r="AC182" t="s">
        <v>58</v>
      </c>
      <c r="AD182">
        <v>8</v>
      </c>
      <c r="AE182" t="s">
        <v>59</v>
      </c>
      <c r="AF182">
        <v>2021278</v>
      </c>
      <c r="AG182" t="b">
        <v>0</v>
      </c>
      <c r="AH182">
        <v>8</v>
      </c>
      <c r="AI182" t="s">
        <v>59</v>
      </c>
      <c r="AJ182">
        <v>2021278</v>
      </c>
      <c r="AK182" t="b">
        <v>0</v>
      </c>
      <c r="AL182">
        <v>2021278</v>
      </c>
      <c r="AM182" t="b">
        <v>0</v>
      </c>
      <c r="AN182">
        <v>0</v>
      </c>
      <c r="AO182" t="b">
        <v>0</v>
      </c>
      <c r="AQ182">
        <v>610358.70299999998</v>
      </c>
      <c r="AR182">
        <v>610358.70299999998</v>
      </c>
      <c r="AS182">
        <v>0</v>
      </c>
      <c r="AT182" t="b">
        <v>0</v>
      </c>
      <c r="AU182" t="b">
        <v>1</v>
      </c>
      <c r="BA182" t="str">
        <f t="shared" si="4"/>
        <v>Normal</v>
      </c>
      <c r="BG182" t="str">
        <f t="shared" si="5"/>
        <v>Normal</v>
      </c>
    </row>
    <row r="183" spans="1:59" x14ac:dyDescent="0.2">
      <c r="A183" t="s">
        <v>42</v>
      </c>
      <c r="B183" t="s">
        <v>43</v>
      </c>
      <c r="C183">
        <v>20200101</v>
      </c>
      <c r="D183">
        <v>2020</v>
      </c>
      <c r="E183">
        <v>52</v>
      </c>
      <c r="F183" t="s">
        <v>271</v>
      </c>
      <c r="G183">
        <v>704</v>
      </c>
      <c r="H183" t="s">
        <v>234</v>
      </c>
      <c r="I183" t="s">
        <v>235</v>
      </c>
      <c r="J183" t="s">
        <v>47</v>
      </c>
      <c r="K183" t="s">
        <v>48</v>
      </c>
      <c r="L183">
        <v>0</v>
      </c>
      <c r="M183" t="s">
        <v>49</v>
      </c>
      <c r="N183" t="s">
        <v>50</v>
      </c>
      <c r="O183">
        <v>0</v>
      </c>
      <c r="P183" t="s">
        <v>49</v>
      </c>
      <c r="Q183" t="s">
        <v>50</v>
      </c>
      <c r="R183" t="s">
        <v>51</v>
      </c>
      <c r="S183" t="s">
        <v>52</v>
      </c>
      <c r="T183" t="b">
        <v>1</v>
      </c>
      <c r="U183" t="s">
        <v>53</v>
      </c>
      <c r="V183" t="s">
        <v>54</v>
      </c>
      <c r="W183">
        <v>4</v>
      </c>
      <c r="X183" t="b">
        <v>0</v>
      </c>
      <c r="Y183" t="s">
        <v>55</v>
      </c>
      <c r="Z183" t="s">
        <v>56</v>
      </c>
      <c r="AA183" t="s">
        <v>57</v>
      </c>
      <c r="AB183">
        <v>0</v>
      </c>
      <c r="AC183" t="s">
        <v>58</v>
      </c>
      <c r="AD183">
        <v>8</v>
      </c>
      <c r="AE183" t="s">
        <v>59</v>
      </c>
      <c r="AF183">
        <v>4217263556.7379999</v>
      </c>
      <c r="AG183" t="b">
        <v>1</v>
      </c>
      <c r="AH183">
        <v>-1</v>
      </c>
      <c r="AI183" t="s">
        <v>73</v>
      </c>
      <c r="AJ183">
        <v>0</v>
      </c>
      <c r="AK183" t="b">
        <v>0</v>
      </c>
      <c r="AL183">
        <v>4217263556.7379999</v>
      </c>
      <c r="AM183" t="b">
        <v>1</v>
      </c>
      <c r="AN183">
        <v>0</v>
      </c>
      <c r="AO183" t="b">
        <v>0</v>
      </c>
      <c r="AP183">
        <v>0</v>
      </c>
      <c r="AQ183">
        <v>1568350946.8150001</v>
      </c>
      <c r="AR183">
        <v>1568350946.8150001</v>
      </c>
      <c r="AS183">
        <v>6</v>
      </c>
      <c r="AT183" t="b">
        <v>0</v>
      </c>
      <c r="AU183" t="b">
        <v>1</v>
      </c>
      <c r="BA183" t="str">
        <f t="shared" si="4"/>
        <v>Normal</v>
      </c>
      <c r="BG183" t="str">
        <f t="shared" si="5"/>
        <v>Normal</v>
      </c>
    </row>
    <row r="184" spans="1:59" x14ac:dyDescent="0.2">
      <c r="A184" t="s">
        <v>42</v>
      </c>
      <c r="B184" t="s">
        <v>43</v>
      </c>
      <c r="C184">
        <v>20200101</v>
      </c>
      <c r="D184">
        <v>2020</v>
      </c>
      <c r="E184">
        <v>52</v>
      </c>
      <c r="F184" t="s">
        <v>271</v>
      </c>
      <c r="G184">
        <v>705</v>
      </c>
      <c r="H184" t="s">
        <v>236</v>
      </c>
      <c r="I184" t="s">
        <v>237</v>
      </c>
      <c r="J184" t="s">
        <v>47</v>
      </c>
      <c r="K184" t="s">
        <v>48</v>
      </c>
      <c r="L184">
        <v>0</v>
      </c>
      <c r="M184" t="s">
        <v>49</v>
      </c>
      <c r="N184" t="s">
        <v>50</v>
      </c>
      <c r="O184">
        <v>0</v>
      </c>
      <c r="P184" t="s">
        <v>49</v>
      </c>
      <c r="Q184" t="s">
        <v>50</v>
      </c>
      <c r="R184" t="s">
        <v>51</v>
      </c>
      <c r="S184" t="s">
        <v>52</v>
      </c>
      <c r="T184" t="b">
        <v>1</v>
      </c>
      <c r="U184" t="s">
        <v>53</v>
      </c>
      <c r="V184" t="s">
        <v>54</v>
      </c>
      <c r="W184">
        <v>4</v>
      </c>
      <c r="X184" t="b">
        <v>0</v>
      </c>
      <c r="Y184" t="s">
        <v>55</v>
      </c>
      <c r="Z184" t="s">
        <v>56</v>
      </c>
      <c r="AA184" t="s">
        <v>57</v>
      </c>
      <c r="AB184">
        <v>0</v>
      </c>
      <c r="AC184" t="s">
        <v>58</v>
      </c>
      <c r="AD184">
        <v>8</v>
      </c>
      <c r="AE184" t="s">
        <v>59</v>
      </c>
      <c r="AF184">
        <v>417.2</v>
      </c>
      <c r="AG184" t="b">
        <v>0</v>
      </c>
      <c r="AH184">
        <v>8</v>
      </c>
      <c r="AI184" t="s">
        <v>59</v>
      </c>
      <c r="AJ184">
        <v>417.2</v>
      </c>
      <c r="AK184" t="b">
        <v>0</v>
      </c>
      <c r="AL184">
        <v>417.2</v>
      </c>
      <c r="AM184" t="b">
        <v>0</v>
      </c>
      <c r="AN184">
        <v>0</v>
      </c>
      <c r="AO184" t="b">
        <v>0</v>
      </c>
      <c r="AP184">
        <v>0</v>
      </c>
      <c r="AQ184">
        <v>11956.34</v>
      </c>
      <c r="AR184">
        <v>11956.34</v>
      </c>
      <c r="AS184">
        <v>0</v>
      </c>
      <c r="AT184" t="b">
        <v>0</v>
      </c>
      <c r="AU184" t="b">
        <v>1</v>
      </c>
      <c r="BA184" t="str">
        <f t="shared" si="4"/>
        <v>Normal</v>
      </c>
      <c r="BG184" t="str">
        <f t="shared" si="5"/>
        <v>Normal</v>
      </c>
    </row>
    <row r="185" spans="1:59" x14ac:dyDescent="0.2">
      <c r="A185" t="s">
        <v>42</v>
      </c>
      <c r="B185" t="s">
        <v>43</v>
      </c>
      <c r="C185">
        <v>20200101</v>
      </c>
      <c r="D185">
        <v>2020</v>
      </c>
      <c r="E185">
        <v>52</v>
      </c>
      <c r="F185" t="s">
        <v>271</v>
      </c>
      <c r="G185">
        <v>710</v>
      </c>
      <c r="H185" t="s">
        <v>238</v>
      </c>
      <c r="I185" t="s">
        <v>239</v>
      </c>
      <c r="J185" t="s">
        <v>47</v>
      </c>
      <c r="K185" t="s">
        <v>48</v>
      </c>
      <c r="L185">
        <v>0</v>
      </c>
      <c r="M185" t="s">
        <v>49</v>
      </c>
      <c r="N185" t="s">
        <v>50</v>
      </c>
      <c r="O185">
        <v>0</v>
      </c>
      <c r="P185" t="s">
        <v>49</v>
      </c>
      <c r="Q185" t="s">
        <v>50</v>
      </c>
      <c r="R185" t="s">
        <v>51</v>
      </c>
      <c r="S185" t="s">
        <v>52</v>
      </c>
      <c r="T185" t="b">
        <v>1</v>
      </c>
      <c r="U185" t="s">
        <v>53</v>
      </c>
      <c r="V185" t="s">
        <v>54</v>
      </c>
      <c r="W185">
        <v>4</v>
      </c>
      <c r="X185" t="b">
        <v>0</v>
      </c>
      <c r="Y185" t="s">
        <v>55</v>
      </c>
      <c r="Z185" t="s">
        <v>56</v>
      </c>
      <c r="AA185" t="s">
        <v>57</v>
      </c>
      <c r="AB185">
        <v>0</v>
      </c>
      <c r="AC185" t="s">
        <v>58</v>
      </c>
      <c r="AD185">
        <v>-1</v>
      </c>
      <c r="AE185" t="s">
        <v>73</v>
      </c>
      <c r="AF185">
        <v>0</v>
      </c>
      <c r="AG185" t="b">
        <v>1</v>
      </c>
      <c r="AH185">
        <v>-1</v>
      </c>
      <c r="AI185" t="s">
        <v>73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P185">
        <v>0</v>
      </c>
      <c r="AQ185">
        <v>79701740.211999997</v>
      </c>
      <c r="AR185">
        <v>79701740.211999997</v>
      </c>
      <c r="AS185">
        <v>6</v>
      </c>
      <c r="AT185" t="b">
        <v>0</v>
      </c>
      <c r="AU185" t="b">
        <v>1</v>
      </c>
      <c r="BA185" t="str">
        <f t="shared" si="4"/>
        <v>Normal</v>
      </c>
      <c r="BG185" t="str">
        <f t="shared" si="5"/>
        <v>Normal</v>
      </c>
    </row>
    <row r="186" spans="1:59" x14ac:dyDescent="0.2">
      <c r="A186" t="s">
        <v>42</v>
      </c>
      <c r="B186" t="s">
        <v>43</v>
      </c>
      <c r="C186">
        <v>20200101</v>
      </c>
      <c r="D186">
        <v>2020</v>
      </c>
      <c r="E186">
        <v>52</v>
      </c>
      <c r="F186" t="s">
        <v>271</v>
      </c>
      <c r="G186">
        <v>724</v>
      </c>
      <c r="H186" t="s">
        <v>240</v>
      </c>
      <c r="I186" t="s">
        <v>241</v>
      </c>
      <c r="J186" t="s">
        <v>47</v>
      </c>
      <c r="K186" t="s">
        <v>48</v>
      </c>
      <c r="L186">
        <v>0</v>
      </c>
      <c r="M186" t="s">
        <v>49</v>
      </c>
      <c r="N186" t="s">
        <v>50</v>
      </c>
      <c r="O186">
        <v>0</v>
      </c>
      <c r="P186" t="s">
        <v>49</v>
      </c>
      <c r="Q186" t="s">
        <v>50</v>
      </c>
      <c r="R186" t="s">
        <v>51</v>
      </c>
      <c r="S186" t="s">
        <v>52</v>
      </c>
      <c r="T186" t="b">
        <v>1</v>
      </c>
      <c r="U186" t="s">
        <v>53</v>
      </c>
      <c r="V186" t="s">
        <v>54</v>
      </c>
      <c r="W186">
        <v>4</v>
      </c>
      <c r="X186" t="b">
        <v>0</v>
      </c>
      <c r="Y186" t="s">
        <v>55</v>
      </c>
      <c r="Z186" t="s">
        <v>56</v>
      </c>
      <c r="AA186" t="s">
        <v>57</v>
      </c>
      <c r="AB186">
        <v>0</v>
      </c>
      <c r="AC186" t="s">
        <v>58</v>
      </c>
      <c r="AD186">
        <v>8</v>
      </c>
      <c r="AE186" t="s">
        <v>59</v>
      </c>
      <c r="AF186">
        <v>1040841500.04</v>
      </c>
      <c r="AG186" t="b">
        <v>0</v>
      </c>
      <c r="AH186">
        <v>8</v>
      </c>
      <c r="AI186" t="s">
        <v>59</v>
      </c>
      <c r="AJ186">
        <v>1040841500.04</v>
      </c>
      <c r="AK186" t="b">
        <v>0</v>
      </c>
      <c r="AL186">
        <v>1040841500.04</v>
      </c>
      <c r="AM186" t="b">
        <v>0</v>
      </c>
      <c r="AN186">
        <v>0</v>
      </c>
      <c r="AO186" t="b">
        <v>0</v>
      </c>
      <c r="AP186">
        <v>0</v>
      </c>
      <c r="AQ186">
        <v>353055239.16000003</v>
      </c>
      <c r="AR186">
        <v>353055239.16000003</v>
      </c>
      <c r="AS186">
        <v>0</v>
      </c>
      <c r="AT186" t="b">
        <v>0</v>
      </c>
      <c r="AU186" t="b">
        <v>1</v>
      </c>
      <c r="BA186" t="str">
        <f t="shared" si="4"/>
        <v>Normal</v>
      </c>
      <c r="BG186" t="str">
        <f t="shared" si="5"/>
        <v>Normal</v>
      </c>
    </row>
    <row r="187" spans="1:59" x14ac:dyDescent="0.2">
      <c r="A187" t="s">
        <v>42</v>
      </c>
      <c r="B187" t="s">
        <v>43</v>
      </c>
      <c r="C187">
        <v>20200101</v>
      </c>
      <c r="D187">
        <v>2020</v>
      </c>
      <c r="E187">
        <v>52</v>
      </c>
      <c r="F187" t="s">
        <v>271</v>
      </c>
      <c r="G187">
        <v>740</v>
      </c>
      <c r="H187" t="s">
        <v>281</v>
      </c>
      <c r="I187" t="s">
        <v>282</v>
      </c>
      <c r="J187" t="s">
        <v>47</v>
      </c>
      <c r="K187" t="s">
        <v>48</v>
      </c>
      <c r="L187">
        <v>0</v>
      </c>
      <c r="M187" t="s">
        <v>49</v>
      </c>
      <c r="N187" t="s">
        <v>50</v>
      </c>
      <c r="O187">
        <v>0</v>
      </c>
      <c r="P187" t="s">
        <v>49</v>
      </c>
      <c r="Q187" t="s">
        <v>50</v>
      </c>
      <c r="R187" t="s">
        <v>127</v>
      </c>
      <c r="S187" t="s">
        <v>52</v>
      </c>
      <c r="T187" t="b">
        <v>1</v>
      </c>
      <c r="U187" t="s">
        <v>53</v>
      </c>
      <c r="V187" t="s">
        <v>54</v>
      </c>
      <c r="W187">
        <v>4</v>
      </c>
      <c r="X187" t="b">
        <v>0</v>
      </c>
      <c r="Y187" t="s">
        <v>55</v>
      </c>
      <c r="Z187" t="s">
        <v>56</v>
      </c>
      <c r="AA187" t="s">
        <v>57</v>
      </c>
      <c r="AB187">
        <v>0</v>
      </c>
      <c r="AC187" t="s">
        <v>58</v>
      </c>
      <c r="AD187">
        <v>8</v>
      </c>
      <c r="AE187" t="s">
        <v>59</v>
      </c>
      <c r="AF187">
        <v>522.12</v>
      </c>
      <c r="AG187" t="b">
        <v>0</v>
      </c>
      <c r="AH187">
        <v>8</v>
      </c>
      <c r="AI187" t="s">
        <v>59</v>
      </c>
      <c r="AJ187">
        <v>522.12</v>
      </c>
      <c r="AK187" t="b">
        <v>0</v>
      </c>
      <c r="AL187">
        <v>522.12</v>
      </c>
      <c r="AM187" t="b">
        <v>0</v>
      </c>
      <c r="AN187">
        <v>523.35</v>
      </c>
      <c r="AO187" t="b">
        <v>0</v>
      </c>
      <c r="AP187">
        <v>0</v>
      </c>
      <c r="AQ187">
        <v>1051.04</v>
      </c>
      <c r="AR187">
        <v>1051.04</v>
      </c>
      <c r="AS187">
        <v>0</v>
      </c>
      <c r="AT187" t="b">
        <v>0</v>
      </c>
      <c r="AU187" t="b">
        <v>1</v>
      </c>
      <c r="BA187" t="str">
        <f t="shared" si="4"/>
        <v>Normal</v>
      </c>
      <c r="BG187" t="str">
        <f t="shared" si="5"/>
        <v>Normal</v>
      </c>
    </row>
    <row r="188" spans="1:59" x14ac:dyDescent="0.2">
      <c r="A188" t="s">
        <v>42</v>
      </c>
      <c r="B188" t="s">
        <v>43</v>
      </c>
      <c r="C188">
        <v>20200101</v>
      </c>
      <c r="D188">
        <v>2020</v>
      </c>
      <c r="E188">
        <v>52</v>
      </c>
      <c r="F188" t="s">
        <v>271</v>
      </c>
      <c r="G188">
        <v>748</v>
      </c>
      <c r="H188" t="s">
        <v>242</v>
      </c>
      <c r="I188" t="s">
        <v>243</v>
      </c>
      <c r="J188" t="s">
        <v>47</v>
      </c>
      <c r="K188" t="s">
        <v>48</v>
      </c>
      <c r="L188">
        <v>0</v>
      </c>
      <c r="M188" t="s">
        <v>49</v>
      </c>
      <c r="N188" t="s">
        <v>50</v>
      </c>
      <c r="O188">
        <v>0</v>
      </c>
      <c r="P188" t="s">
        <v>49</v>
      </c>
      <c r="Q188" t="s">
        <v>50</v>
      </c>
      <c r="R188" t="s">
        <v>51</v>
      </c>
      <c r="S188" t="s">
        <v>52</v>
      </c>
      <c r="T188" t="b">
        <v>1</v>
      </c>
      <c r="U188" t="s">
        <v>53</v>
      </c>
      <c r="V188" t="s">
        <v>54</v>
      </c>
      <c r="W188">
        <v>4</v>
      </c>
      <c r="X188" t="b">
        <v>0</v>
      </c>
      <c r="Y188" t="s">
        <v>55</v>
      </c>
      <c r="Z188" t="s">
        <v>56</v>
      </c>
      <c r="AA188" t="s">
        <v>57</v>
      </c>
      <c r="AB188">
        <v>0</v>
      </c>
      <c r="AC188" t="s">
        <v>58</v>
      </c>
      <c r="AD188">
        <v>8</v>
      </c>
      <c r="AE188" t="s">
        <v>59</v>
      </c>
      <c r="AF188">
        <v>1</v>
      </c>
      <c r="AG188" t="b">
        <v>0</v>
      </c>
      <c r="AH188">
        <v>8</v>
      </c>
      <c r="AI188" t="s">
        <v>59</v>
      </c>
      <c r="AJ188">
        <v>1</v>
      </c>
      <c r="AK188" t="b">
        <v>0</v>
      </c>
      <c r="AL188">
        <v>1</v>
      </c>
      <c r="AM188" t="b">
        <v>0</v>
      </c>
      <c r="AN188">
        <v>0</v>
      </c>
      <c r="AO188" t="b">
        <v>0</v>
      </c>
      <c r="AP188">
        <v>0</v>
      </c>
      <c r="AQ188">
        <v>1.75</v>
      </c>
      <c r="AR188">
        <v>1.75</v>
      </c>
      <c r="AS188">
        <v>0</v>
      </c>
      <c r="AT188" t="b">
        <v>0</v>
      </c>
      <c r="AU188" t="b">
        <v>1</v>
      </c>
      <c r="BA188" t="str">
        <f t="shared" si="4"/>
        <v>Normal</v>
      </c>
      <c r="BG188" t="str">
        <f t="shared" si="5"/>
        <v>Normal</v>
      </c>
    </row>
    <row r="189" spans="1:59" x14ac:dyDescent="0.2">
      <c r="A189" t="s">
        <v>42</v>
      </c>
      <c r="B189" t="s">
        <v>43</v>
      </c>
      <c r="C189">
        <v>20200101</v>
      </c>
      <c r="D189">
        <v>2020</v>
      </c>
      <c r="E189">
        <v>52</v>
      </c>
      <c r="F189" t="s">
        <v>271</v>
      </c>
      <c r="G189">
        <v>752</v>
      </c>
      <c r="H189" t="s">
        <v>244</v>
      </c>
      <c r="I189" t="s">
        <v>245</v>
      </c>
      <c r="J189" t="s">
        <v>47</v>
      </c>
      <c r="K189" t="s">
        <v>48</v>
      </c>
      <c r="L189">
        <v>0</v>
      </c>
      <c r="M189" t="s">
        <v>49</v>
      </c>
      <c r="N189" t="s">
        <v>50</v>
      </c>
      <c r="O189">
        <v>0</v>
      </c>
      <c r="P189" t="s">
        <v>49</v>
      </c>
      <c r="Q189" t="s">
        <v>50</v>
      </c>
      <c r="R189" t="s">
        <v>51</v>
      </c>
      <c r="S189" t="s">
        <v>52</v>
      </c>
      <c r="T189" t="b">
        <v>1</v>
      </c>
      <c r="U189" t="s">
        <v>53</v>
      </c>
      <c r="V189" t="s">
        <v>54</v>
      </c>
      <c r="W189">
        <v>4</v>
      </c>
      <c r="X189" t="b">
        <v>0</v>
      </c>
      <c r="Y189" t="s">
        <v>55</v>
      </c>
      <c r="Z189" t="s">
        <v>56</v>
      </c>
      <c r="AA189" t="s">
        <v>57</v>
      </c>
      <c r="AB189">
        <v>0</v>
      </c>
      <c r="AC189" t="s">
        <v>58</v>
      </c>
      <c r="AD189">
        <v>8</v>
      </c>
      <c r="AE189" t="s">
        <v>59</v>
      </c>
      <c r="AF189">
        <v>49907342.630000003</v>
      </c>
      <c r="AG189" t="b">
        <v>1</v>
      </c>
      <c r="AH189">
        <v>-1</v>
      </c>
      <c r="AI189" t="s">
        <v>73</v>
      </c>
      <c r="AJ189">
        <v>0</v>
      </c>
      <c r="AK189" t="b">
        <v>0</v>
      </c>
      <c r="AL189">
        <v>49907342.630000003</v>
      </c>
      <c r="AM189" t="b">
        <v>1</v>
      </c>
      <c r="AN189">
        <v>0</v>
      </c>
      <c r="AO189" t="b">
        <v>0</v>
      </c>
      <c r="AP189">
        <v>0</v>
      </c>
      <c r="AQ189">
        <v>12107521.036</v>
      </c>
      <c r="AR189">
        <v>12107521.036</v>
      </c>
      <c r="AS189">
        <v>6</v>
      </c>
      <c r="AT189" t="b">
        <v>0</v>
      </c>
      <c r="AU189" t="b">
        <v>1</v>
      </c>
      <c r="BA189" t="str">
        <f t="shared" si="4"/>
        <v>Normal</v>
      </c>
      <c r="BG189" t="str">
        <f t="shared" si="5"/>
        <v>Normal</v>
      </c>
    </row>
    <row r="190" spans="1:59" x14ac:dyDescent="0.2">
      <c r="A190" t="s">
        <v>42</v>
      </c>
      <c r="B190" t="s">
        <v>43</v>
      </c>
      <c r="C190">
        <v>20200101</v>
      </c>
      <c r="D190">
        <v>2020</v>
      </c>
      <c r="E190">
        <v>52</v>
      </c>
      <c r="F190" t="s">
        <v>271</v>
      </c>
      <c r="G190">
        <v>757</v>
      </c>
      <c r="H190" t="s">
        <v>246</v>
      </c>
      <c r="I190" t="s">
        <v>247</v>
      </c>
      <c r="J190" t="s">
        <v>47</v>
      </c>
      <c r="K190" t="s">
        <v>48</v>
      </c>
      <c r="L190">
        <v>0</v>
      </c>
      <c r="M190" t="s">
        <v>49</v>
      </c>
      <c r="N190" t="s">
        <v>50</v>
      </c>
      <c r="O190">
        <v>0</v>
      </c>
      <c r="P190" t="s">
        <v>49</v>
      </c>
      <c r="Q190" t="s">
        <v>50</v>
      </c>
      <c r="R190" t="s">
        <v>51</v>
      </c>
      <c r="S190" t="s">
        <v>52</v>
      </c>
      <c r="T190" t="b">
        <v>1</v>
      </c>
      <c r="U190" t="s">
        <v>53</v>
      </c>
      <c r="V190" t="s">
        <v>54</v>
      </c>
      <c r="W190">
        <v>4</v>
      </c>
      <c r="X190" t="b">
        <v>0</v>
      </c>
      <c r="Y190" t="s">
        <v>55</v>
      </c>
      <c r="Z190" t="s">
        <v>56</v>
      </c>
      <c r="AA190" t="s">
        <v>57</v>
      </c>
      <c r="AB190">
        <v>0</v>
      </c>
      <c r="AC190" t="s">
        <v>58</v>
      </c>
      <c r="AD190">
        <v>8</v>
      </c>
      <c r="AE190" t="s">
        <v>59</v>
      </c>
      <c r="AF190">
        <v>139</v>
      </c>
      <c r="AG190" t="b">
        <v>0</v>
      </c>
      <c r="AH190">
        <v>7</v>
      </c>
      <c r="AI190" t="s">
        <v>67</v>
      </c>
      <c r="AJ190">
        <v>139</v>
      </c>
      <c r="AK190" t="b">
        <v>0</v>
      </c>
      <c r="AL190">
        <v>139</v>
      </c>
      <c r="AM190" t="b">
        <v>0</v>
      </c>
      <c r="AN190">
        <v>0</v>
      </c>
      <c r="AO190" t="b">
        <v>0</v>
      </c>
      <c r="AP190">
        <v>0</v>
      </c>
      <c r="AQ190">
        <v>1779.25</v>
      </c>
      <c r="AR190">
        <v>1779.25</v>
      </c>
      <c r="AS190">
        <v>0</v>
      </c>
      <c r="AT190" t="b">
        <v>0</v>
      </c>
      <c r="AU190" t="b">
        <v>1</v>
      </c>
      <c r="BA190" t="str">
        <f t="shared" si="4"/>
        <v>Normal</v>
      </c>
      <c r="BG190" t="str">
        <f t="shared" si="5"/>
        <v>Normal</v>
      </c>
    </row>
    <row r="191" spans="1:59" x14ac:dyDescent="0.2">
      <c r="A191" t="s">
        <v>42</v>
      </c>
      <c r="B191" t="s">
        <v>43</v>
      </c>
      <c r="C191">
        <v>20200101</v>
      </c>
      <c r="D191">
        <v>2020</v>
      </c>
      <c r="E191">
        <v>52</v>
      </c>
      <c r="F191" t="s">
        <v>271</v>
      </c>
      <c r="G191">
        <v>764</v>
      </c>
      <c r="H191" t="s">
        <v>248</v>
      </c>
      <c r="I191" t="s">
        <v>249</v>
      </c>
      <c r="J191" t="s">
        <v>47</v>
      </c>
      <c r="K191" t="s">
        <v>48</v>
      </c>
      <c r="L191">
        <v>0</v>
      </c>
      <c r="M191" t="s">
        <v>49</v>
      </c>
      <c r="N191" t="s">
        <v>50</v>
      </c>
      <c r="O191">
        <v>0</v>
      </c>
      <c r="P191" t="s">
        <v>49</v>
      </c>
      <c r="Q191" t="s">
        <v>50</v>
      </c>
      <c r="R191" t="s">
        <v>51</v>
      </c>
      <c r="S191" t="s">
        <v>52</v>
      </c>
      <c r="T191" t="b">
        <v>1</v>
      </c>
      <c r="U191" t="s">
        <v>53</v>
      </c>
      <c r="V191" t="s">
        <v>54</v>
      </c>
      <c r="W191">
        <v>4</v>
      </c>
      <c r="X191" t="b">
        <v>0</v>
      </c>
      <c r="Y191" t="s">
        <v>55</v>
      </c>
      <c r="Z191" t="s">
        <v>56</v>
      </c>
      <c r="AA191" t="s">
        <v>57</v>
      </c>
      <c r="AB191">
        <v>0</v>
      </c>
      <c r="AC191" t="s">
        <v>58</v>
      </c>
      <c r="AD191">
        <v>8</v>
      </c>
      <c r="AE191" t="s">
        <v>59</v>
      </c>
      <c r="AF191">
        <v>1255191893.0420001</v>
      </c>
      <c r="AG191" t="b">
        <v>1</v>
      </c>
      <c r="AH191">
        <v>-1</v>
      </c>
      <c r="AI191" t="s">
        <v>73</v>
      </c>
      <c r="AJ191">
        <v>0</v>
      </c>
      <c r="AK191" t="b">
        <v>0</v>
      </c>
      <c r="AL191">
        <v>1255191893.0420001</v>
      </c>
      <c r="AM191" t="b">
        <v>1</v>
      </c>
      <c r="AN191">
        <v>0</v>
      </c>
      <c r="AO191" t="b">
        <v>0</v>
      </c>
      <c r="AQ191">
        <v>369503254.236</v>
      </c>
      <c r="AR191">
        <v>369503254.236</v>
      </c>
      <c r="AS191">
        <v>6</v>
      </c>
      <c r="AT191" t="b">
        <v>0</v>
      </c>
      <c r="AU191" t="b">
        <v>1</v>
      </c>
      <c r="BA191" t="str">
        <f t="shared" si="4"/>
        <v>Normal</v>
      </c>
      <c r="BG191" t="str">
        <f t="shared" si="5"/>
        <v>Normal</v>
      </c>
    </row>
    <row r="192" spans="1:59" x14ac:dyDescent="0.2">
      <c r="A192" t="s">
        <v>42</v>
      </c>
      <c r="B192" t="s">
        <v>43</v>
      </c>
      <c r="C192">
        <v>20200101</v>
      </c>
      <c r="D192">
        <v>2020</v>
      </c>
      <c r="E192">
        <v>52</v>
      </c>
      <c r="F192" t="s">
        <v>271</v>
      </c>
      <c r="G192">
        <v>780</v>
      </c>
      <c r="H192" t="s">
        <v>252</v>
      </c>
      <c r="I192" t="s">
        <v>253</v>
      </c>
      <c r="J192" t="s">
        <v>47</v>
      </c>
      <c r="K192" t="s">
        <v>48</v>
      </c>
      <c r="L192">
        <v>0</v>
      </c>
      <c r="M192" t="s">
        <v>49</v>
      </c>
      <c r="N192" t="s">
        <v>50</v>
      </c>
      <c r="O192">
        <v>0</v>
      </c>
      <c r="P192" t="s">
        <v>49</v>
      </c>
      <c r="Q192" t="s">
        <v>50</v>
      </c>
      <c r="R192" t="s">
        <v>104</v>
      </c>
      <c r="S192" t="s">
        <v>52</v>
      </c>
      <c r="T192" t="b">
        <v>1</v>
      </c>
      <c r="U192" t="s">
        <v>53</v>
      </c>
      <c r="V192" t="s">
        <v>54</v>
      </c>
      <c r="W192">
        <v>4</v>
      </c>
      <c r="X192" t="b">
        <v>0</v>
      </c>
      <c r="Y192" t="s">
        <v>55</v>
      </c>
      <c r="Z192" t="s">
        <v>56</v>
      </c>
      <c r="AA192" t="s">
        <v>57</v>
      </c>
      <c r="AB192">
        <v>0</v>
      </c>
      <c r="AC192" t="s">
        <v>58</v>
      </c>
      <c r="AD192">
        <v>-1</v>
      </c>
      <c r="AE192" t="s">
        <v>73</v>
      </c>
      <c r="AF192">
        <v>0</v>
      </c>
      <c r="AG192" t="b">
        <v>0</v>
      </c>
      <c r="AH192">
        <v>-1</v>
      </c>
      <c r="AI192" t="s">
        <v>73</v>
      </c>
      <c r="AJ192">
        <v>0</v>
      </c>
      <c r="AK192" t="b">
        <v>0</v>
      </c>
      <c r="AL192">
        <v>0</v>
      </c>
      <c r="AM192" t="b">
        <v>0</v>
      </c>
      <c r="AN192">
        <v>0</v>
      </c>
      <c r="AO192" t="b">
        <v>0</v>
      </c>
      <c r="AP192">
        <v>0</v>
      </c>
      <c r="AQ192">
        <v>730879374.41499996</v>
      </c>
      <c r="AR192">
        <v>730879374.41499996</v>
      </c>
      <c r="AS192">
        <v>0</v>
      </c>
      <c r="AT192" t="b">
        <v>0</v>
      </c>
      <c r="AU192" t="b">
        <v>1</v>
      </c>
      <c r="BA192" t="str">
        <f t="shared" si="4"/>
        <v>Normal</v>
      </c>
      <c r="BG192" t="str">
        <f t="shared" si="5"/>
        <v>Normal</v>
      </c>
    </row>
    <row r="193" spans="1:59" x14ac:dyDescent="0.2">
      <c r="A193" t="s">
        <v>42</v>
      </c>
      <c r="B193" t="s">
        <v>43</v>
      </c>
      <c r="C193">
        <v>20200101</v>
      </c>
      <c r="D193">
        <v>2020</v>
      </c>
      <c r="E193">
        <v>52</v>
      </c>
      <c r="F193" t="s">
        <v>271</v>
      </c>
      <c r="G193">
        <v>784</v>
      </c>
      <c r="H193" t="s">
        <v>254</v>
      </c>
      <c r="I193" t="s">
        <v>255</v>
      </c>
      <c r="J193" t="s">
        <v>47</v>
      </c>
      <c r="K193" t="s">
        <v>48</v>
      </c>
      <c r="L193">
        <v>0</v>
      </c>
      <c r="M193" t="s">
        <v>49</v>
      </c>
      <c r="N193" t="s">
        <v>50</v>
      </c>
      <c r="O193">
        <v>0</v>
      </c>
      <c r="P193" t="s">
        <v>49</v>
      </c>
      <c r="Q193" t="s">
        <v>50</v>
      </c>
      <c r="R193" t="s">
        <v>51</v>
      </c>
      <c r="S193" t="s">
        <v>52</v>
      </c>
      <c r="T193" t="b">
        <v>1</v>
      </c>
      <c r="U193" t="s">
        <v>53</v>
      </c>
      <c r="V193" t="s">
        <v>54</v>
      </c>
      <c r="W193">
        <v>4</v>
      </c>
      <c r="X193" t="b">
        <v>0</v>
      </c>
      <c r="Y193" t="s">
        <v>55</v>
      </c>
      <c r="Z193" t="s">
        <v>56</v>
      </c>
      <c r="AA193" t="s">
        <v>57</v>
      </c>
      <c r="AB193">
        <v>0</v>
      </c>
      <c r="AC193" t="s">
        <v>58</v>
      </c>
      <c r="AD193">
        <v>-1</v>
      </c>
      <c r="AE193" t="s">
        <v>73</v>
      </c>
      <c r="AF193">
        <v>0</v>
      </c>
      <c r="AG193" t="b">
        <v>0</v>
      </c>
      <c r="AH193">
        <v>-1</v>
      </c>
      <c r="AI193" t="s">
        <v>73</v>
      </c>
      <c r="AJ193">
        <v>0</v>
      </c>
      <c r="AK193" t="b">
        <v>0</v>
      </c>
      <c r="AL193">
        <v>0</v>
      </c>
      <c r="AM193" t="b">
        <v>0</v>
      </c>
      <c r="AN193">
        <v>0</v>
      </c>
      <c r="AO193" t="b">
        <v>0</v>
      </c>
      <c r="AP193">
        <v>0</v>
      </c>
      <c r="AQ193">
        <v>105123364795.73599</v>
      </c>
      <c r="AR193">
        <v>105123364795.73599</v>
      </c>
      <c r="AS193">
        <v>0</v>
      </c>
      <c r="AT193" t="b">
        <v>0</v>
      </c>
      <c r="AU193" t="b">
        <v>1</v>
      </c>
      <c r="BA193" t="str">
        <f t="shared" si="4"/>
        <v>Normal</v>
      </c>
      <c r="BG193" t="str">
        <f t="shared" si="5"/>
        <v>Normal</v>
      </c>
    </row>
    <row r="194" spans="1:59" x14ac:dyDescent="0.2">
      <c r="A194" t="s">
        <v>42</v>
      </c>
      <c r="B194" t="s">
        <v>43</v>
      </c>
      <c r="C194">
        <v>20200101</v>
      </c>
      <c r="D194">
        <v>2020</v>
      </c>
      <c r="E194">
        <v>52</v>
      </c>
      <c r="F194" t="s">
        <v>271</v>
      </c>
      <c r="G194">
        <v>788</v>
      </c>
      <c r="H194" t="s">
        <v>256</v>
      </c>
      <c r="I194" t="s">
        <v>257</v>
      </c>
      <c r="J194" t="s">
        <v>47</v>
      </c>
      <c r="K194" t="s">
        <v>48</v>
      </c>
      <c r="L194">
        <v>0</v>
      </c>
      <c r="M194" t="s">
        <v>49</v>
      </c>
      <c r="N194" t="s">
        <v>50</v>
      </c>
      <c r="O194">
        <v>0</v>
      </c>
      <c r="P194" t="s">
        <v>49</v>
      </c>
      <c r="Q194" t="s">
        <v>50</v>
      </c>
      <c r="R194" t="s">
        <v>51</v>
      </c>
      <c r="S194" t="s">
        <v>52</v>
      </c>
      <c r="T194" t="b">
        <v>1</v>
      </c>
      <c r="U194" t="s">
        <v>53</v>
      </c>
      <c r="V194" t="s">
        <v>54</v>
      </c>
      <c r="W194">
        <v>4</v>
      </c>
      <c r="X194" t="b">
        <v>0</v>
      </c>
      <c r="Y194" t="s">
        <v>55</v>
      </c>
      <c r="Z194" t="s">
        <v>56</v>
      </c>
      <c r="AA194" t="s">
        <v>57</v>
      </c>
      <c r="AB194">
        <v>0</v>
      </c>
      <c r="AC194" t="s">
        <v>58</v>
      </c>
      <c r="AD194">
        <v>8</v>
      </c>
      <c r="AE194" t="s">
        <v>59</v>
      </c>
      <c r="AF194">
        <v>1444786770</v>
      </c>
      <c r="AG194" t="b">
        <v>0</v>
      </c>
      <c r="AH194">
        <v>8</v>
      </c>
      <c r="AI194" t="s">
        <v>59</v>
      </c>
      <c r="AJ194">
        <v>1444786770</v>
      </c>
      <c r="AK194" t="b">
        <v>0</v>
      </c>
      <c r="AL194">
        <v>1444786770</v>
      </c>
      <c r="AM194" t="b">
        <v>0</v>
      </c>
      <c r="AN194">
        <v>0</v>
      </c>
      <c r="AO194" t="b">
        <v>0</v>
      </c>
      <c r="AP194">
        <v>0</v>
      </c>
      <c r="AQ194">
        <v>536649564.75999999</v>
      </c>
      <c r="AR194">
        <v>536649564.75999999</v>
      </c>
      <c r="AS194">
        <v>0</v>
      </c>
      <c r="AT194" t="b">
        <v>0</v>
      </c>
      <c r="AU194" t="b">
        <v>1</v>
      </c>
      <c r="BA194" t="str">
        <f t="shared" si="4"/>
        <v>Normal</v>
      </c>
      <c r="BG194" t="str">
        <f t="shared" si="5"/>
        <v>Normal</v>
      </c>
    </row>
    <row r="195" spans="1:59" x14ac:dyDescent="0.2">
      <c r="A195" t="s">
        <v>42</v>
      </c>
      <c r="B195" t="s">
        <v>43</v>
      </c>
      <c r="C195">
        <v>20200101</v>
      </c>
      <c r="D195">
        <v>2020</v>
      </c>
      <c r="E195">
        <v>52</v>
      </c>
      <c r="F195" t="s">
        <v>271</v>
      </c>
      <c r="G195">
        <v>800</v>
      </c>
      <c r="H195" t="s">
        <v>258</v>
      </c>
      <c r="I195" t="s">
        <v>259</v>
      </c>
      <c r="J195" t="s">
        <v>47</v>
      </c>
      <c r="K195" t="s">
        <v>48</v>
      </c>
      <c r="L195">
        <v>0</v>
      </c>
      <c r="M195" t="s">
        <v>49</v>
      </c>
      <c r="N195" t="s">
        <v>50</v>
      </c>
      <c r="O195">
        <v>0</v>
      </c>
      <c r="P195" t="s">
        <v>49</v>
      </c>
      <c r="Q195" t="s">
        <v>50</v>
      </c>
      <c r="R195" t="s">
        <v>51</v>
      </c>
      <c r="S195" t="s">
        <v>52</v>
      </c>
      <c r="T195" t="b">
        <v>1</v>
      </c>
      <c r="U195" t="s">
        <v>53</v>
      </c>
      <c r="V195" t="s">
        <v>54</v>
      </c>
      <c r="W195">
        <v>4</v>
      </c>
      <c r="X195" t="b">
        <v>0</v>
      </c>
      <c r="Y195" t="s">
        <v>55</v>
      </c>
      <c r="Z195" t="s">
        <v>56</v>
      </c>
      <c r="AA195" t="s">
        <v>57</v>
      </c>
      <c r="AB195">
        <v>0</v>
      </c>
      <c r="AC195" t="s">
        <v>58</v>
      </c>
      <c r="AD195">
        <v>8</v>
      </c>
      <c r="AE195" t="s">
        <v>59</v>
      </c>
      <c r="AF195">
        <v>200</v>
      </c>
      <c r="AG195" t="b">
        <v>0</v>
      </c>
      <c r="AH195">
        <v>8</v>
      </c>
      <c r="AI195" t="s">
        <v>59</v>
      </c>
      <c r="AJ195">
        <v>200</v>
      </c>
      <c r="AK195" t="b">
        <v>0</v>
      </c>
      <c r="AL195">
        <v>200</v>
      </c>
      <c r="AM195" t="b">
        <v>0</v>
      </c>
      <c r="AN195">
        <v>0</v>
      </c>
      <c r="AO195" t="b">
        <v>0</v>
      </c>
      <c r="AP195">
        <v>0</v>
      </c>
      <c r="AQ195">
        <v>307</v>
      </c>
      <c r="AR195">
        <v>307</v>
      </c>
      <c r="AS195">
        <v>0</v>
      </c>
      <c r="AT195" t="b">
        <v>0</v>
      </c>
      <c r="AU195" t="b">
        <v>1</v>
      </c>
      <c r="BA195" t="str">
        <f t="shared" ref="BA195:BA258" si="6">IF(OR(AJ195&lt;AY195,AJ769&gt;AZ195),"Outlier","Normal")</f>
        <v>Normal</v>
      </c>
      <c r="BG195" t="str">
        <f t="shared" ref="BG195:BG258" si="7">IF(OR(AQ195&lt;BE195,AQ769&gt;BF195),"Outlier","Normal")</f>
        <v>Normal</v>
      </c>
    </row>
    <row r="196" spans="1:59" x14ac:dyDescent="0.2">
      <c r="A196" t="s">
        <v>42</v>
      </c>
      <c r="B196" t="s">
        <v>43</v>
      </c>
      <c r="C196">
        <v>20200101</v>
      </c>
      <c r="D196">
        <v>2020</v>
      </c>
      <c r="E196">
        <v>52</v>
      </c>
      <c r="F196" t="s">
        <v>271</v>
      </c>
      <c r="G196">
        <v>804</v>
      </c>
      <c r="H196" t="s">
        <v>260</v>
      </c>
      <c r="I196" t="s">
        <v>261</v>
      </c>
      <c r="J196" t="s">
        <v>47</v>
      </c>
      <c r="K196" t="s">
        <v>48</v>
      </c>
      <c r="L196">
        <v>0</v>
      </c>
      <c r="M196" t="s">
        <v>49</v>
      </c>
      <c r="N196" t="s">
        <v>50</v>
      </c>
      <c r="O196">
        <v>0</v>
      </c>
      <c r="P196" t="s">
        <v>49</v>
      </c>
      <c r="Q196" t="s">
        <v>50</v>
      </c>
      <c r="R196" t="s">
        <v>51</v>
      </c>
      <c r="S196" t="s">
        <v>52</v>
      </c>
      <c r="T196" t="b">
        <v>1</v>
      </c>
      <c r="U196" t="s">
        <v>53</v>
      </c>
      <c r="V196" t="s">
        <v>54</v>
      </c>
      <c r="W196">
        <v>4</v>
      </c>
      <c r="X196" t="b">
        <v>0</v>
      </c>
      <c r="Y196" t="s">
        <v>55</v>
      </c>
      <c r="Z196" t="s">
        <v>56</v>
      </c>
      <c r="AA196" t="s">
        <v>57</v>
      </c>
      <c r="AB196">
        <v>0</v>
      </c>
      <c r="AC196" t="s">
        <v>58</v>
      </c>
      <c r="AD196">
        <v>8</v>
      </c>
      <c r="AE196" t="s">
        <v>59</v>
      </c>
      <c r="AF196">
        <v>80000000</v>
      </c>
      <c r="AG196" t="b">
        <v>0</v>
      </c>
      <c r="AH196">
        <v>8</v>
      </c>
      <c r="AI196" t="s">
        <v>59</v>
      </c>
      <c r="AJ196">
        <v>80000000</v>
      </c>
      <c r="AK196" t="b">
        <v>0</v>
      </c>
      <c r="AL196">
        <v>80000000</v>
      </c>
      <c r="AM196" t="b">
        <v>0</v>
      </c>
      <c r="AN196">
        <v>0</v>
      </c>
      <c r="AO196" t="b">
        <v>0</v>
      </c>
      <c r="AP196">
        <v>0</v>
      </c>
      <c r="AQ196">
        <v>24350926.059999999</v>
      </c>
      <c r="AR196">
        <v>24350926.059999999</v>
      </c>
      <c r="AS196">
        <v>0</v>
      </c>
      <c r="AT196" t="b">
        <v>0</v>
      </c>
      <c r="AU196" t="b">
        <v>1</v>
      </c>
      <c r="BA196" t="str">
        <f t="shared" si="6"/>
        <v>Normal</v>
      </c>
      <c r="BG196" t="str">
        <f t="shared" si="7"/>
        <v>Normal</v>
      </c>
    </row>
    <row r="197" spans="1:59" x14ac:dyDescent="0.2">
      <c r="A197" t="s">
        <v>42</v>
      </c>
      <c r="B197" t="s">
        <v>43</v>
      </c>
      <c r="C197">
        <v>20200101</v>
      </c>
      <c r="D197">
        <v>2020</v>
      </c>
      <c r="E197">
        <v>52</v>
      </c>
      <c r="F197" t="s">
        <v>271</v>
      </c>
      <c r="G197">
        <v>818</v>
      </c>
      <c r="H197" t="s">
        <v>262</v>
      </c>
      <c r="I197" t="s">
        <v>263</v>
      </c>
      <c r="J197" t="s">
        <v>47</v>
      </c>
      <c r="K197" t="s">
        <v>48</v>
      </c>
      <c r="L197">
        <v>0</v>
      </c>
      <c r="M197" t="s">
        <v>49</v>
      </c>
      <c r="N197" t="s">
        <v>50</v>
      </c>
      <c r="O197">
        <v>0</v>
      </c>
      <c r="P197" t="s">
        <v>49</v>
      </c>
      <c r="Q197" t="s">
        <v>50</v>
      </c>
      <c r="R197" t="s">
        <v>104</v>
      </c>
      <c r="S197" t="s">
        <v>52</v>
      </c>
      <c r="T197" t="b">
        <v>1</v>
      </c>
      <c r="U197" t="s">
        <v>53</v>
      </c>
      <c r="V197" t="s">
        <v>54</v>
      </c>
      <c r="W197">
        <v>4</v>
      </c>
      <c r="X197" t="b">
        <v>0</v>
      </c>
      <c r="Y197" t="s">
        <v>55</v>
      </c>
      <c r="Z197" t="s">
        <v>56</v>
      </c>
      <c r="AA197" t="s">
        <v>57</v>
      </c>
      <c r="AB197">
        <v>0</v>
      </c>
      <c r="AC197" t="s">
        <v>58</v>
      </c>
      <c r="AD197">
        <v>8</v>
      </c>
      <c r="AE197" t="s">
        <v>59</v>
      </c>
      <c r="AF197">
        <v>3930226228.592</v>
      </c>
      <c r="AG197" t="b">
        <v>1</v>
      </c>
      <c r="AH197">
        <v>-1</v>
      </c>
      <c r="AI197" t="s">
        <v>73</v>
      </c>
      <c r="AJ197">
        <v>0</v>
      </c>
      <c r="AK197" t="b">
        <v>0</v>
      </c>
      <c r="AL197">
        <v>3930226228.592</v>
      </c>
      <c r="AM197" t="b">
        <v>1</v>
      </c>
      <c r="AN197">
        <v>0</v>
      </c>
      <c r="AO197" t="b">
        <v>0</v>
      </c>
      <c r="AQ197">
        <v>1191878164.579</v>
      </c>
      <c r="AR197">
        <v>1191878164.579</v>
      </c>
      <c r="AS197">
        <v>6</v>
      </c>
      <c r="AT197" t="b">
        <v>0</v>
      </c>
      <c r="AU197" t="b">
        <v>1</v>
      </c>
      <c r="BA197" t="str">
        <f t="shared" si="6"/>
        <v>Normal</v>
      </c>
      <c r="BG197" t="str">
        <f t="shared" si="7"/>
        <v>Normal</v>
      </c>
    </row>
    <row r="198" spans="1:59" x14ac:dyDescent="0.2">
      <c r="A198" t="s">
        <v>42</v>
      </c>
      <c r="B198" t="s">
        <v>43</v>
      </c>
      <c r="C198">
        <v>20200101</v>
      </c>
      <c r="D198">
        <v>2020</v>
      </c>
      <c r="E198">
        <v>52</v>
      </c>
      <c r="F198" t="s">
        <v>271</v>
      </c>
      <c r="G198">
        <v>826</v>
      </c>
      <c r="H198" t="s">
        <v>264</v>
      </c>
      <c r="I198" t="s">
        <v>265</v>
      </c>
      <c r="J198" t="s">
        <v>47</v>
      </c>
      <c r="K198" t="s">
        <v>48</v>
      </c>
      <c r="L198">
        <v>0</v>
      </c>
      <c r="M198" t="s">
        <v>49</v>
      </c>
      <c r="N198" t="s">
        <v>50</v>
      </c>
      <c r="O198">
        <v>0</v>
      </c>
      <c r="P198" t="s">
        <v>49</v>
      </c>
      <c r="Q198" t="s">
        <v>50</v>
      </c>
      <c r="R198" t="s">
        <v>51</v>
      </c>
      <c r="S198" t="s">
        <v>52</v>
      </c>
      <c r="T198" t="b">
        <v>1</v>
      </c>
      <c r="U198" t="s">
        <v>53</v>
      </c>
      <c r="V198" t="s">
        <v>54</v>
      </c>
      <c r="W198">
        <v>4</v>
      </c>
      <c r="X198" t="b">
        <v>0</v>
      </c>
      <c r="Y198" t="s">
        <v>55</v>
      </c>
      <c r="Z198" t="s">
        <v>56</v>
      </c>
      <c r="AA198" t="s">
        <v>57</v>
      </c>
      <c r="AB198">
        <v>0</v>
      </c>
      <c r="AC198" t="s">
        <v>58</v>
      </c>
      <c r="AD198">
        <v>-1</v>
      </c>
      <c r="AE198" t="s">
        <v>73</v>
      </c>
      <c r="AF198">
        <v>0</v>
      </c>
      <c r="AG198" t="b">
        <v>1</v>
      </c>
      <c r="AH198">
        <v>-1</v>
      </c>
      <c r="AI198" t="s">
        <v>73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0</v>
      </c>
      <c r="AQ198">
        <v>16096917228.921</v>
      </c>
      <c r="AR198">
        <v>16096917228.921</v>
      </c>
      <c r="AS198">
        <v>6</v>
      </c>
      <c r="AT198" t="b">
        <v>0</v>
      </c>
      <c r="AU198" t="b">
        <v>1</v>
      </c>
      <c r="BA198" t="str">
        <f t="shared" si="6"/>
        <v>Normal</v>
      </c>
      <c r="BG198" t="str">
        <f t="shared" si="7"/>
        <v>Normal</v>
      </c>
    </row>
    <row r="199" spans="1:59" x14ac:dyDescent="0.2">
      <c r="A199" t="s">
        <v>42</v>
      </c>
      <c r="B199" t="s">
        <v>43</v>
      </c>
      <c r="C199">
        <v>20200101</v>
      </c>
      <c r="D199">
        <v>2020</v>
      </c>
      <c r="E199">
        <v>52</v>
      </c>
      <c r="F199" t="s">
        <v>271</v>
      </c>
      <c r="G199">
        <v>834</v>
      </c>
      <c r="H199" t="s">
        <v>266</v>
      </c>
      <c r="I199" t="s">
        <v>267</v>
      </c>
      <c r="J199" t="s">
        <v>47</v>
      </c>
      <c r="K199" t="s">
        <v>48</v>
      </c>
      <c r="L199">
        <v>0</v>
      </c>
      <c r="M199" t="s">
        <v>49</v>
      </c>
      <c r="N199" t="s">
        <v>50</v>
      </c>
      <c r="O199">
        <v>0</v>
      </c>
      <c r="P199" t="s">
        <v>49</v>
      </c>
      <c r="Q199" t="s">
        <v>50</v>
      </c>
      <c r="R199" t="s">
        <v>51</v>
      </c>
      <c r="S199" t="s">
        <v>52</v>
      </c>
      <c r="T199" t="b">
        <v>1</v>
      </c>
      <c r="U199" t="s">
        <v>53</v>
      </c>
      <c r="V199" t="s">
        <v>54</v>
      </c>
      <c r="W199">
        <v>4</v>
      </c>
      <c r="X199" t="b">
        <v>0</v>
      </c>
      <c r="Y199" t="s">
        <v>55</v>
      </c>
      <c r="Z199" t="s">
        <v>56</v>
      </c>
      <c r="AA199" t="s">
        <v>57</v>
      </c>
      <c r="AB199">
        <v>0</v>
      </c>
      <c r="AC199" t="s">
        <v>58</v>
      </c>
      <c r="AD199">
        <v>8</v>
      </c>
      <c r="AE199" t="s">
        <v>59</v>
      </c>
      <c r="AF199">
        <v>1744661</v>
      </c>
      <c r="AG199" t="b">
        <v>0</v>
      </c>
      <c r="AH199">
        <v>8</v>
      </c>
      <c r="AI199" t="s">
        <v>59</v>
      </c>
      <c r="AJ199">
        <v>1744661</v>
      </c>
      <c r="AK199" t="b">
        <v>0</v>
      </c>
      <c r="AL199">
        <v>1744661</v>
      </c>
      <c r="AM199" t="b">
        <v>0</v>
      </c>
      <c r="AN199">
        <v>0</v>
      </c>
      <c r="AO199" t="b">
        <v>0</v>
      </c>
      <c r="AP199">
        <v>0</v>
      </c>
      <c r="AQ199">
        <v>323487.35999999999</v>
      </c>
      <c r="AR199">
        <v>323487.35999999999</v>
      </c>
      <c r="AS199">
        <v>0</v>
      </c>
      <c r="AT199" t="b">
        <v>0</v>
      </c>
      <c r="AU199" t="b">
        <v>1</v>
      </c>
      <c r="BA199" t="str">
        <f t="shared" si="6"/>
        <v>Normal</v>
      </c>
      <c r="BG199" t="str">
        <f t="shared" si="7"/>
        <v>Normal</v>
      </c>
    </row>
    <row r="200" spans="1:59" x14ac:dyDescent="0.2">
      <c r="A200" t="s">
        <v>42</v>
      </c>
      <c r="B200" t="s">
        <v>43</v>
      </c>
      <c r="C200">
        <v>20200101</v>
      </c>
      <c r="D200">
        <v>2020</v>
      </c>
      <c r="E200">
        <v>52</v>
      </c>
      <c r="F200" t="s">
        <v>271</v>
      </c>
      <c r="G200">
        <v>842</v>
      </c>
      <c r="H200" t="s">
        <v>268</v>
      </c>
      <c r="I200" t="s">
        <v>268</v>
      </c>
      <c r="J200" t="s">
        <v>47</v>
      </c>
      <c r="K200" t="s">
        <v>48</v>
      </c>
      <c r="L200">
        <v>0</v>
      </c>
      <c r="M200" t="s">
        <v>49</v>
      </c>
      <c r="N200" t="s">
        <v>50</v>
      </c>
      <c r="O200">
        <v>0</v>
      </c>
      <c r="P200" t="s">
        <v>49</v>
      </c>
      <c r="Q200" t="s">
        <v>50</v>
      </c>
      <c r="R200" t="s">
        <v>51</v>
      </c>
      <c r="S200" t="s">
        <v>52</v>
      </c>
      <c r="T200" t="b">
        <v>1</v>
      </c>
      <c r="U200" t="s">
        <v>53</v>
      </c>
      <c r="V200" t="s">
        <v>54</v>
      </c>
      <c r="W200">
        <v>4</v>
      </c>
      <c r="X200" t="b">
        <v>0</v>
      </c>
      <c r="Y200" t="s">
        <v>55</v>
      </c>
      <c r="Z200" t="s">
        <v>56</v>
      </c>
      <c r="AA200" t="s">
        <v>57</v>
      </c>
      <c r="AB200">
        <v>0</v>
      </c>
      <c r="AC200" t="s">
        <v>58</v>
      </c>
      <c r="AD200">
        <v>8</v>
      </c>
      <c r="AE200" t="s">
        <v>59</v>
      </c>
      <c r="AF200">
        <v>184211339079</v>
      </c>
      <c r="AG200" t="b">
        <v>0</v>
      </c>
      <c r="AH200">
        <v>19</v>
      </c>
      <c r="AI200" t="s">
        <v>60</v>
      </c>
      <c r="AJ200">
        <v>1158561881</v>
      </c>
      <c r="AK200" t="b">
        <v>0</v>
      </c>
      <c r="AL200">
        <v>184211339079</v>
      </c>
      <c r="AM200" t="b">
        <v>0</v>
      </c>
      <c r="AN200">
        <v>0</v>
      </c>
      <c r="AO200" t="b">
        <v>0</v>
      </c>
      <c r="AP200">
        <v>0</v>
      </c>
      <c r="AQ200">
        <v>50285962130</v>
      </c>
      <c r="AR200">
        <v>50285962130</v>
      </c>
      <c r="AS200">
        <v>0</v>
      </c>
      <c r="AT200" t="b">
        <v>0</v>
      </c>
      <c r="AU200" t="b">
        <v>1</v>
      </c>
      <c r="BA200" t="str">
        <f t="shared" si="6"/>
        <v>Normal</v>
      </c>
      <c r="BG200" t="str">
        <f t="shared" si="7"/>
        <v>Normal</v>
      </c>
    </row>
    <row r="201" spans="1:59" x14ac:dyDescent="0.2">
      <c r="A201" t="s">
        <v>42</v>
      </c>
      <c r="B201" t="s">
        <v>43</v>
      </c>
      <c r="C201">
        <v>20200101</v>
      </c>
      <c r="D201">
        <v>2020</v>
      </c>
      <c r="E201">
        <v>52</v>
      </c>
      <c r="F201" t="s">
        <v>271</v>
      </c>
      <c r="G201">
        <v>860</v>
      </c>
      <c r="H201" t="s">
        <v>283</v>
      </c>
      <c r="I201" t="s">
        <v>284</v>
      </c>
      <c r="J201" t="s">
        <v>47</v>
      </c>
      <c r="K201" t="s">
        <v>48</v>
      </c>
      <c r="L201">
        <v>0</v>
      </c>
      <c r="M201" t="s">
        <v>49</v>
      </c>
      <c r="N201" t="s">
        <v>50</v>
      </c>
      <c r="O201">
        <v>0</v>
      </c>
      <c r="P201" t="s">
        <v>49</v>
      </c>
      <c r="Q201" t="s">
        <v>50</v>
      </c>
      <c r="R201" t="s">
        <v>51</v>
      </c>
      <c r="S201" t="s">
        <v>52</v>
      </c>
      <c r="T201" t="b">
        <v>1</v>
      </c>
      <c r="U201" t="s">
        <v>53</v>
      </c>
      <c r="V201" t="s">
        <v>54</v>
      </c>
      <c r="W201">
        <v>4</v>
      </c>
      <c r="X201" t="b">
        <v>0</v>
      </c>
      <c r="Y201" t="s">
        <v>55</v>
      </c>
      <c r="Z201" t="s">
        <v>56</v>
      </c>
      <c r="AA201" t="s">
        <v>57</v>
      </c>
      <c r="AB201">
        <v>0</v>
      </c>
      <c r="AC201" t="s">
        <v>58</v>
      </c>
      <c r="AD201">
        <v>8</v>
      </c>
      <c r="AE201" t="s">
        <v>59</v>
      </c>
      <c r="AF201">
        <v>2.21</v>
      </c>
      <c r="AG201" t="b">
        <v>0</v>
      </c>
      <c r="AH201">
        <v>21</v>
      </c>
      <c r="AI201" t="s">
        <v>170</v>
      </c>
      <c r="AJ201">
        <v>2E-3</v>
      </c>
      <c r="AK201" t="b">
        <v>0</v>
      </c>
      <c r="AL201">
        <v>2.21</v>
      </c>
      <c r="AM201" t="b">
        <v>0</v>
      </c>
      <c r="AN201">
        <v>0</v>
      </c>
      <c r="AO201" t="b">
        <v>0</v>
      </c>
      <c r="AQ201">
        <v>1</v>
      </c>
      <c r="AR201">
        <v>1</v>
      </c>
      <c r="AS201">
        <v>0</v>
      </c>
      <c r="AT201" t="b">
        <v>0</v>
      </c>
      <c r="AU201" t="b">
        <v>1</v>
      </c>
      <c r="BA201" t="str">
        <f t="shared" si="6"/>
        <v>Normal</v>
      </c>
      <c r="BG201" t="str">
        <f t="shared" si="7"/>
        <v>Normal</v>
      </c>
    </row>
    <row r="202" spans="1:59" x14ac:dyDescent="0.2">
      <c r="A202" t="s">
        <v>42</v>
      </c>
      <c r="B202" t="s">
        <v>43</v>
      </c>
      <c r="C202">
        <v>20200101</v>
      </c>
      <c r="D202">
        <v>2020</v>
      </c>
      <c r="E202">
        <v>52</v>
      </c>
      <c r="F202" t="s">
        <v>271</v>
      </c>
      <c r="G202">
        <v>894</v>
      </c>
      <c r="H202" t="s">
        <v>285</v>
      </c>
      <c r="I202" t="s">
        <v>286</v>
      </c>
      <c r="J202" t="s">
        <v>47</v>
      </c>
      <c r="K202" t="s">
        <v>48</v>
      </c>
      <c r="L202">
        <v>0</v>
      </c>
      <c r="M202" t="s">
        <v>49</v>
      </c>
      <c r="N202" t="s">
        <v>50</v>
      </c>
      <c r="O202">
        <v>0</v>
      </c>
      <c r="P202" t="s">
        <v>49</v>
      </c>
      <c r="Q202" t="s">
        <v>50</v>
      </c>
      <c r="R202" t="s">
        <v>51</v>
      </c>
      <c r="S202" t="s">
        <v>52</v>
      </c>
      <c r="T202" t="b">
        <v>1</v>
      </c>
      <c r="U202" t="s">
        <v>53</v>
      </c>
      <c r="V202" t="s">
        <v>54</v>
      </c>
      <c r="W202">
        <v>4</v>
      </c>
      <c r="X202" t="b">
        <v>0</v>
      </c>
      <c r="Y202" t="s">
        <v>55</v>
      </c>
      <c r="Z202" t="s">
        <v>56</v>
      </c>
      <c r="AA202" t="s">
        <v>57</v>
      </c>
      <c r="AB202">
        <v>0</v>
      </c>
      <c r="AC202" t="s">
        <v>58</v>
      </c>
      <c r="AD202">
        <v>8</v>
      </c>
      <c r="AE202" t="s">
        <v>59</v>
      </c>
      <c r="AF202">
        <v>10</v>
      </c>
      <c r="AG202" t="b">
        <v>0</v>
      </c>
      <c r="AH202">
        <v>7</v>
      </c>
      <c r="AI202" t="s">
        <v>67</v>
      </c>
      <c r="AJ202">
        <v>10</v>
      </c>
      <c r="AK202" t="b">
        <v>0</v>
      </c>
      <c r="AL202">
        <v>10</v>
      </c>
      <c r="AM202" t="b">
        <v>0</v>
      </c>
      <c r="AN202">
        <v>0</v>
      </c>
      <c r="AO202" t="b">
        <v>0</v>
      </c>
      <c r="AQ202">
        <v>0.8</v>
      </c>
      <c r="AR202">
        <v>0.8</v>
      </c>
      <c r="AS202">
        <v>0</v>
      </c>
      <c r="AT202" t="b">
        <v>0</v>
      </c>
      <c r="AU202" t="b">
        <v>1</v>
      </c>
      <c r="BA202" t="str">
        <f t="shared" si="6"/>
        <v>Normal</v>
      </c>
      <c r="BG202" t="str">
        <f t="shared" si="7"/>
        <v>Normal</v>
      </c>
    </row>
    <row r="203" spans="1:59" x14ac:dyDescent="0.2">
      <c r="A203" t="s">
        <v>42</v>
      </c>
      <c r="B203" t="s">
        <v>43</v>
      </c>
      <c r="C203">
        <v>20210101</v>
      </c>
      <c r="D203">
        <v>2021</v>
      </c>
      <c r="E203">
        <v>52</v>
      </c>
      <c r="F203" t="s">
        <v>287</v>
      </c>
      <c r="G203">
        <v>20</v>
      </c>
      <c r="H203" t="s">
        <v>288</v>
      </c>
      <c r="I203" t="s">
        <v>289</v>
      </c>
      <c r="J203" t="s">
        <v>47</v>
      </c>
      <c r="K203" t="s">
        <v>48</v>
      </c>
      <c r="L203">
        <v>0</v>
      </c>
      <c r="M203" t="s">
        <v>49</v>
      </c>
      <c r="N203" t="s">
        <v>50</v>
      </c>
      <c r="O203">
        <v>0</v>
      </c>
      <c r="P203" t="s">
        <v>49</v>
      </c>
      <c r="Q203" t="s">
        <v>50</v>
      </c>
      <c r="R203" t="s">
        <v>51</v>
      </c>
      <c r="S203" t="s">
        <v>52</v>
      </c>
      <c r="T203" t="b">
        <v>1</v>
      </c>
      <c r="U203" t="s">
        <v>53</v>
      </c>
      <c r="V203" t="s">
        <v>54</v>
      </c>
      <c r="W203">
        <v>4</v>
      </c>
      <c r="X203" t="b">
        <v>0</v>
      </c>
      <c r="Y203" t="s">
        <v>55</v>
      </c>
      <c r="Z203" t="s">
        <v>56</v>
      </c>
      <c r="AA203" t="s">
        <v>57</v>
      </c>
      <c r="AB203">
        <v>0</v>
      </c>
      <c r="AC203" t="s">
        <v>58</v>
      </c>
      <c r="AD203">
        <v>8</v>
      </c>
      <c r="AE203" t="s">
        <v>59</v>
      </c>
      <c r="AF203">
        <v>12000</v>
      </c>
      <c r="AG203" t="b">
        <v>0</v>
      </c>
      <c r="AH203">
        <v>8</v>
      </c>
      <c r="AI203" t="s">
        <v>59</v>
      </c>
      <c r="AJ203">
        <v>12000</v>
      </c>
      <c r="AK203" t="b">
        <v>0</v>
      </c>
      <c r="AL203">
        <v>12000</v>
      </c>
      <c r="AM203" t="b">
        <v>0</v>
      </c>
      <c r="AN203">
        <v>0</v>
      </c>
      <c r="AO203" t="b">
        <v>0</v>
      </c>
      <c r="AQ203">
        <v>846.95</v>
      </c>
      <c r="AR203">
        <v>846.95</v>
      </c>
      <c r="AS203">
        <v>0</v>
      </c>
      <c r="AT203" t="b">
        <v>0</v>
      </c>
      <c r="AU203" t="b">
        <v>1</v>
      </c>
      <c r="BA203" t="str">
        <f t="shared" si="6"/>
        <v>Normal</v>
      </c>
      <c r="BG203" t="str">
        <f t="shared" si="7"/>
        <v>Normal</v>
      </c>
    </row>
    <row r="204" spans="1:59" x14ac:dyDescent="0.2">
      <c r="A204" t="s">
        <v>42</v>
      </c>
      <c r="B204" t="s">
        <v>43</v>
      </c>
      <c r="C204">
        <v>20210101</v>
      </c>
      <c r="D204">
        <v>2021</v>
      </c>
      <c r="E204">
        <v>52</v>
      </c>
      <c r="F204" t="s">
        <v>287</v>
      </c>
      <c r="G204">
        <v>24</v>
      </c>
      <c r="H204" t="s">
        <v>45</v>
      </c>
      <c r="I204" t="s">
        <v>46</v>
      </c>
      <c r="J204" t="s">
        <v>47</v>
      </c>
      <c r="K204" t="s">
        <v>48</v>
      </c>
      <c r="L204">
        <v>0</v>
      </c>
      <c r="M204" t="s">
        <v>49</v>
      </c>
      <c r="N204" t="s">
        <v>50</v>
      </c>
      <c r="O204">
        <v>0</v>
      </c>
      <c r="P204" t="s">
        <v>49</v>
      </c>
      <c r="Q204" t="s">
        <v>50</v>
      </c>
      <c r="R204" t="s">
        <v>51</v>
      </c>
      <c r="S204" t="s">
        <v>52</v>
      </c>
      <c r="T204" t="b">
        <v>1</v>
      </c>
      <c r="U204" t="s">
        <v>53</v>
      </c>
      <c r="V204" t="s">
        <v>54</v>
      </c>
      <c r="W204">
        <v>4</v>
      </c>
      <c r="X204" t="b">
        <v>0</v>
      </c>
      <c r="Y204" t="s">
        <v>55</v>
      </c>
      <c r="Z204" t="s">
        <v>56</v>
      </c>
      <c r="AA204" t="s">
        <v>57</v>
      </c>
      <c r="AB204">
        <v>0</v>
      </c>
      <c r="AC204" t="s">
        <v>58</v>
      </c>
      <c r="AD204">
        <v>8</v>
      </c>
      <c r="AE204" t="s">
        <v>59</v>
      </c>
      <c r="AF204">
        <v>62554119306</v>
      </c>
      <c r="AG204" t="b">
        <v>0</v>
      </c>
      <c r="AH204">
        <v>19</v>
      </c>
      <c r="AI204" t="s">
        <v>60</v>
      </c>
      <c r="AJ204">
        <v>393422134</v>
      </c>
      <c r="AK204" t="b">
        <v>0</v>
      </c>
      <c r="AL204">
        <v>62554119306</v>
      </c>
      <c r="AM204" t="b">
        <v>0</v>
      </c>
      <c r="AN204">
        <v>0</v>
      </c>
      <c r="AO204" t="b">
        <v>0</v>
      </c>
      <c r="AQ204">
        <v>27481273609.393002</v>
      </c>
      <c r="AR204">
        <v>27481273609.393002</v>
      </c>
      <c r="AS204">
        <v>0</v>
      </c>
      <c r="AT204" t="b">
        <v>0</v>
      </c>
      <c r="AU204" t="b">
        <v>1</v>
      </c>
      <c r="BA204" t="str">
        <f t="shared" si="6"/>
        <v>Normal</v>
      </c>
      <c r="BG204" t="str">
        <f t="shared" si="7"/>
        <v>Normal</v>
      </c>
    </row>
    <row r="205" spans="1:59" x14ac:dyDescent="0.2">
      <c r="A205" t="s">
        <v>42</v>
      </c>
      <c r="B205" t="s">
        <v>43</v>
      </c>
      <c r="C205">
        <v>20210101</v>
      </c>
      <c r="D205">
        <v>2021</v>
      </c>
      <c r="E205">
        <v>52</v>
      </c>
      <c r="F205" t="s">
        <v>287</v>
      </c>
      <c r="G205">
        <v>31</v>
      </c>
      <c r="H205" t="s">
        <v>61</v>
      </c>
      <c r="I205" t="s">
        <v>62</v>
      </c>
      <c r="J205" t="s">
        <v>47</v>
      </c>
      <c r="K205" t="s">
        <v>48</v>
      </c>
      <c r="L205">
        <v>0</v>
      </c>
      <c r="M205" t="s">
        <v>49</v>
      </c>
      <c r="N205" t="s">
        <v>50</v>
      </c>
      <c r="O205">
        <v>0</v>
      </c>
      <c r="P205" t="s">
        <v>49</v>
      </c>
      <c r="Q205" t="s">
        <v>50</v>
      </c>
      <c r="R205" t="s">
        <v>51</v>
      </c>
      <c r="S205" t="s">
        <v>52</v>
      </c>
      <c r="T205" t="b">
        <v>1</v>
      </c>
      <c r="U205" t="s">
        <v>53</v>
      </c>
      <c r="V205" t="s">
        <v>54</v>
      </c>
      <c r="W205">
        <v>4</v>
      </c>
      <c r="X205" t="b">
        <v>0</v>
      </c>
      <c r="Y205" t="s">
        <v>55</v>
      </c>
      <c r="Z205" t="s">
        <v>56</v>
      </c>
      <c r="AA205" t="s">
        <v>57</v>
      </c>
      <c r="AB205">
        <v>0</v>
      </c>
      <c r="AC205" t="s">
        <v>58</v>
      </c>
      <c r="AD205">
        <v>8</v>
      </c>
      <c r="AE205" t="s">
        <v>59</v>
      </c>
      <c r="AF205">
        <v>27116114710</v>
      </c>
      <c r="AG205" t="b">
        <v>0</v>
      </c>
      <c r="AH205">
        <v>8</v>
      </c>
      <c r="AI205" t="s">
        <v>59</v>
      </c>
      <c r="AJ205">
        <v>27116114710</v>
      </c>
      <c r="AK205" t="b">
        <v>0</v>
      </c>
      <c r="AL205">
        <v>27116114710</v>
      </c>
      <c r="AM205" t="b">
        <v>0</v>
      </c>
      <c r="AN205">
        <v>0</v>
      </c>
      <c r="AO205" t="b">
        <v>0</v>
      </c>
      <c r="AQ205">
        <v>13218921496.59</v>
      </c>
      <c r="AR205">
        <v>13218921496.59</v>
      </c>
      <c r="AS205">
        <v>0</v>
      </c>
      <c r="AT205" t="b">
        <v>0</v>
      </c>
      <c r="AU205" t="b">
        <v>1</v>
      </c>
      <c r="BA205" t="str">
        <f t="shared" si="6"/>
        <v>Normal</v>
      </c>
      <c r="BG205" t="str">
        <f t="shared" si="7"/>
        <v>Normal</v>
      </c>
    </row>
    <row r="206" spans="1:59" x14ac:dyDescent="0.2">
      <c r="A206" t="s">
        <v>42</v>
      </c>
      <c r="B206" t="s">
        <v>43</v>
      </c>
      <c r="C206">
        <v>20210101</v>
      </c>
      <c r="D206">
        <v>2021</v>
      </c>
      <c r="E206">
        <v>52</v>
      </c>
      <c r="F206" t="s">
        <v>287</v>
      </c>
      <c r="G206">
        <v>32</v>
      </c>
      <c r="H206" t="s">
        <v>63</v>
      </c>
      <c r="I206" t="s">
        <v>64</v>
      </c>
      <c r="J206" t="s">
        <v>47</v>
      </c>
      <c r="K206" t="s">
        <v>48</v>
      </c>
      <c r="L206">
        <v>0</v>
      </c>
      <c r="M206" t="s">
        <v>49</v>
      </c>
      <c r="N206" t="s">
        <v>50</v>
      </c>
      <c r="O206">
        <v>0</v>
      </c>
      <c r="P206" t="s">
        <v>49</v>
      </c>
      <c r="Q206" t="s">
        <v>50</v>
      </c>
      <c r="R206" t="s">
        <v>51</v>
      </c>
      <c r="S206" t="s">
        <v>52</v>
      </c>
      <c r="T206" t="b">
        <v>1</v>
      </c>
      <c r="U206" t="s">
        <v>53</v>
      </c>
      <c r="V206" t="s">
        <v>54</v>
      </c>
      <c r="W206">
        <v>4</v>
      </c>
      <c r="X206" t="b">
        <v>0</v>
      </c>
      <c r="Y206" t="s">
        <v>55</v>
      </c>
      <c r="Z206" t="s">
        <v>56</v>
      </c>
      <c r="AA206" t="s">
        <v>57</v>
      </c>
      <c r="AB206">
        <v>0</v>
      </c>
      <c r="AC206" t="s">
        <v>58</v>
      </c>
      <c r="AD206">
        <v>8</v>
      </c>
      <c r="AE206" t="s">
        <v>59</v>
      </c>
      <c r="AF206">
        <v>2277713900</v>
      </c>
      <c r="AG206" t="b">
        <v>0</v>
      </c>
      <c r="AH206">
        <v>8</v>
      </c>
      <c r="AI206" t="s">
        <v>59</v>
      </c>
      <c r="AJ206">
        <v>2277713900</v>
      </c>
      <c r="AK206" t="b">
        <v>0</v>
      </c>
      <c r="AL206">
        <v>2277713900</v>
      </c>
      <c r="AM206" t="b">
        <v>0</v>
      </c>
      <c r="AN206">
        <v>0</v>
      </c>
      <c r="AO206" t="b">
        <v>0</v>
      </c>
      <c r="AP206">
        <v>0</v>
      </c>
      <c r="AQ206">
        <v>1161542098.5799999</v>
      </c>
      <c r="AR206">
        <v>1161542098.5799999</v>
      </c>
      <c r="AS206">
        <v>0</v>
      </c>
      <c r="AT206" t="b">
        <v>0</v>
      </c>
      <c r="AU206" t="b">
        <v>1</v>
      </c>
      <c r="BA206" t="str">
        <f t="shared" si="6"/>
        <v>Normal</v>
      </c>
      <c r="BG206" t="str">
        <f t="shared" si="7"/>
        <v>Normal</v>
      </c>
    </row>
    <row r="207" spans="1:59" x14ac:dyDescent="0.2">
      <c r="A207" t="s">
        <v>42</v>
      </c>
      <c r="B207" t="s">
        <v>43</v>
      </c>
      <c r="C207">
        <v>20210101</v>
      </c>
      <c r="D207">
        <v>2021</v>
      </c>
      <c r="E207">
        <v>52</v>
      </c>
      <c r="F207" t="s">
        <v>287</v>
      </c>
      <c r="G207">
        <v>36</v>
      </c>
      <c r="H207" t="s">
        <v>65</v>
      </c>
      <c r="I207" t="s">
        <v>66</v>
      </c>
      <c r="J207" t="s">
        <v>47</v>
      </c>
      <c r="K207" t="s">
        <v>48</v>
      </c>
      <c r="L207">
        <v>0</v>
      </c>
      <c r="M207" t="s">
        <v>49</v>
      </c>
      <c r="N207" t="s">
        <v>50</v>
      </c>
      <c r="O207">
        <v>0</v>
      </c>
      <c r="P207" t="s">
        <v>49</v>
      </c>
      <c r="Q207" t="s">
        <v>50</v>
      </c>
      <c r="R207" t="s">
        <v>51</v>
      </c>
      <c r="S207" t="s">
        <v>52</v>
      </c>
      <c r="T207" t="b">
        <v>1</v>
      </c>
      <c r="U207" t="s">
        <v>53</v>
      </c>
      <c r="V207" t="s">
        <v>54</v>
      </c>
      <c r="W207">
        <v>4</v>
      </c>
      <c r="X207" t="b">
        <v>0</v>
      </c>
      <c r="Y207" t="s">
        <v>55</v>
      </c>
      <c r="Z207" t="s">
        <v>56</v>
      </c>
      <c r="AA207" t="s">
        <v>57</v>
      </c>
      <c r="AB207">
        <v>0</v>
      </c>
      <c r="AC207" t="s">
        <v>58</v>
      </c>
      <c r="AD207">
        <v>8</v>
      </c>
      <c r="AE207" t="s">
        <v>59</v>
      </c>
      <c r="AF207">
        <v>15890500613.4</v>
      </c>
      <c r="AG207" t="b">
        <v>0</v>
      </c>
      <c r="AH207">
        <v>7</v>
      </c>
      <c r="AI207" t="s">
        <v>67</v>
      </c>
      <c r="AJ207">
        <v>15890500613.4</v>
      </c>
      <c r="AK207" t="b">
        <v>0</v>
      </c>
      <c r="AM207" t="b">
        <v>0</v>
      </c>
      <c r="AN207">
        <v>13205851803.200001</v>
      </c>
      <c r="AO207" t="b">
        <v>0</v>
      </c>
      <c r="AQ207">
        <v>7606804961.2229996</v>
      </c>
      <c r="AR207">
        <v>7606804961.2229996</v>
      </c>
      <c r="AS207">
        <v>0</v>
      </c>
      <c r="AT207" t="b">
        <v>0</v>
      </c>
      <c r="AU207" t="b">
        <v>1</v>
      </c>
      <c r="BA207" t="str">
        <f t="shared" si="6"/>
        <v>Normal</v>
      </c>
      <c r="BG207" t="str">
        <f t="shared" si="7"/>
        <v>Normal</v>
      </c>
    </row>
    <row r="208" spans="1:59" x14ac:dyDescent="0.2">
      <c r="A208" t="s">
        <v>42</v>
      </c>
      <c r="B208" t="s">
        <v>43</v>
      </c>
      <c r="C208">
        <v>20210101</v>
      </c>
      <c r="D208">
        <v>2021</v>
      </c>
      <c r="E208">
        <v>52</v>
      </c>
      <c r="F208" t="s">
        <v>287</v>
      </c>
      <c r="G208">
        <v>52</v>
      </c>
      <c r="H208" t="s">
        <v>68</v>
      </c>
      <c r="I208" t="s">
        <v>69</v>
      </c>
      <c r="J208" t="s">
        <v>47</v>
      </c>
      <c r="K208" t="s">
        <v>48</v>
      </c>
      <c r="L208">
        <v>0</v>
      </c>
      <c r="M208" t="s">
        <v>49</v>
      </c>
      <c r="N208" t="s">
        <v>50</v>
      </c>
      <c r="O208">
        <v>0</v>
      </c>
      <c r="P208" t="s">
        <v>49</v>
      </c>
      <c r="Q208" t="s">
        <v>50</v>
      </c>
      <c r="R208" t="s">
        <v>51</v>
      </c>
      <c r="S208" t="s">
        <v>52</v>
      </c>
      <c r="T208" t="b">
        <v>1</v>
      </c>
      <c r="U208" t="s">
        <v>53</v>
      </c>
      <c r="V208" t="s">
        <v>54</v>
      </c>
      <c r="W208">
        <v>4</v>
      </c>
      <c r="X208" t="b">
        <v>0</v>
      </c>
      <c r="Y208" t="s">
        <v>55</v>
      </c>
      <c r="Z208" t="s">
        <v>56</v>
      </c>
      <c r="AA208" t="s">
        <v>57</v>
      </c>
      <c r="AB208">
        <v>0</v>
      </c>
      <c r="AC208" t="s">
        <v>58</v>
      </c>
      <c r="AD208">
        <v>8</v>
      </c>
      <c r="AE208" t="s">
        <v>59</v>
      </c>
      <c r="AF208">
        <v>11761820</v>
      </c>
      <c r="AG208" t="b">
        <v>0</v>
      </c>
      <c r="AH208">
        <v>8</v>
      </c>
      <c r="AI208" t="s">
        <v>59</v>
      </c>
      <c r="AJ208">
        <v>11761820</v>
      </c>
      <c r="AK208" t="b">
        <v>0</v>
      </c>
      <c r="AL208">
        <v>11761820</v>
      </c>
      <c r="AM208" t="b">
        <v>0</v>
      </c>
      <c r="AN208">
        <v>0</v>
      </c>
      <c r="AO208" t="b">
        <v>0</v>
      </c>
      <c r="AP208">
        <v>0</v>
      </c>
      <c r="AQ208">
        <v>5988363</v>
      </c>
      <c r="AR208">
        <v>5988363</v>
      </c>
      <c r="AS208">
        <v>0</v>
      </c>
      <c r="AT208" t="b">
        <v>0</v>
      </c>
      <c r="AU208" t="b">
        <v>1</v>
      </c>
      <c r="BA208" t="str">
        <f t="shared" si="6"/>
        <v>Normal</v>
      </c>
      <c r="BG208" t="str">
        <f t="shared" si="7"/>
        <v>Normal</v>
      </c>
    </row>
    <row r="209" spans="1:59" x14ac:dyDescent="0.2">
      <c r="A209" t="s">
        <v>42</v>
      </c>
      <c r="B209" t="s">
        <v>43</v>
      </c>
      <c r="C209">
        <v>20210101</v>
      </c>
      <c r="D209">
        <v>2021</v>
      </c>
      <c r="E209">
        <v>52</v>
      </c>
      <c r="F209" t="s">
        <v>287</v>
      </c>
      <c r="G209">
        <v>56</v>
      </c>
      <c r="H209" t="s">
        <v>71</v>
      </c>
      <c r="I209" t="s">
        <v>72</v>
      </c>
      <c r="J209" t="s">
        <v>47</v>
      </c>
      <c r="K209" t="s">
        <v>48</v>
      </c>
      <c r="L209">
        <v>0</v>
      </c>
      <c r="M209" t="s">
        <v>49</v>
      </c>
      <c r="N209" t="s">
        <v>50</v>
      </c>
      <c r="O209">
        <v>0</v>
      </c>
      <c r="P209" t="s">
        <v>49</v>
      </c>
      <c r="Q209" t="s">
        <v>50</v>
      </c>
      <c r="R209" t="s">
        <v>51</v>
      </c>
      <c r="S209" t="s">
        <v>52</v>
      </c>
      <c r="T209" t="b">
        <v>1</v>
      </c>
      <c r="U209" t="s">
        <v>53</v>
      </c>
      <c r="V209" t="s">
        <v>54</v>
      </c>
      <c r="W209">
        <v>4</v>
      </c>
      <c r="X209" t="b">
        <v>0</v>
      </c>
      <c r="Y209" t="s">
        <v>55</v>
      </c>
      <c r="Z209" t="s">
        <v>56</v>
      </c>
      <c r="AA209" t="s">
        <v>57</v>
      </c>
      <c r="AB209">
        <v>0</v>
      </c>
      <c r="AC209" t="s">
        <v>58</v>
      </c>
      <c r="AD209">
        <v>-1</v>
      </c>
      <c r="AE209" t="s">
        <v>73</v>
      </c>
      <c r="AF209">
        <v>0</v>
      </c>
      <c r="AG209" t="b">
        <v>0</v>
      </c>
      <c r="AH209">
        <v>-1</v>
      </c>
      <c r="AI209" t="s">
        <v>73</v>
      </c>
      <c r="AJ209">
        <v>0</v>
      </c>
      <c r="AK209" t="b">
        <v>0</v>
      </c>
      <c r="AM209" t="b">
        <v>0</v>
      </c>
      <c r="AN209">
        <v>0</v>
      </c>
      <c r="AO209" t="b">
        <v>0</v>
      </c>
      <c r="AQ209">
        <v>39597033.222999997</v>
      </c>
      <c r="AR209">
        <v>39597033.222999997</v>
      </c>
      <c r="AS209">
        <v>0</v>
      </c>
      <c r="AT209" t="b">
        <v>0</v>
      </c>
      <c r="AU209" t="b">
        <v>1</v>
      </c>
      <c r="BA209" t="str">
        <f t="shared" si="6"/>
        <v>Normal</v>
      </c>
      <c r="BG209" t="str">
        <f t="shared" si="7"/>
        <v>Normal</v>
      </c>
    </row>
    <row r="210" spans="1:59" x14ac:dyDescent="0.2">
      <c r="A210" t="s">
        <v>42</v>
      </c>
      <c r="B210" t="s">
        <v>43</v>
      </c>
      <c r="C210">
        <v>20210101</v>
      </c>
      <c r="D210">
        <v>2021</v>
      </c>
      <c r="E210">
        <v>52</v>
      </c>
      <c r="F210" t="s">
        <v>287</v>
      </c>
      <c r="G210">
        <v>68</v>
      </c>
      <c r="H210" t="s">
        <v>74</v>
      </c>
      <c r="I210" t="s">
        <v>75</v>
      </c>
      <c r="J210" t="s">
        <v>47</v>
      </c>
      <c r="K210" t="s">
        <v>48</v>
      </c>
      <c r="L210">
        <v>0</v>
      </c>
      <c r="M210" t="s">
        <v>49</v>
      </c>
      <c r="N210" t="s">
        <v>50</v>
      </c>
      <c r="O210">
        <v>0</v>
      </c>
      <c r="P210" t="s">
        <v>49</v>
      </c>
      <c r="Q210" t="s">
        <v>50</v>
      </c>
      <c r="R210" t="s">
        <v>51</v>
      </c>
      <c r="S210" t="s">
        <v>52</v>
      </c>
      <c r="T210" t="b">
        <v>1</v>
      </c>
      <c r="U210" t="s">
        <v>53</v>
      </c>
      <c r="V210" t="s">
        <v>54</v>
      </c>
      <c r="W210">
        <v>4</v>
      </c>
      <c r="X210" t="b">
        <v>0</v>
      </c>
      <c r="Y210" t="s">
        <v>55</v>
      </c>
      <c r="Z210" t="s">
        <v>56</v>
      </c>
      <c r="AA210" t="s">
        <v>57</v>
      </c>
      <c r="AB210">
        <v>0</v>
      </c>
      <c r="AC210" t="s">
        <v>58</v>
      </c>
      <c r="AD210">
        <v>8</v>
      </c>
      <c r="AE210" t="s">
        <v>59</v>
      </c>
      <c r="AF210">
        <v>47291802.465000004</v>
      </c>
      <c r="AG210" t="b">
        <v>1</v>
      </c>
      <c r="AH210">
        <v>-1</v>
      </c>
      <c r="AI210" t="s">
        <v>73</v>
      </c>
      <c r="AJ210">
        <v>0</v>
      </c>
      <c r="AK210" t="b">
        <v>0</v>
      </c>
      <c r="AL210">
        <v>0</v>
      </c>
      <c r="AM210" t="b">
        <v>1</v>
      </c>
      <c r="AN210">
        <v>0</v>
      </c>
      <c r="AO210" t="b">
        <v>0</v>
      </c>
      <c r="AP210">
        <v>0</v>
      </c>
      <c r="AQ210">
        <v>20283766.050000001</v>
      </c>
      <c r="AR210">
        <v>20283766.050000001</v>
      </c>
      <c r="AS210">
        <v>6</v>
      </c>
      <c r="AT210" t="b">
        <v>0</v>
      </c>
      <c r="AU210" t="b">
        <v>1</v>
      </c>
      <c r="BA210" t="str">
        <f t="shared" si="6"/>
        <v>Normal</v>
      </c>
      <c r="BG210" t="str">
        <f t="shared" si="7"/>
        <v>Normal</v>
      </c>
    </row>
    <row r="211" spans="1:59" x14ac:dyDescent="0.2">
      <c r="A211" t="s">
        <v>42</v>
      </c>
      <c r="B211" t="s">
        <v>43</v>
      </c>
      <c r="C211">
        <v>20210101</v>
      </c>
      <c r="D211">
        <v>2021</v>
      </c>
      <c r="E211">
        <v>52</v>
      </c>
      <c r="F211" t="s">
        <v>287</v>
      </c>
      <c r="G211">
        <v>70</v>
      </c>
      <c r="H211" t="s">
        <v>76</v>
      </c>
      <c r="I211" t="s">
        <v>77</v>
      </c>
      <c r="J211" t="s">
        <v>47</v>
      </c>
      <c r="K211" t="s">
        <v>48</v>
      </c>
      <c r="L211">
        <v>0</v>
      </c>
      <c r="M211" t="s">
        <v>49</v>
      </c>
      <c r="N211" t="s">
        <v>50</v>
      </c>
      <c r="O211">
        <v>0</v>
      </c>
      <c r="P211" t="s">
        <v>49</v>
      </c>
      <c r="Q211" t="s">
        <v>50</v>
      </c>
      <c r="R211" t="s">
        <v>51</v>
      </c>
      <c r="S211" t="s">
        <v>52</v>
      </c>
      <c r="T211" t="b">
        <v>1</v>
      </c>
      <c r="U211" t="s">
        <v>53</v>
      </c>
      <c r="V211" t="s">
        <v>54</v>
      </c>
      <c r="W211">
        <v>4</v>
      </c>
      <c r="X211" t="b">
        <v>0</v>
      </c>
      <c r="Y211" t="s">
        <v>55</v>
      </c>
      <c r="Z211" t="s">
        <v>56</v>
      </c>
      <c r="AA211" t="s">
        <v>57</v>
      </c>
      <c r="AB211">
        <v>0</v>
      </c>
      <c r="AC211" t="s">
        <v>58</v>
      </c>
      <c r="AD211">
        <v>8</v>
      </c>
      <c r="AE211" t="s">
        <v>59</v>
      </c>
      <c r="AF211">
        <v>11406400</v>
      </c>
      <c r="AG211" t="b">
        <v>0</v>
      </c>
      <c r="AH211">
        <v>8</v>
      </c>
      <c r="AI211" t="s">
        <v>59</v>
      </c>
      <c r="AJ211">
        <v>11406400</v>
      </c>
      <c r="AK211" t="b">
        <v>0</v>
      </c>
      <c r="AL211">
        <v>11406400</v>
      </c>
      <c r="AM211" t="b">
        <v>0</v>
      </c>
      <c r="AN211">
        <v>0</v>
      </c>
      <c r="AO211" t="b">
        <v>0</v>
      </c>
      <c r="AP211">
        <v>0</v>
      </c>
      <c r="AQ211">
        <v>5641592.1600000001</v>
      </c>
      <c r="AR211">
        <v>5641592.1600000001</v>
      </c>
      <c r="AS211">
        <v>0</v>
      </c>
      <c r="AT211" t="b">
        <v>0</v>
      </c>
      <c r="AU211" t="b">
        <v>1</v>
      </c>
      <c r="BA211" t="str">
        <f t="shared" si="6"/>
        <v>Normal</v>
      </c>
      <c r="BG211" t="str">
        <f t="shared" si="7"/>
        <v>Normal</v>
      </c>
    </row>
    <row r="212" spans="1:59" x14ac:dyDescent="0.2">
      <c r="A212" t="s">
        <v>42</v>
      </c>
      <c r="B212" t="s">
        <v>43</v>
      </c>
      <c r="C212">
        <v>20210101</v>
      </c>
      <c r="D212">
        <v>2021</v>
      </c>
      <c r="E212">
        <v>52</v>
      </c>
      <c r="F212" t="s">
        <v>287</v>
      </c>
      <c r="G212">
        <v>72</v>
      </c>
      <c r="H212" t="s">
        <v>78</v>
      </c>
      <c r="I212" t="s">
        <v>79</v>
      </c>
      <c r="J212" t="s">
        <v>47</v>
      </c>
      <c r="K212" t="s">
        <v>48</v>
      </c>
      <c r="L212">
        <v>0</v>
      </c>
      <c r="M212" t="s">
        <v>49</v>
      </c>
      <c r="N212" t="s">
        <v>50</v>
      </c>
      <c r="O212">
        <v>0</v>
      </c>
      <c r="P212" t="s">
        <v>49</v>
      </c>
      <c r="Q212" t="s">
        <v>50</v>
      </c>
      <c r="R212" t="s">
        <v>51</v>
      </c>
      <c r="S212" t="s">
        <v>52</v>
      </c>
      <c r="T212" t="b">
        <v>1</v>
      </c>
      <c r="U212" t="s">
        <v>53</v>
      </c>
      <c r="V212" t="s">
        <v>54</v>
      </c>
      <c r="W212">
        <v>4</v>
      </c>
      <c r="X212" t="b">
        <v>0</v>
      </c>
      <c r="Y212" t="s">
        <v>55</v>
      </c>
      <c r="Z212" t="s">
        <v>56</v>
      </c>
      <c r="AA212" t="s">
        <v>57</v>
      </c>
      <c r="AB212">
        <v>0</v>
      </c>
      <c r="AC212" t="s">
        <v>58</v>
      </c>
      <c r="AD212">
        <v>8</v>
      </c>
      <c r="AE212" t="s">
        <v>59</v>
      </c>
      <c r="AF212">
        <v>8751</v>
      </c>
      <c r="AG212" t="b">
        <v>0</v>
      </c>
      <c r="AH212">
        <v>8</v>
      </c>
      <c r="AI212" t="s">
        <v>59</v>
      </c>
      <c r="AJ212">
        <v>3752</v>
      </c>
      <c r="AK212" t="b">
        <v>0</v>
      </c>
      <c r="AL212">
        <v>8856.5</v>
      </c>
      <c r="AM212" t="b">
        <v>0</v>
      </c>
      <c r="AN212">
        <v>0</v>
      </c>
      <c r="AO212" t="b">
        <v>0</v>
      </c>
      <c r="AQ212">
        <v>2054.5990000000002</v>
      </c>
      <c r="AR212">
        <v>2054.5990000000002</v>
      </c>
      <c r="AS212">
        <v>0</v>
      </c>
      <c r="AT212" t="b">
        <v>0</v>
      </c>
      <c r="AU212" t="b">
        <v>1</v>
      </c>
      <c r="BA212" t="str">
        <f t="shared" si="6"/>
        <v>Normal</v>
      </c>
      <c r="BG212" t="str">
        <f t="shared" si="7"/>
        <v>Normal</v>
      </c>
    </row>
    <row r="213" spans="1:59" x14ac:dyDescent="0.2">
      <c r="A213" t="s">
        <v>42</v>
      </c>
      <c r="B213" t="s">
        <v>43</v>
      </c>
      <c r="C213">
        <v>20210101</v>
      </c>
      <c r="D213">
        <v>2021</v>
      </c>
      <c r="E213">
        <v>52</v>
      </c>
      <c r="F213" t="s">
        <v>287</v>
      </c>
      <c r="G213">
        <v>76</v>
      </c>
      <c r="H213" t="s">
        <v>80</v>
      </c>
      <c r="I213" t="s">
        <v>81</v>
      </c>
      <c r="J213" t="s">
        <v>47</v>
      </c>
      <c r="K213" t="s">
        <v>48</v>
      </c>
      <c r="L213">
        <v>0</v>
      </c>
      <c r="M213" t="s">
        <v>49</v>
      </c>
      <c r="N213" t="s">
        <v>50</v>
      </c>
      <c r="O213">
        <v>0</v>
      </c>
      <c r="P213" t="s">
        <v>49</v>
      </c>
      <c r="Q213" t="s">
        <v>50</v>
      </c>
      <c r="R213" t="s">
        <v>51</v>
      </c>
      <c r="S213" t="s">
        <v>52</v>
      </c>
      <c r="T213" t="b">
        <v>1</v>
      </c>
      <c r="U213" t="s">
        <v>53</v>
      </c>
      <c r="V213" t="s">
        <v>54</v>
      </c>
      <c r="W213">
        <v>4</v>
      </c>
      <c r="X213" t="b">
        <v>0</v>
      </c>
      <c r="Y213" t="s">
        <v>55</v>
      </c>
      <c r="Z213" t="s">
        <v>56</v>
      </c>
      <c r="AA213" t="s">
        <v>57</v>
      </c>
      <c r="AB213">
        <v>0</v>
      </c>
      <c r="AC213" t="s">
        <v>58</v>
      </c>
      <c r="AD213">
        <v>8</v>
      </c>
      <c r="AE213" t="s">
        <v>59</v>
      </c>
      <c r="AF213">
        <v>67564853418.18</v>
      </c>
      <c r="AG213" t="b">
        <v>1</v>
      </c>
      <c r="AH213">
        <v>-1</v>
      </c>
      <c r="AI213" t="s">
        <v>73</v>
      </c>
      <c r="AJ213">
        <v>0</v>
      </c>
      <c r="AK213" t="b">
        <v>0</v>
      </c>
      <c r="AL213">
        <v>67564853418.18</v>
      </c>
      <c r="AM213" t="b">
        <v>1</v>
      </c>
      <c r="AN213">
        <v>0</v>
      </c>
      <c r="AO213" t="b">
        <v>0</v>
      </c>
      <c r="AQ213">
        <v>30608981810</v>
      </c>
      <c r="AR213">
        <v>30608981810</v>
      </c>
      <c r="AS213">
        <v>6</v>
      </c>
      <c r="AT213" t="b">
        <v>0</v>
      </c>
      <c r="AU213" t="b">
        <v>1</v>
      </c>
      <c r="BA213" t="str">
        <f t="shared" si="6"/>
        <v>Normal</v>
      </c>
      <c r="BG213" t="str">
        <f t="shared" si="7"/>
        <v>Normal</v>
      </c>
    </row>
    <row r="214" spans="1:59" x14ac:dyDescent="0.2">
      <c r="A214" t="s">
        <v>42</v>
      </c>
      <c r="B214" t="s">
        <v>43</v>
      </c>
      <c r="C214">
        <v>20210101</v>
      </c>
      <c r="D214">
        <v>2021</v>
      </c>
      <c r="E214">
        <v>52</v>
      </c>
      <c r="F214" t="s">
        <v>287</v>
      </c>
      <c r="G214">
        <v>84</v>
      </c>
      <c r="H214" t="s">
        <v>82</v>
      </c>
      <c r="I214" t="s">
        <v>83</v>
      </c>
      <c r="J214" t="s">
        <v>47</v>
      </c>
      <c r="K214" t="s">
        <v>48</v>
      </c>
      <c r="L214">
        <v>0</v>
      </c>
      <c r="M214" t="s">
        <v>49</v>
      </c>
      <c r="N214" t="s">
        <v>50</v>
      </c>
      <c r="O214">
        <v>0</v>
      </c>
      <c r="P214" t="s">
        <v>49</v>
      </c>
      <c r="Q214" t="s">
        <v>50</v>
      </c>
      <c r="R214" t="s">
        <v>51</v>
      </c>
      <c r="S214" t="s">
        <v>52</v>
      </c>
      <c r="T214" t="b">
        <v>1</v>
      </c>
      <c r="U214" t="s">
        <v>53</v>
      </c>
      <c r="V214" t="s">
        <v>54</v>
      </c>
      <c r="W214">
        <v>4</v>
      </c>
      <c r="X214" t="b">
        <v>0</v>
      </c>
      <c r="Y214" t="s">
        <v>55</v>
      </c>
      <c r="Z214" t="s">
        <v>56</v>
      </c>
      <c r="AA214" t="s">
        <v>57</v>
      </c>
      <c r="AB214">
        <v>0</v>
      </c>
      <c r="AC214" t="s">
        <v>58</v>
      </c>
      <c r="AD214">
        <v>8</v>
      </c>
      <c r="AE214" t="s">
        <v>59</v>
      </c>
      <c r="AF214">
        <v>10074345.300000001</v>
      </c>
      <c r="AG214" t="b">
        <v>0</v>
      </c>
      <c r="AH214">
        <v>8</v>
      </c>
      <c r="AI214" t="s">
        <v>59</v>
      </c>
      <c r="AJ214">
        <v>10074345.300000001</v>
      </c>
      <c r="AK214" t="b">
        <v>0</v>
      </c>
      <c r="AL214">
        <v>10074345.300000001</v>
      </c>
      <c r="AM214" t="b">
        <v>0</v>
      </c>
      <c r="AN214">
        <v>0</v>
      </c>
      <c r="AO214" t="b">
        <v>0</v>
      </c>
      <c r="AQ214">
        <v>4302535.3389999997</v>
      </c>
      <c r="AR214">
        <v>4302535.3389999997</v>
      </c>
      <c r="AS214">
        <v>0</v>
      </c>
      <c r="AT214" t="b">
        <v>0</v>
      </c>
      <c r="AU214" t="b">
        <v>1</v>
      </c>
      <c r="BA214" t="str">
        <f t="shared" si="6"/>
        <v>Normal</v>
      </c>
      <c r="BG214" t="str">
        <f t="shared" si="7"/>
        <v>Normal</v>
      </c>
    </row>
    <row r="215" spans="1:59" x14ac:dyDescent="0.2">
      <c r="A215" t="s">
        <v>42</v>
      </c>
      <c r="B215" t="s">
        <v>43</v>
      </c>
      <c r="C215">
        <v>20210101</v>
      </c>
      <c r="D215">
        <v>2021</v>
      </c>
      <c r="E215">
        <v>52</v>
      </c>
      <c r="F215" t="s">
        <v>287</v>
      </c>
      <c r="G215">
        <v>96</v>
      </c>
      <c r="H215" t="s">
        <v>84</v>
      </c>
      <c r="I215" t="s">
        <v>85</v>
      </c>
      <c r="J215" t="s">
        <v>47</v>
      </c>
      <c r="K215" t="s">
        <v>48</v>
      </c>
      <c r="L215">
        <v>0</v>
      </c>
      <c r="M215" t="s">
        <v>49</v>
      </c>
      <c r="N215" t="s">
        <v>50</v>
      </c>
      <c r="O215">
        <v>0</v>
      </c>
      <c r="P215" t="s">
        <v>49</v>
      </c>
      <c r="Q215" t="s">
        <v>50</v>
      </c>
      <c r="R215" t="s">
        <v>51</v>
      </c>
      <c r="S215" t="s">
        <v>52</v>
      </c>
      <c r="T215" t="b">
        <v>1</v>
      </c>
      <c r="U215" t="s">
        <v>53</v>
      </c>
      <c r="V215" t="s">
        <v>54</v>
      </c>
      <c r="W215">
        <v>4</v>
      </c>
      <c r="X215" t="b">
        <v>0</v>
      </c>
      <c r="Y215" t="s">
        <v>55</v>
      </c>
      <c r="Z215" t="s">
        <v>56</v>
      </c>
      <c r="AA215" t="s">
        <v>57</v>
      </c>
      <c r="AB215">
        <v>0</v>
      </c>
      <c r="AC215" t="s">
        <v>58</v>
      </c>
      <c r="AD215">
        <v>8</v>
      </c>
      <c r="AE215" t="s">
        <v>59</v>
      </c>
      <c r="AF215">
        <v>4019303170</v>
      </c>
      <c r="AG215" t="b">
        <v>0</v>
      </c>
      <c r="AH215">
        <v>8</v>
      </c>
      <c r="AI215" t="s">
        <v>59</v>
      </c>
      <c r="AJ215">
        <v>4019303170</v>
      </c>
      <c r="AK215" t="b">
        <v>0</v>
      </c>
      <c r="AL215">
        <v>4019303170</v>
      </c>
      <c r="AM215" t="b">
        <v>0</v>
      </c>
      <c r="AN215">
        <v>0</v>
      </c>
      <c r="AO215" t="b">
        <v>0</v>
      </c>
      <c r="AP215">
        <v>0</v>
      </c>
      <c r="AQ215">
        <v>2155680594.54</v>
      </c>
      <c r="AR215">
        <v>2155680594.54</v>
      </c>
      <c r="AS215">
        <v>0</v>
      </c>
      <c r="AT215" t="b">
        <v>0</v>
      </c>
      <c r="AU215" t="b">
        <v>1</v>
      </c>
      <c r="BA215" t="str">
        <f t="shared" si="6"/>
        <v>Normal</v>
      </c>
      <c r="BG215" t="str">
        <f t="shared" si="7"/>
        <v>Normal</v>
      </c>
    </row>
    <row r="216" spans="1:59" x14ac:dyDescent="0.2">
      <c r="A216" t="s">
        <v>42</v>
      </c>
      <c r="B216" t="s">
        <v>43</v>
      </c>
      <c r="C216">
        <v>20210101</v>
      </c>
      <c r="D216">
        <v>2021</v>
      </c>
      <c r="E216">
        <v>52</v>
      </c>
      <c r="F216" t="s">
        <v>287</v>
      </c>
      <c r="G216">
        <v>120</v>
      </c>
      <c r="H216" t="s">
        <v>92</v>
      </c>
      <c r="I216" t="s">
        <v>93</v>
      </c>
      <c r="J216" t="s">
        <v>47</v>
      </c>
      <c r="K216" t="s">
        <v>48</v>
      </c>
      <c r="L216">
        <v>0</v>
      </c>
      <c r="M216" t="s">
        <v>49</v>
      </c>
      <c r="N216" t="s">
        <v>50</v>
      </c>
      <c r="O216">
        <v>0</v>
      </c>
      <c r="P216" t="s">
        <v>49</v>
      </c>
      <c r="Q216" t="s">
        <v>50</v>
      </c>
      <c r="R216" t="s">
        <v>51</v>
      </c>
      <c r="S216" t="s">
        <v>52</v>
      </c>
      <c r="T216" t="b">
        <v>1</v>
      </c>
      <c r="U216" t="s">
        <v>53</v>
      </c>
      <c r="V216" t="s">
        <v>54</v>
      </c>
      <c r="W216">
        <v>4</v>
      </c>
      <c r="X216" t="b">
        <v>0</v>
      </c>
      <c r="Y216" t="s">
        <v>55</v>
      </c>
      <c r="Z216" t="s">
        <v>56</v>
      </c>
      <c r="AA216" t="s">
        <v>57</v>
      </c>
      <c r="AB216">
        <v>0</v>
      </c>
      <c r="AC216" t="s">
        <v>58</v>
      </c>
      <c r="AD216">
        <v>8</v>
      </c>
      <c r="AE216" t="s">
        <v>59</v>
      </c>
      <c r="AF216">
        <v>3585667100</v>
      </c>
      <c r="AG216" t="b">
        <v>0</v>
      </c>
      <c r="AH216">
        <v>8</v>
      </c>
      <c r="AI216" t="s">
        <v>59</v>
      </c>
      <c r="AJ216">
        <v>3585667100</v>
      </c>
      <c r="AK216" t="b">
        <v>0</v>
      </c>
      <c r="AL216">
        <v>3585667100</v>
      </c>
      <c r="AM216" t="b">
        <v>0</v>
      </c>
      <c r="AN216">
        <v>0</v>
      </c>
      <c r="AO216" t="b">
        <v>0</v>
      </c>
      <c r="AQ216">
        <v>1743537525.78</v>
      </c>
      <c r="AR216">
        <v>1743537525.78</v>
      </c>
      <c r="AS216">
        <v>0</v>
      </c>
      <c r="AT216" t="b">
        <v>0</v>
      </c>
      <c r="AU216" t="b">
        <v>1</v>
      </c>
      <c r="BA216" t="str">
        <f t="shared" si="6"/>
        <v>Normal</v>
      </c>
      <c r="BG216" t="str">
        <f t="shared" si="7"/>
        <v>Normal</v>
      </c>
    </row>
    <row r="217" spans="1:59" x14ac:dyDescent="0.2">
      <c r="A217" t="s">
        <v>42</v>
      </c>
      <c r="B217" t="s">
        <v>43</v>
      </c>
      <c r="C217">
        <v>20210101</v>
      </c>
      <c r="D217">
        <v>2021</v>
      </c>
      <c r="E217">
        <v>52</v>
      </c>
      <c r="F217" t="s">
        <v>287</v>
      </c>
      <c r="G217">
        <v>124</v>
      </c>
      <c r="H217" t="s">
        <v>94</v>
      </c>
      <c r="I217" t="s">
        <v>95</v>
      </c>
      <c r="J217" t="s">
        <v>47</v>
      </c>
      <c r="K217" t="s">
        <v>48</v>
      </c>
      <c r="L217">
        <v>0</v>
      </c>
      <c r="M217" t="s">
        <v>49</v>
      </c>
      <c r="N217" t="s">
        <v>50</v>
      </c>
      <c r="O217">
        <v>0</v>
      </c>
      <c r="P217" t="s">
        <v>49</v>
      </c>
      <c r="Q217" t="s">
        <v>50</v>
      </c>
      <c r="R217" t="s">
        <v>51</v>
      </c>
      <c r="S217" t="s">
        <v>52</v>
      </c>
      <c r="T217" t="b">
        <v>1</v>
      </c>
      <c r="U217" t="s">
        <v>53</v>
      </c>
      <c r="V217" t="s">
        <v>54</v>
      </c>
      <c r="W217">
        <v>4</v>
      </c>
      <c r="X217" t="b">
        <v>0</v>
      </c>
      <c r="Y217" t="s">
        <v>55</v>
      </c>
      <c r="Z217" t="s">
        <v>56</v>
      </c>
      <c r="AA217" t="s">
        <v>57</v>
      </c>
      <c r="AB217">
        <v>0</v>
      </c>
      <c r="AC217" t="s">
        <v>58</v>
      </c>
      <c r="AD217">
        <v>8</v>
      </c>
      <c r="AE217" t="s">
        <v>59</v>
      </c>
      <c r="AF217">
        <v>173111068694.85999</v>
      </c>
      <c r="AG217" t="b">
        <v>1</v>
      </c>
      <c r="AH217">
        <v>-1</v>
      </c>
      <c r="AI217" t="s">
        <v>73</v>
      </c>
      <c r="AJ217">
        <v>0</v>
      </c>
      <c r="AK217" t="b">
        <v>0</v>
      </c>
      <c r="AL217">
        <v>173111068694.85999</v>
      </c>
      <c r="AM217" t="b">
        <v>1</v>
      </c>
      <c r="AN217">
        <v>0</v>
      </c>
      <c r="AO217" t="b">
        <v>0</v>
      </c>
      <c r="AQ217">
        <v>81939749590.761002</v>
      </c>
      <c r="AR217">
        <v>81939749590.761002</v>
      </c>
      <c r="AS217">
        <v>6</v>
      </c>
      <c r="AT217" t="b">
        <v>0</v>
      </c>
      <c r="AU217" t="b">
        <v>1</v>
      </c>
      <c r="BA217" t="str">
        <f t="shared" si="6"/>
        <v>Normal</v>
      </c>
      <c r="BG217" t="str">
        <f t="shared" si="7"/>
        <v>Normal</v>
      </c>
    </row>
    <row r="218" spans="1:59" x14ac:dyDescent="0.2">
      <c r="A218" t="s">
        <v>42</v>
      </c>
      <c r="B218" t="s">
        <v>43</v>
      </c>
      <c r="C218">
        <v>20210101</v>
      </c>
      <c r="D218">
        <v>2021</v>
      </c>
      <c r="E218">
        <v>52</v>
      </c>
      <c r="F218" t="s">
        <v>287</v>
      </c>
      <c r="G218">
        <v>156</v>
      </c>
      <c r="H218" t="s">
        <v>96</v>
      </c>
      <c r="I218" t="s">
        <v>97</v>
      </c>
      <c r="J218" t="s">
        <v>47</v>
      </c>
      <c r="K218" t="s">
        <v>48</v>
      </c>
      <c r="L218">
        <v>0</v>
      </c>
      <c r="M218" t="s">
        <v>49</v>
      </c>
      <c r="N218" t="s">
        <v>50</v>
      </c>
      <c r="O218">
        <v>0</v>
      </c>
      <c r="P218" t="s">
        <v>49</v>
      </c>
      <c r="Q218" t="s">
        <v>50</v>
      </c>
      <c r="R218" t="s">
        <v>51</v>
      </c>
      <c r="S218" t="s">
        <v>52</v>
      </c>
      <c r="T218" t="b">
        <v>1</v>
      </c>
      <c r="U218" t="s">
        <v>53</v>
      </c>
      <c r="V218" t="s">
        <v>54</v>
      </c>
      <c r="W218">
        <v>4</v>
      </c>
      <c r="X218" t="b">
        <v>0</v>
      </c>
      <c r="Y218" t="s">
        <v>55</v>
      </c>
      <c r="Z218" t="s">
        <v>56</v>
      </c>
      <c r="AA218" t="s">
        <v>57</v>
      </c>
      <c r="AB218">
        <v>0</v>
      </c>
      <c r="AC218" t="s">
        <v>58</v>
      </c>
      <c r="AD218">
        <v>8</v>
      </c>
      <c r="AE218" t="s">
        <v>59</v>
      </c>
      <c r="AF218">
        <v>2610761300</v>
      </c>
      <c r="AG218" t="b">
        <v>0</v>
      </c>
      <c r="AH218">
        <v>8</v>
      </c>
      <c r="AI218" t="s">
        <v>59</v>
      </c>
      <c r="AJ218">
        <v>2610761300</v>
      </c>
      <c r="AK218" t="b">
        <v>0</v>
      </c>
      <c r="AL218">
        <v>2610761300</v>
      </c>
      <c r="AM218" t="b">
        <v>0</v>
      </c>
      <c r="AN218">
        <v>0</v>
      </c>
      <c r="AO218" t="b">
        <v>0</v>
      </c>
      <c r="AQ218">
        <v>1010393812</v>
      </c>
      <c r="AR218">
        <v>1010393812</v>
      </c>
      <c r="AS218">
        <v>0</v>
      </c>
      <c r="AT218" t="b">
        <v>0</v>
      </c>
      <c r="AU218" t="b">
        <v>1</v>
      </c>
      <c r="BA218" t="str">
        <f t="shared" si="6"/>
        <v>Normal</v>
      </c>
      <c r="BG218" t="str">
        <f t="shared" si="7"/>
        <v>Normal</v>
      </c>
    </row>
    <row r="219" spans="1:59" x14ac:dyDescent="0.2">
      <c r="A219" t="s">
        <v>42</v>
      </c>
      <c r="B219" t="s">
        <v>43</v>
      </c>
      <c r="C219">
        <v>20210101</v>
      </c>
      <c r="D219">
        <v>2021</v>
      </c>
      <c r="E219">
        <v>52</v>
      </c>
      <c r="F219" t="s">
        <v>287</v>
      </c>
      <c r="G219">
        <v>170</v>
      </c>
      <c r="H219" t="s">
        <v>98</v>
      </c>
      <c r="I219" t="s">
        <v>99</v>
      </c>
      <c r="J219" t="s">
        <v>47</v>
      </c>
      <c r="K219" t="s">
        <v>48</v>
      </c>
      <c r="L219">
        <v>0</v>
      </c>
      <c r="M219" t="s">
        <v>49</v>
      </c>
      <c r="N219" t="s">
        <v>50</v>
      </c>
      <c r="O219">
        <v>0</v>
      </c>
      <c r="P219" t="s">
        <v>49</v>
      </c>
      <c r="Q219" t="s">
        <v>50</v>
      </c>
      <c r="R219" t="s">
        <v>51</v>
      </c>
      <c r="S219" t="s">
        <v>52</v>
      </c>
      <c r="T219" t="b">
        <v>1</v>
      </c>
      <c r="U219" t="s">
        <v>53</v>
      </c>
      <c r="V219" t="s">
        <v>54</v>
      </c>
      <c r="W219">
        <v>4</v>
      </c>
      <c r="X219" t="b">
        <v>0</v>
      </c>
      <c r="Y219" t="s">
        <v>55</v>
      </c>
      <c r="Z219" t="s">
        <v>56</v>
      </c>
      <c r="AA219" t="s">
        <v>57</v>
      </c>
      <c r="AB219">
        <v>0</v>
      </c>
      <c r="AC219" t="s">
        <v>58</v>
      </c>
      <c r="AD219">
        <v>8</v>
      </c>
      <c r="AE219" t="s">
        <v>59</v>
      </c>
      <c r="AF219">
        <v>24961840853.395</v>
      </c>
      <c r="AG219" t="b">
        <v>1</v>
      </c>
      <c r="AH219">
        <v>-1</v>
      </c>
      <c r="AI219" t="s">
        <v>73</v>
      </c>
      <c r="AJ219">
        <v>0</v>
      </c>
      <c r="AK219" t="b">
        <v>0</v>
      </c>
      <c r="AL219">
        <v>24961840853.395</v>
      </c>
      <c r="AM219" t="b">
        <v>1</v>
      </c>
      <c r="AN219">
        <v>0</v>
      </c>
      <c r="AO219" t="b">
        <v>0</v>
      </c>
      <c r="AP219">
        <v>0</v>
      </c>
      <c r="AQ219">
        <v>11200541488.129999</v>
      </c>
      <c r="AR219">
        <v>11200541488.129999</v>
      </c>
      <c r="AS219">
        <v>6</v>
      </c>
      <c r="AT219" t="b">
        <v>0</v>
      </c>
      <c r="AU219" t="b">
        <v>1</v>
      </c>
      <c r="BA219" t="str">
        <f t="shared" si="6"/>
        <v>Normal</v>
      </c>
      <c r="BG219" t="str">
        <f t="shared" si="7"/>
        <v>Normal</v>
      </c>
    </row>
    <row r="220" spans="1:59" x14ac:dyDescent="0.2">
      <c r="A220" t="s">
        <v>42</v>
      </c>
      <c r="B220" t="s">
        <v>43</v>
      </c>
      <c r="C220">
        <v>20210101</v>
      </c>
      <c r="D220">
        <v>2021</v>
      </c>
      <c r="E220">
        <v>52</v>
      </c>
      <c r="F220" t="s">
        <v>287</v>
      </c>
      <c r="G220">
        <v>178</v>
      </c>
      <c r="H220" t="s">
        <v>100</v>
      </c>
      <c r="I220" t="s">
        <v>101</v>
      </c>
      <c r="J220" t="s">
        <v>47</v>
      </c>
      <c r="K220" t="s">
        <v>48</v>
      </c>
      <c r="L220">
        <v>0</v>
      </c>
      <c r="M220" t="s">
        <v>49</v>
      </c>
      <c r="N220" t="s">
        <v>50</v>
      </c>
      <c r="O220">
        <v>0</v>
      </c>
      <c r="P220" t="s">
        <v>49</v>
      </c>
      <c r="Q220" t="s">
        <v>50</v>
      </c>
      <c r="R220" t="s">
        <v>51</v>
      </c>
      <c r="S220" t="s">
        <v>52</v>
      </c>
      <c r="T220" t="b">
        <v>1</v>
      </c>
      <c r="U220" t="s">
        <v>53</v>
      </c>
      <c r="V220" t="s">
        <v>54</v>
      </c>
      <c r="W220">
        <v>4</v>
      </c>
      <c r="X220" t="b">
        <v>0</v>
      </c>
      <c r="Y220" t="s">
        <v>55</v>
      </c>
      <c r="Z220" t="s">
        <v>56</v>
      </c>
      <c r="AA220" t="s">
        <v>57</v>
      </c>
      <c r="AB220">
        <v>0</v>
      </c>
      <c r="AC220" t="s">
        <v>58</v>
      </c>
      <c r="AD220">
        <v>8</v>
      </c>
      <c r="AE220" t="s">
        <v>59</v>
      </c>
      <c r="AF220">
        <v>2415856349</v>
      </c>
      <c r="AG220" t="b">
        <v>0</v>
      </c>
      <c r="AH220">
        <v>8</v>
      </c>
      <c r="AI220" t="s">
        <v>59</v>
      </c>
      <c r="AJ220">
        <v>2415856349</v>
      </c>
      <c r="AK220" t="b">
        <v>0</v>
      </c>
      <c r="AL220">
        <v>2415856349</v>
      </c>
      <c r="AM220" t="b">
        <v>0</v>
      </c>
      <c r="AN220">
        <v>0</v>
      </c>
      <c r="AO220" t="b">
        <v>0</v>
      </c>
      <c r="AP220">
        <v>0</v>
      </c>
      <c r="AQ220">
        <v>1072025913.4</v>
      </c>
      <c r="AR220">
        <v>1072025913.4</v>
      </c>
      <c r="AS220">
        <v>0</v>
      </c>
      <c r="AT220" t="b">
        <v>0</v>
      </c>
      <c r="AU220" t="b">
        <v>1</v>
      </c>
      <c r="BA220" t="str">
        <f t="shared" si="6"/>
        <v>Normal</v>
      </c>
      <c r="BG220" t="str">
        <f t="shared" si="7"/>
        <v>Normal</v>
      </c>
    </row>
    <row r="221" spans="1:59" x14ac:dyDescent="0.2">
      <c r="A221" t="s">
        <v>42</v>
      </c>
      <c r="B221" t="s">
        <v>43</v>
      </c>
      <c r="C221">
        <v>20210101</v>
      </c>
      <c r="D221">
        <v>2021</v>
      </c>
      <c r="E221">
        <v>52</v>
      </c>
      <c r="F221" t="s">
        <v>287</v>
      </c>
      <c r="G221">
        <v>191</v>
      </c>
      <c r="H221" t="s">
        <v>105</v>
      </c>
      <c r="I221" t="s">
        <v>106</v>
      </c>
      <c r="J221" t="s">
        <v>47</v>
      </c>
      <c r="K221" t="s">
        <v>48</v>
      </c>
      <c r="L221">
        <v>0</v>
      </c>
      <c r="M221" t="s">
        <v>49</v>
      </c>
      <c r="N221" t="s">
        <v>50</v>
      </c>
      <c r="O221">
        <v>0</v>
      </c>
      <c r="P221" t="s">
        <v>49</v>
      </c>
      <c r="Q221" t="s">
        <v>50</v>
      </c>
      <c r="R221" t="s">
        <v>51</v>
      </c>
      <c r="S221" t="s">
        <v>52</v>
      </c>
      <c r="T221" t="b">
        <v>1</v>
      </c>
      <c r="U221" t="s">
        <v>53</v>
      </c>
      <c r="V221" t="s">
        <v>54</v>
      </c>
      <c r="W221">
        <v>4</v>
      </c>
      <c r="X221" t="b">
        <v>0</v>
      </c>
      <c r="Y221" t="s">
        <v>55</v>
      </c>
      <c r="Z221" t="s">
        <v>56</v>
      </c>
      <c r="AA221" t="s">
        <v>57</v>
      </c>
      <c r="AB221">
        <v>0</v>
      </c>
      <c r="AC221" t="s">
        <v>58</v>
      </c>
      <c r="AD221">
        <v>8</v>
      </c>
      <c r="AE221" t="s">
        <v>59</v>
      </c>
      <c r="AF221">
        <v>1822611575</v>
      </c>
      <c r="AG221" t="b">
        <v>0</v>
      </c>
      <c r="AH221">
        <v>8</v>
      </c>
      <c r="AI221" t="s">
        <v>59</v>
      </c>
      <c r="AJ221">
        <v>1822611575</v>
      </c>
      <c r="AK221" t="b">
        <v>0</v>
      </c>
      <c r="AL221">
        <v>1822611575</v>
      </c>
      <c r="AM221" t="b">
        <v>0</v>
      </c>
      <c r="AN221">
        <v>0</v>
      </c>
      <c r="AO221" t="b">
        <v>0</v>
      </c>
      <c r="AP221">
        <v>0</v>
      </c>
      <c r="AQ221">
        <v>905134926</v>
      </c>
      <c r="AR221">
        <v>905134926</v>
      </c>
      <c r="AS221">
        <v>0</v>
      </c>
      <c r="AT221" t="b">
        <v>0</v>
      </c>
      <c r="AU221" t="b">
        <v>1</v>
      </c>
      <c r="BA221" t="str">
        <f t="shared" si="6"/>
        <v>Normal</v>
      </c>
      <c r="BG221" t="str">
        <f t="shared" si="7"/>
        <v>Normal</v>
      </c>
    </row>
    <row r="222" spans="1:59" x14ac:dyDescent="0.2">
      <c r="A222" t="s">
        <v>42</v>
      </c>
      <c r="B222" t="s">
        <v>43</v>
      </c>
      <c r="C222">
        <v>20210101</v>
      </c>
      <c r="D222">
        <v>2021</v>
      </c>
      <c r="E222">
        <v>52</v>
      </c>
      <c r="F222" t="s">
        <v>287</v>
      </c>
      <c r="G222">
        <v>192</v>
      </c>
      <c r="H222" t="s">
        <v>274</v>
      </c>
      <c r="I222" t="s">
        <v>275</v>
      </c>
      <c r="J222" t="s">
        <v>47</v>
      </c>
      <c r="K222" t="s">
        <v>48</v>
      </c>
      <c r="L222">
        <v>0</v>
      </c>
      <c r="M222" t="s">
        <v>49</v>
      </c>
      <c r="N222" t="s">
        <v>50</v>
      </c>
      <c r="O222">
        <v>0</v>
      </c>
      <c r="P222" t="s">
        <v>49</v>
      </c>
      <c r="Q222" t="s">
        <v>50</v>
      </c>
      <c r="R222" t="s">
        <v>51</v>
      </c>
      <c r="S222" t="s">
        <v>52</v>
      </c>
      <c r="T222" t="b">
        <v>1</v>
      </c>
      <c r="U222" t="s">
        <v>53</v>
      </c>
      <c r="V222" t="s">
        <v>54</v>
      </c>
      <c r="W222">
        <v>4</v>
      </c>
      <c r="X222" t="b">
        <v>0</v>
      </c>
      <c r="Y222" t="s">
        <v>55</v>
      </c>
      <c r="Z222" t="s">
        <v>56</v>
      </c>
      <c r="AA222" t="s">
        <v>57</v>
      </c>
      <c r="AB222">
        <v>0</v>
      </c>
      <c r="AC222" t="s">
        <v>58</v>
      </c>
      <c r="AD222">
        <v>8</v>
      </c>
      <c r="AE222" t="s">
        <v>59</v>
      </c>
      <c r="AF222">
        <v>268330200</v>
      </c>
      <c r="AG222" t="b">
        <v>0</v>
      </c>
      <c r="AH222">
        <v>21</v>
      </c>
      <c r="AI222" t="s">
        <v>170</v>
      </c>
      <c r="AJ222">
        <v>268330.2</v>
      </c>
      <c r="AK222" t="b">
        <v>0</v>
      </c>
      <c r="AL222">
        <v>268330200</v>
      </c>
      <c r="AM222" t="b">
        <v>0</v>
      </c>
      <c r="AN222">
        <v>0</v>
      </c>
      <c r="AO222" t="b">
        <v>0</v>
      </c>
      <c r="AQ222">
        <v>72052065.25</v>
      </c>
      <c r="AR222">
        <v>72052065.25</v>
      </c>
      <c r="AS222">
        <v>0</v>
      </c>
      <c r="AT222" t="b">
        <v>0</v>
      </c>
      <c r="AU222" t="b">
        <v>1</v>
      </c>
      <c r="BA222" t="str">
        <f t="shared" si="6"/>
        <v>Normal</v>
      </c>
      <c r="BG222" t="str">
        <f t="shared" si="7"/>
        <v>Normal</v>
      </c>
    </row>
    <row r="223" spans="1:59" x14ac:dyDescent="0.2">
      <c r="A223" t="s">
        <v>42</v>
      </c>
      <c r="B223" t="s">
        <v>43</v>
      </c>
      <c r="C223">
        <v>20210101</v>
      </c>
      <c r="D223">
        <v>2021</v>
      </c>
      <c r="E223">
        <v>52</v>
      </c>
      <c r="F223" t="s">
        <v>287</v>
      </c>
      <c r="G223">
        <v>203</v>
      </c>
      <c r="H223" t="s">
        <v>107</v>
      </c>
      <c r="I223" t="s">
        <v>108</v>
      </c>
      <c r="J223" t="s">
        <v>47</v>
      </c>
      <c r="K223" t="s">
        <v>48</v>
      </c>
      <c r="L223">
        <v>0</v>
      </c>
      <c r="M223" t="s">
        <v>49</v>
      </c>
      <c r="N223" t="s">
        <v>50</v>
      </c>
      <c r="O223">
        <v>0</v>
      </c>
      <c r="P223" t="s">
        <v>49</v>
      </c>
      <c r="Q223" t="s">
        <v>50</v>
      </c>
      <c r="R223" t="s">
        <v>51</v>
      </c>
      <c r="S223" t="s">
        <v>52</v>
      </c>
      <c r="T223" t="b">
        <v>1</v>
      </c>
      <c r="U223" t="s">
        <v>53</v>
      </c>
      <c r="V223" t="s">
        <v>54</v>
      </c>
      <c r="W223">
        <v>4</v>
      </c>
      <c r="X223" t="b">
        <v>0</v>
      </c>
      <c r="Y223" t="s">
        <v>55</v>
      </c>
      <c r="Z223" t="s">
        <v>56</v>
      </c>
      <c r="AA223" t="s">
        <v>57</v>
      </c>
      <c r="AB223">
        <v>0</v>
      </c>
      <c r="AC223" t="s">
        <v>58</v>
      </c>
      <c r="AD223">
        <v>8</v>
      </c>
      <c r="AE223" t="s">
        <v>59</v>
      </c>
      <c r="AF223">
        <v>659</v>
      </c>
      <c r="AG223" t="b">
        <v>0</v>
      </c>
      <c r="AH223">
        <v>8</v>
      </c>
      <c r="AI223" t="s">
        <v>59</v>
      </c>
      <c r="AJ223">
        <v>659</v>
      </c>
      <c r="AK223" t="b">
        <v>0</v>
      </c>
      <c r="AL223">
        <v>659</v>
      </c>
      <c r="AM223" t="b">
        <v>0</v>
      </c>
      <c r="AN223">
        <v>0</v>
      </c>
      <c r="AO223" t="b">
        <v>0</v>
      </c>
      <c r="AP223">
        <v>0</v>
      </c>
      <c r="AQ223">
        <v>7726</v>
      </c>
      <c r="AR223">
        <v>7726</v>
      </c>
      <c r="AS223">
        <v>0</v>
      </c>
      <c r="AT223" t="b">
        <v>0</v>
      </c>
      <c r="AU223" t="b">
        <v>1</v>
      </c>
      <c r="BA223" t="str">
        <f t="shared" si="6"/>
        <v>Normal</v>
      </c>
      <c r="BG223" t="str">
        <f t="shared" si="7"/>
        <v>Normal</v>
      </c>
    </row>
    <row r="224" spans="1:59" x14ac:dyDescent="0.2">
      <c r="A224" t="s">
        <v>42</v>
      </c>
      <c r="B224" t="s">
        <v>43</v>
      </c>
      <c r="C224">
        <v>20210101</v>
      </c>
      <c r="D224">
        <v>2021</v>
      </c>
      <c r="E224">
        <v>52</v>
      </c>
      <c r="F224" t="s">
        <v>287</v>
      </c>
      <c r="G224">
        <v>208</v>
      </c>
      <c r="H224" t="s">
        <v>109</v>
      </c>
      <c r="I224" t="s">
        <v>110</v>
      </c>
      <c r="J224" t="s">
        <v>47</v>
      </c>
      <c r="K224" t="s">
        <v>48</v>
      </c>
      <c r="L224">
        <v>0</v>
      </c>
      <c r="M224" t="s">
        <v>49</v>
      </c>
      <c r="N224" t="s">
        <v>50</v>
      </c>
      <c r="O224">
        <v>0</v>
      </c>
      <c r="P224" t="s">
        <v>49</v>
      </c>
      <c r="Q224" t="s">
        <v>50</v>
      </c>
      <c r="R224" t="s">
        <v>51</v>
      </c>
      <c r="S224" t="s">
        <v>52</v>
      </c>
      <c r="T224" t="b">
        <v>1</v>
      </c>
      <c r="U224" t="s">
        <v>53</v>
      </c>
      <c r="V224" t="s">
        <v>54</v>
      </c>
      <c r="W224">
        <v>4</v>
      </c>
      <c r="X224" t="b">
        <v>0</v>
      </c>
      <c r="Y224" t="s">
        <v>55</v>
      </c>
      <c r="Z224" t="s">
        <v>56</v>
      </c>
      <c r="AA224" t="s">
        <v>57</v>
      </c>
      <c r="AB224">
        <v>0</v>
      </c>
      <c r="AC224" t="s">
        <v>58</v>
      </c>
      <c r="AD224">
        <v>8</v>
      </c>
      <c r="AE224" t="s">
        <v>59</v>
      </c>
      <c r="AF224">
        <v>697014985</v>
      </c>
      <c r="AG224" t="b">
        <v>0</v>
      </c>
      <c r="AH224">
        <v>8</v>
      </c>
      <c r="AI224" t="s">
        <v>59</v>
      </c>
      <c r="AJ224">
        <v>697014985</v>
      </c>
      <c r="AK224" t="b">
        <v>0</v>
      </c>
      <c r="AL224">
        <v>697014985</v>
      </c>
      <c r="AM224" t="b">
        <v>0</v>
      </c>
      <c r="AN224">
        <v>0</v>
      </c>
      <c r="AO224" t="b">
        <v>0</v>
      </c>
      <c r="AQ224">
        <v>363459896.17199999</v>
      </c>
      <c r="AR224">
        <v>363459896.17199999</v>
      </c>
      <c r="AS224">
        <v>0</v>
      </c>
      <c r="AT224" t="b">
        <v>0</v>
      </c>
      <c r="AU224" t="b">
        <v>1</v>
      </c>
      <c r="BA224" t="str">
        <f t="shared" si="6"/>
        <v>Normal</v>
      </c>
      <c r="BG224" t="str">
        <f t="shared" si="7"/>
        <v>Normal</v>
      </c>
    </row>
    <row r="225" spans="1:59" x14ac:dyDescent="0.2">
      <c r="A225" t="s">
        <v>42</v>
      </c>
      <c r="B225" t="s">
        <v>43</v>
      </c>
      <c r="C225">
        <v>20210101</v>
      </c>
      <c r="D225">
        <v>2021</v>
      </c>
      <c r="E225">
        <v>52</v>
      </c>
      <c r="F225" t="s">
        <v>287</v>
      </c>
      <c r="G225">
        <v>212</v>
      </c>
      <c r="H225" t="s">
        <v>290</v>
      </c>
      <c r="I225" t="s">
        <v>291</v>
      </c>
      <c r="J225" t="s">
        <v>47</v>
      </c>
      <c r="K225" t="s">
        <v>48</v>
      </c>
      <c r="L225">
        <v>0</v>
      </c>
      <c r="M225" t="s">
        <v>49</v>
      </c>
      <c r="N225" t="s">
        <v>50</v>
      </c>
      <c r="O225">
        <v>0</v>
      </c>
      <c r="P225" t="s">
        <v>49</v>
      </c>
      <c r="Q225" t="s">
        <v>50</v>
      </c>
      <c r="R225" t="s">
        <v>127</v>
      </c>
      <c r="S225" t="s">
        <v>52</v>
      </c>
      <c r="T225" t="b">
        <v>1</v>
      </c>
      <c r="U225" t="s">
        <v>53</v>
      </c>
      <c r="V225" t="s">
        <v>54</v>
      </c>
      <c r="W225">
        <v>4</v>
      </c>
      <c r="X225" t="b">
        <v>0</v>
      </c>
      <c r="Y225" t="s">
        <v>55</v>
      </c>
      <c r="Z225" t="s">
        <v>56</v>
      </c>
      <c r="AA225" t="s">
        <v>57</v>
      </c>
      <c r="AB225">
        <v>0</v>
      </c>
      <c r="AC225" t="s">
        <v>58</v>
      </c>
      <c r="AD225">
        <v>8</v>
      </c>
      <c r="AE225" t="s">
        <v>59</v>
      </c>
      <c r="AF225">
        <v>2</v>
      </c>
      <c r="AG225" t="b">
        <v>0</v>
      </c>
      <c r="AH225">
        <v>8</v>
      </c>
      <c r="AI225" t="s">
        <v>59</v>
      </c>
      <c r="AJ225">
        <v>2</v>
      </c>
      <c r="AK225" t="b">
        <v>0</v>
      </c>
      <c r="AL225">
        <v>2</v>
      </c>
      <c r="AM225" t="b">
        <v>0</v>
      </c>
      <c r="AN225">
        <v>0</v>
      </c>
      <c r="AO225" t="b">
        <v>0</v>
      </c>
      <c r="AQ225">
        <v>5.556</v>
      </c>
      <c r="AR225">
        <v>5.556</v>
      </c>
      <c r="AS225">
        <v>0</v>
      </c>
      <c r="AT225" t="b">
        <v>0</v>
      </c>
      <c r="AU225" t="b">
        <v>1</v>
      </c>
      <c r="BA225" t="str">
        <f t="shared" si="6"/>
        <v>Normal</v>
      </c>
      <c r="BG225" t="str">
        <f t="shared" si="7"/>
        <v>Normal</v>
      </c>
    </row>
    <row r="226" spans="1:59" x14ac:dyDescent="0.2">
      <c r="A226" t="s">
        <v>42</v>
      </c>
      <c r="B226" t="s">
        <v>43</v>
      </c>
      <c r="C226">
        <v>20210101</v>
      </c>
      <c r="D226">
        <v>2021</v>
      </c>
      <c r="E226">
        <v>52</v>
      </c>
      <c r="F226" t="s">
        <v>287</v>
      </c>
      <c r="G226">
        <v>214</v>
      </c>
      <c r="H226" t="s">
        <v>111</v>
      </c>
      <c r="I226" t="s">
        <v>112</v>
      </c>
      <c r="J226" t="s">
        <v>47</v>
      </c>
      <c r="K226" t="s">
        <v>48</v>
      </c>
      <c r="L226">
        <v>0</v>
      </c>
      <c r="M226" t="s">
        <v>49</v>
      </c>
      <c r="N226" t="s">
        <v>50</v>
      </c>
      <c r="O226">
        <v>0</v>
      </c>
      <c r="P226" t="s">
        <v>49</v>
      </c>
      <c r="Q226" t="s">
        <v>50</v>
      </c>
      <c r="R226" t="s">
        <v>51</v>
      </c>
      <c r="S226" t="s">
        <v>52</v>
      </c>
      <c r="T226" t="b">
        <v>1</v>
      </c>
      <c r="U226" t="s">
        <v>53</v>
      </c>
      <c r="V226" t="s">
        <v>54</v>
      </c>
      <c r="W226">
        <v>4</v>
      </c>
      <c r="X226" t="b">
        <v>0</v>
      </c>
      <c r="Y226" t="s">
        <v>55</v>
      </c>
      <c r="Z226" t="s">
        <v>56</v>
      </c>
      <c r="AA226" t="s">
        <v>57</v>
      </c>
      <c r="AB226">
        <v>0</v>
      </c>
      <c r="AC226" t="s">
        <v>58</v>
      </c>
      <c r="AD226">
        <v>8</v>
      </c>
      <c r="AE226" t="s">
        <v>59</v>
      </c>
      <c r="AF226">
        <v>1</v>
      </c>
      <c r="AG226" t="b">
        <v>0</v>
      </c>
      <c r="AH226">
        <v>5</v>
      </c>
      <c r="AI226" t="s">
        <v>292</v>
      </c>
      <c r="AJ226">
        <v>4</v>
      </c>
      <c r="AK226" t="b">
        <v>0</v>
      </c>
      <c r="AL226">
        <v>1</v>
      </c>
      <c r="AM226" t="b">
        <v>0</v>
      </c>
      <c r="AN226">
        <v>0</v>
      </c>
      <c r="AO226" t="b">
        <v>0</v>
      </c>
      <c r="AQ226">
        <v>40</v>
      </c>
      <c r="AR226">
        <v>40</v>
      </c>
      <c r="AS226">
        <v>0</v>
      </c>
      <c r="AT226" t="b">
        <v>0</v>
      </c>
      <c r="AU226" t="b">
        <v>1</v>
      </c>
      <c r="BA226" t="str">
        <f t="shared" si="6"/>
        <v>Normal</v>
      </c>
      <c r="BG226" t="str">
        <f t="shared" si="7"/>
        <v>Normal</v>
      </c>
    </row>
    <row r="227" spans="1:59" x14ac:dyDescent="0.2">
      <c r="A227" t="s">
        <v>42</v>
      </c>
      <c r="B227" t="s">
        <v>43</v>
      </c>
      <c r="C227">
        <v>20210101</v>
      </c>
      <c r="D227">
        <v>2021</v>
      </c>
      <c r="E227">
        <v>52</v>
      </c>
      <c r="F227" t="s">
        <v>287</v>
      </c>
      <c r="G227">
        <v>218</v>
      </c>
      <c r="H227" t="s">
        <v>113</v>
      </c>
      <c r="I227" t="s">
        <v>114</v>
      </c>
      <c r="J227" t="s">
        <v>47</v>
      </c>
      <c r="K227" t="s">
        <v>48</v>
      </c>
      <c r="L227">
        <v>0</v>
      </c>
      <c r="M227" t="s">
        <v>49</v>
      </c>
      <c r="N227" t="s">
        <v>50</v>
      </c>
      <c r="O227">
        <v>0</v>
      </c>
      <c r="P227" t="s">
        <v>49</v>
      </c>
      <c r="Q227" t="s">
        <v>50</v>
      </c>
      <c r="R227" t="s">
        <v>51</v>
      </c>
      <c r="S227" t="s">
        <v>52</v>
      </c>
      <c r="T227" t="b">
        <v>1</v>
      </c>
      <c r="U227" t="s">
        <v>53</v>
      </c>
      <c r="V227" t="s">
        <v>54</v>
      </c>
      <c r="W227">
        <v>4</v>
      </c>
      <c r="X227" t="b">
        <v>0</v>
      </c>
      <c r="Y227" t="s">
        <v>55</v>
      </c>
      <c r="Z227" t="s">
        <v>56</v>
      </c>
      <c r="AA227" t="s">
        <v>57</v>
      </c>
      <c r="AB227">
        <v>0</v>
      </c>
      <c r="AC227" t="s">
        <v>58</v>
      </c>
      <c r="AD227">
        <v>8</v>
      </c>
      <c r="AE227" t="s">
        <v>59</v>
      </c>
      <c r="AF227">
        <v>16426097000</v>
      </c>
      <c r="AG227" t="b">
        <v>0</v>
      </c>
      <c r="AH227">
        <v>8</v>
      </c>
      <c r="AI227" t="s">
        <v>59</v>
      </c>
      <c r="AJ227">
        <v>16426097000</v>
      </c>
      <c r="AK227" t="b">
        <v>0</v>
      </c>
      <c r="AL227">
        <v>16426097000</v>
      </c>
      <c r="AM227" t="b">
        <v>0</v>
      </c>
      <c r="AN227">
        <v>0</v>
      </c>
      <c r="AO227" t="b">
        <v>0</v>
      </c>
      <c r="AP227">
        <v>0</v>
      </c>
      <c r="AQ227">
        <v>7278163134.71</v>
      </c>
      <c r="AR227">
        <v>7278163134.71</v>
      </c>
      <c r="AS227">
        <v>0</v>
      </c>
      <c r="AT227" t="b">
        <v>0</v>
      </c>
      <c r="AU227" t="b">
        <v>1</v>
      </c>
      <c r="BA227" t="str">
        <f t="shared" si="6"/>
        <v>Normal</v>
      </c>
      <c r="BG227" t="str">
        <f t="shared" si="7"/>
        <v>Normal</v>
      </c>
    </row>
    <row r="228" spans="1:59" x14ac:dyDescent="0.2">
      <c r="A228" t="s">
        <v>42</v>
      </c>
      <c r="B228" t="s">
        <v>43</v>
      </c>
      <c r="C228">
        <v>20210101</v>
      </c>
      <c r="D228">
        <v>2021</v>
      </c>
      <c r="E228">
        <v>52</v>
      </c>
      <c r="F228" t="s">
        <v>287</v>
      </c>
      <c r="G228">
        <v>233</v>
      </c>
      <c r="H228" t="s">
        <v>117</v>
      </c>
      <c r="I228" t="s">
        <v>118</v>
      </c>
      <c r="J228" t="s">
        <v>47</v>
      </c>
      <c r="K228" t="s">
        <v>48</v>
      </c>
      <c r="L228">
        <v>0</v>
      </c>
      <c r="M228" t="s">
        <v>49</v>
      </c>
      <c r="N228" t="s">
        <v>50</v>
      </c>
      <c r="O228">
        <v>0</v>
      </c>
      <c r="P228" t="s">
        <v>49</v>
      </c>
      <c r="Q228" t="s">
        <v>50</v>
      </c>
      <c r="R228" t="s">
        <v>51</v>
      </c>
      <c r="S228" t="s">
        <v>52</v>
      </c>
      <c r="T228" t="b">
        <v>1</v>
      </c>
      <c r="U228" t="s">
        <v>53</v>
      </c>
      <c r="V228" t="s">
        <v>54</v>
      </c>
      <c r="W228">
        <v>4</v>
      </c>
      <c r="X228" t="b">
        <v>0</v>
      </c>
      <c r="Y228" t="s">
        <v>55</v>
      </c>
      <c r="Z228" t="s">
        <v>56</v>
      </c>
      <c r="AA228" t="s">
        <v>57</v>
      </c>
      <c r="AB228">
        <v>0</v>
      </c>
      <c r="AC228" t="s">
        <v>58</v>
      </c>
      <c r="AD228">
        <v>8</v>
      </c>
      <c r="AE228" t="s">
        <v>59</v>
      </c>
      <c r="AF228">
        <v>46108893.439999998</v>
      </c>
      <c r="AG228" t="b">
        <v>0</v>
      </c>
      <c r="AH228">
        <v>8</v>
      </c>
      <c r="AI228" t="s">
        <v>59</v>
      </c>
      <c r="AJ228">
        <v>46108893.439999998</v>
      </c>
      <c r="AK228" t="b">
        <v>0</v>
      </c>
      <c r="AL228">
        <v>46108893.439999998</v>
      </c>
      <c r="AM228" t="b">
        <v>0</v>
      </c>
      <c r="AN228">
        <v>0</v>
      </c>
      <c r="AO228" t="b">
        <v>0</v>
      </c>
      <c r="AQ228">
        <v>19808826.190000001</v>
      </c>
      <c r="AR228">
        <v>19808826.190000001</v>
      </c>
      <c r="AS228">
        <v>0</v>
      </c>
      <c r="AT228" t="b">
        <v>0</v>
      </c>
      <c r="AU228" t="b">
        <v>1</v>
      </c>
      <c r="BA228" t="str">
        <f t="shared" si="6"/>
        <v>Normal</v>
      </c>
      <c r="BG228" t="str">
        <f t="shared" si="7"/>
        <v>Normal</v>
      </c>
    </row>
    <row r="229" spans="1:59" x14ac:dyDescent="0.2">
      <c r="A229" t="s">
        <v>42</v>
      </c>
      <c r="B229" t="s">
        <v>43</v>
      </c>
      <c r="C229">
        <v>20210101</v>
      </c>
      <c r="D229">
        <v>2021</v>
      </c>
      <c r="E229">
        <v>52</v>
      </c>
      <c r="F229" t="s">
        <v>287</v>
      </c>
      <c r="G229">
        <v>242</v>
      </c>
      <c r="H229" t="s">
        <v>119</v>
      </c>
      <c r="I229" t="s">
        <v>120</v>
      </c>
      <c r="J229" t="s">
        <v>47</v>
      </c>
      <c r="K229" t="s">
        <v>48</v>
      </c>
      <c r="L229">
        <v>0</v>
      </c>
      <c r="M229" t="s">
        <v>49</v>
      </c>
      <c r="N229" t="s">
        <v>50</v>
      </c>
      <c r="O229">
        <v>0</v>
      </c>
      <c r="P229" t="s">
        <v>49</v>
      </c>
      <c r="Q229" t="s">
        <v>50</v>
      </c>
      <c r="R229" t="s">
        <v>51</v>
      </c>
      <c r="S229" t="s">
        <v>52</v>
      </c>
      <c r="T229" t="b">
        <v>1</v>
      </c>
      <c r="U229" t="s">
        <v>53</v>
      </c>
      <c r="V229" t="s">
        <v>54</v>
      </c>
      <c r="W229">
        <v>4</v>
      </c>
      <c r="X229" t="b">
        <v>0</v>
      </c>
      <c r="Y229" t="s">
        <v>55</v>
      </c>
      <c r="Z229" t="s">
        <v>56</v>
      </c>
      <c r="AA229" t="s">
        <v>57</v>
      </c>
      <c r="AB229">
        <v>0</v>
      </c>
      <c r="AC229" t="s">
        <v>58</v>
      </c>
      <c r="AD229">
        <v>8</v>
      </c>
      <c r="AE229" t="s">
        <v>59</v>
      </c>
      <c r="AF229">
        <v>3019130.9539999999</v>
      </c>
      <c r="AG229" t="b">
        <v>1</v>
      </c>
      <c r="AH229">
        <v>-1</v>
      </c>
      <c r="AI229" t="s">
        <v>73</v>
      </c>
      <c r="AJ229">
        <v>0</v>
      </c>
      <c r="AK229" t="b">
        <v>0</v>
      </c>
      <c r="AL229">
        <v>3019130.9539999999</v>
      </c>
      <c r="AM229" t="b">
        <v>1</v>
      </c>
      <c r="AN229">
        <v>0</v>
      </c>
      <c r="AO229" t="b">
        <v>0</v>
      </c>
      <c r="AP229">
        <v>0</v>
      </c>
      <c r="AQ229">
        <v>2756713.5269999998</v>
      </c>
      <c r="AR229">
        <v>2756713.5269999998</v>
      </c>
      <c r="AS229">
        <v>6</v>
      </c>
      <c r="AT229" t="b">
        <v>0</v>
      </c>
      <c r="AU229" t="b">
        <v>1</v>
      </c>
      <c r="BA229" t="str">
        <f t="shared" si="6"/>
        <v>Normal</v>
      </c>
      <c r="BG229" t="str">
        <f t="shared" si="7"/>
        <v>Normal</v>
      </c>
    </row>
    <row r="230" spans="1:59" x14ac:dyDescent="0.2">
      <c r="A230" t="s">
        <v>42</v>
      </c>
      <c r="B230" t="s">
        <v>43</v>
      </c>
      <c r="C230">
        <v>20210101</v>
      </c>
      <c r="D230">
        <v>2021</v>
      </c>
      <c r="E230">
        <v>52</v>
      </c>
      <c r="F230" t="s">
        <v>287</v>
      </c>
      <c r="G230">
        <v>246</v>
      </c>
      <c r="H230" t="s">
        <v>121</v>
      </c>
      <c r="I230" t="s">
        <v>122</v>
      </c>
      <c r="J230" t="s">
        <v>47</v>
      </c>
      <c r="K230" t="s">
        <v>48</v>
      </c>
      <c r="L230">
        <v>0</v>
      </c>
      <c r="M230" t="s">
        <v>49</v>
      </c>
      <c r="N230" t="s">
        <v>50</v>
      </c>
      <c r="O230">
        <v>0</v>
      </c>
      <c r="P230" t="s">
        <v>49</v>
      </c>
      <c r="Q230" t="s">
        <v>50</v>
      </c>
      <c r="R230" t="s">
        <v>51</v>
      </c>
      <c r="S230" t="s">
        <v>52</v>
      </c>
      <c r="T230" t="b">
        <v>1</v>
      </c>
      <c r="U230" t="s">
        <v>53</v>
      </c>
      <c r="V230" t="s">
        <v>54</v>
      </c>
      <c r="W230">
        <v>4</v>
      </c>
      <c r="X230" t="b">
        <v>0</v>
      </c>
      <c r="Y230" t="s">
        <v>55</v>
      </c>
      <c r="Z230" t="s">
        <v>56</v>
      </c>
      <c r="AA230" t="s">
        <v>57</v>
      </c>
      <c r="AB230">
        <v>0</v>
      </c>
      <c r="AC230" t="s">
        <v>58</v>
      </c>
      <c r="AD230">
        <v>8</v>
      </c>
      <c r="AE230" t="s">
        <v>59</v>
      </c>
      <c r="AF230">
        <v>1340.325</v>
      </c>
      <c r="AG230" t="b">
        <v>1</v>
      </c>
      <c r="AH230">
        <v>-1</v>
      </c>
      <c r="AI230" t="s">
        <v>73</v>
      </c>
      <c r="AJ230">
        <v>0</v>
      </c>
      <c r="AK230" t="b">
        <v>0</v>
      </c>
      <c r="AL230">
        <v>1340.325</v>
      </c>
      <c r="AM230" t="b">
        <v>1</v>
      </c>
      <c r="AN230">
        <v>0</v>
      </c>
      <c r="AO230" t="b">
        <v>0</v>
      </c>
      <c r="AP230">
        <v>0</v>
      </c>
      <c r="AQ230">
        <v>684.80700000000002</v>
      </c>
      <c r="AR230">
        <v>684.80700000000002</v>
      </c>
      <c r="AS230">
        <v>6</v>
      </c>
      <c r="AT230" t="b">
        <v>0</v>
      </c>
      <c r="AU230" t="b">
        <v>1</v>
      </c>
      <c r="BA230" t="str">
        <f t="shared" si="6"/>
        <v>Normal</v>
      </c>
      <c r="BG230" t="str">
        <f t="shared" si="7"/>
        <v>Normal</v>
      </c>
    </row>
    <row r="231" spans="1:59" x14ac:dyDescent="0.2">
      <c r="A231" t="s">
        <v>42</v>
      </c>
      <c r="B231" t="s">
        <v>43</v>
      </c>
      <c r="C231">
        <v>20210101</v>
      </c>
      <c r="D231">
        <v>2021</v>
      </c>
      <c r="E231">
        <v>52</v>
      </c>
      <c r="F231" t="s">
        <v>287</v>
      </c>
      <c r="G231">
        <v>251</v>
      </c>
      <c r="H231" t="s">
        <v>123</v>
      </c>
      <c r="I231" t="s">
        <v>124</v>
      </c>
      <c r="J231" t="s">
        <v>47</v>
      </c>
      <c r="K231" t="s">
        <v>48</v>
      </c>
      <c r="L231">
        <v>0</v>
      </c>
      <c r="M231" t="s">
        <v>49</v>
      </c>
      <c r="N231" t="s">
        <v>50</v>
      </c>
      <c r="O231">
        <v>0</v>
      </c>
      <c r="P231" t="s">
        <v>49</v>
      </c>
      <c r="Q231" t="s">
        <v>50</v>
      </c>
      <c r="R231" t="s">
        <v>51</v>
      </c>
      <c r="S231" t="s">
        <v>52</v>
      </c>
      <c r="T231" t="b">
        <v>1</v>
      </c>
      <c r="U231" t="s">
        <v>53</v>
      </c>
      <c r="V231" t="s">
        <v>54</v>
      </c>
      <c r="W231">
        <v>4</v>
      </c>
      <c r="X231" t="b">
        <v>0</v>
      </c>
      <c r="Y231" t="s">
        <v>55</v>
      </c>
      <c r="Z231" t="s">
        <v>56</v>
      </c>
      <c r="AA231" t="s">
        <v>57</v>
      </c>
      <c r="AB231">
        <v>0</v>
      </c>
      <c r="AC231" t="s">
        <v>58</v>
      </c>
      <c r="AD231">
        <v>-1</v>
      </c>
      <c r="AE231" t="s">
        <v>73</v>
      </c>
      <c r="AF231">
        <v>0</v>
      </c>
      <c r="AG231" t="b">
        <v>0</v>
      </c>
      <c r="AH231">
        <v>-1</v>
      </c>
      <c r="AI231" t="s">
        <v>73</v>
      </c>
      <c r="AJ231">
        <v>0</v>
      </c>
      <c r="AK231" t="b">
        <v>0</v>
      </c>
      <c r="AM231" t="b">
        <v>0</v>
      </c>
      <c r="AN231">
        <v>0</v>
      </c>
      <c r="AO231" t="b">
        <v>0</v>
      </c>
      <c r="AQ231">
        <v>17666943.284000002</v>
      </c>
      <c r="AR231">
        <v>17666943.284000002</v>
      </c>
      <c r="AS231">
        <v>0</v>
      </c>
      <c r="AT231" t="b">
        <v>0</v>
      </c>
      <c r="AU231" t="b">
        <v>1</v>
      </c>
      <c r="BA231" t="str">
        <f t="shared" si="6"/>
        <v>Normal</v>
      </c>
      <c r="BG231" t="str">
        <f t="shared" si="7"/>
        <v>Normal</v>
      </c>
    </row>
    <row r="232" spans="1:59" x14ac:dyDescent="0.2">
      <c r="A232" t="s">
        <v>42</v>
      </c>
      <c r="B232" t="s">
        <v>43</v>
      </c>
      <c r="C232">
        <v>20210101</v>
      </c>
      <c r="D232">
        <v>2021</v>
      </c>
      <c r="E232">
        <v>52</v>
      </c>
      <c r="F232" t="s">
        <v>287</v>
      </c>
      <c r="G232">
        <v>266</v>
      </c>
      <c r="H232" t="s">
        <v>125</v>
      </c>
      <c r="I232" t="s">
        <v>126</v>
      </c>
      <c r="J232" t="s">
        <v>47</v>
      </c>
      <c r="K232" t="s">
        <v>48</v>
      </c>
      <c r="L232">
        <v>0</v>
      </c>
      <c r="M232" t="s">
        <v>49</v>
      </c>
      <c r="N232" t="s">
        <v>50</v>
      </c>
      <c r="O232">
        <v>0</v>
      </c>
      <c r="P232" t="s">
        <v>49</v>
      </c>
      <c r="Q232" t="s">
        <v>50</v>
      </c>
      <c r="R232" t="s">
        <v>51</v>
      </c>
      <c r="S232" t="s">
        <v>52</v>
      </c>
      <c r="T232" t="b">
        <v>1</v>
      </c>
      <c r="U232" t="s">
        <v>53</v>
      </c>
      <c r="V232" t="s">
        <v>54</v>
      </c>
      <c r="W232">
        <v>4</v>
      </c>
      <c r="X232" t="b">
        <v>0</v>
      </c>
      <c r="Y232" t="s">
        <v>55</v>
      </c>
      <c r="Z232" t="s">
        <v>56</v>
      </c>
      <c r="AA232" t="s">
        <v>57</v>
      </c>
      <c r="AB232">
        <v>0</v>
      </c>
      <c r="AC232" t="s">
        <v>58</v>
      </c>
      <c r="AD232">
        <v>8</v>
      </c>
      <c r="AE232" t="s">
        <v>59</v>
      </c>
      <c r="AF232">
        <v>8175534740</v>
      </c>
      <c r="AG232" t="b">
        <v>0</v>
      </c>
      <c r="AH232">
        <v>19</v>
      </c>
      <c r="AI232" t="s">
        <v>60</v>
      </c>
      <c r="AJ232">
        <v>1365293843</v>
      </c>
      <c r="AK232" t="b">
        <v>0</v>
      </c>
      <c r="AL232">
        <v>8175534740</v>
      </c>
      <c r="AM232" t="b">
        <v>0</v>
      </c>
      <c r="AN232">
        <v>0</v>
      </c>
      <c r="AO232" t="b">
        <v>0</v>
      </c>
      <c r="AQ232">
        <v>3932465184.5289998</v>
      </c>
      <c r="AR232">
        <v>3932465184.5289998</v>
      </c>
      <c r="AS232">
        <v>0</v>
      </c>
      <c r="AT232" t="b">
        <v>0</v>
      </c>
      <c r="AU232" t="b">
        <v>1</v>
      </c>
      <c r="BA232" t="str">
        <f t="shared" si="6"/>
        <v>Normal</v>
      </c>
      <c r="BG232" t="str">
        <f t="shared" si="7"/>
        <v>Normal</v>
      </c>
    </row>
    <row r="233" spans="1:59" x14ac:dyDescent="0.2">
      <c r="A233" t="s">
        <v>42</v>
      </c>
      <c r="B233" t="s">
        <v>43</v>
      </c>
      <c r="C233">
        <v>20210101</v>
      </c>
      <c r="D233">
        <v>2021</v>
      </c>
      <c r="E233">
        <v>52</v>
      </c>
      <c r="F233" t="s">
        <v>287</v>
      </c>
      <c r="G233">
        <v>276</v>
      </c>
      <c r="H233" t="s">
        <v>130</v>
      </c>
      <c r="I233" t="s">
        <v>131</v>
      </c>
      <c r="J233" t="s">
        <v>47</v>
      </c>
      <c r="K233" t="s">
        <v>48</v>
      </c>
      <c r="L233">
        <v>0</v>
      </c>
      <c r="M233" t="s">
        <v>49</v>
      </c>
      <c r="N233" t="s">
        <v>50</v>
      </c>
      <c r="O233">
        <v>0</v>
      </c>
      <c r="P233" t="s">
        <v>49</v>
      </c>
      <c r="Q233" t="s">
        <v>50</v>
      </c>
      <c r="R233" t="s">
        <v>51</v>
      </c>
      <c r="S233" t="s">
        <v>52</v>
      </c>
      <c r="T233" t="b">
        <v>1</v>
      </c>
      <c r="U233" t="s">
        <v>53</v>
      </c>
      <c r="V233" t="s">
        <v>54</v>
      </c>
      <c r="W233">
        <v>4</v>
      </c>
      <c r="X233" t="b">
        <v>0</v>
      </c>
      <c r="Y233" t="s">
        <v>55</v>
      </c>
      <c r="Z233" t="s">
        <v>56</v>
      </c>
      <c r="AA233" t="s">
        <v>57</v>
      </c>
      <c r="AB233">
        <v>0</v>
      </c>
      <c r="AC233" t="s">
        <v>58</v>
      </c>
      <c r="AD233">
        <v>8</v>
      </c>
      <c r="AE233" t="s">
        <v>59</v>
      </c>
      <c r="AF233">
        <v>541418242.579</v>
      </c>
      <c r="AG233" t="b">
        <v>1</v>
      </c>
      <c r="AH233">
        <v>-1</v>
      </c>
      <c r="AI233" t="s">
        <v>73</v>
      </c>
      <c r="AJ233">
        <v>0</v>
      </c>
      <c r="AK233" t="b">
        <v>0</v>
      </c>
      <c r="AL233">
        <v>541418242.579</v>
      </c>
      <c r="AM233" t="b">
        <v>1</v>
      </c>
      <c r="AN233">
        <v>0</v>
      </c>
      <c r="AO233" t="b">
        <v>0</v>
      </c>
      <c r="AP233">
        <v>0</v>
      </c>
      <c r="AQ233">
        <v>291531811.72899997</v>
      </c>
      <c r="AR233">
        <v>291531811.72899997</v>
      </c>
      <c r="AS233">
        <v>6</v>
      </c>
      <c r="AT233" t="b">
        <v>0</v>
      </c>
      <c r="AU233" t="b">
        <v>1</v>
      </c>
      <c r="BA233" t="str">
        <f t="shared" si="6"/>
        <v>Normal</v>
      </c>
      <c r="BG233" t="str">
        <f t="shared" si="7"/>
        <v>Normal</v>
      </c>
    </row>
    <row r="234" spans="1:59" x14ac:dyDescent="0.2">
      <c r="A234" t="s">
        <v>42</v>
      </c>
      <c r="B234" t="s">
        <v>43</v>
      </c>
      <c r="C234">
        <v>20210101</v>
      </c>
      <c r="D234">
        <v>2021</v>
      </c>
      <c r="E234">
        <v>52</v>
      </c>
      <c r="F234" t="s">
        <v>287</v>
      </c>
      <c r="G234">
        <v>288</v>
      </c>
      <c r="H234" t="s">
        <v>132</v>
      </c>
      <c r="I234" t="s">
        <v>133</v>
      </c>
      <c r="J234" t="s">
        <v>47</v>
      </c>
      <c r="K234" t="s">
        <v>48</v>
      </c>
      <c r="L234">
        <v>0</v>
      </c>
      <c r="M234" t="s">
        <v>49</v>
      </c>
      <c r="N234" t="s">
        <v>50</v>
      </c>
      <c r="O234">
        <v>0</v>
      </c>
      <c r="P234" t="s">
        <v>49</v>
      </c>
      <c r="Q234" t="s">
        <v>50</v>
      </c>
      <c r="R234" t="s">
        <v>51</v>
      </c>
      <c r="S234" t="s">
        <v>52</v>
      </c>
      <c r="T234" t="b">
        <v>1</v>
      </c>
      <c r="U234" t="s">
        <v>53</v>
      </c>
      <c r="V234" t="s">
        <v>54</v>
      </c>
      <c r="W234">
        <v>4</v>
      </c>
      <c r="X234" t="b">
        <v>0</v>
      </c>
      <c r="Y234" t="s">
        <v>55</v>
      </c>
      <c r="Z234" t="s">
        <v>56</v>
      </c>
      <c r="AA234" t="s">
        <v>57</v>
      </c>
      <c r="AB234">
        <v>0</v>
      </c>
      <c r="AC234" t="s">
        <v>58</v>
      </c>
      <c r="AD234">
        <v>8</v>
      </c>
      <c r="AE234" t="s">
        <v>59</v>
      </c>
      <c r="AF234">
        <v>7355362080</v>
      </c>
      <c r="AG234" t="b">
        <v>0</v>
      </c>
      <c r="AH234">
        <v>8</v>
      </c>
      <c r="AI234" t="s">
        <v>59</v>
      </c>
      <c r="AJ234">
        <v>7355362006</v>
      </c>
      <c r="AK234" t="b">
        <v>0</v>
      </c>
      <c r="AL234">
        <v>7355362086</v>
      </c>
      <c r="AM234" t="b">
        <v>0</v>
      </c>
      <c r="AN234">
        <v>0</v>
      </c>
      <c r="AO234" t="b">
        <v>0</v>
      </c>
      <c r="AQ234">
        <v>3772892183.5359998</v>
      </c>
      <c r="AR234">
        <v>3772892183.5359998</v>
      </c>
      <c r="AS234">
        <v>0</v>
      </c>
      <c r="AT234" t="b">
        <v>0</v>
      </c>
      <c r="AU234" t="b">
        <v>1</v>
      </c>
      <c r="BA234" t="str">
        <f t="shared" si="6"/>
        <v>Normal</v>
      </c>
      <c r="BG234" t="str">
        <f t="shared" si="7"/>
        <v>Normal</v>
      </c>
    </row>
    <row r="235" spans="1:59" x14ac:dyDescent="0.2">
      <c r="A235" t="s">
        <v>42</v>
      </c>
      <c r="B235" t="s">
        <v>43</v>
      </c>
      <c r="C235">
        <v>20210101</v>
      </c>
      <c r="D235">
        <v>2021</v>
      </c>
      <c r="E235">
        <v>52</v>
      </c>
      <c r="F235" t="s">
        <v>287</v>
      </c>
      <c r="G235">
        <v>300</v>
      </c>
      <c r="H235" t="s">
        <v>134</v>
      </c>
      <c r="I235" t="s">
        <v>135</v>
      </c>
      <c r="J235" t="s">
        <v>47</v>
      </c>
      <c r="K235" t="s">
        <v>48</v>
      </c>
      <c r="L235">
        <v>0</v>
      </c>
      <c r="M235" t="s">
        <v>49</v>
      </c>
      <c r="N235" t="s">
        <v>50</v>
      </c>
      <c r="O235">
        <v>0</v>
      </c>
      <c r="P235" t="s">
        <v>49</v>
      </c>
      <c r="Q235" t="s">
        <v>50</v>
      </c>
      <c r="R235" t="s">
        <v>51</v>
      </c>
      <c r="S235" t="s">
        <v>52</v>
      </c>
      <c r="T235" t="b">
        <v>1</v>
      </c>
      <c r="U235" t="s">
        <v>53</v>
      </c>
      <c r="V235" t="s">
        <v>54</v>
      </c>
      <c r="W235">
        <v>4</v>
      </c>
      <c r="X235" t="b">
        <v>0</v>
      </c>
      <c r="Y235" t="s">
        <v>55</v>
      </c>
      <c r="Z235" t="s">
        <v>56</v>
      </c>
      <c r="AA235" t="s">
        <v>57</v>
      </c>
      <c r="AB235">
        <v>0</v>
      </c>
      <c r="AC235" t="s">
        <v>58</v>
      </c>
      <c r="AD235">
        <v>8</v>
      </c>
      <c r="AE235" t="s">
        <v>59</v>
      </c>
      <c r="AF235">
        <v>56132512</v>
      </c>
      <c r="AG235" t="b">
        <v>0</v>
      </c>
      <c r="AH235">
        <v>8</v>
      </c>
      <c r="AI235" t="s">
        <v>59</v>
      </c>
      <c r="AJ235">
        <v>56132512</v>
      </c>
      <c r="AK235" t="b">
        <v>0</v>
      </c>
      <c r="AL235">
        <v>56132512</v>
      </c>
      <c r="AM235" t="b">
        <v>0</v>
      </c>
      <c r="AN235">
        <v>0</v>
      </c>
      <c r="AO235" t="b">
        <v>0</v>
      </c>
      <c r="AP235">
        <v>0</v>
      </c>
      <c r="AQ235">
        <v>24030497.745999999</v>
      </c>
      <c r="AR235">
        <v>24030497.745999999</v>
      </c>
      <c r="AS235">
        <v>0</v>
      </c>
      <c r="AT235" t="b">
        <v>0</v>
      </c>
      <c r="AU235" t="b">
        <v>1</v>
      </c>
      <c r="BA235" t="str">
        <f t="shared" si="6"/>
        <v>Normal</v>
      </c>
      <c r="BG235" t="str">
        <f t="shared" si="7"/>
        <v>Normal</v>
      </c>
    </row>
    <row r="236" spans="1:59" x14ac:dyDescent="0.2">
      <c r="A236" t="s">
        <v>42</v>
      </c>
      <c r="B236" t="s">
        <v>43</v>
      </c>
      <c r="C236">
        <v>20210101</v>
      </c>
      <c r="D236">
        <v>2021</v>
      </c>
      <c r="E236">
        <v>52</v>
      </c>
      <c r="F236" t="s">
        <v>287</v>
      </c>
      <c r="G236">
        <v>320</v>
      </c>
      <c r="H236" t="s">
        <v>136</v>
      </c>
      <c r="I236" t="s">
        <v>137</v>
      </c>
      <c r="J236" t="s">
        <v>47</v>
      </c>
      <c r="K236" t="s">
        <v>48</v>
      </c>
      <c r="L236">
        <v>0</v>
      </c>
      <c r="M236" t="s">
        <v>49</v>
      </c>
      <c r="N236" t="s">
        <v>50</v>
      </c>
      <c r="O236">
        <v>0</v>
      </c>
      <c r="P236" t="s">
        <v>49</v>
      </c>
      <c r="Q236" t="s">
        <v>50</v>
      </c>
      <c r="R236" t="s">
        <v>51</v>
      </c>
      <c r="S236" t="s">
        <v>52</v>
      </c>
      <c r="T236" t="b">
        <v>1</v>
      </c>
      <c r="U236" t="s">
        <v>53</v>
      </c>
      <c r="V236" t="s">
        <v>54</v>
      </c>
      <c r="W236">
        <v>4</v>
      </c>
      <c r="X236" t="b">
        <v>0</v>
      </c>
      <c r="Y236" t="s">
        <v>55</v>
      </c>
      <c r="Z236" t="s">
        <v>56</v>
      </c>
      <c r="AA236" t="s">
        <v>57</v>
      </c>
      <c r="AB236">
        <v>0</v>
      </c>
      <c r="AC236" t="s">
        <v>58</v>
      </c>
      <c r="AD236">
        <v>8</v>
      </c>
      <c r="AE236" t="s">
        <v>59</v>
      </c>
      <c r="AF236">
        <v>175098000</v>
      </c>
      <c r="AG236" t="b">
        <v>0</v>
      </c>
      <c r="AH236">
        <v>8</v>
      </c>
      <c r="AI236" t="s">
        <v>59</v>
      </c>
      <c r="AJ236">
        <v>175098000</v>
      </c>
      <c r="AK236" t="b">
        <v>0</v>
      </c>
      <c r="AL236">
        <v>175098000</v>
      </c>
      <c r="AM236" t="b">
        <v>0</v>
      </c>
      <c r="AN236">
        <v>0</v>
      </c>
      <c r="AO236" t="b">
        <v>0</v>
      </c>
      <c r="AP236">
        <v>0</v>
      </c>
      <c r="AQ236">
        <v>75408060</v>
      </c>
      <c r="AR236">
        <v>75408060</v>
      </c>
      <c r="AS236">
        <v>0</v>
      </c>
      <c r="AT236" t="b">
        <v>0</v>
      </c>
      <c r="AU236" t="b">
        <v>1</v>
      </c>
      <c r="BA236" t="str">
        <f t="shared" si="6"/>
        <v>Normal</v>
      </c>
      <c r="BG236" t="str">
        <f t="shared" si="7"/>
        <v>Normal</v>
      </c>
    </row>
    <row r="237" spans="1:59" x14ac:dyDescent="0.2">
      <c r="A237" t="s">
        <v>42</v>
      </c>
      <c r="B237" t="s">
        <v>43</v>
      </c>
      <c r="C237">
        <v>20210101</v>
      </c>
      <c r="D237">
        <v>2021</v>
      </c>
      <c r="E237">
        <v>52</v>
      </c>
      <c r="F237" t="s">
        <v>287</v>
      </c>
      <c r="G237">
        <v>328</v>
      </c>
      <c r="H237" t="s">
        <v>276</v>
      </c>
      <c r="I237" t="s">
        <v>277</v>
      </c>
      <c r="J237" t="s">
        <v>47</v>
      </c>
      <c r="K237" t="s">
        <v>48</v>
      </c>
      <c r="L237">
        <v>0</v>
      </c>
      <c r="M237" t="s">
        <v>49</v>
      </c>
      <c r="N237" t="s">
        <v>50</v>
      </c>
      <c r="O237">
        <v>0</v>
      </c>
      <c r="P237" t="s">
        <v>49</v>
      </c>
      <c r="Q237" t="s">
        <v>50</v>
      </c>
      <c r="R237" t="s">
        <v>51</v>
      </c>
      <c r="S237" t="s">
        <v>52</v>
      </c>
      <c r="T237" t="b">
        <v>1</v>
      </c>
      <c r="U237" t="s">
        <v>53</v>
      </c>
      <c r="V237" t="s">
        <v>54</v>
      </c>
      <c r="W237">
        <v>4</v>
      </c>
      <c r="X237" t="b">
        <v>0</v>
      </c>
      <c r="Y237" t="s">
        <v>55</v>
      </c>
      <c r="Z237" t="s">
        <v>56</v>
      </c>
      <c r="AA237" t="s">
        <v>57</v>
      </c>
      <c r="AB237">
        <v>0</v>
      </c>
      <c r="AC237" t="s">
        <v>58</v>
      </c>
      <c r="AD237">
        <v>8</v>
      </c>
      <c r="AE237" t="s">
        <v>59</v>
      </c>
      <c r="AF237">
        <v>13211834250</v>
      </c>
      <c r="AG237" t="b">
        <v>0</v>
      </c>
      <c r="AH237">
        <v>8</v>
      </c>
      <c r="AI237" t="s">
        <v>59</v>
      </c>
      <c r="AJ237">
        <v>13211834250</v>
      </c>
      <c r="AK237" t="b">
        <v>0</v>
      </c>
      <c r="AL237">
        <v>13211834250</v>
      </c>
      <c r="AM237" t="b">
        <v>0</v>
      </c>
      <c r="AN237">
        <v>0</v>
      </c>
      <c r="AO237" t="b">
        <v>0</v>
      </c>
      <c r="AQ237">
        <v>5950932070.4840002</v>
      </c>
      <c r="AR237">
        <v>5950932070.4840002</v>
      </c>
      <c r="AS237">
        <v>0</v>
      </c>
      <c r="AT237" t="b">
        <v>0</v>
      </c>
      <c r="AU237" t="b">
        <v>1</v>
      </c>
      <c r="BA237" t="str">
        <f t="shared" si="6"/>
        <v>Normal</v>
      </c>
      <c r="BG237" t="str">
        <f t="shared" si="7"/>
        <v>Normal</v>
      </c>
    </row>
    <row r="238" spans="1:59" x14ac:dyDescent="0.2">
      <c r="A238" t="s">
        <v>42</v>
      </c>
      <c r="B238" t="s">
        <v>43</v>
      </c>
      <c r="C238">
        <v>20210101</v>
      </c>
      <c r="D238">
        <v>2021</v>
      </c>
      <c r="E238">
        <v>52</v>
      </c>
      <c r="F238" t="s">
        <v>287</v>
      </c>
      <c r="G238">
        <v>348</v>
      </c>
      <c r="H238" t="s">
        <v>138</v>
      </c>
      <c r="I238" t="s">
        <v>139</v>
      </c>
      <c r="J238" t="s">
        <v>47</v>
      </c>
      <c r="K238" t="s">
        <v>48</v>
      </c>
      <c r="L238">
        <v>0</v>
      </c>
      <c r="M238" t="s">
        <v>49</v>
      </c>
      <c r="N238" t="s">
        <v>50</v>
      </c>
      <c r="O238">
        <v>0</v>
      </c>
      <c r="P238" t="s">
        <v>49</v>
      </c>
      <c r="Q238" t="s">
        <v>50</v>
      </c>
      <c r="R238" t="s">
        <v>51</v>
      </c>
      <c r="S238" t="s">
        <v>52</v>
      </c>
      <c r="T238" t="b">
        <v>1</v>
      </c>
      <c r="U238" t="s">
        <v>53</v>
      </c>
      <c r="V238" t="s">
        <v>54</v>
      </c>
      <c r="W238">
        <v>4</v>
      </c>
      <c r="X238" t="b">
        <v>0</v>
      </c>
      <c r="Y238" t="s">
        <v>55</v>
      </c>
      <c r="Z238" t="s">
        <v>56</v>
      </c>
      <c r="AA238" t="s">
        <v>57</v>
      </c>
      <c r="AB238">
        <v>0</v>
      </c>
      <c r="AC238" t="s">
        <v>58</v>
      </c>
      <c r="AD238">
        <v>8</v>
      </c>
      <c r="AE238" t="s">
        <v>59</v>
      </c>
      <c r="AF238">
        <v>306828337</v>
      </c>
      <c r="AG238" t="b">
        <v>0</v>
      </c>
      <c r="AH238">
        <v>8</v>
      </c>
      <c r="AI238" t="s">
        <v>59</v>
      </c>
      <c r="AJ238">
        <v>306828337</v>
      </c>
      <c r="AK238" t="b">
        <v>0</v>
      </c>
      <c r="AL238">
        <v>306828337</v>
      </c>
      <c r="AM238" t="b">
        <v>0</v>
      </c>
      <c r="AN238">
        <v>0</v>
      </c>
      <c r="AO238" t="b">
        <v>0</v>
      </c>
      <c r="AP238">
        <v>0</v>
      </c>
      <c r="AQ238">
        <v>170378481</v>
      </c>
      <c r="AR238">
        <v>170378481</v>
      </c>
      <c r="AS238">
        <v>0</v>
      </c>
      <c r="AT238" t="b">
        <v>0</v>
      </c>
      <c r="AU238" t="b">
        <v>1</v>
      </c>
      <c r="BA238" t="str">
        <f t="shared" si="6"/>
        <v>Normal</v>
      </c>
      <c r="BG238" t="str">
        <f t="shared" si="7"/>
        <v>Normal</v>
      </c>
    </row>
    <row r="239" spans="1:59" x14ac:dyDescent="0.2">
      <c r="A239" t="s">
        <v>42</v>
      </c>
      <c r="B239" t="s">
        <v>43</v>
      </c>
      <c r="C239">
        <v>20210101</v>
      </c>
      <c r="D239">
        <v>2021</v>
      </c>
      <c r="E239">
        <v>52</v>
      </c>
      <c r="F239" t="s">
        <v>287</v>
      </c>
      <c r="G239">
        <v>360</v>
      </c>
      <c r="H239" t="s">
        <v>140</v>
      </c>
      <c r="I239" t="s">
        <v>141</v>
      </c>
      <c r="J239" t="s">
        <v>47</v>
      </c>
      <c r="K239" t="s">
        <v>48</v>
      </c>
      <c r="L239">
        <v>0</v>
      </c>
      <c r="M239" t="s">
        <v>49</v>
      </c>
      <c r="N239" t="s">
        <v>50</v>
      </c>
      <c r="O239">
        <v>0</v>
      </c>
      <c r="P239" t="s">
        <v>49</v>
      </c>
      <c r="Q239" t="s">
        <v>50</v>
      </c>
      <c r="R239" t="s">
        <v>51</v>
      </c>
      <c r="S239" t="s">
        <v>52</v>
      </c>
      <c r="T239" t="b">
        <v>1</v>
      </c>
      <c r="U239" t="s">
        <v>53</v>
      </c>
      <c r="V239" t="s">
        <v>54</v>
      </c>
      <c r="W239">
        <v>4</v>
      </c>
      <c r="X239" t="b">
        <v>0</v>
      </c>
      <c r="Y239" t="s">
        <v>55</v>
      </c>
      <c r="Z239" t="s">
        <v>56</v>
      </c>
      <c r="AA239" t="s">
        <v>57</v>
      </c>
      <c r="AB239">
        <v>0</v>
      </c>
      <c r="AC239" t="s">
        <v>58</v>
      </c>
      <c r="AD239">
        <v>8</v>
      </c>
      <c r="AE239" t="s">
        <v>59</v>
      </c>
      <c r="AF239">
        <v>6016740304</v>
      </c>
      <c r="AG239" t="b">
        <v>0</v>
      </c>
      <c r="AH239">
        <v>8</v>
      </c>
      <c r="AI239" t="s">
        <v>59</v>
      </c>
      <c r="AJ239">
        <v>6016740304</v>
      </c>
      <c r="AK239" t="b">
        <v>0</v>
      </c>
      <c r="AL239">
        <v>6016740304</v>
      </c>
      <c r="AM239" t="b">
        <v>0</v>
      </c>
      <c r="AN239">
        <v>0</v>
      </c>
      <c r="AO239" t="b">
        <v>0</v>
      </c>
      <c r="AQ239">
        <v>2795919222.375</v>
      </c>
      <c r="AR239">
        <v>2795919222.375</v>
      </c>
      <c r="AS239">
        <v>0</v>
      </c>
      <c r="AT239" t="b">
        <v>0</v>
      </c>
      <c r="AU239" t="b">
        <v>1</v>
      </c>
      <c r="BA239" t="str">
        <f t="shared" si="6"/>
        <v>Normal</v>
      </c>
      <c r="BG239" t="str">
        <f t="shared" si="7"/>
        <v>Normal</v>
      </c>
    </row>
    <row r="240" spans="1:59" x14ac:dyDescent="0.2">
      <c r="A240" t="s">
        <v>42</v>
      </c>
      <c r="B240" t="s">
        <v>43</v>
      </c>
      <c r="C240">
        <v>20210101</v>
      </c>
      <c r="D240">
        <v>2021</v>
      </c>
      <c r="E240">
        <v>52</v>
      </c>
      <c r="F240" t="s">
        <v>287</v>
      </c>
      <c r="G240">
        <v>364</v>
      </c>
      <c r="H240" t="s">
        <v>142</v>
      </c>
      <c r="I240" t="s">
        <v>143</v>
      </c>
      <c r="J240" t="s">
        <v>47</v>
      </c>
      <c r="K240" t="s">
        <v>48</v>
      </c>
      <c r="L240">
        <v>0</v>
      </c>
      <c r="M240" t="s">
        <v>49</v>
      </c>
      <c r="N240" t="s">
        <v>50</v>
      </c>
      <c r="O240">
        <v>0</v>
      </c>
      <c r="P240" t="s">
        <v>49</v>
      </c>
      <c r="Q240" t="s">
        <v>50</v>
      </c>
      <c r="R240" t="s">
        <v>51</v>
      </c>
      <c r="S240" t="s">
        <v>52</v>
      </c>
      <c r="T240" t="b">
        <v>1</v>
      </c>
      <c r="U240" t="s">
        <v>53</v>
      </c>
      <c r="V240" t="s">
        <v>54</v>
      </c>
      <c r="W240">
        <v>4</v>
      </c>
      <c r="X240" t="b">
        <v>0</v>
      </c>
      <c r="Y240" t="s">
        <v>55</v>
      </c>
      <c r="Z240" t="s">
        <v>56</v>
      </c>
      <c r="AA240" t="s">
        <v>57</v>
      </c>
      <c r="AB240">
        <v>0</v>
      </c>
      <c r="AC240" t="s">
        <v>58</v>
      </c>
      <c r="AD240">
        <v>-1</v>
      </c>
      <c r="AE240" t="s">
        <v>73</v>
      </c>
      <c r="AF240">
        <v>0</v>
      </c>
      <c r="AG240" t="b">
        <v>0</v>
      </c>
      <c r="AH240">
        <v>-1</v>
      </c>
      <c r="AI240" t="s">
        <v>73</v>
      </c>
      <c r="AJ240">
        <v>0</v>
      </c>
      <c r="AK240" t="b">
        <v>0</v>
      </c>
      <c r="AM240" t="b">
        <v>0</v>
      </c>
      <c r="AN240">
        <v>0</v>
      </c>
      <c r="AO240" t="b">
        <v>0</v>
      </c>
      <c r="AQ240">
        <v>19069411299.41</v>
      </c>
      <c r="AR240">
        <v>19069411299.41</v>
      </c>
      <c r="AS240">
        <v>0</v>
      </c>
      <c r="AT240" t="b">
        <v>0</v>
      </c>
      <c r="AU240" t="b">
        <v>1</v>
      </c>
      <c r="BA240" t="str">
        <f t="shared" si="6"/>
        <v>Normal</v>
      </c>
      <c r="BG240" t="str">
        <f t="shared" si="7"/>
        <v>Normal</v>
      </c>
    </row>
    <row r="241" spans="1:59" x14ac:dyDescent="0.2">
      <c r="A241" t="s">
        <v>42</v>
      </c>
      <c r="B241" t="s">
        <v>43</v>
      </c>
      <c r="C241">
        <v>20210101</v>
      </c>
      <c r="D241">
        <v>2021</v>
      </c>
      <c r="E241">
        <v>52</v>
      </c>
      <c r="F241" t="s">
        <v>287</v>
      </c>
      <c r="G241">
        <v>372</v>
      </c>
      <c r="H241" t="s">
        <v>144</v>
      </c>
      <c r="I241" t="s">
        <v>145</v>
      </c>
      <c r="J241" t="s">
        <v>47</v>
      </c>
      <c r="K241" t="s">
        <v>48</v>
      </c>
      <c r="L241">
        <v>0</v>
      </c>
      <c r="M241" t="s">
        <v>49</v>
      </c>
      <c r="N241" t="s">
        <v>50</v>
      </c>
      <c r="O241">
        <v>0</v>
      </c>
      <c r="P241" t="s">
        <v>49</v>
      </c>
      <c r="Q241" t="s">
        <v>50</v>
      </c>
      <c r="R241" t="s">
        <v>51</v>
      </c>
      <c r="S241" t="s">
        <v>52</v>
      </c>
      <c r="T241" t="b">
        <v>1</v>
      </c>
      <c r="U241" t="s">
        <v>53</v>
      </c>
      <c r="V241" t="s">
        <v>54</v>
      </c>
      <c r="W241">
        <v>4</v>
      </c>
      <c r="X241" t="b">
        <v>0</v>
      </c>
      <c r="Y241" t="s">
        <v>55</v>
      </c>
      <c r="Z241" t="s">
        <v>56</v>
      </c>
      <c r="AA241" t="s">
        <v>57</v>
      </c>
      <c r="AB241">
        <v>0</v>
      </c>
      <c r="AC241" t="s">
        <v>58</v>
      </c>
      <c r="AD241">
        <v>8</v>
      </c>
      <c r="AE241" t="s">
        <v>59</v>
      </c>
      <c r="AF241">
        <v>123903596</v>
      </c>
      <c r="AG241" t="b">
        <v>0</v>
      </c>
      <c r="AH241">
        <v>8</v>
      </c>
      <c r="AI241" t="s">
        <v>59</v>
      </c>
      <c r="AJ241">
        <v>123903596</v>
      </c>
      <c r="AK241" t="b">
        <v>0</v>
      </c>
      <c r="AL241">
        <v>123903596</v>
      </c>
      <c r="AM241" t="b">
        <v>0</v>
      </c>
      <c r="AN241">
        <v>0</v>
      </c>
      <c r="AO241" t="b">
        <v>0</v>
      </c>
      <c r="AQ241">
        <v>56220122.424000002</v>
      </c>
      <c r="AR241">
        <v>56220122.424000002</v>
      </c>
      <c r="AS241">
        <v>0</v>
      </c>
      <c r="AT241" t="b">
        <v>0</v>
      </c>
      <c r="AU241" t="b">
        <v>1</v>
      </c>
      <c r="BA241" t="str">
        <f t="shared" si="6"/>
        <v>Normal</v>
      </c>
      <c r="BG241" t="str">
        <f t="shared" si="7"/>
        <v>Normal</v>
      </c>
    </row>
    <row r="242" spans="1:59" x14ac:dyDescent="0.2">
      <c r="A242" t="s">
        <v>42</v>
      </c>
      <c r="B242" t="s">
        <v>43</v>
      </c>
      <c r="C242">
        <v>20210101</v>
      </c>
      <c r="D242">
        <v>2021</v>
      </c>
      <c r="E242">
        <v>52</v>
      </c>
      <c r="F242" t="s">
        <v>287</v>
      </c>
      <c r="G242">
        <v>380</v>
      </c>
      <c r="H242" t="s">
        <v>148</v>
      </c>
      <c r="I242" t="s">
        <v>149</v>
      </c>
      <c r="J242" t="s">
        <v>47</v>
      </c>
      <c r="K242" t="s">
        <v>48</v>
      </c>
      <c r="L242">
        <v>0</v>
      </c>
      <c r="M242" t="s">
        <v>49</v>
      </c>
      <c r="N242" t="s">
        <v>50</v>
      </c>
      <c r="O242">
        <v>0</v>
      </c>
      <c r="P242" t="s">
        <v>49</v>
      </c>
      <c r="Q242" t="s">
        <v>50</v>
      </c>
      <c r="R242" t="s">
        <v>51</v>
      </c>
      <c r="S242" t="s">
        <v>52</v>
      </c>
      <c r="T242" t="b">
        <v>1</v>
      </c>
      <c r="U242" t="s">
        <v>53</v>
      </c>
      <c r="V242" t="s">
        <v>54</v>
      </c>
      <c r="W242">
        <v>4</v>
      </c>
      <c r="X242" t="b">
        <v>0</v>
      </c>
      <c r="Y242" t="s">
        <v>55</v>
      </c>
      <c r="Z242" t="s">
        <v>56</v>
      </c>
      <c r="AA242" t="s">
        <v>57</v>
      </c>
      <c r="AB242">
        <v>0</v>
      </c>
      <c r="AC242" t="s">
        <v>58</v>
      </c>
      <c r="AD242">
        <v>8</v>
      </c>
      <c r="AE242" t="s">
        <v>59</v>
      </c>
      <c r="AF242">
        <v>1212893333</v>
      </c>
      <c r="AG242" t="b">
        <v>0</v>
      </c>
      <c r="AH242">
        <v>8</v>
      </c>
      <c r="AI242" t="s">
        <v>59</v>
      </c>
      <c r="AJ242">
        <v>1212893333</v>
      </c>
      <c r="AK242" t="b">
        <v>0</v>
      </c>
      <c r="AL242">
        <v>1212893333</v>
      </c>
      <c r="AM242" t="b">
        <v>0</v>
      </c>
      <c r="AN242">
        <v>0</v>
      </c>
      <c r="AO242" t="b">
        <v>0</v>
      </c>
      <c r="AQ242">
        <v>464642688.69999999</v>
      </c>
      <c r="AR242">
        <v>464642688.69999999</v>
      </c>
      <c r="AS242">
        <v>0</v>
      </c>
      <c r="AT242" t="b">
        <v>0</v>
      </c>
      <c r="AU242" t="b">
        <v>1</v>
      </c>
      <c r="BA242" t="str">
        <f t="shared" si="6"/>
        <v>Normal</v>
      </c>
      <c r="BG242" t="str">
        <f t="shared" si="7"/>
        <v>Normal</v>
      </c>
    </row>
    <row r="243" spans="1:59" x14ac:dyDescent="0.2">
      <c r="A243" t="s">
        <v>42</v>
      </c>
      <c r="B243" t="s">
        <v>43</v>
      </c>
      <c r="C243">
        <v>20210101</v>
      </c>
      <c r="D243">
        <v>2021</v>
      </c>
      <c r="E243">
        <v>52</v>
      </c>
      <c r="F243" t="s">
        <v>287</v>
      </c>
      <c r="G243">
        <v>384</v>
      </c>
      <c r="H243" t="s">
        <v>150</v>
      </c>
      <c r="I243" t="s">
        <v>151</v>
      </c>
      <c r="J243" t="s">
        <v>47</v>
      </c>
      <c r="K243" t="s">
        <v>48</v>
      </c>
      <c r="L243">
        <v>0</v>
      </c>
      <c r="M243" t="s">
        <v>49</v>
      </c>
      <c r="N243" t="s">
        <v>50</v>
      </c>
      <c r="O243">
        <v>0</v>
      </c>
      <c r="P243" t="s">
        <v>49</v>
      </c>
      <c r="Q243" t="s">
        <v>50</v>
      </c>
      <c r="R243" t="s">
        <v>51</v>
      </c>
      <c r="S243" t="s">
        <v>52</v>
      </c>
      <c r="T243" t="b">
        <v>1</v>
      </c>
      <c r="U243" t="s">
        <v>53</v>
      </c>
      <c r="V243" t="s">
        <v>54</v>
      </c>
      <c r="W243">
        <v>4</v>
      </c>
      <c r="X243" t="b">
        <v>0</v>
      </c>
      <c r="Y243" t="s">
        <v>55</v>
      </c>
      <c r="Z243" t="s">
        <v>56</v>
      </c>
      <c r="AA243" t="s">
        <v>57</v>
      </c>
      <c r="AB243">
        <v>0</v>
      </c>
      <c r="AC243" t="s">
        <v>58</v>
      </c>
      <c r="AD243">
        <v>-1</v>
      </c>
      <c r="AE243" t="s">
        <v>73</v>
      </c>
      <c r="AF243">
        <v>0</v>
      </c>
      <c r="AG243" t="b">
        <v>0</v>
      </c>
      <c r="AH243">
        <v>-1</v>
      </c>
      <c r="AI243" t="s">
        <v>73</v>
      </c>
      <c r="AJ243">
        <v>0</v>
      </c>
      <c r="AK243" t="b">
        <v>0</v>
      </c>
      <c r="AM243" t="b">
        <v>0</v>
      </c>
      <c r="AN243">
        <v>0</v>
      </c>
      <c r="AO243" t="b">
        <v>0</v>
      </c>
      <c r="AQ243">
        <v>570017991.09000003</v>
      </c>
      <c r="AR243">
        <v>570017991.09000003</v>
      </c>
      <c r="AS243">
        <v>0</v>
      </c>
      <c r="AT243" t="b">
        <v>0</v>
      </c>
      <c r="AU243" t="b">
        <v>1</v>
      </c>
      <c r="BA243" t="str">
        <f t="shared" si="6"/>
        <v>Normal</v>
      </c>
      <c r="BG243" t="str">
        <f t="shared" si="7"/>
        <v>Normal</v>
      </c>
    </row>
    <row r="244" spans="1:59" x14ac:dyDescent="0.2">
      <c r="A244" t="s">
        <v>42</v>
      </c>
      <c r="B244" t="s">
        <v>43</v>
      </c>
      <c r="C244">
        <v>20210101</v>
      </c>
      <c r="D244">
        <v>2021</v>
      </c>
      <c r="E244">
        <v>52</v>
      </c>
      <c r="F244" t="s">
        <v>287</v>
      </c>
      <c r="G244">
        <v>392</v>
      </c>
      <c r="H244" t="s">
        <v>293</v>
      </c>
      <c r="I244" t="s">
        <v>294</v>
      </c>
      <c r="J244" t="s">
        <v>47</v>
      </c>
      <c r="K244" t="s">
        <v>48</v>
      </c>
      <c r="L244">
        <v>0</v>
      </c>
      <c r="M244" t="s">
        <v>49</v>
      </c>
      <c r="N244" t="s">
        <v>50</v>
      </c>
      <c r="O244">
        <v>0</v>
      </c>
      <c r="P244" t="s">
        <v>49</v>
      </c>
      <c r="Q244" t="s">
        <v>50</v>
      </c>
      <c r="R244" t="s">
        <v>51</v>
      </c>
      <c r="S244" t="s">
        <v>52</v>
      </c>
      <c r="T244" t="b">
        <v>1</v>
      </c>
      <c r="U244" t="s">
        <v>53</v>
      </c>
      <c r="V244" t="s">
        <v>54</v>
      </c>
      <c r="W244">
        <v>4</v>
      </c>
      <c r="X244" t="b">
        <v>0</v>
      </c>
      <c r="Y244" t="s">
        <v>55</v>
      </c>
      <c r="Z244" t="s">
        <v>56</v>
      </c>
      <c r="AA244" t="s">
        <v>57</v>
      </c>
      <c r="AB244">
        <v>0</v>
      </c>
      <c r="AC244" t="s">
        <v>58</v>
      </c>
      <c r="AD244">
        <v>8</v>
      </c>
      <c r="AE244" t="s">
        <v>59</v>
      </c>
      <c r="AF244">
        <v>199916</v>
      </c>
      <c r="AG244" t="b">
        <v>0</v>
      </c>
      <c r="AH244">
        <v>8</v>
      </c>
      <c r="AI244" t="s">
        <v>59</v>
      </c>
      <c r="AJ244">
        <v>199916</v>
      </c>
      <c r="AK244" t="b">
        <v>0</v>
      </c>
      <c r="AL244">
        <v>199916</v>
      </c>
      <c r="AM244" t="b">
        <v>0</v>
      </c>
      <c r="AN244">
        <v>0</v>
      </c>
      <c r="AO244" t="b">
        <v>0</v>
      </c>
      <c r="AP244">
        <v>0</v>
      </c>
      <c r="AQ244">
        <v>110164.124</v>
      </c>
      <c r="AR244">
        <v>110164.124</v>
      </c>
      <c r="AS244">
        <v>0</v>
      </c>
      <c r="AT244" t="b">
        <v>0</v>
      </c>
      <c r="AU244" t="b">
        <v>1</v>
      </c>
      <c r="BA244" t="str">
        <f t="shared" si="6"/>
        <v>Normal</v>
      </c>
      <c r="BG244" t="str">
        <f t="shared" si="7"/>
        <v>Normal</v>
      </c>
    </row>
    <row r="245" spans="1:59" x14ac:dyDescent="0.2">
      <c r="A245" t="s">
        <v>42</v>
      </c>
      <c r="B245" t="s">
        <v>43</v>
      </c>
      <c r="C245">
        <v>20210101</v>
      </c>
      <c r="D245">
        <v>2021</v>
      </c>
      <c r="E245">
        <v>52</v>
      </c>
      <c r="F245" t="s">
        <v>287</v>
      </c>
      <c r="G245">
        <v>398</v>
      </c>
      <c r="H245" t="s">
        <v>152</v>
      </c>
      <c r="I245" t="s">
        <v>153</v>
      </c>
      <c r="J245" t="s">
        <v>47</v>
      </c>
      <c r="K245" t="s">
        <v>48</v>
      </c>
      <c r="L245">
        <v>0</v>
      </c>
      <c r="M245" t="s">
        <v>49</v>
      </c>
      <c r="N245" t="s">
        <v>50</v>
      </c>
      <c r="O245">
        <v>0</v>
      </c>
      <c r="P245" t="s">
        <v>49</v>
      </c>
      <c r="Q245" t="s">
        <v>50</v>
      </c>
      <c r="R245" t="s">
        <v>51</v>
      </c>
      <c r="S245" t="s">
        <v>52</v>
      </c>
      <c r="T245" t="b">
        <v>1</v>
      </c>
      <c r="U245" t="s">
        <v>53</v>
      </c>
      <c r="V245" t="s">
        <v>54</v>
      </c>
      <c r="W245">
        <v>4</v>
      </c>
      <c r="X245" t="b">
        <v>0</v>
      </c>
      <c r="Y245" t="s">
        <v>55</v>
      </c>
      <c r="Z245" t="s">
        <v>56</v>
      </c>
      <c r="AA245" t="s">
        <v>57</v>
      </c>
      <c r="AB245">
        <v>0</v>
      </c>
      <c r="AC245" t="s">
        <v>58</v>
      </c>
      <c r="AD245">
        <v>8</v>
      </c>
      <c r="AE245" t="s">
        <v>59</v>
      </c>
      <c r="AF245">
        <v>65707726271</v>
      </c>
      <c r="AG245" t="b">
        <v>0</v>
      </c>
      <c r="AH245">
        <v>8</v>
      </c>
      <c r="AI245" t="s">
        <v>59</v>
      </c>
      <c r="AJ245">
        <v>65707726271</v>
      </c>
      <c r="AK245" t="b">
        <v>0</v>
      </c>
      <c r="AL245">
        <v>65707726271</v>
      </c>
      <c r="AM245" t="b">
        <v>0</v>
      </c>
      <c r="AN245">
        <v>0</v>
      </c>
      <c r="AO245" t="b">
        <v>0</v>
      </c>
      <c r="AQ245">
        <v>31089837286.130001</v>
      </c>
      <c r="AR245">
        <v>31089837286.130001</v>
      </c>
      <c r="AS245">
        <v>0</v>
      </c>
      <c r="AT245" t="b">
        <v>0</v>
      </c>
      <c r="AU245" t="b">
        <v>1</v>
      </c>
      <c r="BA245" t="str">
        <f t="shared" si="6"/>
        <v>Normal</v>
      </c>
      <c r="BG245" t="str">
        <f t="shared" si="7"/>
        <v>Normal</v>
      </c>
    </row>
    <row r="246" spans="1:59" x14ac:dyDescent="0.2">
      <c r="A246" t="s">
        <v>42</v>
      </c>
      <c r="B246" t="s">
        <v>43</v>
      </c>
      <c r="C246">
        <v>20210101</v>
      </c>
      <c r="D246">
        <v>2021</v>
      </c>
      <c r="E246">
        <v>52</v>
      </c>
      <c r="F246" t="s">
        <v>287</v>
      </c>
      <c r="G246">
        <v>404</v>
      </c>
      <c r="H246" t="s">
        <v>154</v>
      </c>
      <c r="I246" t="s">
        <v>155</v>
      </c>
      <c r="J246" t="s">
        <v>47</v>
      </c>
      <c r="K246" t="s">
        <v>48</v>
      </c>
      <c r="L246">
        <v>0</v>
      </c>
      <c r="M246" t="s">
        <v>49</v>
      </c>
      <c r="N246" t="s">
        <v>50</v>
      </c>
      <c r="O246">
        <v>0</v>
      </c>
      <c r="P246" t="s">
        <v>49</v>
      </c>
      <c r="Q246" t="s">
        <v>50</v>
      </c>
      <c r="R246" t="s">
        <v>51</v>
      </c>
      <c r="S246" t="s">
        <v>52</v>
      </c>
      <c r="T246" t="b">
        <v>1</v>
      </c>
      <c r="U246" t="s">
        <v>53</v>
      </c>
      <c r="V246" t="s">
        <v>54</v>
      </c>
      <c r="W246">
        <v>4</v>
      </c>
      <c r="X246" t="b">
        <v>0</v>
      </c>
      <c r="Y246" t="s">
        <v>55</v>
      </c>
      <c r="Z246" t="s">
        <v>56</v>
      </c>
      <c r="AA246" t="s">
        <v>57</v>
      </c>
      <c r="AB246">
        <v>0</v>
      </c>
      <c r="AC246" t="s">
        <v>58</v>
      </c>
      <c r="AD246">
        <v>8</v>
      </c>
      <c r="AE246" t="s">
        <v>59</v>
      </c>
      <c r="AF246">
        <v>12724</v>
      </c>
      <c r="AG246" t="b">
        <v>0</v>
      </c>
      <c r="AH246">
        <v>8</v>
      </c>
      <c r="AI246" t="s">
        <v>59</v>
      </c>
      <c r="AJ246">
        <v>12724</v>
      </c>
      <c r="AK246" t="b">
        <v>0</v>
      </c>
      <c r="AL246">
        <v>12724</v>
      </c>
      <c r="AM246" t="b">
        <v>0</v>
      </c>
      <c r="AN246">
        <v>0</v>
      </c>
      <c r="AO246" t="b">
        <v>0</v>
      </c>
      <c r="AP246">
        <v>0</v>
      </c>
      <c r="AQ246">
        <v>14548.335999999999</v>
      </c>
      <c r="AR246">
        <v>14548.335999999999</v>
      </c>
      <c r="AS246">
        <v>0</v>
      </c>
      <c r="AT246" t="b">
        <v>0</v>
      </c>
      <c r="AU246" t="b">
        <v>1</v>
      </c>
      <c r="BA246" t="str">
        <f t="shared" si="6"/>
        <v>Normal</v>
      </c>
      <c r="BG246" t="str">
        <f t="shared" si="7"/>
        <v>Normal</v>
      </c>
    </row>
    <row r="247" spans="1:59" x14ac:dyDescent="0.2">
      <c r="A247" t="s">
        <v>42</v>
      </c>
      <c r="B247" t="s">
        <v>43</v>
      </c>
      <c r="C247">
        <v>20210101</v>
      </c>
      <c r="D247">
        <v>2021</v>
      </c>
      <c r="E247">
        <v>52</v>
      </c>
      <c r="F247" t="s">
        <v>287</v>
      </c>
      <c r="G247">
        <v>410</v>
      </c>
      <c r="H247" t="s">
        <v>156</v>
      </c>
      <c r="I247" t="s">
        <v>157</v>
      </c>
      <c r="J247" t="s">
        <v>47</v>
      </c>
      <c r="K247" t="s">
        <v>48</v>
      </c>
      <c r="L247">
        <v>0</v>
      </c>
      <c r="M247" t="s">
        <v>49</v>
      </c>
      <c r="N247" t="s">
        <v>50</v>
      </c>
      <c r="O247">
        <v>0</v>
      </c>
      <c r="P247" t="s">
        <v>49</v>
      </c>
      <c r="Q247" t="s">
        <v>50</v>
      </c>
      <c r="R247" t="s">
        <v>51</v>
      </c>
      <c r="S247" t="s">
        <v>52</v>
      </c>
      <c r="T247" t="b">
        <v>1</v>
      </c>
      <c r="U247" t="s">
        <v>53</v>
      </c>
      <c r="V247" t="s">
        <v>54</v>
      </c>
      <c r="W247">
        <v>4</v>
      </c>
      <c r="X247" t="b">
        <v>0</v>
      </c>
      <c r="Y247" t="s">
        <v>55</v>
      </c>
      <c r="Z247" t="s">
        <v>56</v>
      </c>
      <c r="AA247" t="s">
        <v>57</v>
      </c>
      <c r="AB247">
        <v>0</v>
      </c>
      <c r="AC247" t="s">
        <v>58</v>
      </c>
      <c r="AD247">
        <v>8</v>
      </c>
      <c r="AE247" t="s">
        <v>59</v>
      </c>
      <c r="AF247">
        <v>1.744</v>
      </c>
      <c r="AG247" t="b">
        <v>0</v>
      </c>
      <c r="AH247">
        <v>8</v>
      </c>
      <c r="AI247" t="s">
        <v>59</v>
      </c>
      <c r="AJ247">
        <v>1.744</v>
      </c>
      <c r="AK247" t="b">
        <v>0</v>
      </c>
      <c r="AL247">
        <v>1.744</v>
      </c>
      <c r="AM247" t="b">
        <v>0</v>
      </c>
      <c r="AN247">
        <v>0</v>
      </c>
      <c r="AO247" t="b">
        <v>0</v>
      </c>
      <c r="AQ247">
        <v>9</v>
      </c>
      <c r="AR247">
        <v>9</v>
      </c>
      <c r="AS247">
        <v>0</v>
      </c>
      <c r="AT247" t="b">
        <v>0</v>
      </c>
      <c r="AU247" t="b">
        <v>1</v>
      </c>
      <c r="BA247" t="str">
        <f t="shared" si="6"/>
        <v>Normal</v>
      </c>
      <c r="BG247" t="str">
        <f t="shared" si="7"/>
        <v>Normal</v>
      </c>
    </row>
    <row r="248" spans="1:59" x14ac:dyDescent="0.2">
      <c r="A248" t="s">
        <v>42</v>
      </c>
      <c r="B248" t="s">
        <v>43</v>
      </c>
      <c r="C248">
        <v>20210101</v>
      </c>
      <c r="D248">
        <v>2021</v>
      </c>
      <c r="E248">
        <v>52</v>
      </c>
      <c r="F248" t="s">
        <v>287</v>
      </c>
      <c r="G248">
        <v>414</v>
      </c>
      <c r="H248" t="s">
        <v>158</v>
      </c>
      <c r="I248" t="s">
        <v>159</v>
      </c>
      <c r="J248" t="s">
        <v>47</v>
      </c>
      <c r="K248" t="s">
        <v>48</v>
      </c>
      <c r="L248">
        <v>0</v>
      </c>
      <c r="M248" t="s">
        <v>49</v>
      </c>
      <c r="N248" t="s">
        <v>50</v>
      </c>
      <c r="O248">
        <v>0</v>
      </c>
      <c r="P248" t="s">
        <v>49</v>
      </c>
      <c r="Q248" t="s">
        <v>50</v>
      </c>
      <c r="R248" t="s">
        <v>51</v>
      </c>
      <c r="S248" t="s">
        <v>52</v>
      </c>
      <c r="T248" t="b">
        <v>1</v>
      </c>
      <c r="U248" t="s">
        <v>53</v>
      </c>
      <c r="V248" t="s">
        <v>54</v>
      </c>
      <c r="W248">
        <v>4</v>
      </c>
      <c r="X248" t="b">
        <v>0</v>
      </c>
      <c r="Y248" t="s">
        <v>55</v>
      </c>
      <c r="Z248" t="s">
        <v>56</v>
      </c>
      <c r="AA248" t="s">
        <v>57</v>
      </c>
      <c r="AB248">
        <v>0</v>
      </c>
      <c r="AC248" t="s">
        <v>58</v>
      </c>
      <c r="AD248">
        <v>-1</v>
      </c>
      <c r="AE248" t="s">
        <v>73</v>
      </c>
      <c r="AF248">
        <v>0</v>
      </c>
      <c r="AG248" t="b">
        <v>0</v>
      </c>
      <c r="AH248">
        <v>-1</v>
      </c>
      <c r="AI248" t="s">
        <v>73</v>
      </c>
      <c r="AJ248">
        <v>0</v>
      </c>
      <c r="AK248" t="b">
        <v>0</v>
      </c>
      <c r="AM248" t="b">
        <v>0</v>
      </c>
      <c r="AN248">
        <v>0</v>
      </c>
      <c r="AO248" t="b">
        <v>0</v>
      </c>
      <c r="AQ248">
        <v>41770746523</v>
      </c>
      <c r="AR248">
        <v>41770746523</v>
      </c>
      <c r="AS248">
        <v>0</v>
      </c>
      <c r="AT248" t="b">
        <v>0</v>
      </c>
      <c r="AU248" t="b">
        <v>1</v>
      </c>
      <c r="BA248" t="str">
        <f t="shared" si="6"/>
        <v>Normal</v>
      </c>
      <c r="BG248" t="str">
        <f t="shared" si="7"/>
        <v>Normal</v>
      </c>
    </row>
    <row r="249" spans="1:59" x14ac:dyDescent="0.2">
      <c r="A249" t="s">
        <v>42</v>
      </c>
      <c r="B249" t="s">
        <v>43</v>
      </c>
      <c r="C249">
        <v>20210101</v>
      </c>
      <c r="D249">
        <v>2021</v>
      </c>
      <c r="E249">
        <v>52</v>
      </c>
      <c r="F249" t="s">
        <v>287</v>
      </c>
      <c r="G249">
        <v>417</v>
      </c>
      <c r="H249" t="s">
        <v>160</v>
      </c>
      <c r="I249" t="s">
        <v>161</v>
      </c>
      <c r="J249" t="s">
        <v>47</v>
      </c>
      <c r="K249" t="s">
        <v>48</v>
      </c>
      <c r="L249">
        <v>0</v>
      </c>
      <c r="M249" t="s">
        <v>49</v>
      </c>
      <c r="N249" t="s">
        <v>50</v>
      </c>
      <c r="O249">
        <v>0</v>
      </c>
      <c r="P249" t="s">
        <v>49</v>
      </c>
      <c r="Q249" t="s">
        <v>50</v>
      </c>
      <c r="R249" t="s">
        <v>51</v>
      </c>
      <c r="S249" t="s">
        <v>52</v>
      </c>
      <c r="T249" t="b">
        <v>1</v>
      </c>
      <c r="U249" t="s">
        <v>53</v>
      </c>
      <c r="V249" t="s">
        <v>54</v>
      </c>
      <c r="W249">
        <v>4</v>
      </c>
      <c r="X249" t="b">
        <v>0</v>
      </c>
      <c r="Y249" t="s">
        <v>55</v>
      </c>
      <c r="Z249" t="s">
        <v>56</v>
      </c>
      <c r="AA249" t="s">
        <v>57</v>
      </c>
      <c r="AB249">
        <v>0</v>
      </c>
      <c r="AC249" t="s">
        <v>58</v>
      </c>
      <c r="AD249">
        <v>8</v>
      </c>
      <c r="AE249" t="s">
        <v>59</v>
      </c>
      <c r="AF249">
        <v>5939200</v>
      </c>
      <c r="AG249" t="b">
        <v>0</v>
      </c>
      <c r="AH249">
        <v>8</v>
      </c>
      <c r="AI249" t="s">
        <v>59</v>
      </c>
      <c r="AJ249">
        <v>5939200</v>
      </c>
      <c r="AK249" t="b">
        <v>0</v>
      </c>
      <c r="AL249">
        <v>5939200</v>
      </c>
      <c r="AM249" t="b">
        <v>0</v>
      </c>
      <c r="AN249">
        <v>0</v>
      </c>
      <c r="AO249" t="b">
        <v>0</v>
      </c>
      <c r="AQ249">
        <v>1006646</v>
      </c>
      <c r="AR249">
        <v>1006646</v>
      </c>
      <c r="AS249">
        <v>0</v>
      </c>
      <c r="AT249" t="b">
        <v>0</v>
      </c>
      <c r="AU249" t="b">
        <v>1</v>
      </c>
      <c r="BA249" t="str">
        <f t="shared" si="6"/>
        <v>Normal</v>
      </c>
      <c r="BG249" t="str">
        <f t="shared" si="7"/>
        <v>Normal</v>
      </c>
    </row>
    <row r="250" spans="1:59" x14ac:dyDescent="0.2">
      <c r="A250" t="s">
        <v>42</v>
      </c>
      <c r="B250" t="s">
        <v>43</v>
      </c>
      <c r="C250">
        <v>20210101</v>
      </c>
      <c r="D250">
        <v>2021</v>
      </c>
      <c r="E250">
        <v>52</v>
      </c>
      <c r="F250" t="s">
        <v>287</v>
      </c>
      <c r="G250">
        <v>418</v>
      </c>
      <c r="H250" t="s">
        <v>162</v>
      </c>
      <c r="I250" t="s">
        <v>163</v>
      </c>
      <c r="J250" t="s">
        <v>47</v>
      </c>
      <c r="K250" t="s">
        <v>48</v>
      </c>
      <c r="L250">
        <v>0</v>
      </c>
      <c r="M250" t="s">
        <v>49</v>
      </c>
      <c r="N250" t="s">
        <v>50</v>
      </c>
      <c r="O250">
        <v>0</v>
      </c>
      <c r="P250" t="s">
        <v>49</v>
      </c>
      <c r="Q250" t="s">
        <v>50</v>
      </c>
      <c r="R250" t="s">
        <v>51</v>
      </c>
      <c r="S250" t="s">
        <v>52</v>
      </c>
      <c r="T250" t="b">
        <v>1</v>
      </c>
      <c r="U250" t="s">
        <v>53</v>
      </c>
      <c r="V250" t="s">
        <v>54</v>
      </c>
      <c r="W250">
        <v>4</v>
      </c>
      <c r="X250" t="b">
        <v>0</v>
      </c>
      <c r="Y250" t="s">
        <v>55</v>
      </c>
      <c r="Z250" t="s">
        <v>56</v>
      </c>
      <c r="AA250" t="s">
        <v>57</v>
      </c>
      <c r="AB250">
        <v>0</v>
      </c>
      <c r="AC250" t="s">
        <v>58</v>
      </c>
      <c r="AD250">
        <v>8</v>
      </c>
      <c r="AE250" t="s">
        <v>59</v>
      </c>
      <c r="AF250">
        <v>1000</v>
      </c>
      <c r="AG250" t="b">
        <v>0</v>
      </c>
      <c r="AH250">
        <v>8</v>
      </c>
      <c r="AI250" t="s">
        <v>59</v>
      </c>
      <c r="AJ250">
        <v>1000</v>
      </c>
      <c r="AK250" t="b">
        <v>0</v>
      </c>
      <c r="AL250">
        <v>1000</v>
      </c>
      <c r="AM250" t="b">
        <v>0</v>
      </c>
      <c r="AN250">
        <v>0</v>
      </c>
      <c r="AO250" t="b">
        <v>0</v>
      </c>
      <c r="AP250">
        <v>0</v>
      </c>
      <c r="AQ250">
        <v>50</v>
      </c>
      <c r="AR250">
        <v>50</v>
      </c>
      <c r="AS250">
        <v>0</v>
      </c>
      <c r="AT250" t="b">
        <v>0</v>
      </c>
      <c r="AU250" t="b">
        <v>1</v>
      </c>
      <c r="BA250" t="str">
        <f t="shared" si="6"/>
        <v>Normal</v>
      </c>
      <c r="BG250" t="str">
        <f t="shared" si="7"/>
        <v>Normal</v>
      </c>
    </row>
    <row r="251" spans="1:59" x14ac:dyDescent="0.2">
      <c r="A251" t="s">
        <v>42</v>
      </c>
      <c r="B251" t="s">
        <v>43</v>
      </c>
      <c r="C251">
        <v>20210101</v>
      </c>
      <c r="D251">
        <v>2021</v>
      </c>
      <c r="E251">
        <v>52</v>
      </c>
      <c r="F251" t="s">
        <v>287</v>
      </c>
      <c r="G251">
        <v>426</v>
      </c>
      <c r="H251" t="s">
        <v>295</v>
      </c>
      <c r="I251" t="s">
        <v>296</v>
      </c>
      <c r="J251" t="s">
        <v>47</v>
      </c>
      <c r="K251" t="s">
        <v>48</v>
      </c>
      <c r="L251">
        <v>0</v>
      </c>
      <c r="M251" t="s">
        <v>49</v>
      </c>
      <c r="N251" t="s">
        <v>50</v>
      </c>
      <c r="O251">
        <v>0</v>
      </c>
      <c r="P251" t="s">
        <v>49</v>
      </c>
      <c r="Q251" t="s">
        <v>50</v>
      </c>
      <c r="R251" t="s">
        <v>51</v>
      </c>
      <c r="S251" t="s">
        <v>52</v>
      </c>
      <c r="T251" t="b">
        <v>1</v>
      </c>
      <c r="U251" t="s">
        <v>53</v>
      </c>
      <c r="V251" t="s">
        <v>54</v>
      </c>
      <c r="W251">
        <v>4</v>
      </c>
      <c r="X251" t="b">
        <v>0</v>
      </c>
      <c r="Y251" t="s">
        <v>55</v>
      </c>
      <c r="Z251" t="s">
        <v>56</v>
      </c>
      <c r="AA251" t="s">
        <v>57</v>
      </c>
      <c r="AB251">
        <v>0</v>
      </c>
      <c r="AC251" t="s">
        <v>58</v>
      </c>
      <c r="AD251">
        <v>-1</v>
      </c>
      <c r="AE251" t="s">
        <v>73</v>
      </c>
      <c r="AF251">
        <v>0</v>
      </c>
      <c r="AG251" t="b">
        <v>0</v>
      </c>
      <c r="AH251">
        <v>-1</v>
      </c>
      <c r="AI251" t="s">
        <v>73</v>
      </c>
      <c r="AJ251">
        <v>0</v>
      </c>
      <c r="AK251" t="b">
        <v>0</v>
      </c>
      <c r="AM251" t="b">
        <v>0</v>
      </c>
      <c r="AN251">
        <v>3</v>
      </c>
      <c r="AO251" t="b">
        <v>0</v>
      </c>
      <c r="AQ251">
        <v>338.21600000000001</v>
      </c>
      <c r="AR251">
        <v>338.21600000000001</v>
      </c>
      <c r="AS251">
        <v>0</v>
      </c>
      <c r="AT251" t="b">
        <v>0</v>
      </c>
      <c r="AU251" t="b">
        <v>1</v>
      </c>
      <c r="BA251" t="str">
        <f t="shared" si="6"/>
        <v>Normal</v>
      </c>
      <c r="BG251" t="str">
        <f t="shared" si="7"/>
        <v>Normal</v>
      </c>
    </row>
    <row r="252" spans="1:59" x14ac:dyDescent="0.2">
      <c r="A252" t="s">
        <v>42</v>
      </c>
      <c r="B252" t="s">
        <v>43</v>
      </c>
      <c r="C252">
        <v>20210101</v>
      </c>
      <c r="D252">
        <v>2021</v>
      </c>
      <c r="E252">
        <v>52</v>
      </c>
      <c r="F252" t="s">
        <v>287</v>
      </c>
      <c r="G252">
        <v>428</v>
      </c>
      <c r="H252" t="s">
        <v>166</v>
      </c>
      <c r="I252" t="s">
        <v>167</v>
      </c>
      <c r="J252" t="s">
        <v>47</v>
      </c>
      <c r="K252" t="s">
        <v>48</v>
      </c>
      <c r="L252">
        <v>0</v>
      </c>
      <c r="M252" t="s">
        <v>49</v>
      </c>
      <c r="N252" t="s">
        <v>50</v>
      </c>
      <c r="O252">
        <v>0</v>
      </c>
      <c r="P252" t="s">
        <v>49</v>
      </c>
      <c r="Q252" t="s">
        <v>50</v>
      </c>
      <c r="R252" t="s">
        <v>51</v>
      </c>
      <c r="S252" t="s">
        <v>52</v>
      </c>
      <c r="T252" t="b">
        <v>1</v>
      </c>
      <c r="U252" t="s">
        <v>53</v>
      </c>
      <c r="V252" t="s">
        <v>54</v>
      </c>
      <c r="W252">
        <v>4</v>
      </c>
      <c r="X252" t="b">
        <v>0</v>
      </c>
      <c r="Y252" t="s">
        <v>55</v>
      </c>
      <c r="Z252" t="s">
        <v>56</v>
      </c>
      <c r="AA252" t="s">
        <v>57</v>
      </c>
      <c r="AB252">
        <v>0</v>
      </c>
      <c r="AC252" t="s">
        <v>58</v>
      </c>
      <c r="AD252">
        <v>8</v>
      </c>
      <c r="AE252" t="s">
        <v>59</v>
      </c>
      <c r="AF252">
        <v>7207674</v>
      </c>
      <c r="AG252" t="b">
        <v>0</v>
      </c>
      <c r="AH252">
        <v>8</v>
      </c>
      <c r="AI252" t="s">
        <v>59</v>
      </c>
      <c r="AJ252">
        <v>7207674</v>
      </c>
      <c r="AK252" t="b">
        <v>0</v>
      </c>
      <c r="AL252">
        <v>7207674</v>
      </c>
      <c r="AM252" t="b">
        <v>0</v>
      </c>
      <c r="AN252">
        <v>0</v>
      </c>
      <c r="AO252" t="b">
        <v>0</v>
      </c>
      <c r="AQ252">
        <v>2676439.6060000001</v>
      </c>
      <c r="AR252">
        <v>2676439.6060000001</v>
      </c>
      <c r="AS252">
        <v>0</v>
      </c>
      <c r="AT252" t="b">
        <v>0</v>
      </c>
      <c r="AU252" t="b">
        <v>1</v>
      </c>
      <c r="BA252" t="str">
        <f t="shared" si="6"/>
        <v>Normal</v>
      </c>
      <c r="BG252" t="str">
        <f t="shared" si="7"/>
        <v>Normal</v>
      </c>
    </row>
    <row r="253" spans="1:59" x14ac:dyDescent="0.2">
      <c r="A253" t="s">
        <v>42</v>
      </c>
      <c r="B253" t="s">
        <v>43</v>
      </c>
      <c r="C253">
        <v>20210101</v>
      </c>
      <c r="D253">
        <v>2021</v>
      </c>
      <c r="E253">
        <v>52</v>
      </c>
      <c r="F253" t="s">
        <v>287</v>
      </c>
      <c r="G253">
        <v>430</v>
      </c>
      <c r="H253" t="s">
        <v>297</v>
      </c>
      <c r="I253" t="s">
        <v>298</v>
      </c>
      <c r="J253" t="s">
        <v>47</v>
      </c>
      <c r="K253" t="s">
        <v>48</v>
      </c>
      <c r="L253">
        <v>0</v>
      </c>
      <c r="M253" t="s">
        <v>49</v>
      </c>
      <c r="N253" t="s">
        <v>50</v>
      </c>
      <c r="O253">
        <v>0</v>
      </c>
      <c r="P253" t="s">
        <v>49</v>
      </c>
      <c r="Q253" t="s">
        <v>50</v>
      </c>
      <c r="R253" t="s">
        <v>51</v>
      </c>
      <c r="S253" t="s">
        <v>52</v>
      </c>
      <c r="T253" t="b">
        <v>1</v>
      </c>
      <c r="U253" t="s">
        <v>53</v>
      </c>
      <c r="V253" t="s">
        <v>54</v>
      </c>
      <c r="W253">
        <v>4</v>
      </c>
      <c r="X253" t="b">
        <v>0</v>
      </c>
      <c r="Y253" t="s">
        <v>55</v>
      </c>
      <c r="Z253" t="s">
        <v>56</v>
      </c>
      <c r="AA253" t="s">
        <v>57</v>
      </c>
      <c r="AB253">
        <v>0</v>
      </c>
      <c r="AC253" t="s">
        <v>58</v>
      </c>
      <c r="AD253">
        <v>8</v>
      </c>
      <c r="AE253" t="s">
        <v>59</v>
      </c>
      <c r="AF253">
        <v>539994</v>
      </c>
      <c r="AG253" t="b">
        <v>0</v>
      </c>
      <c r="AH253">
        <v>8</v>
      </c>
      <c r="AI253" t="s">
        <v>59</v>
      </c>
      <c r="AJ253">
        <v>539994</v>
      </c>
      <c r="AK253" t="b">
        <v>0</v>
      </c>
      <c r="AL253">
        <v>539994</v>
      </c>
      <c r="AM253" t="b">
        <v>0</v>
      </c>
      <c r="AN253">
        <v>0</v>
      </c>
      <c r="AO253" t="b">
        <v>0</v>
      </c>
      <c r="AQ253">
        <v>4466000</v>
      </c>
      <c r="AR253">
        <v>4466000</v>
      </c>
      <c r="AS253">
        <v>0</v>
      </c>
      <c r="AT253" t="b">
        <v>0</v>
      </c>
      <c r="AU253" t="b">
        <v>1</v>
      </c>
      <c r="BA253" t="str">
        <f t="shared" si="6"/>
        <v>Normal</v>
      </c>
      <c r="BG253" t="str">
        <f t="shared" si="7"/>
        <v>Normal</v>
      </c>
    </row>
    <row r="254" spans="1:59" x14ac:dyDescent="0.2">
      <c r="A254" t="s">
        <v>42</v>
      </c>
      <c r="B254" t="s">
        <v>43</v>
      </c>
      <c r="C254">
        <v>20210101</v>
      </c>
      <c r="D254">
        <v>2021</v>
      </c>
      <c r="E254">
        <v>52</v>
      </c>
      <c r="F254" t="s">
        <v>287</v>
      </c>
      <c r="G254">
        <v>440</v>
      </c>
      <c r="H254" t="s">
        <v>171</v>
      </c>
      <c r="I254" t="s">
        <v>172</v>
      </c>
      <c r="J254" t="s">
        <v>47</v>
      </c>
      <c r="K254" t="s">
        <v>48</v>
      </c>
      <c r="L254">
        <v>0</v>
      </c>
      <c r="M254" t="s">
        <v>49</v>
      </c>
      <c r="N254" t="s">
        <v>50</v>
      </c>
      <c r="O254">
        <v>0</v>
      </c>
      <c r="P254" t="s">
        <v>49</v>
      </c>
      <c r="Q254" t="s">
        <v>50</v>
      </c>
      <c r="R254" t="s">
        <v>51</v>
      </c>
      <c r="S254" t="s">
        <v>52</v>
      </c>
      <c r="T254" t="b">
        <v>1</v>
      </c>
      <c r="U254" t="s">
        <v>53</v>
      </c>
      <c r="V254" t="s">
        <v>54</v>
      </c>
      <c r="W254">
        <v>4</v>
      </c>
      <c r="X254" t="b">
        <v>0</v>
      </c>
      <c r="Y254" t="s">
        <v>55</v>
      </c>
      <c r="Z254" t="s">
        <v>56</v>
      </c>
      <c r="AA254" t="s">
        <v>57</v>
      </c>
      <c r="AB254">
        <v>0</v>
      </c>
      <c r="AC254" t="s">
        <v>58</v>
      </c>
      <c r="AD254">
        <v>8</v>
      </c>
      <c r="AE254" t="s">
        <v>59</v>
      </c>
      <c r="AF254">
        <v>20139810</v>
      </c>
      <c r="AG254" t="b">
        <v>0</v>
      </c>
      <c r="AH254">
        <v>8</v>
      </c>
      <c r="AI254" t="s">
        <v>59</v>
      </c>
      <c r="AJ254">
        <v>20139810</v>
      </c>
      <c r="AK254" t="b">
        <v>0</v>
      </c>
      <c r="AL254">
        <v>20139810</v>
      </c>
      <c r="AM254" t="b">
        <v>0</v>
      </c>
      <c r="AN254">
        <v>0</v>
      </c>
      <c r="AO254" t="b">
        <v>0</v>
      </c>
      <c r="AP254">
        <v>0</v>
      </c>
      <c r="AQ254">
        <v>10685884</v>
      </c>
      <c r="AR254">
        <v>10685884</v>
      </c>
      <c r="AS254">
        <v>0</v>
      </c>
      <c r="AT254" t="b">
        <v>0</v>
      </c>
      <c r="AU254" t="b">
        <v>1</v>
      </c>
      <c r="BA254" t="str">
        <f t="shared" si="6"/>
        <v>Normal</v>
      </c>
      <c r="BG254" t="str">
        <f t="shared" si="7"/>
        <v>Normal</v>
      </c>
    </row>
    <row r="255" spans="1:59" x14ac:dyDescent="0.2">
      <c r="A255" t="s">
        <v>42</v>
      </c>
      <c r="B255" t="s">
        <v>43</v>
      </c>
      <c r="C255">
        <v>20210101</v>
      </c>
      <c r="D255">
        <v>2021</v>
      </c>
      <c r="E255">
        <v>52</v>
      </c>
      <c r="F255" t="s">
        <v>287</v>
      </c>
      <c r="G255">
        <v>442</v>
      </c>
      <c r="H255" t="s">
        <v>173</v>
      </c>
      <c r="I255" t="s">
        <v>174</v>
      </c>
      <c r="J255" t="s">
        <v>47</v>
      </c>
      <c r="K255" t="s">
        <v>48</v>
      </c>
      <c r="L255">
        <v>0</v>
      </c>
      <c r="M255" t="s">
        <v>49</v>
      </c>
      <c r="N255" t="s">
        <v>50</v>
      </c>
      <c r="O255">
        <v>0</v>
      </c>
      <c r="P255" t="s">
        <v>49</v>
      </c>
      <c r="Q255" t="s">
        <v>50</v>
      </c>
      <c r="R255" t="s">
        <v>51</v>
      </c>
      <c r="S255" t="s">
        <v>52</v>
      </c>
      <c r="T255" t="b">
        <v>1</v>
      </c>
      <c r="U255" t="s">
        <v>53</v>
      </c>
      <c r="V255" t="s">
        <v>54</v>
      </c>
      <c r="W255">
        <v>4</v>
      </c>
      <c r="X255" t="b">
        <v>0</v>
      </c>
      <c r="Y255" t="s">
        <v>55</v>
      </c>
      <c r="Z255" t="s">
        <v>56</v>
      </c>
      <c r="AA255" t="s">
        <v>57</v>
      </c>
      <c r="AB255">
        <v>0</v>
      </c>
      <c r="AC255" t="s">
        <v>58</v>
      </c>
      <c r="AD255">
        <v>8</v>
      </c>
      <c r="AE255" t="s">
        <v>59</v>
      </c>
      <c r="AF255">
        <v>1</v>
      </c>
      <c r="AG255" t="b">
        <v>0</v>
      </c>
      <c r="AH255">
        <v>8</v>
      </c>
      <c r="AI255" t="s">
        <v>59</v>
      </c>
      <c r="AJ255">
        <v>1</v>
      </c>
      <c r="AK255" t="b">
        <v>0</v>
      </c>
      <c r="AL255">
        <v>1</v>
      </c>
      <c r="AM255" t="b">
        <v>0</v>
      </c>
      <c r="AN255">
        <v>0</v>
      </c>
      <c r="AO255" t="b">
        <v>0</v>
      </c>
      <c r="AP255">
        <v>0</v>
      </c>
      <c r="AQ255">
        <v>26.706</v>
      </c>
      <c r="AR255">
        <v>26.706</v>
      </c>
      <c r="AS255">
        <v>0</v>
      </c>
      <c r="AT255" t="b">
        <v>0</v>
      </c>
      <c r="AU255" t="b">
        <v>1</v>
      </c>
      <c r="BA255" t="str">
        <f t="shared" si="6"/>
        <v>Normal</v>
      </c>
      <c r="BG255" t="str">
        <f t="shared" si="7"/>
        <v>Normal</v>
      </c>
    </row>
    <row r="256" spans="1:59" x14ac:dyDescent="0.2">
      <c r="A256" t="s">
        <v>42</v>
      </c>
      <c r="B256" t="s">
        <v>43</v>
      </c>
      <c r="C256">
        <v>20210101</v>
      </c>
      <c r="D256">
        <v>2021</v>
      </c>
      <c r="E256">
        <v>52</v>
      </c>
      <c r="F256" t="s">
        <v>287</v>
      </c>
      <c r="G256">
        <v>458</v>
      </c>
      <c r="H256" t="s">
        <v>177</v>
      </c>
      <c r="I256" t="s">
        <v>178</v>
      </c>
      <c r="J256" t="s">
        <v>47</v>
      </c>
      <c r="K256" t="s">
        <v>48</v>
      </c>
      <c r="L256">
        <v>0</v>
      </c>
      <c r="M256" t="s">
        <v>49</v>
      </c>
      <c r="N256" t="s">
        <v>50</v>
      </c>
      <c r="O256">
        <v>0</v>
      </c>
      <c r="P256" t="s">
        <v>49</v>
      </c>
      <c r="Q256" t="s">
        <v>50</v>
      </c>
      <c r="R256" t="s">
        <v>51</v>
      </c>
      <c r="S256" t="s">
        <v>52</v>
      </c>
      <c r="T256" t="b">
        <v>1</v>
      </c>
      <c r="U256" t="s">
        <v>53</v>
      </c>
      <c r="V256" t="s">
        <v>54</v>
      </c>
      <c r="W256">
        <v>4</v>
      </c>
      <c r="X256" t="b">
        <v>0</v>
      </c>
      <c r="Y256" t="s">
        <v>55</v>
      </c>
      <c r="Z256" t="s">
        <v>56</v>
      </c>
      <c r="AA256" t="s">
        <v>57</v>
      </c>
      <c r="AB256">
        <v>0</v>
      </c>
      <c r="AC256" t="s">
        <v>58</v>
      </c>
      <c r="AD256">
        <v>8</v>
      </c>
      <c r="AE256" t="s">
        <v>59</v>
      </c>
      <c r="AF256">
        <v>10303318870</v>
      </c>
      <c r="AG256" t="b">
        <v>0</v>
      </c>
      <c r="AH256">
        <v>8</v>
      </c>
      <c r="AI256" t="s">
        <v>59</v>
      </c>
      <c r="AJ256">
        <v>10303318870</v>
      </c>
      <c r="AK256" t="b">
        <v>0</v>
      </c>
      <c r="AL256">
        <v>10303318870</v>
      </c>
      <c r="AM256" t="b">
        <v>0</v>
      </c>
      <c r="AN256">
        <v>0</v>
      </c>
      <c r="AO256" t="b">
        <v>0</v>
      </c>
      <c r="AP256">
        <v>0</v>
      </c>
      <c r="AQ256">
        <v>5235448093.7810001</v>
      </c>
      <c r="AR256">
        <v>5235448093.7810001</v>
      </c>
      <c r="AS256">
        <v>0</v>
      </c>
      <c r="AT256" t="b">
        <v>0</v>
      </c>
      <c r="AU256" t="b">
        <v>1</v>
      </c>
      <c r="BA256" t="str">
        <f t="shared" si="6"/>
        <v>Normal</v>
      </c>
      <c r="BG256" t="str">
        <f t="shared" si="7"/>
        <v>Normal</v>
      </c>
    </row>
    <row r="257" spans="1:59" x14ac:dyDescent="0.2">
      <c r="A257" t="s">
        <v>42</v>
      </c>
      <c r="B257" t="s">
        <v>43</v>
      </c>
      <c r="C257">
        <v>20210101</v>
      </c>
      <c r="D257">
        <v>2021</v>
      </c>
      <c r="E257">
        <v>52</v>
      </c>
      <c r="F257" t="s">
        <v>287</v>
      </c>
      <c r="G257">
        <v>470</v>
      </c>
      <c r="H257" t="s">
        <v>179</v>
      </c>
      <c r="I257" t="s">
        <v>180</v>
      </c>
      <c r="J257" t="s">
        <v>47</v>
      </c>
      <c r="K257" t="s">
        <v>48</v>
      </c>
      <c r="L257">
        <v>0</v>
      </c>
      <c r="M257" t="s">
        <v>49</v>
      </c>
      <c r="N257" t="s">
        <v>50</v>
      </c>
      <c r="O257">
        <v>0</v>
      </c>
      <c r="P257" t="s">
        <v>49</v>
      </c>
      <c r="Q257" t="s">
        <v>50</v>
      </c>
      <c r="R257" t="s">
        <v>51</v>
      </c>
      <c r="S257" t="s">
        <v>52</v>
      </c>
      <c r="T257" t="b">
        <v>1</v>
      </c>
      <c r="U257" t="s">
        <v>53</v>
      </c>
      <c r="V257" t="s">
        <v>54</v>
      </c>
      <c r="W257">
        <v>4</v>
      </c>
      <c r="X257" t="b">
        <v>0</v>
      </c>
      <c r="Y257" t="s">
        <v>55</v>
      </c>
      <c r="Z257" t="s">
        <v>56</v>
      </c>
      <c r="AA257" t="s">
        <v>57</v>
      </c>
      <c r="AB257">
        <v>0</v>
      </c>
      <c r="AC257" t="s">
        <v>58</v>
      </c>
      <c r="AD257">
        <v>8</v>
      </c>
      <c r="AE257" t="s">
        <v>59</v>
      </c>
      <c r="AF257">
        <v>42</v>
      </c>
      <c r="AG257" t="b">
        <v>0</v>
      </c>
      <c r="AH257">
        <v>8</v>
      </c>
      <c r="AI257" t="s">
        <v>59</v>
      </c>
      <c r="AJ257">
        <v>42</v>
      </c>
      <c r="AK257" t="b">
        <v>0</v>
      </c>
      <c r="AL257">
        <v>42</v>
      </c>
      <c r="AM257" t="b">
        <v>0</v>
      </c>
      <c r="AN257">
        <v>0</v>
      </c>
      <c r="AO257" t="b">
        <v>0</v>
      </c>
      <c r="AQ257">
        <v>49.674999999999997</v>
      </c>
      <c r="AR257">
        <v>49.674999999999997</v>
      </c>
      <c r="AS257">
        <v>0</v>
      </c>
      <c r="AT257" t="b">
        <v>0</v>
      </c>
      <c r="AU257" t="b">
        <v>1</v>
      </c>
      <c r="BA257" t="str">
        <f t="shared" si="6"/>
        <v>Normal</v>
      </c>
      <c r="BG257" t="str">
        <f t="shared" si="7"/>
        <v>Normal</v>
      </c>
    </row>
    <row r="258" spans="1:59" x14ac:dyDescent="0.2">
      <c r="A258" t="s">
        <v>42</v>
      </c>
      <c r="B258" t="s">
        <v>43</v>
      </c>
      <c r="C258">
        <v>20210101</v>
      </c>
      <c r="D258">
        <v>2021</v>
      </c>
      <c r="E258">
        <v>52</v>
      </c>
      <c r="F258" t="s">
        <v>287</v>
      </c>
      <c r="G258">
        <v>484</v>
      </c>
      <c r="H258" t="s">
        <v>181</v>
      </c>
      <c r="I258" t="s">
        <v>182</v>
      </c>
      <c r="J258" t="s">
        <v>47</v>
      </c>
      <c r="K258" t="s">
        <v>48</v>
      </c>
      <c r="L258">
        <v>0</v>
      </c>
      <c r="M258" t="s">
        <v>49</v>
      </c>
      <c r="N258" t="s">
        <v>50</v>
      </c>
      <c r="O258">
        <v>0</v>
      </c>
      <c r="P258" t="s">
        <v>49</v>
      </c>
      <c r="Q258" t="s">
        <v>50</v>
      </c>
      <c r="R258" t="s">
        <v>51</v>
      </c>
      <c r="S258" t="s">
        <v>52</v>
      </c>
      <c r="T258" t="b">
        <v>1</v>
      </c>
      <c r="U258" t="s">
        <v>53</v>
      </c>
      <c r="V258" t="s">
        <v>54</v>
      </c>
      <c r="W258">
        <v>4</v>
      </c>
      <c r="X258" t="b">
        <v>0</v>
      </c>
      <c r="Y258" t="s">
        <v>55</v>
      </c>
      <c r="Z258" t="s">
        <v>56</v>
      </c>
      <c r="AA258" t="s">
        <v>57</v>
      </c>
      <c r="AB258">
        <v>0</v>
      </c>
      <c r="AC258" t="s">
        <v>58</v>
      </c>
      <c r="AD258">
        <v>8</v>
      </c>
      <c r="AE258" t="s">
        <v>59</v>
      </c>
      <c r="AF258">
        <v>50979735739.510002</v>
      </c>
      <c r="AG258" t="b">
        <v>1</v>
      </c>
      <c r="AH258">
        <v>-1</v>
      </c>
      <c r="AI258" t="s">
        <v>73</v>
      </c>
      <c r="AJ258">
        <v>0</v>
      </c>
      <c r="AK258" t="b">
        <v>0</v>
      </c>
      <c r="AL258">
        <v>50979735739.510002</v>
      </c>
      <c r="AM258" t="b">
        <v>1</v>
      </c>
      <c r="AN258">
        <v>0</v>
      </c>
      <c r="AO258" t="b">
        <v>0</v>
      </c>
      <c r="AQ258">
        <v>24130558561</v>
      </c>
      <c r="AR258">
        <v>24130558561</v>
      </c>
      <c r="AS258">
        <v>6</v>
      </c>
      <c r="AT258" t="b">
        <v>0</v>
      </c>
      <c r="AU258" t="b">
        <v>1</v>
      </c>
      <c r="BA258" t="str">
        <f t="shared" si="6"/>
        <v>Normal</v>
      </c>
      <c r="BG258" t="str">
        <f t="shared" si="7"/>
        <v>Normal</v>
      </c>
    </row>
    <row r="259" spans="1:59" x14ac:dyDescent="0.2">
      <c r="A259" t="s">
        <v>42</v>
      </c>
      <c r="B259" t="s">
        <v>43</v>
      </c>
      <c r="C259">
        <v>20210101</v>
      </c>
      <c r="D259">
        <v>2021</v>
      </c>
      <c r="E259">
        <v>52</v>
      </c>
      <c r="F259" t="s">
        <v>287</v>
      </c>
      <c r="G259">
        <v>496</v>
      </c>
      <c r="H259" t="s">
        <v>183</v>
      </c>
      <c r="I259" t="s">
        <v>184</v>
      </c>
      <c r="J259" t="s">
        <v>47</v>
      </c>
      <c r="K259" t="s">
        <v>48</v>
      </c>
      <c r="L259">
        <v>0</v>
      </c>
      <c r="M259" t="s">
        <v>49</v>
      </c>
      <c r="N259" t="s">
        <v>50</v>
      </c>
      <c r="O259">
        <v>0</v>
      </c>
      <c r="P259" t="s">
        <v>49</v>
      </c>
      <c r="Q259" t="s">
        <v>50</v>
      </c>
      <c r="R259" t="s">
        <v>51</v>
      </c>
      <c r="S259" t="s">
        <v>52</v>
      </c>
      <c r="T259" t="b">
        <v>1</v>
      </c>
      <c r="U259" t="s">
        <v>53</v>
      </c>
      <c r="V259" t="s">
        <v>54</v>
      </c>
      <c r="W259">
        <v>4</v>
      </c>
      <c r="X259" t="b">
        <v>0</v>
      </c>
      <c r="Y259" t="s">
        <v>55</v>
      </c>
      <c r="Z259" t="s">
        <v>56</v>
      </c>
      <c r="AA259" t="s">
        <v>57</v>
      </c>
      <c r="AB259">
        <v>0</v>
      </c>
      <c r="AC259" t="s">
        <v>58</v>
      </c>
      <c r="AD259">
        <v>8</v>
      </c>
      <c r="AE259" t="s">
        <v>59</v>
      </c>
      <c r="AF259">
        <v>590635790</v>
      </c>
      <c r="AG259" t="b">
        <v>0</v>
      </c>
      <c r="AH259">
        <v>19</v>
      </c>
      <c r="AI259" t="s">
        <v>60</v>
      </c>
      <c r="AJ259">
        <v>4348922</v>
      </c>
      <c r="AK259" t="b">
        <v>0</v>
      </c>
      <c r="AL259">
        <v>590635790</v>
      </c>
      <c r="AM259" t="b">
        <v>0</v>
      </c>
      <c r="AN259">
        <v>0</v>
      </c>
      <c r="AO259" t="b">
        <v>0</v>
      </c>
      <c r="AP259">
        <v>0</v>
      </c>
      <c r="AQ259">
        <v>273353427</v>
      </c>
      <c r="AR259">
        <v>273353427</v>
      </c>
      <c r="AS259">
        <v>0</v>
      </c>
      <c r="AT259" t="b">
        <v>0</v>
      </c>
      <c r="AU259" t="b">
        <v>1</v>
      </c>
      <c r="BA259" t="str">
        <f t="shared" ref="BA259:BA322" si="8">IF(OR(AJ259&lt;AY259,AJ833&gt;AZ259),"Outlier","Normal")</f>
        <v>Normal</v>
      </c>
      <c r="BG259" t="str">
        <f t="shared" ref="BG259:BG322" si="9">IF(OR(AQ259&lt;BE259,AQ833&gt;BF259),"Outlier","Normal")</f>
        <v>Normal</v>
      </c>
    </row>
    <row r="260" spans="1:59" x14ac:dyDescent="0.2">
      <c r="A260" t="s">
        <v>42</v>
      </c>
      <c r="B260" t="s">
        <v>43</v>
      </c>
      <c r="C260">
        <v>20210101</v>
      </c>
      <c r="D260">
        <v>2021</v>
      </c>
      <c r="E260">
        <v>52</v>
      </c>
      <c r="F260" t="s">
        <v>287</v>
      </c>
      <c r="G260">
        <v>498</v>
      </c>
      <c r="H260" t="s">
        <v>185</v>
      </c>
      <c r="I260" t="s">
        <v>186</v>
      </c>
      <c r="J260" t="s">
        <v>47</v>
      </c>
      <c r="K260" t="s">
        <v>48</v>
      </c>
      <c r="L260">
        <v>0</v>
      </c>
      <c r="M260" t="s">
        <v>49</v>
      </c>
      <c r="N260" t="s">
        <v>50</v>
      </c>
      <c r="O260">
        <v>0</v>
      </c>
      <c r="P260" t="s">
        <v>49</v>
      </c>
      <c r="Q260" t="s">
        <v>50</v>
      </c>
      <c r="R260" t="s">
        <v>51</v>
      </c>
      <c r="S260" t="s">
        <v>52</v>
      </c>
      <c r="T260" t="b">
        <v>1</v>
      </c>
      <c r="U260" t="s">
        <v>53</v>
      </c>
      <c r="V260" t="s">
        <v>54</v>
      </c>
      <c r="W260">
        <v>4</v>
      </c>
      <c r="X260" t="b">
        <v>0</v>
      </c>
      <c r="Y260" t="s">
        <v>55</v>
      </c>
      <c r="Z260" t="s">
        <v>56</v>
      </c>
      <c r="AA260" t="s">
        <v>57</v>
      </c>
      <c r="AB260">
        <v>0</v>
      </c>
      <c r="AC260" t="s">
        <v>58</v>
      </c>
      <c r="AD260">
        <v>8</v>
      </c>
      <c r="AE260" t="s">
        <v>59</v>
      </c>
      <c r="AF260">
        <v>4724810</v>
      </c>
      <c r="AG260" t="b">
        <v>0</v>
      </c>
      <c r="AH260">
        <v>8</v>
      </c>
      <c r="AI260" t="s">
        <v>59</v>
      </c>
      <c r="AJ260">
        <v>4724810</v>
      </c>
      <c r="AK260" t="b">
        <v>0</v>
      </c>
      <c r="AL260">
        <v>4724810</v>
      </c>
      <c r="AM260" t="b">
        <v>0</v>
      </c>
      <c r="AN260">
        <v>0</v>
      </c>
      <c r="AO260" t="b">
        <v>0</v>
      </c>
      <c r="AP260">
        <v>0</v>
      </c>
      <c r="AQ260">
        <v>1477035</v>
      </c>
      <c r="AR260">
        <v>1477035</v>
      </c>
      <c r="AS260">
        <v>0</v>
      </c>
      <c r="AT260" t="b">
        <v>0</v>
      </c>
      <c r="AU260" t="b">
        <v>1</v>
      </c>
      <c r="BA260" t="str">
        <f t="shared" si="8"/>
        <v>Normal</v>
      </c>
      <c r="BG260" t="str">
        <f t="shared" si="9"/>
        <v>Normal</v>
      </c>
    </row>
    <row r="261" spans="1:59" x14ac:dyDescent="0.2">
      <c r="A261" t="s">
        <v>42</v>
      </c>
      <c r="B261" t="s">
        <v>43</v>
      </c>
      <c r="C261">
        <v>20210101</v>
      </c>
      <c r="D261">
        <v>2021</v>
      </c>
      <c r="E261">
        <v>52</v>
      </c>
      <c r="F261" t="s">
        <v>287</v>
      </c>
      <c r="G261">
        <v>512</v>
      </c>
      <c r="H261" t="s">
        <v>187</v>
      </c>
      <c r="I261" t="s">
        <v>188</v>
      </c>
      <c r="J261" t="s">
        <v>47</v>
      </c>
      <c r="K261" t="s">
        <v>48</v>
      </c>
      <c r="L261">
        <v>0</v>
      </c>
      <c r="M261" t="s">
        <v>49</v>
      </c>
      <c r="N261" t="s">
        <v>50</v>
      </c>
      <c r="O261">
        <v>0</v>
      </c>
      <c r="P261" t="s">
        <v>49</v>
      </c>
      <c r="Q261" t="s">
        <v>50</v>
      </c>
      <c r="R261" t="s">
        <v>51</v>
      </c>
      <c r="S261" t="s">
        <v>52</v>
      </c>
      <c r="T261" t="b">
        <v>1</v>
      </c>
      <c r="U261" t="s">
        <v>53</v>
      </c>
      <c r="V261" t="s">
        <v>54</v>
      </c>
      <c r="W261">
        <v>4</v>
      </c>
      <c r="X261" t="b">
        <v>0</v>
      </c>
      <c r="Y261" t="s">
        <v>55</v>
      </c>
      <c r="Z261" t="s">
        <v>56</v>
      </c>
      <c r="AA261" t="s">
        <v>57</v>
      </c>
      <c r="AB261">
        <v>0</v>
      </c>
      <c r="AC261" t="s">
        <v>58</v>
      </c>
      <c r="AD261">
        <v>8</v>
      </c>
      <c r="AE261" t="s">
        <v>59</v>
      </c>
      <c r="AF261">
        <v>39477367584.549004</v>
      </c>
      <c r="AG261" t="b">
        <v>1</v>
      </c>
      <c r="AH261">
        <v>-1</v>
      </c>
      <c r="AI261" t="s">
        <v>73</v>
      </c>
      <c r="AJ261">
        <v>0</v>
      </c>
      <c r="AK261" t="b">
        <v>0</v>
      </c>
      <c r="AL261">
        <v>39477367584.549004</v>
      </c>
      <c r="AM261" t="b">
        <v>1</v>
      </c>
      <c r="AN261">
        <v>0</v>
      </c>
      <c r="AO261" t="b">
        <v>0</v>
      </c>
      <c r="AQ261">
        <v>18686070386.881001</v>
      </c>
      <c r="AR261">
        <v>18686070386.881001</v>
      </c>
      <c r="AS261">
        <v>6</v>
      </c>
      <c r="AT261" t="b">
        <v>0</v>
      </c>
      <c r="AU261" t="b">
        <v>1</v>
      </c>
      <c r="BA261" t="str">
        <f t="shared" si="8"/>
        <v>Normal</v>
      </c>
      <c r="BG261" t="str">
        <f t="shared" si="9"/>
        <v>Normal</v>
      </c>
    </row>
    <row r="262" spans="1:59" x14ac:dyDescent="0.2">
      <c r="A262" t="s">
        <v>42</v>
      </c>
      <c r="B262" t="s">
        <v>43</v>
      </c>
      <c r="C262">
        <v>20210101</v>
      </c>
      <c r="D262">
        <v>2021</v>
      </c>
      <c r="E262">
        <v>52</v>
      </c>
      <c r="F262" t="s">
        <v>287</v>
      </c>
      <c r="G262">
        <v>516</v>
      </c>
      <c r="H262" t="s">
        <v>189</v>
      </c>
      <c r="I262" t="s">
        <v>190</v>
      </c>
      <c r="J262" t="s">
        <v>47</v>
      </c>
      <c r="K262" t="s">
        <v>48</v>
      </c>
      <c r="L262">
        <v>0</v>
      </c>
      <c r="M262" t="s">
        <v>49</v>
      </c>
      <c r="N262" t="s">
        <v>50</v>
      </c>
      <c r="O262">
        <v>0</v>
      </c>
      <c r="P262" t="s">
        <v>49</v>
      </c>
      <c r="Q262" t="s">
        <v>50</v>
      </c>
      <c r="R262" t="s">
        <v>51</v>
      </c>
      <c r="S262" t="s">
        <v>52</v>
      </c>
      <c r="T262" t="b">
        <v>1</v>
      </c>
      <c r="U262" t="s">
        <v>53</v>
      </c>
      <c r="V262" t="s">
        <v>54</v>
      </c>
      <c r="W262">
        <v>4</v>
      </c>
      <c r="X262" t="b">
        <v>0</v>
      </c>
      <c r="Y262" t="s">
        <v>55</v>
      </c>
      <c r="Z262" t="s">
        <v>56</v>
      </c>
      <c r="AA262" t="s">
        <v>57</v>
      </c>
      <c r="AB262">
        <v>0</v>
      </c>
      <c r="AC262" t="s">
        <v>58</v>
      </c>
      <c r="AD262">
        <v>-1</v>
      </c>
      <c r="AE262" t="s">
        <v>73</v>
      </c>
      <c r="AF262">
        <v>0</v>
      </c>
      <c r="AG262" t="b">
        <v>0</v>
      </c>
      <c r="AH262">
        <v>-1</v>
      </c>
      <c r="AI262" t="s">
        <v>73</v>
      </c>
      <c r="AJ262">
        <v>0</v>
      </c>
      <c r="AK262" t="b">
        <v>0</v>
      </c>
      <c r="AM262" t="b">
        <v>0</v>
      </c>
      <c r="AN262">
        <v>0</v>
      </c>
      <c r="AO262" t="b">
        <v>0</v>
      </c>
      <c r="AQ262">
        <v>241878.802</v>
      </c>
      <c r="AR262">
        <v>241878.802</v>
      </c>
      <c r="AS262">
        <v>0</v>
      </c>
      <c r="AT262" t="b">
        <v>0</v>
      </c>
      <c r="AU262" t="b">
        <v>1</v>
      </c>
      <c r="BA262" t="str">
        <f t="shared" si="8"/>
        <v>Normal</v>
      </c>
      <c r="BG262" t="str">
        <f t="shared" si="9"/>
        <v>Normal</v>
      </c>
    </row>
    <row r="263" spans="1:59" x14ac:dyDescent="0.2">
      <c r="A263" t="s">
        <v>42</v>
      </c>
      <c r="B263" t="s">
        <v>43</v>
      </c>
      <c r="C263">
        <v>20210101</v>
      </c>
      <c r="D263">
        <v>2021</v>
      </c>
      <c r="E263">
        <v>52</v>
      </c>
      <c r="F263" t="s">
        <v>287</v>
      </c>
      <c r="G263">
        <v>528</v>
      </c>
      <c r="H263" t="s">
        <v>191</v>
      </c>
      <c r="I263" t="s">
        <v>192</v>
      </c>
      <c r="J263" t="s">
        <v>47</v>
      </c>
      <c r="K263" t="s">
        <v>48</v>
      </c>
      <c r="L263">
        <v>0</v>
      </c>
      <c r="M263" t="s">
        <v>49</v>
      </c>
      <c r="N263" t="s">
        <v>50</v>
      </c>
      <c r="O263">
        <v>0</v>
      </c>
      <c r="P263" t="s">
        <v>49</v>
      </c>
      <c r="Q263" t="s">
        <v>50</v>
      </c>
      <c r="R263" t="s">
        <v>51</v>
      </c>
      <c r="S263" t="s">
        <v>52</v>
      </c>
      <c r="T263" t="b">
        <v>1</v>
      </c>
      <c r="U263" t="s">
        <v>53</v>
      </c>
      <c r="V263" t="s">
        <v>54</v>
      </c>
      <c r="W263">
        <v>4</v>
      </c>
      <c r="X263" t="b">
        <v>0</v>
      </c>
      <c r="Y263" t="s">
        <v>55</v>
      </c>
      <c r="Z263" t="s">
        <v>56</v>
      </c>
      <c r="AA263" t="s">
        <v>57</v>
      </c>
      <c r="AB263">
        <v>0</v>
      </c>
      <c r="AC263" t="s">
        <v>58</v>
      </c>
      <c r="AD263">
        <v>8</v>
      </c>
      <c r="AE263" t="s">
        <v>59</v>
      </c>
      <c r="AF263">
        <v>379109264</v>
      </c>
      <c r="AG263" t="b">
        <v>0</v>
      </c>
      <c r="AH263">
        <v>8</v>
      </c>
      <c r="AI263" t="s">
        <v>59</v>
      </c>
      <c r="AJ263">
        <v>379109264</v>
      </c>
      <c r="AK263" t="b">
        <v>0</v>
      </c>
      <c r="AL263">
        <v>379109264</v>
      </c>
      <c r="AM263" t="b">
        <v>0</v>
      </c>
      <c r="AN263">
        <v>0</v>
      </c>
      <c r="AO263" t="b">
        <v>0</v>
      </c>
      <c r="AP263">
        <v>0</v>
      </c>
      <c r="AQ263">
        <v>189906152.632</v>
      </c>
      <c r="AR263">
        <v>189906152.632</v>
      </c>
      <c r="AS263">
        <v>0</v>
      </c>
      <c r="AT263" t="b">
        <v>0</v>
      </c>
      <c r="AU263" t="b">
        <v>1</v>
      </c>
      <c r="BA263" t="str">
        <f t="shared" si="8"/>
        <v>Normal</v>
      </c>
      <c r="BG263" t="str">
        <f t="shared" si="9"/>
        <v>Normal</v>
      </c>
    </row>
    <row r="264" spans="1:59" x14ac:dyDescent="0.2">
      <c r="A264" t="s">
        <v>42</v>
      </c>
      <c r="B264" t="s">
        <v>43</v>
      </c>
      <c r="C264">
        <v>20210101</v>
      </c>
      <c r="D264">
        <v>2021</v>
      </c>
      <c r="E264">
        <v>52</v>
      </c>
      <c r="F264" t="s">
        <v>287</v>
      </c>
      <c r="G264">
        <v>533</v>
      </c>
      <c r="H264" t="s">
        <v>193</v>
      </c>
      <c r="I264" t="s">
        <v>194</v>
      </c>
      <c r="J264" t="s">
        <v>47</v>
      </c>
      <c r="K264" t="s">
        <v>48</v>
      </c>
      <c r="L264">
        <v>0</v>
      </c>
      <c r="M264" t="s">
        <v>49</v>
      </c>
      <c r="N264" t="s">
        <v>50</v>
      </c>
      <c r="O264">
        <v>0</v>
      </c>
      <c r="P264" t="s">
        <v>49</v>
      </c>
      <c r="Q264" t="s">
        <v>50</v>
      </c>
      <c r="R264" t="s">
        <v>104</v>
      </c>
      <c r="S264" t="s">
        <v>52</v>
      </c>
      <c r="T264" t="b">
        <v>1</v>
      </c>
      <c r="U264" t="s">
        <v>53</v>
      </c>
      <c r="V264" t="s">
        <v>54</v>
      </c>
      <c r="W264">
        <v>4</v>
      </c>
      <c r="X264" t="b">
        <v>0</v>
      </c>
      <c r="Y264" t="s">
        <v>55</v>
      </c>
      <c r="Z264" t="s">
        <v>56</v>
      </c>
      <c r="AA264" t="s">
        <v>57</v>
      </c>
      <c r="AB264">
        <v>0</v>
      </c>
      <c r="AC264" t="s">
        <v>58</v>
      </c>
      <c r="AD264">
        <v>8</v>
      </c>
      <c r="AE264" t="s">
        <v>59</v>
      </c>
      <c r="AF264">
        <v>71</v>
      </c>
      <c r="AG264" t="b">
        <v>0</v>
      </c>
      <c r="AH264">
        <v>8</v>
      </c>
      <c r="AI264" t="s">
        <v>59</v>
      </c>
      <c r="AJ264">
        <v>71</v>
      </c>
      <c r="AK264" t="b">
        <v>0</v>
      </c>
      <c r="AL264">
        <v>71</v>
      </c>
      <c r="AM264" t="b">
        <v>0</v>
      </c>
      <c r="AN264">
        <v>0</v>
      </c>
      <c r="AO264" t="b">
        <v>0</v>
      </c>
      <c r="AP264">
        <v>0</v>
      </c>
      <c r="AQ264">
        <v>48.603000000000002</v>
      </c>
      <c r="AR264">
        <v>48.603000000000002</v>
      </c>
      <c r="AS264">
        <v>0</v>
      </c>
      <c r="AT264" t="b">
        <v>0</v>
      </c>
      <c r="AU264" t="b">
        <v>1</v>
      </c>
      <c r="BA264" t="str">
        <f t="shared" si="8"/>
        <v>Normal</v>
      </c>
      <c r="BG264" t="str">
        <f t="shared" si="9"/>
        <v>Normal</v>
      </c>
    </row>
    <row r="265" spans="1:59" x14ac:dyDescent="0.2">
      <c r="A265" t="s">
        <v>42</v>
      </c>
      <c r="B265" t="s">
        <v>43</v>
      </c>
      <c r="C265">
        <v>20210101</v>
      </c>
      <c r="D265">
        <v>2021</v>
      </c>
      <c r="E265">
        <v>52</v>
      </c>
      <c r="F265" t="s">
        <v>287</v>
      </c>
      <c r="G265">
        <v>554</v>
      </c>
      <c r="H265" t="s">
        <v>195</v>
      </c>
      <c r="I265" t="s">
        <v>196</v>
      </c>
      <c r="J265" t="s">
        <v>47</v>
      </c>
      <c r="K265" t="s">
        <v>48</v>
      </c>
      <c r="L265">
        <v>0</v>
      </c>
      <c r="M265" t="s">
        <v>49</v>
      </c>
      <c r="N265" t="s">
        <v>50</v>
      </c>
      <c r="O265">
        <v>0</v>
      </c>
      <c r="P265" t="s">
        <v>49</v>
      </c>
      <c r="Q265" t="s">
        <v>50</v>
      </c>
      <c r="R265" t="s">
        <v>51</v>
      </c>
      <c r="S265" t="s">
        <v>52</v>
      </c>
      <c r="T265" t="b">
        <v>1</v>
      </c>
      <c r="U265" t="s">
        <v>53</v>
      </c>
      <c r="V265" t="s">
        <v>54</v>
      </c>
      <c r="W265">
        <v>4</v>
      </c>
      <c r="X265" t="b">
        <v>0</v>
      </c>
      <c r="Y265" t="s">
        <v>55</v>
      </c>
      <c r="Z265" t="s">
        <v>56</v>
      </c>
      <c r="AA265" t="s">
        <v>57</v>
      </c>
      <c r="AB265">
        <v>0</v>
      </c>
      <c r="AC265" t="s">
        <v>58</v>
      </c>
      <c r="AD265">
        <v>8</v>
      </c>
      <c r="AE265" t="s">
        <v>59</v>
      </c>
      <c r="AF265">
        <v>655035000</v>
      </c>
      <c r="AG265" t="b">
        <v>0</v>
      </c>
      <c r="AH265">
        <v>21</v>
      </c>
      <c r="AI265" t="s">
        <v>170</v>
      </c>
      <c r="AJ265">
        <v>655035</v>
      </c>
      <c r="AK265" t="b">
        <v>0</v>
      </c>
      <c r="AL265">
        <v>655035000</v>
      </c>
      <c r="AM265" t="b">
        <v>0</v>
      </c>
      <c r="AN265">
        <v>666310600</v>
      </c>
      <c r="AO265" t="b">
        <v>0</v>
      </c>
      <c r="AQ265">
        <v>326152420.523</v>
      </c>
      <c r="AR265">
        <v>326152420.523</v>
      </c>
      <c r="AS265">
        <v>0</v>
      </c>
      <c r="AT265" t="b">
        <v>0</v>
      </c>
      <c r="AU265" t="b">
        <v>1</v>
      </c>
      <c r="BA265" t="str">
        <f t="shared" si="8"/>
        <v>Normal</v>
      </c>
      <c r="BG265" t="str">
        <f t="shared" si="9"/>
        <v>Normal</v>
      </c>
    </row>
    <row r="266" spans="1:59" x14ac:dyDescent="0.2">
      <c r="A266" t="s">
        <v>42</v>
      </c>
      <c r="B266" t="s">
        <v>43</v>
      </c>
      <c r="C266">
        <v>20210101</v>
      </c>
      <c r="D266">
        <v>2021</v>
      </c>
      <c r="E266">
        <v>52</v>
      </c>
      <c r="F266" t="s">
        <v>287</v>
      </c>
      <c r="G266">
        <v>566</v>
      </c>
      <c r="H266" t="s">
        <v>197</v>
      </c>
      <c r="I266" t="s">
        <v>198</v>
      </c>
      <c r="J266" t="s">
        <v>47</v>
      </c>
      <c r="K266" t="s">
        <v>48</v>
      </c>
      <c r="L266">
        <v>0</v>
      </c>
      <c r="M266" t="s">
        <v>49</v>
      </c>
      <c r="N266" t="s">
        <v>50</v>
      </c>
      <c r="O266">
        <v>0</v>
      </c>
      <c r="P266" t="s">
        <v>49</v>
      </c>
      <c r="Q266" t="s">
        <v>50</v>
      </c>
      <c r="R266" t="s">
        <v>104</v>
      </c>
      <c r="S266" t="s">
        <v>52</v>
      </c>
      <c r="T266" t="b">
        <v>1</v>
      </c>
      <c r="U266" t="s">
        <v>53</v>
      </c>
      <c r="V266" t="s">
        <v>54</v>
      </c>
      <c r="W266">
        <v>4</v>
      </c>
      <c r="X266" t="b">
        <v>0</v>
      </c>
      <c r="Y266" t="s">
        <v>55</v>
      </c>
      <c r="Z266" t="s">
        <v>56</v>
      </c>
      <c r="AA266" t="s">
        <v>57</v>
      </c>
      <c r="AB266">
        <v>0</v>
      </c>
      <c r="AC266" t="s">
        <v>58</v>
      </c>
      <c r="AD266">
        <v>-1</v>
      </c>
      <c r="AE266" t="s">
        <v>73</v>
      </c>
      <c r="AF266">
        <v>0</v>
      </c>
      <c r="AG266" t="b">
        <v>0</v>
      </c>
      <c r="AH266">
        <v>-1</v>
      </c>
      <c r="AI266" t="s">
        <v>73</v>
      </c>
      <c r="AJ266">
        <v>0</v>
      </c>
      <c r="AK266" t="b">
        <v>0</v>
      </c>
      <c r="AL266">
        <v>0</v>
      </c>
      <c r="AM266" t="b">
        <v>0</v>
      </c>
      <c r="AN266">
        <v>0</v>
      </c>
      <c r="AO266" t="b">
        <v>0</v>
      </c>
      <c r="AP266">
        <v>0</v>
      </c>
      <c r="AQ266">
        <v>35998144403.307999</v>
      </c>
      <c r="AR266">
        <v>35998144403.307999</v>
      </c>
      <c r="AS266">
        <v>0</v>
      </c>
      <c r="AT266" t="b">
        <v>0</v>
      </c>
      <c r="AU266" t="b">
        <v>1</v>
      </c>
      <c r="BA266" t="str">
        <f t="shared" si="8"/>
        <v>Normal</v>
      </c>
      <c r="BG266" t="str">
        <f t="shared" si="9"/>
        <v>Normal</v>
      </c>
    </row>
    <row r="267" spans="1:59" x14ac:dyDescent="0.2">
      <c r="A267" t="s">
        <v>42</v>
      </c>
      <c r="B267" t="s">
        <v>43</v>
      </c>
      <c r="C267">
        <v>20210101</v>
      </c>
      <c r="D267">
        <v>2021</v>
      </c>
      <c r="E267">
        <v>52</v>
      </c>
      <c r="F267" t="s">
        <v>287</v>
      </c>
      <c r="G267">
        <v>579</v>
      </c>
      <c r="H267" t="s">
        <v>199</v>
      </c>
      <c r="I267" t="s">
        <v>200</v>
      </c>
      <c r="J267" t="s">
        <v>47</v>
      </c>
      <c r="K267" t="s">
        <v>48</v>
      </c>
      <c r="L267">
        <v>0</v>
      </c>
      <c r="M267" t="s">
        <v>49</v>
      </c>
      <c r="N267" t="s">
        <v>50</v>
      </c>
      <c r="O267">
        <v>0</v>
      </c>
      <c r="P267" t="s">
        <v>49</v>
      </c>
      <c r="Q267" t="s">
        <v>50</v>
      </c>
      <c r="R267" t="s">
        <v>51</v>
      </c>
      <c r="S267" t="s">
        <v>52</v>
      </c>
      <c r="T267" t="b">
        <v>1</v>
      </c>
      <c r="U267" t="s">
        <v>53</v>
      </c>
      <c r="V267" t="s">
        <v>54</v>
      </c>
      <c r="W267">
        <v>4</v>
      </c>
      <c r="X267" t="b">
        <v>0</v>
      </c>
      <c r="Y267" t="s">
        <v>55</v>
      </c>
      <c r="Z267" t="s">
        <v>56</v>
      </c>
      <c r="AA267" t="s">
        <v>57</v>
      </c>
      <c r="AB267">
        <v>0</v>
      </c>
      <c r="AC267" t="s">
        <v>58</v>
      </c>
      <c r="AD267">
        <v>8</v>
      </c>
      <c r="AE267" t="s">
        <v>59</v>
      </c>
      <c r="AF267">
        <v>79998015400</v>
      </c>
      <c r="AG267" t="b">
        <v>0</v>
      </c>
      <c r="AH267">
        <v>-1</v>
      </c>
      <c r="AI267" t="s">
        <v>73</v>
      </c>
      <c r="AJ267">
        <v>0</v>
      </c>
      <c r="AK267" t="b">
        <v>0</v>
      </c>
      <c r="AL267">
        <v>79998015400</v>
      </c>
      <c r="AM267" t="b">
        <v>0</v>
      </c>
      <c r="AN267">
        <v>0</v>
      </c>
      <c r="AO267" t="b">
        <v>0</v>
      </c>
      <c r="AQ267">
        <v>41896621057.973999</v>
      </c>
      <c r="AR267">
        <v>41896621057.973999</v>
      </c>
      <c r="AS267">
        <v>0</v>
      </c>
      <c r="AT267" t="b">
        <v>0</v>
      </c>
      <c r="AU267" t="b">
        <v>1</v>
      </c>
      <c r="BA267" t="str">
        <f t="shared" si="8"/>
        <v>Normal</v>
      </c>
      <c r="BG267" t="str">
        <f t="shared" si="9"/>
        <v>Normal</v>
      </c>
    </row>
    <row r="268" spans="1:59" x14ac:dyDescent="0.2">
      <c r="A268" t="s">
        <v>42</v>
      </c>
      <c r="B268" t="s">
        <v>43</v>
      </c>
      <c r="C268">
        <v>20210101</v>
      </c>
      <c r="D268">
        <v>2021</v>
      </c>
      <c r="E268">
        <v>52</v>
      </c>
      <c r="F268" t="s">
        <v>287</v>
      </c>
      <c r="G268">
        <v>586</v>
      </c>
      <c r="H268" t="s">
        <v>201</v>
      </c>
      <c r="I268" t="s">
        <v>202</v>
      </c>
      <c r="J268" t="s">
        <v>47</v>
      </c>
      <c r="K268" t="s">
        <v>48</v>
      </c>
      <c r="L268">
        <v>0</v>
      </c>
      <c r="M268" t="s">
        <v>49</v>
      </c>
      <c r="N268" t="s">
        <v>50</v>
      </c>
      <c r="O268">
        <v>0</v>
      </c>
      <c r="P268" t="s">
        <v>49</v>
      </c>
      <c r="Q268" t="s">
        <v>50</v>
      </c>
      <c r="R268" t="s">
        <v>51</v>
      </c>
      <c r="S268" t="s">
        <v>52</v>
      </c>
      <c r="T268" t="b">
        <v>1</v>
      </c>
      <c r="U268" t="s">
        <v>53</v>
      </c>
      <c r="V268" t="s">
        <v>54</v>
      </c>
      <c r="W268">
        <v>4</v>
      </c>
      <c r="X268" t="b">
        <v>0</v>
      </c>
      <c r="Y268" t="s">
        <v>55</v>
      </c>
      <c r="Z268" t="s">
        <v>56</v>
      </c>
      <c r="AA268" t="s">
        <v>57</v>
      </c>
      <c r="AB268">
        <v>0</v>
      </c>
      <c r="AC268" t="s">
        <v>58</v>
      </c>
      <c r="AD268">
        <v>8</v>
      </c>
      <c r="AE268" t="s">
        <v>59</v>
      </c>
      <c r="AF268">
        <v>336436000</v>
      </c>
      <c r="AG268" t="b">
        <v>0</v>
      </c>
      <c r="AH268">
        <v>21</v>
      </c>
      <c r="AI268" t="s">
        <v>170</v>
      </c>
      <c r="AJ268">
        <v>336436</v>
      </c>
      <c r="AK268" t="b">
        <v>0</v>
      </c>
      <c r="AL268">
        <v>336436000</v>
      </c>
      <c r="AM268" t="b">
        <v>0</v>
      </c>
      <c r="AN268">
        <v>0</v>
      </c>
      <c r="AO268" t="b">
        <v>0</v>
      </c>
      <c r="AP268">
        <v>0</v>
      </c>
      <c r="AQ268">
        <v>171430759.44800001</v>
      </c>
      <c r="AR268">
        <v>171430759.44800001</v>
      </c>
      <c r="AS268">
        <v>0</v>
      </c>
      <c r="AT268" t="b">
        <v>0</v>
      </c>
      <c r="AU268" t="b">
        <v>1</v>
      </c>
      <c r="BA268" t="str">
        <f t="shared" si="8"/>
        <v>Normal</v>
      </c>
      <c r="BG268" t="str">
        <f t="shared" si="9"/>
        <v>Normal</v>
      </c>
    </row>
    <row r="269" spans="1:59" x14ac:dyDescent="0.2">
      <c r="A269" t="s">
        <v>42</v>
      </c>
      <c r="B269" t="s">
        <v>43</v>
      </c>
      <c r="C269">
        <v>20210101</v>
      </c>
      <c r="D269">
        <v>2021</v>
      </c>
      <c r="E269">
        <v>52</v>
      </c>
      <c r="F269" t="s">
        <v>287</v>
      </c>
      <c r="G269">
        <v>598</v>
      </c>
      <c r="H269" t="s">
        <v>203</v>
      </c>
      <c r="I269" t="s">
        <v>204</v>
      </c>
      <c r="J269" t="s">
        <v>47</v>
      </c>
      <c r="K269" t="s">
        <v>48</v>
      </c>
      <c r="L269">
        <v>0</v>
      </c>
      <c r="M269" t="s">
        <v>49</v>
      </c>
      <c r="N269" t="s">
        <v>50</v>
      </c>
      <c r="O269">
        <v>0</v>
      </c>
      <c r="P269" t="s">
        <v>49</v>
      </c>
      <c r="Q269" t="s">
        <v>50</v>
      </c>
      <c r="R269" t="s">
        <v>51</v>
      </c>
      <c r="S269" t="s">
        <v>52</v>
      </c>
      <c r="T269" t="b">
        <v>1</v>
      </c>
      <c r="U269" t="s">
        <v>53</v>
      </c>
      <c r="V269" t="s">
        <v>54</v>
      </c>
      <c r="W269">
        <v>4</v>
      </c>
      <c r="X269" t="b">
        <v>0</v>
      </c>
      <c r="Y269" t="s">
        <v>55</v>
      </c>
      <c r="Z269" t="s">
        <v>56</v>
      </c>
      <c r="AA269" t="s">
        <v>57</v>
      </c>
      <c r="AB269">
        <v>0</v>
      </c>
      <c r="AC269" t="s">
        <v>58</v>
      </c>
      <c r="AD269">
        <v>8</v>
      </c>
      <c r="AE269" t="s">
        <v>59</v>
      </c>
      <c r="AF269">
        <v>60445530</v>
      </c>
      <c r="AG269" t="b">
        <v>0</v>
      </c>
      <c r="AH269">
        <v>7</v>
      </c>
      <c r="AI269" t="s">
        <v>67</v>
      </c>
      <c r="AJ269">
        <v>60445530</v>
      </c>
      <c r="AK269" t="b">
        <v>0</v>
      </c>
      <c r="AL269">
        <v>60445530</v>
      </c>
      <c r="AM269" t="b">
        <v>0</v>
      </c>
      <c r="AN269">
        <v>0</v>
      </c>
      <c r="AO269" t="b">
        <v>0</v>
      </c>
      <c r="AQ269">
        <v>799943803.64600003</v>
      </c>
      <c r="AR269">
        <v>799943803.64600003</v>
      </c>
      <c r="AS269">
        <v>0</v>
      </c>
      <c r="AT269" t="b">
        <v>0</v>
      </c>
      <c r="AU269" t="b">
        <v>1</v>
      </c>
      <c r="BA269" t="str">
        <f t="shared" si="8"/>
        <v>Normal</v>
      </c>
      <c r="BG269" t="str">
        <f t="shared" si="9"/>
        <v>Normal</v>
      </c>
    </row>
    <row r="270" spans="1:59" x14ac:dyDescent="0.2">
      <c r="A270" t="s">
        <v>42</v>
      </c>
      <c r="B270" t="s">
        <v>43</v>
      </c>
      <c r="C270">
        <v>20210101</v>
      </c>
      <c r="D270">
        <v>2021</v>
      </c>
      <c r="E270">
        <v>52</v>
      </c>
      <c r="F270" t="s">
        <v>287</v>
      </c>
      <c r="G270">
        <v>604</v>
      </c>
      <c r="H270" t="s">
        <v>205</v>
      </c>
      <c r="I270" t="s">
        <v>206</v>
      </c>
      <c r="J270" t="s">
        <v>47</v>
      </c>
      <c r="K270" t="s">
        <v>48</v>
      </c>
      <c r="L270">
        <v>0</v>
      </c>
      <c r="M270" t="s">
        <v>49</v>
      </c>
      <c r="N270" t="s">
        <v>50</v>
      </c>
      <c r="O270">
        <v>0</v>
      </c>
      <c r="P270" t="s">
        <v>49</v>
      </c>
      <c r="Q270" t="s">
        <v>50</v>
      </c>
      <c r="R270" t="s">
        <v>51</v>
      </c>
      <c r="S270" t="s">
        <v>52</v>
      </c>
      <c r="T270" t="b">
        <v>1</v>
      </c>
      <c r="U270" t="s">
        <v>53</v>
      </c>
      <c r="V270" t="s">
        <v>54</v>
      </c>
      <c r="W270">
        <v>4</v>
      </c>
      <c r="X270" t="b">
        <v>0</v>
      </c>
      <c r="Y270" t="s">
        <v>55</v>
      </c>
      <c r="Z270" t="s">
        <v>56</v>
      </c>
      <c r="AA270" t="s">
        <v>57</v>
      </c>
      <c r="AB270">
        <v>0</v>
      </c>
      <c r="AC270" t="s">
        <v>58</v>
      </c>
      <c r="AD270">
        <v>8</v>
      </c>
      <c r="AE270" t="s">
        <v>59</v>
      </c>
      <c r="AF270">
        <v>620806775</v>
      </c>
      <c r="AG270" t="b">
        <v>0</v>
      </c>
      <c r="AH270">
        <v>12</v>
      </c>
      <c r="AI270" t="s">
        <v>70</v>
      </c>
      <c r="AJ270">
        <v>683655.17</v>
      </c>
      <c r="AK270" t="b">
        <v>0</v>
      </c>
      <c r="AL270">
        <v>620806775</v>
      </c>
      <c r="AM270" t="b">
        <v>0</v>
      </c>
      <c r="AN270">
        <v>0</v>
      </c>
      <c r="AO270" t="b">
        <v>0</v>
      </c>
      <c r="AP270">
        <v>0</v>
      </c>
      <c r="AQ270">
        <v>289657421.82999998</v>
      </c>
      <c r="AR270">
        <v>289657421.82999998</v>
      </c>
      <c r="AS270">
        <v>0</v>
      </c>
      <c r="AT270" t="b">
        <v>0</v>
      </c>
      <c r="AU270" t="b">
        <v>1</v>
      </c>
      <c r="BA270" t="str">
        <f t="shared" si="8"/>
        <v>Normal</v>
      </c>
      <c r="BG270" t="str">
        <f t="shared" si="9"/>
        <v>Normal</v>
      </c>
    </row>
    <row r="271" spans="1:59" x14ac:dyDescent="0.2">
      <c r="A271" t="s">
        <v>42</v>
      </c>
      <c r="B271" t="s">
        <v>43</v>
      </c>
      <c r="C271">
        <v>20210101</v>
      </c>
      <c r="D271">
        <v>2021</v>
      </c>
      <c r="E271">
        <v>52</v>
      </c>
      <c r="F271" t="s">
        <v>287</v>
      </c>
      <c r="G271">
        <v>608</v>
      </c>
      <c r="H271" t="s">
        <v>207</v>
      </c>
      <c r="I271" t="s">
        <v>208</v>
      </c>
      <c r="J271" t="s">
        <v>47</v>
      </c>
      <c r="K271" t="s">
        <v>48</v>
      </c>
      <c r="L271">
        <v>0</v>
      </c>
      <c r="M271" t="s">
        <v>49</v>
      </c>
      <c r="N271" t="s">
        <v>50</v>
      </c>
      <c r="O271">
        <v>0</v>
      </c>
      <c r="P271" t="s">
        <v>49</v>
      </c>
      <c r="Q271" t="s">
        <v>50</v>
      </c>
      <c r="R271" t="s">
        <v>51</v>
      </c>
      <c r="S271" t="s">
        <v>52</v>
      </c>
      <c r="T271" t="b">
        <v>1</v>
      </c>
      <c r="U271" t="s">
        <v>53</v>
      </c>
      <c r="V271" t="s">
        <v>54</v>
      </c>
      <c r="W271">
        <v>4</v>
      </c>
      <c r="X271" t="b">
        <v>0</v>
      </c>
      <c r="Y271" t="s">
        <v>55</v>
      </c>
      <c r="Z271" t="s">
        <v>56</v>
      </c>
      <c r="AA271" t="s">
        <v>57</v>
      </c>
      <c r="AB271">
        <v>0</v>
      </c>
      <c r="AC271" t="s">
        <v>58</v>
      </c>
      <c r="AD271">
        <v>8</v>
      </c>
      <c r="AE271" t="s">
        <v>59</v>
      </c>
      <c r="AF271">
        <v>590268908.13</v>
      </c>
      <c r="AG271" t="b">
        <v>0</v>
      </c>
      <c r="AH271">
        <v>19</v>
      </c>
      <c r="AI271" t="s">
        <v>60</v>
      </c>
      <c r="AJ271">
        <v>3712383.07</v>
      </c>
      <c r="AK271" t="b">
        <v>0</v>
      </c>
      <c r="AM271" t="b">
        <v>0</v>
      </c>
      <c r="AN271">
        <v>447611450</v>
      </c>
      <c r="AO271" t="b">
        <v>0</v>
      </c>
      <c r="AQ271">
        <v>216318265</v>
      </c>
      <c r="AR271">
        <v>216318265</v>
      </c>
      <c r="AS271">
        <v>0</v>
      </c>
      <c r="AT271" t="b">
        <v>0</v>
      </c>
      <c r="AU271" t="b">
        <v>1</v>
      </c>
      <c r="BA271" t="str">
        <f t="shared" si="8"/>
        <v>Normal</v>
      </c>
      <c r="BG271" t="str">
        <f t="shared" si="9"/>
        <v>Normal</v>
      </c>
    </row>
    <row r="272" spans="1:59" x14ac:dyDescent="0.2">
      <c r="A272" t="s">
        <v>42</v>
      </c>
      <c r="B272" t="s">
        <v>43</v>
      </c>
      <c r="C272">
        <v>20210101</v>
      </c>
      <c r="D272">
        <v>2021</v>
      </c>
      <c r="E272">
        <v>52</v>
      </c>
      <c r="F272" t="s">
        <v>287</v>
      </c>
      <c r="G272">
        <v>616</v>
      </c>
      <c r="H272" t="s">
        <v>209</v>
      </c>
      <c r="I272" t="s">
        <v>210</v>
      </c>
      <c r="J272" t="s">
        <v>47</v>
      </c>
      <c r="K272" t="s">
        <v>48</v>
      </c>
      <c r="L272">
        <v>0</v>
      </c>
      <c r="M272" t="s">
        <v>49</v>
      </c>
      <c r="N272" t="s">
        <v>50</v>
      </c>
      <c r="O272">
        <v>0</v>
      </c>
      <c r="P272" t="s">
        <v>49</v>
      </c>
      <c r="Q272" t="s">
        <v>50</v>
      </c>
      <c r="R272" t="s">
        <v>51</v>
      </c>
      <c r="S272" t="s">
        <v>52</v>
      </c>
      <c r="T272" t="b">
        <v>1</v>
      </c>
      <c r="U272" t="s">
        <v>53</v>
      </c>
      <c r="V272" t="s">
        <v>54</v>
      </c>
      <c r="W272">
        <v>4</v>
      </c>
      <c r="X272" t="b">
        <v>0</v>
      </c>
      <c r="Y272" t="s">
        <v>55</v>
      </c>
      <c r="Z272" t="s">
        <v>56</v>
      </c>
      <c r="AA272" t="s">
        <v>57</v>
      </c>
      <c r="AB272">
        <v>0</v>
      </c>
      <c r="AC272" t="s">
        <v>58</v>
      </c>
      <c r="AD272">
        <v>8</v>
      </c>
      <c r="AE272" t="s">
        <v>59</v>
      </c>
      <c r="AF272">
        <v>180643397.10499999</v>
      </c>
      <c r="AG272" t="b">
        <v>1</v>
      </c>
      <c r="AH272">
        <v>-1</v>
      </c>
      <c r="AI272" t="s">
        <v>73</v>
      </c>
      <c r="AJ272">
        <v>0</v>
      </c>
      <c r="AK272" t="b">
        <v>0</v>
      </c>
      <c r="AL272">
        <v>180643397.10499999</v>
      </c>
      <c r="AM272" t="b">
        <v>1</v>
      </c>
      <c r="AN272">
        <v>0</v>
      </c>
      <c r="AO272" t="b">
        <v>0</v>
      </c>
      <c r="AP272">
        <v>0</v>
      </c>
      <c r="AQ272">
        <v>94205665</v>
      </c>
      <c r="AR272">
        <v>94205665</v>
      </c>
      <c r="AS272">
        <v>6</v>
      </c>
      <c r="AT272" t="b">
        <v>0</v>
      </c>
      <c r="AU272" t="b">
        <v>1</v>
      </c>
      <c r="BA272" t="str">
        <f t="shared" si="8"/>
        <v>Normal</v>
      </c>
      <c r="BG272" t="str">
        <f t="shared" si="9"/>
        <v>Normal</v>
      </c>
    </row>
    <row r="273" spans="1:59" x14ac:dyDescent="0.2">
      <c r="A273" t="s">
        <v>42</v>
      </c>
      <c r="B273" t="s">
        <v>43</v>
      </c>
      <c r="C273">
        <v>20210101</v>
      </c>
      <c r="D273">
        <v>2021</v>
      </c>
      <c r="E273">
        <v>52</v>
      </c>
      <c r="F273" t="s">
        <v>287</v>
      </c>
      <c r="G273">
        <v>626</v>
      </c>
      <c r="H273" t="s">
        <v>213</v>
      </c>
      <c r="I273" t="s">
        <v>214</v>
      </c>
      <c r="J273" t="s">
        <v>47</v>
      </c>
      <c r="K273" t="s">
        <v>48</v>
      </c>
      <c r="L273">
        <v>0</v>
      </c>
      <c r="M273" t="s">
        <v>49</v>
      </c>
      <c r="N273" t="s">
        <v>50</v>
      </c>
      <c r="O273">
        <v>0</v>
      </c>
      <c r="P273" t="s">
        <v>49</v>
      </c>
      <c r="Q273" t="s">
        <v>50</v>
      </c>
      <c r="R273" t="s">
        <v>51</v>
      </c>
      <c r="S273" t="s">
        <v>52</v>
      </c>
      <c r="T273" t="b">
        <v>1</v>
      </c>
      <c r="U273" t="s">
        <v>53</v>
      </c>
      <c r="V273" t="s">
        <v>54</v>
      </c>
      <c r="W273">
        <v>4</v>
      </c>
      <c r="X273" t="b">
        <v>0</v>
      </c>
      <c r="Y273" t="s">
        <v>55</v>
      </c>
      <c r="Z273" t="s">
        <v>56</v>
      </c>
      <c r="AA273" t="s">
        <v>57</v>
      </c>
      <c r="AB273">
        <v>0</v>
      </c>
      <c r="AC273" t="s">
        <v>58</v>
      </c>
      <c r="AD273">
        <v>8</v>
      </c>
      <c r="AE273" t="s">
        <v>59</v>
      </c>
      <c r="AF273">
        <v>494719577.11400002</v>
      </c>
      <c r="AG273" t="b">
        <v>1</v>
      </c>
      <c r="AH273">
        <v>-1</v>
      </c>
      <c r="AI273" t="s">
        <v>73</v>
      </c>
      <c r="AJ273">
        <v>0</v>
      </c>
      <c r="AK273" t="b">
        <v>0</v>
      </c>
      <c r="AL273">
        <v>494719577.11400002</v>
      </c>
      <c r="AM273" t="b">
        <v>1</v>
      </c>
      <c r="AN273">
        <v>0</v>
      </c>
      <c r="AO273" t="b">
        <v>0</v>
      </c>
      <c r="AQ273">
        <v>307925437.69</v>
      </c>
      <c r="AR273">
        <v>307925437.69</v>
      </c>
      <c r="AS273">
        <v>6</v>
      </c>
      <c r="AT273" t="b">
        <v>0</v>
      </c>
      <c r="AU273" t="b">
        <v>1</v>
      </c>
      <c r="BA273" t="str">
        <f t="shared" si="8"/>
        <v>Normal</v>
      </c>
      <c r="BG273" t="str">
        <f t="shared" si="9"/>
        <v>Normal</v>
      </c>
    </row>
    <row r="274" spans="1:59" x14ac:dyDescent="0.2">
      <c r="A274" t="s">
        <v>42</v>
      </c>
      <c r="B274" t="s">
        <v>43</v>
      </c>
      <c r="C274">
        <v>20210101</v>
      </c>
      <c r="D274">
        <v>2021</v>
      </c>
      <c r="E274">
        <v>52</v>
      </c>
      <c r="F274" t="s">
        <v>287</v>
      </c>
      <c r="G274">
        <v>634</v>
      </c>
      <c r="H274" t="s">
        <v>216</v>
      </c>
      <c r="I274" t="s">
        <v>217</v>
      </c>
      <c r="J274" t="s">
        <v>47</v>
      </c>
      <c r="K274" t="s">
        <v>48</v>
      </c>
      <c r="L274">
        <v>0</v>
      </c>
      <c r="M274" t="s">
        <v>49</v>
      </c>
      <c r="N274" t="s">
        <v>50</v>
      </c>
      <c r="O274">
        <v>0</v>
      </c>
      <c r="P274" t="s">
        <v>49</v>
      </c>
      <c r="Q274" t="s">
        <v>50</v>
      </c>
      <c r="R274" t="s">
        <v>51</v>
      </c>
      <c r="S274" t="s">
        <v>52</v>
      </c>
      <c r="T274" t="b">
        <v>1</v>
      </c>
      <c r="U274" t="s">
        <v>53</v>
      </c>
      <c r="V274" t="s">
        <v>54</v>
      </c>
      <c r="W274">
        <v>4</v>
      </c>
      <c r="X274" t="b">
        <v>0</v>
      </c>
      <c r="Y274" t="s">
        <v>55</v>
      </c>
      <c r="Z274" t="s">
        <v>56</v>
      </c>
      <c r="AA274" t="s">
        <v>57</v>
      </c>
      <c r="AB274">
        <v>0</v>
      </c>
      <c r="AC274" t="s">
        <v>58</v>
      </c>
      <c r="AD274">
        <v>-1</v>
      </c>
      <c r="AE274" t="s">
        <v>73</v>
      </c>
      <c r="AF274">
        <v>0</v>
      </c>
      <c r="AG274" t="b">
        <v>0</v>
      </c>
      <c r="AH274">
        <v>-1</v>
      </c>
      <c r="AI274" t="s">
        <v>73</v>
      </c>
      <c r="AJ274">
        <v>0</v>
      </c>
      <c r="AK274" t="b">
        <v>0</v>
      </c>
      <c r="AL274">
        <v>0</v>
      </c>
      <c r="AM274" t="b">
        <v>0</v>
      </c>
      <c r="AN274">
        <v>0</v>
      </c>
      <c r="AO274" t="b">
        <v>0</v>
      </c>
      <c r="AP274">
        <v>0</v>
      </c>
      <c r="AQ274">
        <v>12357415706.683001</v>
      </c>
      <c r="AR274">
        <v>12357415706.683001</v>
      </c>
      <c r="AS274">
        <v>0</v>
      </c>
      <c r="AT274" t="b">
        <v>0</v>
      </c>
      <c r="AU274" t="b">
        <v>1</v>
      </c>
      <c r="BA274" t="str">
        <f t="shared" si="8"/>
        <v>Normal</v>
      </c>
      <c r="BG274" t="str">
        <f t="shared" si="9"/>
        <v>Normal</v>
      </c>
    </row>
    <row r="275" spans="1:59" x14ac:dyDescent="0.2">
      <c r="A275" t="s">
        <v>42</v>
      </c>
      <c r="B275" t="s">
        <v>43</v>
      </c>
      <c r="C275">
        <v>20210101</v>
      </c>
      <c r="D275">
        <v>2021</v>
      </c>
      <c r="E275">
        <v>52</v>
      </c>
      <c r="F275" t="s">
        <v>287</v>
      </c>
      <c r="G275">
        <v>642</v>
      </c>
      <c r="H275" t="s">
        <v>218</v>
      </c>
      <c r="I275" t="s">
        <v>219</v>
      </c>
      <c r="J275" t="s">
        <v>47</v>
      </c>
      <c r="K275" t="s">
        <v>48</v>
      </c>
      <c r="L275">
        <v>0</v>
      </c>
      <c r="M275" t="s">
        <v>49</v>
      </c>
      <c r="N275" t="s">
        <v>50</v>
      </c>
      <c r="O275">
        <v>0</v>
      </c>
      <c r="P275" t="s">
        <v>49</v>
      </c>
      <c r="Q275" t="s">
        <v>50</v>
      </c>
      <c r="R275" t="s">
        <v>51</v>
      </c>
      <c r="S275" t="s">
        <v>52</v>
      </c>
      <c r="T275" t="b">
        <v>1</v>
      </c>
      <c r="U275" t="s">
        <v>53</v>
      </c>
      <c r="V275" t="s">
        <v>54</v>
      </c>
      <c r="W275">
        <v>4</v>
      </c>
      <c r="X275" t="b">
        <v>0</v>
      </c>
      <c r="Y275" t="s">
        <v>55</v>
      </c>
      <c r="Z275" t="s">
        <v>56</v>
      </c>
      <c r="AA275" t="s">
        <v>57</v>
      </c>
      <c r="AB275">
        <v>0</v>
      </c>
      <c r="AC275" t="s">
        <v>58</v>
      </c>
      <c r="AD275">
        <v>8</v>
      </c>
      <c r="AE275" t="s">
        <v>59</v>
      </c>
      <c r="AF275">
        <v>34550346.870999999</v>
      </c>
      <c r="AG275" t="b">
        <v>1</v>
      </c>
      <c r="AH275">
        <v>-1</v>
      </c>
      <c r="AI275" t="s">
        <v>73</v>
      </c>
      <c r="AJ275">
        <v>0</v>
      </c>
      <c r="AK275" t="b">
        <v>0</v>
      </c>
      <c r="AL275">
        <v>34550346.870999999</v>
      </c>
      <c r="AM275" t="b">
        <v>1</v>
      </c>
      <c r="AN275">
        <v>0</v>
      </c>
      <c r="AO275" t="b">
        <v>0</v>
      </c>
      <c r="AP275">
        <v>0</v>
      </c>
      <c r="AQ275">
        <v>19150981.719999999</v>
      </c>
      <c r="AR275">
        <v>19150981.719999999</v>
      </c>
      <c r="AS275">
        <v>6</v>
      </c>
      <c r="AT275" t="b">
        <v>0</v>
      </c>
      <c r="AU275" t="b">
        <v>1</v>
      </c>
      <c r="BA275" t="str">
        <f t="shared" si="8"/>
        <v>Normal</v>
      </c>
      <c r="BG275" t="str">
        <f t="shared" si="9"/>
        <v>Normal</v>
      </c>
    </row>
    <row r="276" spans="1:59" x14ac:dyDescent="0.2">
      <c r="A276" t="s">
        <v>42</v>
      </c>
      <c r="B276" t="s">
        <v>43</v>
      </c>
      <c r="C276">
        <v>20210101</v>
      </c>
      <c r="D276">
        <v>2021</v>
      </c>
      <c r="E276">
        <v>52</v>
      </c>
      <c r="F276" t="s">
        <v>287</v>
      </c>
      <c r="G276">
        <v>643</v>
      </c>
      <c r="H276" t="s">
        <v>220</v>
      </c>
      <c r="I276" t="s">
        <v>221</v>
      </c>
      <c r="J276" t="s">
        <v>47</v>
      </c>
      <c r="K276" t="s">
        <v>48</v>
      </c>
      <c r="L276">
        <v>0</v>
      </c>
      <c r="M276" t="s">
        <v>49</v>
      </c>
      <c r="N276" t="s">
        <v>50</v>
      </c>
      <c r="O276">
        <v>0</v>
      </c>
      <c r="P276" t="s">
        <v>49</v>
      </c>
      <c r="Q276" t="s">
        <v>50</v>
      </c>
      <c r="R276" t="s">
        <v>51</v>
      </c>
      <c r="S276" t="s">
        <v>52</v>
      </c>
      <c r="T276" t="b">
        <v>1</v>
      </c>
      <c r="U276" t="s">
        <v>53</v>
      </c>
      <c r="V276" t="s">
        <v>54</v>
      </c>
      <c r="W276">
        <v>4</v>
      </c>
      <c r="X276" t="b">
        <v>0</v>
      </c>
      <c r="Y276" t="s">
        <v>55</v>
      </c>
      <c r="Z276" t="s">
        <v>56</v>
      </c>
      <c r="AA276" t="s">
        <v>57</v>
      </c>
      <c r="AB276">
        <v>0</v>
      </c>
      <c r="AC276" t="s">
        <v>58</v>
      </c>
      <c r="AD276">
        <v>8</v>
      </c>
      <c r="AE276" t="s">
        <v>59</v>
      </c>
      <c r="AF276">
        <v>231585166022.98999</v>
      </c>
      <c r="AG276" t="b">
        <v>0</v>
      </c>
      <c r="AH276">
        <v>8</v>
      </c>
      <c r="AI276" t="s">
        <v>59</v>
      </c>
      <c r="AJ276">
        <v>231585166022.98999</v>
      </c>
      <c r="AK276" t="b">
        <v>0</v>
      </c>
      <c r="AL276">
        <v>231585166022.98999</v>
      </c>
      <c r="AM276" t="b">
        <v>0</v>
      </c>
      <c r="AN276">
        <v>0</v>
      </c>
      <c r="AO276" t="b">
        <v>0</v>
      </c>
      <c r="AP276">
        <v>0</v>
      </c>
      <c r="AQ276">
        <v>110968246741.89999</v>
      </c>
      <c r="AR276">
        <v>110968246741.89999</v>
      </c>
      <c r="AS276">
        <v>0</v>
      </c>
      <c r="AT276" t="b">
        <v>0</v>
      </c>
      <c r="AU276" t="b">
        <v>1</v>
      </c>
      <c r="BA276" t="str">
        <f t="shared" si="8"/>
        <v>Normal</v>
      </c>
      <c r="BG276" t="str">
        <f t="shared" si="9"/>
        <v>Normal</v>
      </c>
    </row>
    <row r="277" spans="1:59" x14ac:dyDescent="0.2">
      <c r="A277" t="s">
        <v>42</v>
      </c>
      <c r="B277" t="s">
        <v>43</v>
      </c>
      <c r="C277">
        <v>20210101</v>
      </c>
      <c r="D277">
        <v>2021</v>
      </c>
      <c r="E277">
        <v>52</v>
      </c>
      <c r="F277" t="s">
        <v>287</v>
      </c>
      <c r="G277">
        <v>646</v>
      </c>
      <c r="H277" t="s">
        <v>222</v>
      </c>
      <c r="I277" t="s">
        <v>223</v>
      </c>
      <c r="J277" t="s">
        <v>47</v>
      </c>
      <c r="K277" t="s">
        <v>48</v>
      </c>
      <c r="L277">
        <v>0</v>
      </c>
      <c r="M277" t="s">
        <v>49</v>
      </c>
      <c r="N277" t="s">
        <v>50</v>
      </c>
      <c r="O277">
        <v>0</v>
      </c>
      <c r="P277" t="s">
        <v>49</v>
      </c>
      <c r="Q277" t="s">
        <v>50</v>
      </c>
      <c r="R277" t="s">
        <v>104</v>
      </c>
      <c r="S277" t="s">
        <v>52</v>
      </c>
      <c r="T277" t="b">
        <v>1</v>
      </c>
      <c r="U277" t="s">
        <v>53</v>
      </c>
      <c r="V277" t="s">
        <v>54</v>
      </c>
      <c r="W277">
        <v>4</v>
      </c>
      <c r="X277" t="b">
        <v>0</v>
      </c>
      <c r="Y277" t="s">
        <v>55</v>
      </c>
      <c r="Z277" t="s">
        <v>56</v>
      </c>
      <c r="AA277" t="s">
        <v>57</v>
      </c>
      <c r="AB277">
        <v>0</v>
      </c>
      <c r="AC277" t="s">
        <v>58</v>
      </c>
      <c r="AD277">
        <v>8</v>
      </c>
      <c r="AE277" t="s">
        <v>59</v>
      </c>
      <c r="AF277">
        <v>5800</v>
      </c>
      <c r="AG277" t="b">
        <v>0</v>
      </c>
      <c r="AH277">
        <v>8</v>
      </c>
      <c r="AI277" t="s">
        <v>59</v>
      </c>
      <c r="AJ277">
        <v>5800</v>
      </c>
      <c r="AK277" t="b">
        <v>0</v>
      </c>
      <c r="AL277">
        <v>5800</v>
      </c>
      <c r="AM277" t="b">
        <v>0</v>
      </c>
      <c r="AN277">
        <v>0</v>
      </c>
      <c r="AO277" t="b">
        <v>0</v>
      </c>
      <c r="AQ277">
        <v>4451.68</v>
      </c>
      <c r="AR277">
        <v>4451.68</v>
      </c>
      <c r="AS277">
        <v>0</v>
      </c>
      <c r="AT277" t="b">
        <v>0</v>
      </c>
      <c r="AU277" t="b">
        <v>1</v>
      </c>
      <c r="BA277" t="str">
        <f t="shared" si="8"/>
        <v>Normal</v>
      </c>
      <c r="BG277" t="str">
        <f t="shared" si="9"/>
        <v>Normal</v>
      </c>
    </row>
    <row r="278" spans="1:59" x14ac:dyDescent="0.2">
      <c r="A278" t="s">
        <v>42</v>
      </c>
      <c r="B278" t="s">
        <v>43</v>
      </c>
      <c r="C278">
        <v>20210101</v>
      </c>
      <c r="D278">
        <v>2021</v>
      </c>
      <c r="E278">
        <v>52</v>
      </c>
      <c r="F278" t="s">
        <v>287</v>
      </c>
      <c r="G278">
        <v>682</v>
      </c>
      <c r="H278" t="s">
        <v>224</v>
      </c>
      <c r="I278" t="s">
        <v>225</v>
      </c>
      <c r="J278" t="s">
        <v>47</v>
      </c>
      <c r="K278" t="s">
        <v>48</v>
      </c>
      <c r="L278">
        <v>0</v>
      </c>
      <c r="M278" t="s">
        <v>49</v>
      </c>
      <c r="N278" t="s">
        <v>50</v>
      </c>
      <c r="O278">
        <v>0</v>
      </c>
      <c r="P278" t="s">
        <v>49</v>
      </c>
      <c r="Q278" t="s">
        <v>50</v>
      </c>
      <c r="R278" t="s">
        <v>51</v>
      </c>
      <c r="S278" t="s">
        <v>52</v>
      </c>
      <c r="T278" t="b">
        <v>1</v>
      </c>
      <c r="U278" t="s">
        <v>53</v>
      </c>
      <c r="V278" t="s">
        <v>54</v>
      </c>
      <c r="W278">
        <v>4</v>
      </c>
      <c r="X278" t="b">
        <v>0</v>
      </c>
      <c r="Y278" t="s">
        <v>55</v>
      </c>
      <c r="Z278" t="s">
        <v>56</v>
      </c>
      <c r="AA278" t="s">
        <v>57</v>
      </c>
      <c r="AB278">
        <v>0</v>
      </c>
      <c r="AC278" t="s">
        <v>58</v>
      </c>
      <c r="AD278">
        <v>8</v>
      </c>
      <c r="AE278" t="s">
        <v>59</v>
      </c>
      <c r="AF278">
        <v>309427500000</v>
      </c>
      <c r="AG278" t="b">
        <v>0</v>
      </c>
      <c r="AH278">
        <v>8</v>
      </c>
      <c r="AI278" t="s">
        <v>59</v>
      </c>
      <c r="AJ278">
        <v>309427500000</v>
      </c>
      <c r="AK278" t="b">
        <v>0</v>
      </c>
      <c r="AL278">
        <v>309427500000</v>
      </c>
      <c r="AM278" t="b">
        <v>0</v>
      </c>
      <c r="AN278">
        <v>0</v>
      </c>
      <c r="AO278" t="b">
        <v>0</v>
      </c>
      <c r="AQ278">
        <v>161020161386.229</v>
      </c>
      <c r="AR278">
        <v>161020161386.229</v>
      </c>
      <c r="AS278">
        <v>0</v>
      </c>
      <c r="AT278" t="b">
        <v>0</v>
      </c>
      <c r="AU278" t="b">
        <v>1</v>
      </c>
      <c r="BA278" t="str">
        <f t="shared" si="8"/>
        <v>Normal</v>
      </c>
      <c r="BG278" t="str">
        <f t="shared" si="9"/>
        <v>Normal</v>
      </c>
    </row>
    <row r="279" spans="1:59" x14ac:dyDescent="0.2">
      <c r="A279" t="s">
        <v>42</v>
      </c>
      <c r="B279" t="s">
        <v>43</v>
      </c>
      <c r="C279">
        <v>20210101</v>
      </c>
      <c r="D279">
        <v>2021</v>
      </c>
      <c r="E279">
        <v>52</v>
      </c>
      <c r="F279" t="s">
        <v>287</v>
      </c>
      <c r="G279">
        <v>686</v>
      </c>
      <c r="H279" t="s">
        <v>226</v>
      </c>
      <c r="I279" t="s">
        <v>227</v>
      </c>
      <c r="J279" t="s">
        <v>47</v>
      </c>
      <c r="K279" t="s">
        <v>48</v>
      </c>
      <c r="L279">
        <v>0</v>
      </c>
      <c r="M279" t="s">
        <v>49</v>
      </c>
      <c r="N279" t="s">
        <v>50</v>
      </c>
      <c r="O279">
        <v>0</v>
      </c>
      <c r="P279" t="s">
        <v>49</v>
      </c>
      <c r="Q279" t="s">
        <v>50</v>
      </c>
      <c r="R279" t="s">
        <v>51</v>
      </c>
      <c r="S279" t="s">
        <v>52</v>
      </c>
      <c r="T279" t="b">
        <v>1</v>
      </c>
      <c r="U279" t="s">
        <v>53</v>
      </c>
      <c r="V279" t="s">
        <v>54</v>
      </c>
      <c r="W279">
        <v>4</v>
      </c>
      <c r="X279" t="b">
        <v>0</v>
      </c>
      <c r="Y279" t="s">
        <v>55</v>
      </c>
      <c r="Z279" t="s">
        <v>56</v>
      </c>
      <c r="AA279" t="s">
        <v>57</v>
      </c>
      <c r="AB279">
        <v>0</v>
      </c>
      <c r="AC279" t="s">
        <v>58</v>
      </c>
      <c r="AD279">
        <v>8</v>
      </c>
      <c r="AE279" t="s">
        <v>59</v>
      </c>
      <c r="AF279">
        <v>73045241</v>
      </c>
      <c r="AG279" t="b">
        <v>0</v>
      </c>
      <c r="AH279">
        <v>8</v>
      </c>
      <c r="AI279" t="s">
        <v>59</v>
      </c>
      <c r="AJ279">
        <v>73045241</v>
      </c>
      <c r="AK279" t="b">
        <v>0</v>
      </c>
      <c r="AL279">
        <v>73045241</v>
      </c>
      <c r="AM279" t="b">
        <v>0</v>
      </c>
      <c r="AN279">
        <v>0</v>
      </c>
      <c r="AO279" t="b">
        <v>0</v>
      </c>
      <c r="AP279">
        <v>0</v>
      </c>
      <c r="AQ279">
        <v>19867416.454999998</v>
      </c>
      <c r="AR279">
        <v>19867416.454999998</v>
      </c>
      <c r="AS279">
        <v>0</v>
      </c>
      <c r="AT279" t="b">
        <v>0</v>
      </c>
      <c r="AU279" t="b">
        <v>1</v>
      </c>
      <c r="BA279" t="str">
        <f t="shared" si="8"/>
        <v>Normal</v>
      </c>
      <c r="BG279" t="str">
        <f t="shared" si="9"/>
        <v>Normal</v>
      </c>
    </row>
    <row r="280" spans="1:59" x14ac:dyDescent="0.2">
      <c r="A280" t="s">
        <v>42</v>
      </c>
      <c r="B280" t="s">
        <v>43</v>
      </c>
      <c r="C280">
        <v>20210101</v>
      </c>
      <c r="D280">
        <v>2021</v>
      </c>
      <c r="E280">
        <v>52</v>
      </c>
      <c r="F280" t="s">
        <v>287</v>
      </c>
      <c r="G280">
        <v>688</v>
      </c>
      <c r="H280" t="s">
        <v>228</v>
      </c>
      <c r="I280" t="s">
        <v>229</v>
      </c>
      <c r="J280" t="s">
        <v>47</v>
      </c>
      <c r="K280" t="s">
        <v>48</v>
      </c>
      <c r="L280">
        <v>0</v>
      </c>
      <c r="M280" t="s">
        <v>49</v>
      </c>
      <c r="N280" t="s">
        <v>50</v>
      </c>
      <c r="O280">
        <v>0</v>
      </c>
      <c r="P280" t="s">
        <v>49</v>
      </c>
      <c r="Q280" t="s">
        <v>50</v>
      </c>
      <c r="R280" t="s">
        <v>51</v>
      </c>
      <c r="S280" t="s">
        <v>52</v>
      </c>
      <c r="T280" t="b">
        <v>1</v>
      </c>
      <c r="U280" t="s">
        <v>53</v>
      </c>
      <c r="V280" t="s">
        <v>54</v>
      </c>
      <c r="W280">
        <v>4</v>
      </c>
      <c r="X280" t="b">
        <v>0</v>
      </c>
      <c r="Y280" t="s">
        <v>55</v>
      </c>
      <c r="Z280" t="s">
        <v>56</v>
      </c>
      <c r="AA280" t="s">
        <v>57</v>
      </c>
      <c r="AB280">
        <v>0</v>
      </c>
      <c r="AC280" t="s">
        <v>58</v>
      </c>
      <c r="AD280">
        <v>8</v>
      </c>
      <c r="AE280" t="s">
        <v>59</v>
      </c>
      <c r="AF280">
        <v>354976</v>
      </c>
      <c r="AG280" t="b">
        <v>0</v>
      </c>
      <c r="AH280">
        <v>8</v>
      </c>
      <c r="AI280" t="s">
        <v>59</v>
      </c>
      <c r="AJ280">
        <v>354976</v>
      </c>
      <c r="AK280" t="b">
        <v>0</v>
      </c>
      <c r="AL280">
        <v>354976</v>
      </c>
      <c r="AM280" t="b">
        <v>0</v>
      </c>
      <c r="AN280">
        <v>0</v>
      </c>
      <c r="AO280" t="b">
        <v>0</v>
      </c>
      <c r="AP280">
        <v>224850</v>
      </c>
      <c r="AQ280">
        <v>223508</v>
      </c>
      <c r="AR280">
        <v>223508</v>
      </c>
      <c r="AS280">
        <v>0</v>
      </c>
      <c r="AT280" t="b">
        <v>0</v>
      </c>
      <c r="AU280" t="b">
        <v>1</v>
      </c>
      <c r="BA280" t="str">
        <f t="shared" si="8"/>
        <v>Normal</v>
      </c>
      <c r="BG280" t="str">
        <f t="shared" si="9"/>
        <v>Normal</v>
      </c>
    </row>
    <row r="281" spans="1:59" x14ac:dyDescent="0.2">
      <c r="A281" t="s">
        <v>42</v>
      </c>
      <c r="B281" t="s">
        <v>43</v>
      </c>
      <c r="C281">
        <v>20210101</v>
      </c>
      <c r="D281">
        <v>2021</v>
      </c>
      <c r="E281">
        <v>52</v>
      </c>
      <c r="F281" t="s">
        <v>287</v>
      </c>
      <c r="G281">
        <v>702</v>
      </c>
      <c r="H281" t="s">
        <v>230</v>
      </c>
      <c r="I281" t="s">
        <v>231</v>
      </c>
      <c r="J281" t="s">
        <v>47</v>
      </c>
      <c r="K281" t="s">
        <v>48</v>
      </c>
      <c r="L281">
        <v>0</v>
      </c>
      <c r="M281" t="s">
        <v>49</v>
      </c>
      <c r="N281" t="s">
        <v>50</v>
      </c>
      <c r="O281">
        <v>0</v>
      </c>
      <c r="P281" t="s">
        <v>49</v>
      </c>
      <c r="Q281" t="s">
        <v>50</v>
      </c>
      <c r="R281" t="s">
        <v>51</v>
      </c>
      <c r="S281" t="s">
        <v>52</v>
      </c>
      <c r="T281" t="b">
        <v>1</v>
      </c>
      <c r="U281" t="s">
        <v>53</v>
      </c>
      <c r="V281" t="s">
        <v>54</v>
      </c>
      <c r="W281">
        <v>4</v>
      </c>
      <c r="X281" t="b">
        <v>0</v>
      </c>
      <c r="Y281" t="s">
        <v>55</v>
      </c>
      <c r="Z281" t="s">
        <v>56</v>
      </c>
      <c r="AA281" t="s">
        <v>57</v>
      </c>
      <c r="AB281">
        <v>0</v>
      </c>
      <c r="AC281" t="s">
        <v>58</v>
      </c>
      <c r="AD281">
        <v>-1</v>
      </c>
      <c r="AE281" t="s">
        <v>73</v>
      </c>
      <c r="AF281">
        <v>0</v>
      </c>
      <c r="AG281" t="b">
        <v>0</v>
      </c>
      <c r="AH281">
        <v>-1</v>
      </c>
      <c r="AI281" t="s">
        <v>73</v>
      </c>
      <c r="AJ281">
        <v>0</v>
      </c>
      <c r="AK281" t="b">
        <v>0</v>
      </c>
      <c r="AM281" t="b">
        <v>0</v>
      </c>
      <c r="AN281">
        <v>0</v>
      </c>
      <c r="AO281" t="b">
        <v>0</v>
      </c>
      <c r="AQ281">
        <v>169926880.741</v>
      </c>
      <c r="AR281">
        <v>169926880.741</v>
      </c>
      <c r="AS281">
        <v>0</v>
      </c>
      <c r="AT281" t="b">
        <v>0</v>
      </c>
      <c r="AU281" t="b">
        <v>1</v>
      </c>
      <c r="BA281" t="str">
        <f t="shared" si="8"/>
        <v>Normal</v>
      </c>
      <c r="BG281" t="str">
        <f t="shared" si="9"/>
        <v>Normal</v>
      </c>
    </row>
    <row r="282" spans="1:59" x14ac:dyDescent="0.2">
      <c r="A282" t="s">
        <v>42</v>
      </c>
      <c r="B282" t="s">
        <v>43</v>
      </c>
      <c r="C282">
        <v>20210101</v>
      </c>
      <c r="D282">
        <v>2021</v>
      </c>
      <c r="E282">
        <v>52</v>
      </c>
      <c r="F282" t="s">
        <v>287</v>
      </c>
      <c r="G282">
        <v>703</v>
      </c>
      <c r="H282" t="s">
        <v>232</v>
      </c>
      <c r="I282" t="s">
        <v>233</v>
      </c>
      <c r="J282" t="s">
        <v>47</v>
      </c>
      <c r="K282" t="s">
        <v>48</v>
      </c>
      <c r="L282">
        <v>0</v>
      </c>
      <c r="M282" t="s">
        <v>49</v>
      </c>
      <c r="N282" t="s">
        <v>50</v>
      </c>
      <c r="O282">
        <v>0</v>
      </c>
      <c r="P282" t="s">
        <v>49</v>
      </c>
      <c r="Q282" t="s">
        <v>50</v>
      </c>
      <c r="R282" t="s">
        <v>51</v>
      </c>
      <c r="S282" t="s">
        <v>52</v>
      </c>
      <c r="T282" t="b">
        <v>1</v>
      </c>
      <c r="U282" t="s">
        <v>53</v>
      </c>
      <c r="V282" t="s">
        <v>54</v>
      </c>
      <c r="W282">
        <v>4</v>
      </c>
      <c r="X282" t="b">
        <v>0</v>
      </c>
      <c r="Y282" t="s">
        <v>55</v>
      </c>
      <c r="Z282" t="s">
        <v>56</v>
      </c>
      <c r="AA282" t="s">
        <v>57</v>
      </c>
      <c r="AB282">
        <v>0</v>
      </c>
      <c r="AC282" t="s">
        <v>58</v>
      </c>
      <c r="AD282">
        <v>8</v>
      </c>
      <c r="AE282" t="s">
        <v>59</v>
      </c>
      <c r="AF282">
        <v>4767226</v>
      </c>
      <c r="AG282" t="b">
        <v>0</v>
      </c>
      <c r="AH282">
        <v>8</v>
      </c>
      <c r="AI282" t="s">
        <v>59</v>
      </c>
      <c r="AJ282">
        <v>4767226</v>
      </c>
      <c r="AK282" t="b">
        <v>0</v>
      </c>
      <c r="AL282">
        <v>4767226</v>
      </c>
      <c r="AM282" t="b">
        <v>0</v>
      </c>
      <c r="AN282">
        <v>0</v>
      </c>
      <c r="AO282" t="b">
        <v>0</v>
      </c>
      <c r="AQ282">
        <v>2447857.2999999998</v>
      </c>
      <c r="AR282">
        <v>2447857.2999999998</v>
      </c>
      <c r="AS282">
        <v>0</v>
      </c>
      <c r="AT282" t="b">
        <v>0</v>
      </c>
      <c r="AU282" t="b">
        <v>1</v>
      </c>
      <c r="BA282" t="str">
        <f t="shared" si="8"/>
        <v>Normal</v>
      </c>
      <c r="BG282" t="str">
        <f t="shared" si="9"/>
        <v>Normal</v>
      </c>
    </row>
    <row r="283" spans="1:59" x14ac:dyDescent="0.2">
      <c r="A283" t="s">
        <v>42</v>
      </c>
      <c r="B283" t="s">
        <v>43</v>
      </c>
      <c r="C283">
        <v>20210101</v>
      </c>
      <c r="D283">
        <v>2021</v>
      </c>
      <c r="E283">
        <v>52</v>
      </c>
      <c r="F283" t="s">
        <v>287</v>
      </c>
      <c r="G283">
        <v>704</v>
      </c>
      <c r="H283" t="s">
        <v>234</v>
      </c>
      <c r="I283" t="s">
        <v>235</v>
      </c>
      <c r="J283" t="s">
        <v>47</v>
      </c>
      <c r="K283" t="s">
        <v>48</v>
      </c>
      <c r="L283">
        <v>0</v>
      </c>
      <c r="M283" t="s">
        <v>49</v>
      </c>
      <c r="N283" t="s">
        <v>50</v>
      </c>
      <c r="O283">
        <v>0</v>
      </c>
      <c r="P283" t="s">
        <v>49</v>
      </c>
      <c r="Q283" t="s">
        <v>50</v>
      </c>
      <c r="R283" t="s">
        <v>51</v>
      </c>
      <c r="S283" t="s">
        <v>52</v>
      </c>
      <c r="T283" t="b">
        <v>1</v>
      </c>
      <c r="U283" t="s">
        <v>53</v>
      </c>
      <c r="V283" t="s">
        <v>54</v>
      </c>
      <c r="W283">
        <v>4</v>
      </c>
      <c r="X283" t="b">
        <v>0</v>
      </c>
      <c r="Y283" t="s">
        <v>55</v>
      </c>
      <c r="Z283" t="s">
        <v>56</v>
      </c>
      <c r="AA283" t="s">
        <v>57</v>
      </c>
      <c r="AB283">
        <v>0</v>
      </c>
      <c r="AC283" t="s">
        <v>58</v>
      </c>
      <c r="AD283">
        <v>8</v>
      </c>
      <c r="AE283" t="s">
        <v>59</v>
      </c>
      <c r="AF283">
        <v>2960538200</v>
      </c>
      <c r="AG283" t="b">
        <v>0</v>
      </c>
      <c r="AH283">
        <v>21</v>
      </c>
      <c r="AI283" t="s">
        <v>170</v>
      </c>
      <c r="AJ283">
        <v>2960538.2</v>
      </c>
      <c r="AK283" t="b">
        <v>0</v>
      </c>
      <c r="AL283">
        <v>2960538200</v>
      </c>
      <c r="AM283" t="b">
        <v>0</v>
      </c>
      <c r="AN283">
        <v>0</v>
      </c>
      <c r="AO283" t="b">
        <v>0</v>
      </c>
      <c r="AP283">
        <v>0</v>
      </c>
      <c r="AQ283">
        <v>1672281198.9200001</v>
      </c>
      <c r="AR283">
        <v>1672281198.9200001</v>
      </c>
      <c r="AS283">
        <v>0</v>
      </c>
      <c r="AT283" t="b">
        <v>0</v>
      </c>
      <c r="AU283" t="b">
        <v>1</v>
      </c>
      <c r="BA283" t="str">
        <f t="shared" si="8"/>
        <v>Normal</v>
      </c>
      <c r="BG283" t="str">
        <f t="shared" si="9"/>
        <v>Normal</v>
      </c>
    </row>
    <row r="284" spans="1:59" x14ac:dyDescent="0.2">
      <c r="A284" t="s">
        <v>42</v>
      </c>
      <c r="B284" t="s">
        <v>43</v>
      </c>
      <c r="C284">
        <v>20210101</v>
      </c>
      <c r="D284">
        <v>2021</v>
      </c>
      <c r="E284">
        <v>52</v>
      </c>
      <c r="F284" t="s">
        <v>287</v>
      </c>
      <c r="G284">
        <v>705</v>
      </c>
      <c r="H284" t="s">
        <v>236</v>
      </c>
      <c r="I284" t="s">
        <v>237</v>
      </c>
      <c r="J284" t="s">
        <v>47</v>
      </c>
      <c r="K284" t="s">
        <v>48</v>
      </c>
      <c r="L284">
        <v>0</v>
      </c>
      <c r="M284" t="s">
        <v>49</v>
      </c>
      <c r="N284" t="s">
        <v>50</v>
      </c>
      <c r="O284">
        <v>0</v>
      </c>
      <c r="P284" t="s">
        <v>49</v>
      </c>
      <c r="Q284" t="s">
        <v>50</v>
      </c>
      <c r="R284" t="s">
        <v>51</v>
      </c>
      <c r="S284" t="s">
        <v>52</v>
      </c>
      <c r="T284" t="b">
        <v>1</v>
      </c>
      <c r="U284" t="s">
        <v>53</v>
      </c>
      <c r="V284" t="s">
        <v>54</v>
      </c>
      <c r="W284">
        <v>4</v>
      </c>
      <c r="X284" t="b">
        <v>0</v>
      </c>
      <c r="Y284" t="s">
        <v>55</v>
      </c>
      <c r="Z284" t="s">
        <v>56</v>
      </c>
      <c r="AA284" t="s">
        <v>57</v>
      </c>
      <c r="AB284">
        <v>0</v>
      </c>
      <c r="AC284" t="s">
        <v>58</v>
      </c>
      <c r="AD284">
        <v>8</v>
      </c>
      <c r="AE284" t="s">
        <v>59</v>
      </c>
      <c r="AF284">
        <v>1254.3</v>
      </c>
      <c r="AG284" t="b">
        <v>0</v>
      </c>
      <c r="AH284">
        <v>8</v>
      </c>
      <c r="AI284" t="s">
        <v>59</v>
      </c>
      <c r="AJ284">
        <v>1254.3</v>
      </c>
      <c r="AK284" t="b">
        <v>0</v>
      </c>
      <c r="AL284">
        <v>1254.3</v>
      </c>
      <c r="AM284" t="b">
        <v>0</v>
      </c>
      <c r="AN284">
        <v>0</v>
      </c>
      <c r="AO284" t="b">
        <v>0</v>
      </c>
      <c r="AP284">
        <v>0</v>
      </c>
      <c r="AQ284">
        <v>38237.544999999998</v>
      </c>
      <c r="AR284">
        <v>38237.544999999998</v>
      </c>
      <c r="AS284">
        <v>0</v>
      </c>
      <c r="AT284" t="b">
        <v>0</v>
      </c>
      <c r="AU284" t="b">
        <v>1</v>
      </c>
      <c r="BA284" t="str">
        <f t="shared" si="8"/>
        <v>Normal</v>
      </c>
      <c r="BG284" t="str">
        <f t="shared" si="9"/>
        <v>Normal</v>
      </c>
    </row>
    <row r="285" spans="1:59" x14ac:dyDescent="0.2">
      <c r="A285" t="s">
        <v>42</v>
      </c>
      <c r="B285" t="s">
        <v>43</v>
      </c>
      <c r="C285">
        <v>20210101</v>
      </c>
      <c r="D285">
        <v>2021</v>
      </c>
      <c r="E285">
        <v>52</v>
      </c>
      <c r="F285" t="s">
        <v>287</v>
      </c>
      <c r="G285">
        <v>710</v>
      </c>
      <c r="H285" t="s">
        <v>238</v>
      </c>
      <c r="I285" t="s">
        <v>239</v>
      </c>
      <c r="J285" t="s">
        <v>47</v>
      </c>
      <c r="K285" t="s">
        <v>48</v>
      </c>
      <c r="L285">
        <v>0</v>
      </c>
      <c r="M285" t="s">
        <v>49</v>
      </c>
      <c r="N285" t="s">
        <v>50</v>
      </c>
      <c r="O285">
        <v>0</v>
      </c>
      <c r="P285" t="s">
        <v>49</v>
      </c>
      <c r="Q285" t="s">
        <v>50</v>
      </c>
      <c r="R285" t="s">
        <v>51</v>
      </c>
      <c r="S285" t="s">
        <v>52</v>
      </c>
      <c r="T285" t="b">
        <v>1</v>
      </c>
      <c r="U285" t="s">
        <v>53</v>
      </c>
      <c r="V285" t="s">
        <v>54</v>
      </c>
      <c r="W285">
        <v>4</v>
      </c>
      <c r="X285" t="b">
        <v>0</v>
      </c>
      <c r="Y285" t="s">
        <v>55</v>
      </c>
      <c r="Z285" t="s">
        <v>56</v>
      </c>
      <c r="AA285" t="s">
        <v>57</v>
      </c>
      <c r="AB285">
        <v>0</v>
      </c>
      <c r="AC285" t="s">
        <v>58</v>
      </c>
      <c r="AD285">
        <v>8</v>
      </c>
      <c r="AE285" t="s">
        <v>59</v>
      </c>
      <c r="AF285">
        <v>3455806650.3439999</v>
      </c>
      <c r="AG285" t="b">
        <v>1</v>
      </c>
      <c r="AH285">
        <v>-1</v>
      </c>
      <c r="AI285" t="s">
        <v>73</v>
      </c>
      <c r="AJ285">
        <v>0</v>
      </c>
      <c r="AK285" t="b">
        <v>0</v>
      </c>
      <c r="AL285">
        <v>3455806650.3439999</v>
      </c>
      <c r="AM285" t="b">
        <v>1</v>
      </c>
      <c r="AN285">
        <v>0</v>
      </c>
      <c r="AO285" t="b">
        <v>0</v>
      </c>
      <c r="AP285">
        <v>0</v>
      </c>
      <c r="AQ285">
        <v>1478499242.7479999</v>
      </c>
      <c r="AR285">
        <v>1478499242.7479999</v>
      </c>
      <c r="AS285">
        <v>6</v>
      </c>
      <c r="AT285" t="b">
        <v>0</v>
      </c>
      <c r="AU285" t="b">
        <v>1</v>
      </c>
      <c r="BA285" t="str">
        <f t="shared" si="8"/>
        <v>Normal</v>
      </c>
      <c r="BG285" t="str">
        <f t="shared" si="9"/>
        <v>Normal</v>
      </c>
    </row>
    <row r="286" spans="1:59" x14ac:dyDescent="0.2">
      <c r="A286" t="s">
        <v>42</v>
      </c>
      <c r="B286" t="s">
        <v>43</v>
      </c>
      <c r="C286">
        <v>20210101</v>
      </c>
      <c r="D286">
        <v>2021</v>
      </c>
      <c r="E286">
        <v>52</v>
      </c>
      <c r="F286" t="s">
        <v>287</v>
      </c>
      <c r="G286">
        <v>724</v>
      </c>
      <c r="H286" t="s">
        <v>240</v>
      </c>
      <c r="I286" t="s">
        <v>241</v>
      </c>
      <c r="J286" t="s">
        <v>47</v>
      </c>
      <c r="K286" t="s">
        <v>48</v>
      </c>
      <c r="L286">
        <v>0</v>
      </c>
      <c r="M286" t="s">
        <v>49</v>
      </c>
      <c r="N286" t="s">
        <v>50</v>
      </c>
      <c r="O286">
        <v>0</v>
      </c>
      <c r="P286" t="s">
        <v>49</v>
      </c>
      <c r="Q286" t="s">
        <v>50</v>
      </c>
      <c r="R286" t="s">
        <v>51</v>
      </c>
      <c r="S286" t="s">
        <v>52</v>
      </c>
      <c r="T286" t="b">
        <v>1</v>
      </c>
      <c r="U286" t="s">
        <v>53</v>
      </c>
      <c r="V286" t="s">
        <v>54</v>
      </c>
      <c r="W286">
        <v>4</v>
      </c>
      <c r="X286" t="b">
        <v>0</v>
      </c>
      <c r="Y286" t="s">
        <v>55</v>
      </c>
      <c r="Z286" t="s">
        <v>56</v>
      </c>
      <c r="AA286" t="s">
        <v>57</v>
      </c>
      <c r="AB286">
        <v>0</v>
      </c>
      <c r="AC286" t="s">
        <v>58</v>
      </c>
      <c r="AD286">
        <v>-1</v>
      </c>
      <c r="AE286" t="s">
        <v>73</v>
      </c>
      <c r="AF286">
        <v>0</v>
      </c>
      <c r="AG286" t="b">
        <v>1</v>
      </c>
      <c r="AH286">
        <v>-1</v>
      </c>
      <c r="AI286" t="s">
        <v>73</v>
      </c>
      <c r="AJ286">
        <v>0</v>
      </c>
      <c r="AK286" t="b">
        <v>0</v>
      </c>
      <c r="AL286">
        <v>0</v>
      </c>
      <c r="AM286" t="b">
        <v>1</v>
      </c>
      <c r="AN286">
        <v>0</v>
      </c>
      <c r="AO286" t="b">
        <v>0</v>
      </c>
      <c r="AP286">
        <v>0</v>
      </c>
      <c r="AQ286">
        <v>612342808.30799997</v>
      </c>
      <c r="AR286">
        <v>612342808.30799997</v>
      </c>
      <c r="AS286">
        <v>6</v>
      </c>
      <c r="AT286" t="b">
        <v>0</v>
      </c>
      <c r="AU286" t="b">
        <v>1</v>
      </c>
      <c r="BA286" t="str">
        <f t="shared" si="8"/>
        <v>Normal</v>
      </c>
      <c r="BG286" t="str">
        <f t="shared" si="9"/>
        <v>Normal</v>
      </c>
    </row>
    <row r="287" spans="1:59" x14ac:dyDescent="0.2">
      <c r="A287" t="s">
        <v>42</v>
      </c>
      <c r="B287" t="s">
        <v>43</v>
      </c>
      <c r="C287">
        <v>20210101</v>
      </c>
      <c r="D287">
        <v>2021</v>
      </c>
      <c r="E287">
        <v>52</v>
      </c>
      <c r="F287" t="s">
        <v>287</v>
      </c>
      <c r="G287">
        <v>748</v>
      </c>
      <c r="H287" t="s">
        <v>242</v>
      </c>
      <c r="I287" t="s">
        <v>243</v>
      </c>
      <c r="J287" t="s">
        <v>47</v>
      </c>
      <c r="K287" t="s">
        <v>48</v>
      </c>
      <c r="L287">
        <v>0</v>
      </c>
      <c r="M287" t="s">
        <v>49</v>
      </c>
      <c r="N287" t="s">
        <v>50</v>
      </c>
      <c r="O287">
        <v>0</v>
      </c>
      <c r="P287" t="s">
        <v>49</v>
      </c>
      <c r="Q287" t="s">
        <v>50</v>
      </c>
      <c r="R287" t="s">
        <v>51</v>
      </c>
      <c r="S287" t="s">
        <v>52</v>
      </c>
      <c r="T287" t="b">
        <v>1</v>
      </c>
      <c r="U287" t="s">
        <v>53</v>
      </c>
      <c r="V287" t="s">
        <v>54</v>
      </c>
      <c r="W287">
        <v>4</v>
      </c>
      <c r="X287" t="b">
        <v>0</v>
      </c>
      <c r="Y287" t="s">
        <v>55</v>
      </c>
      <c r="Z287" t="s">
        <v>56</v>
      </c>
      <c r="AA287" t="s">
        <v>57</v>
      </c>
      <c r="AB287">
        <v>0</v>
      </c>
      <c r="AC287" t="s">
        <v>58</v>
      </c>
      <c r="AD287">
        <v>8</v>
      </c>
      <c r="AE287" t="s">
        <v>59</v>
      </c>
      <c r="AF287">
        <v>120</v>
      </c>
      <c r="AG287" t="b">
        <v>0</v>
      </c>
      <c r="AH287">
        <v>8</v>
      </c>
      <c r="AI287" t="s">
        <v>59</v>
      </c>
      <c r="AJ287">
        <v>120</v>
      </c>
      <c r="AK287" t="b">
        <v>0</v>
      </c>
      <c r="AL287">
        <v>120</v>
      </c>
      <c r="AM287" t="b">
        <v>0</v>
      </c>
      <c r="AN287">
        <v>0</v>
      </c>
      <c r="AO287" t="b">
        <v>0</v>
      </c>
      <c r="AP287">
        <v>0</v>
      </c>
      <c r="AQ287">
        <v>13.87</v>
      </c>
      <c r="AR287">
        <v>13.87</v>
      </c>
      <c r="AS287">
        <v>0</v>
      </c>
      <c r="AT287" t="b">
        <v>0</v>
      </c>
      <c r="AU287" t="b">
        <v>1</v>
      </c>
      <c r="BA287" t="str">
        <f t="shared" si="8"/>
        <v>Normal</v>
      </c>
      <c r="BG287" t="str">
        <f t="shared" si="9"/>
        <v>Normal</v>
      </c>
    </row>
    <row r="288" spans="1:59" x14ac:dyDescent="0.2">
      <c r="A288" t="s">
        <v>42</v>
      </c>
      <c r="B288" t="s">
        <v>43</v>
      </c>
      <c r="C288">
        <v>20210101</v>
      </c>
      <c r="D288">
        <v>2021</v>
      </c>
      <c r="E288">
        <v>52</v>
      </c>
      <c r="F288" t="s">
        <v>287</v>
      </c>
      <c r="G288">
        <v>752</v>
      </c>
      <c r="H288" t="s">
        <v>244</v>
      </c>
      <c r="I288" t="s">
        <v>245</v>
      </c>
      <c r="J288" t="s">
        <v>47</v>
      </c>
      <c r="K288" t="s">
        <v>48</v>
      </c>
      <c r="L288">
        <v>0</v>
      </c>
      <c r="M288" t="s">
        <v>49</v>
      </c>
      <c r="N288" t="s">
        <v>50</v>
      </c>
      <c r="O288">
        <v>0</v>
      </c>
      <c r="P288" t="s">
        <v>49</v>
      </c>
      <c r="Q288" t="s">
        <v>50</v>
      </c>
      <c r="R288" t="s">
        <v>51</v>
      </c>
      <c r="S288" t="s">
        <v>52</v>
      </c>
      <c r="T288" t="b">
        <v>1</v>
      </c>
      <c r="U288" t="s">
        <v>53</v>
      </c>
      <c r="V288" t="s">
        <v>54</v>
      </c>
      <c r="W288">
        <v>4</v>
      </c>
      <c r="X288" t="b">
        <v>0</v>
      </c>
      <c r="Y288" t="s">
        <v>55</v>
      </c>
      <c r="Z288" t="s">
        <v>56</v>
      </c>
      <c r="AA288" t="s">
        <v>57</v>
      </c>
      <c r="AB288">
        <v>0</v>
      </c>
      <c r="AC288" t="s">
        <v>58</v>
      </c>
      <c r="AD288">
        <v>8</v>
      </c>
      <c r="AE288" t="s">
        <v>59</v>
      </c>
      <c r="AF288">
        <v>497649854.37800002</v>
      </c>
      <c r="AG288" t="b">
        <v>1</v>
      </c>
      <c r="AH288">
        <v>-1</v>
      </c>
      <c r="AI288" t="s">
        <v>73</v>
      </c>
      <c r="AJ288">
        <v>0</v>
      </c>
      <c r="AK288" t="b">
        <v>0</v>
      </c>
      <c r="AL288">
        <v>497649854.37800002</v>
      </c>
      <c r="AM288" t="b">
        <v>1</v>
      </c>
      <c r="AN288">
        <v>0</v>
      </c>
      <c r="AO288" t="b">
        <v>0</v>
      </c>
      <c r="AQ288">
        <v>227959394.398</v>
      </c>
      <c r="AR288">
        <v>227959394.398</v>
      </c>
      <c r="AS288">
        <v>6</v>
      </c>
      <c r="AT288" t="b">
        <v>0</v>
      </c>
      <c r="AU288" t="b">
        <v>1</v>
      </c>
      <c r="BA288" t="str">
        <f t="shared" si="8"/>
        <v>Normal</v>
      </c>
      <c r="BG288" t="str">
        <f t="shared" si="9"/>
        <v>Normal</v>
      </c>
    </row>
    <row r="289" spans="1:59" x14ac:dyDescent="0.2">
      <c r="A289" t="s">
        <v>42</v>
      </c>
      <c r="B289" t="s">
        <v>43</v>
      </c>
      <c r="C289">
        <v>20210101</v>
      </c>
      <c r="D289">
        <v>2021</v>
      </c>
      <c r="E289">
        <v>52</v>
      </c>
      <c r="F289" t="s">
        <v>287</v>
      </c>
      <c r="G289">
        <v>757</v>
      </c>
      <c r="H289" t="s">
        <v>246</v>
      </c>
      <c r="I289" t="s">
        <v>247</v>
      </c>
      <c r="J289" t="s">
        <v>47</v>
      </c>
      <c r="K289" t="s">
        <v>48</v>
      </c>
      <c r="L289">
        <v>0</v>
      </c>
      <c r="M289" t="s">
        <v>49</v>
      </c>
      <c r="N289" t="s">
        <v>50</v>
      </c>
      <c r="O289">
        <v>0</v>
      </c>
      <c r="P289" t="s">
        <v>49</v>
      </c>
      <c r="Q289" t="s">
        <v>50</v>
      </c>
      <c r="R289" t="s">
        <v>51</v>
      </c>
      <c r="S289" t="s">
        <v>52</v>
      </c>
      <c r="T289" t="b">
        <v>1</v>
      </c>
      <c r="U289" t="s">
        <v>53</v>
      </c>
      <c r="V289" t="s">
        <v>54</v>
      </c>
      <c r="W289">
        <v>4</v>
      </c>
      <c r="X289" t="b">
        <v>0</v>
      </c>
      <c r="Y289" t="s">
        <v>55</v>
      </c>
      <c r="Z289" t="s">
        <v>56</v>
      </c>
      <c r="AA289" t="s">
        <v>57</v>
      </c>
      <c r="AB289">
        <v>0</v>
      </c>
      <c r="AC289" t="s">
        <v>58</v>
      </c>
      <c r="AD289">
        <v>8</v>
      </c>
      <c r="AE289" t="s">
        <v>59</v>
      </c>
      <c r="AF289">
        <v>55</v>
      </c>
      <c r="AG289" t="b">
        <v>0</v>
      </c>
      <c r="AH289">
        <v>7</v>
      </c>
      <c r="AI289" t="s">
        <v>67</v>
      </c>
      <c r="AJ289">
        <v>55</v>
      </c>
      <c r="AK289" t="b">
        <v>0</v>
      </c>
      <c r="AL289">
        <v>55</v>
      </c>
      <c r="AM289" t="b">
        <v>0</v>
      </c>
      <c r="AN289">
        <v>0</v>
      </c>
      <c r="AO289" t="b">
        <v>0</v>
      </c>
      <c r="AP289">
        <v>0</v>
      </c>
      <c r="AQ289">
        <v>1033.9749999999999</v>
      </c>
      <c r="AR289">
        <v>1033.9749999999999</v>
      </c>
      <c r="AS289">
        <v>0</v>
      </c>
      <c r="AT289" t="b">
        <v>0</v>
      </c>
      <c r="AU289" t="b">
        <v>1</v>
      </c>
      <c r="BA289" t="str">
        <f t="shared" si="8"/>
        <v>Normal</v>
      </c>
      <c r="BG289" t="str">
        <f t="shared" si="9"/>
        <v>Normal</v>
      </c>
    </row>
    <row r="290" spans="1:59" x14ac:dyDescent="0.2">
      <c r="A290" t="s">
        <v>42</v>
      </c>
      <c r="B290" t="s">
        <v>43</v>
      </c>
      <c r="C290">
        <v>20210101</v>
      </c>
      <c r="D290">
        <v>2021</v>
      </c>
      <c r="E290">
        <v>52</v>
      </c>
      <c r="F290" t="s">
        <v>287</v>
      </c>
      <c r="G290">
        <v>764</v>
      </c>
      <c r="H290" t="s">
        <v>248</v>
      </c>
      <c r="I290" t="s">
        <v>249</v>
      </c>
      <c r="J290" t="s">
        <v>47</v>
      </c>
      <c r="K290" t="s">
        <v>48</v>
      </c>
      <c r="L290">
        <v>0</v>
      </c>
      <c r="M290" t="s">
        <v>49</v>
      </c>
      <c r="N290" t="s">
        <v>50</v>
      </c>
      <c r="O290">
        <v>0</v>
      </c>
      <c r="P290" t="s">
        <v>49</v>
      </c>
      <c r="Q290" t="s">
        <v>50</v>
      </c>
      <c r="R290" t="s">
        <v>51</v>
      </c>
      <c r="S290" t="s">
        <v>52</v>
      </c>
      <c r="T290" t="b">
        <v>1</v>
      </c>
      <c r="U290" t="s">
        <v>53</v>
      </c>
      <c r="V290" t="s">
        <v>54</v>
      </c>
      <c r="W290">
        <v>4</v>
      </c>
      <c r="X290" t="b">
        <v>0</v>
      </c>
      <c r="Y290" t="s">
        <v>55</v>
      </c>
      <c r="Z290" t="s">
        <v>56</v>
      </c>
      <c r="AA290" t="s">
        <v>57</v>
      </c>
      <c r="AB290">
        <v>0</v>
      </c>
      <c r="AC290" t="s">
        <v>58</v>
      </c>
      <c r="AD290">
        <v>8</v>
      </c>
      <c r="AE290" t="s">
        <v>59</v>
      </c>
      <c r="AF290">
        <v>860019040</v>
      </c>
      <c r="AG290" t="b">
        <v>0</v>
      </c>
      <c r="AH290">
        <v>7</v>
      </c>
      <c r="AI290" t="s">
        <v>67</v>
      </c>
      <c r="AJ290">
        <v>1196239147</v>
      </c>
      <c r="AK290" t="b">
        <v>0</v>
      </c>
      <c r="AL290">
        <v>860019040</v>
      </c>
      <c r="AM290" t="b">
        <v>0</v>
      </c>
      <c r="AN290">
        <v>0</v>
      </c>
      <c r="AO290" t="b">
        <v>0</v>
      </c>
      <c r="AQ290">
        <v>424444023.68199998</v>
      </c>
      <c r="AR290">
        <v>424444023.68199998</v>
      </c>
      <c r="AS290">
        <v>0</v>
      </c>
      <c r="AT290" t="b">
        <v>0</v>
      </c>
      <c r="AU290" t="b">
        <v>1</v>
      </c>
      <c r="BA290" t="str">
        <f t="shared" si="8"/>
        <v>Normal</v>
      </c>
      <c r="BG290" t="str">
        <f t="shared" si="9"/>
        <v>Normal</v>
      </c>
    </row>
    <row r="291" spans="1:59" x14ac:dyDescent="0.2">
      <c r="A291" t="s">
        <v>42</v>
      </c>
      <c r="B291" t="s">
        <v>43</v>
      </c>
      <c r="C291">
        <v>20210101</v>
      </c>
      <c r="D291">
        <v>2021</v>
      </c>
      <c r="E291">
        <v>52</v>
      </c>
      <c r="F291" t="s">
        <v>287</v>
      </c>
      <c r="G291">
        <v>780</v>
      </c>
      <c r="H291" t="s">
        <v>252</v>
      </c>
      <c r="I291" t="s">
        <v>253</v>
      </c>
      <c r="J291" t="s">
        <v>47</v>
      </c>
      <c r="K291" t="s">
        <v>48</v>
      </c>
      <c r="L291">
        <v>0</v>
      </c>
      <c r="M291" t="s">
        <v>49</v>
      </c>
      <c r="N291" t="s">
        <v>50</v>
      </c>
      <c r="O291">
        <v>0</v>
      </c>
      <c r="P291" t="s">
        <v>49</v>
      </c>
      <c r="Q291" t="s">
        <v>50</v>
      </c>
      <c r="R291" t="s">
        <v>104</v>
      </c>
      <c r="S291" t="s">
        <v>52</v>
      </c>
      <c r="T291" t="b">
        <v>1</v>
      </c>
      <c r="U291" t="s">
        <v>53</v>
      </c>
      <c r="V291" t="s">
        <v>54</v>
      </c>
      <c r="W291">
        <v>4</v>
      </c>
      <c r="X291" t="b">
        <v>0</v>
      </c>
      <c r="Y291" t="s">
        <v>55</v>
      </c>
      <c r="Z291" t="s">
        <v>56</v>
      </c>
      <c r="AA291" t="s">
        <v>57</v>
      </c>
      <c r="AB291">
        <v>0</v>
      </c>
      <c r="AC291" t="s">
        <v>58</v>
      </c>
      <c r="AD291">
        <v>-1</v>
      </c>
      <c r="AE291" t="s">
        <v>73</v>
      </c>
      <c r="AF291">
        <v>0</v>
      </c>
      <c r="AG291" t="b">
        <v>0</v>
      </c>
      <c r="AH291">
        <v>-1</v>
      </c>
      <c r="AI291" t="s">
        <v>73</v>
      </c>
      <c r="AJ291">
        <v>0</v>
      </c>
      <c r="AK291" t="b">
        <v>0</v>
      </c>
      <c r="AL291">
        <v>0</v>
      </c>
      <c r="AM291" t="b">
        <v>0</v>
      </c>
      <c r="AN291">
        <v>0</v>
      </c>
      <c r="AO291" t="b">
        <v>0</v>
      </c>
      <c r="AP291">
        <v>0</v>
      </c>
      <c r="AQ291">
        <v>1181693766.7490001</v>
      </c>
      <c r="AR291">
        <v>1181693766.7490001</v>
      </c>
      <c r="AS291">
        <v>0</v>
      </c>
      <c r="AT291" t="b">
        <v>0</v>
      </c>
      <c r="AU291" t="b">
        <v>1</v>
      </c>
      <c r="BA291" t="str">
        <f t="shared" si="8"/>
        <v>Normal</v>
      </c>
      <c r="BG291" t="str">
        <f t="shared" si="9"/>
        <v>Normal</v>
      </c>
    </row>
    <row r="292" spans="1:59" x14ac:dyDescent="0.2">
      <c r="A292" t="s">
        <v>42</v>
      </c>
      <c r="B292" t="s">
        <v>43</v>
      </c>
      <c r="C292">
        <v>20210101</v>
      </c>
      <c r="D292">
        <v>2021</v>
      </c>
      <c r="E292">
        <v>52</v>
      </c>
      <c r="F292" t="s">
        <v>287</v>
      </c>
      <c r="G292">
        <v>784</v>
      </c>
      <c r="H292" t="s">
        <v>254</v>
      </c>
      <c r="I292" t="s">
        <v>255</v>
      </c>
      <c r="J292" t="s">
        <v>47</v>
      </c>
      <c r="K292" t="s">
        <v>48</v>
      </c>
      <c r="L292">
        <v>0</v>
      </c>
      <c r="M292" t="s">
        <v>49</v>
      </c>
      <c r="N292" t="s">
        <v>50</v>
      </c>
      <c r="O292">
        <v>0</v>
      </c>
      <c r="P292" t="s">
        <v>49</v>
      </c>
      <c r="Q292" t="s">
        <v>50</v>
      </c>
      <c r="R292" t="s">
        <v>51</v>
      </c>
      <c r="S292" t="s">
        <v>52</v>
      </c>
      <c r="T292" t="b">
        <v>1</v>
      </c>
      <c r="U292" t="s">
        <v>53</v>
      </c>
      <c r="V292" t="s">
        <v>54</v>
      </c>
      <c r="W292">
        <v>4</v>
      </c>
      <c r="X292" t="b">
        <v>0</v>
      </c>
      <c r="Y292" t="s">
        <v>55</v>
      </c>
      <c r="Z292" t="s">
        <v>56</v>
      </c>
      <c r="AA292" t="s">
        <v>57</v>
      </c>
      <c r="AB292">
        <v>0</v>
      </c>
      <c r="AC292" t="s">
        <v>58</v>
      </c>
      <c r="AD292">
        <v>-1</v>
      </c>
      <c r="AE292" t="s">
        <v>73</v>
      </c>
      <c r="AF292">
        <v>0</v>
      </c>
      <c r="AG292" t="b">
        <v>0</v>
      </c>
      <c r="AH292">
        <v>-1</v>
      </c>
      <c r="AI292" t="s">
        <v>73</v>
      </c>
      <c r="AJ292">
        <v>0</v>
      </c>
      <c r="AK292" t="b">
        <v>0</v>
      </c>
      <c r="AL292">
        <v>0</v>
      </c>
      <c r="AM292" t="b">
        <v>0</v>
      </c>
      <c r="AN292">
        <v>0</v>
      </c>
      <c r="AO292" t="b">
        <v>0</v>
      </c>
      <c r="AP292">
        <v>0</v>
      </c>
      <c r="AQ292">
        <v>99039151474.408005</v>
      </c>
      <c r="AR292">
        <v>99039151474.408005</v>
      </c>
      <c r="AS292">
        <v>0</v>
      </c>
      <c r="AT292" t="b">
        <v>0</v>
      </c>
      <c r="AU292" t="b">
        <v>1</v>
      </c>
      <c r="BA292" t="str">
        <f t="shared" si="8"/>
        <v>Normal</v>
      </c>
      <c r="BG292" t="str">
        <f t="shared" si="9"/>
        <v>Normal</v>
      </c>
    </row>
    <row r="293" spans="1:59" x14ac:dyDescent="0.2">
      <c r="A293" t="s">
        <v>42</v>
      </c>
      <c r="B293" t="s">
        <v>43</v>
      </c>
      <c r="C293">
        <v>20210101</v>
      </c>
      <c r="D293">
        <v>2021</v>
      </c>
      <c r="E293">
        <v>52</v>
      </c>
      <c r="F293" t="s">
        <v>287</v>
      </c>
      <c r="G293">
        <v>788</v>
      </c>
      <c r="H293" t="s">
        <v>256</v>
      </c>
      <c r="I293" t="s">
        <v>257</v>
      </c>
      <c r="J293" t="s">
        <v>47</v>
      </c>
      <c r="K293" t="s">
        <v>48</v>
      </c>
      <c r="L293">
        <v>0</v>
      </c>
      <c r="M293" t="s">
        <v>49</v>
      </c>
      <c r="N293" t="s">
        <v>50</v>
      </c>
      <c r="O293">
        <v>0</v>
      </c>
      <c r="P293" t="s">
        <v>49</v>
      </c>
      <c r="Q293" t="s">
        <v>50</v>
      </c>
      <c r="R293" t="s">
        <v>51</v>
      </c>
      <c r="S293" t="s">
        <v>52</v>
      </c>
      <c r="T293" t="b">
        <v>1</v>
      </c>
      <c r="U293" t="s">
        <v>53</v>
      </c>
      <c r="V293" t="s">
        <v>54</v>
      </c>
      <c r="W293">
        <v>4</v>
      </c>
      <c r="X293" t="b">
        <v>0</v>
      </c>
      <c r="Y293" t="s">
        <v>55</v>
      </c>
      <c r="Z293" t="s">
        <v>56</v>
      </c>
      <c r="AA293" t="s">
        <v>57</v>
      </c>
      <c r="AB293">
        <v>0</v>
      </c>
      <c r="AC293" t="s">
        <v>58</v>
      </c>
      <c r="AD293">
        <v>8</v>
      </c>
      <c r="AE293" t="s">
        <v>59</v>
      </c>
      <c r="AF293">
        <v>1685179151</v>
      </c>
      <c r="AG293" t="b">
        <v>0</v>
      </c>
      <c r="AH293">
        <v>-1</v>
      </c>
      <c r="AI293" t="s">
        <v>73</v>
      </c>
      <c r="AJ293">
        <v>0</v>
      </c>
      <c r="AK293" t="b">
        <v>0</v>
      </c>
      <c r="AL293">
        <v>1685179151</v>
      </c>
      <c r="AM293" t="b">
        <v>0</v>
      </c>
      <c r="AN293">
        <v>0</v>
      </c>
      <c r="AO293" t="b">
        <v>0</v>
      </c>
      <c r="AP293">
        <v>0</v>
      </c>
      <c r="AQ293">
        <v>765773307.45000005</v>
      </c>
      <c r="AR293">
        <v>765773307.45000005</v>
      </c>
      <c r="AS293">
        <v>0</v>
      </c>
      <c r="AT293" t="b">
        <v>0</v>
      </c>
      <c r="AU293" t="b">
        <v>1</v>
      </c>
      <c r="BA293" t="str">
        <f t="shared" si="8"/>
        <v>Normal</v>
      </c>
      <c r="BG293" t="str">
        <f t="shared" si="9"/>
        <v>Normal</v>
      </c>
    </row>
    <row r="294" spans="1:59" x14ac:dyDescent="0.2">
      <c r="A294" t="s">
        <v>42</v>
      </c>
      <c r="B294" t="s">
        <v>43</v>
      </c>
      <c r="C294">
        <v>20210101</v>
      </c>
      <c r="D294">
        <v>2021</v>
      </c>
      <c r="E294">
        <v>52</v>
      </c>
      <c r="F294" t="s">
        <v>287</v>
      </c>
      <c r="G294">
        <v>800</v>
      </c>
      <c r="H294" t="s">
        <v>258</v>
      </c>
      <c r="I294" t="s">
        <v>259</v>
      </c>
      <c r="J294" t="s">
        <v>47</v>
      </c>
      <c r="K294" t="s">
        <v>48</v>
      </c>
      <c r="L294">
        <v>0</v>
      </c>
      <c r="M294" t="s">
        <v>49</v>
      </c>
      <c r="N294" t="s">
        <v>50</v>
      </c>
      <c r="O294">
        <v>0</v>
      </c>
      <c r="P294" t="s">
        <v>49</v>
      </c>
      <c r="Q294" t="s">
        <v>50</v>
      </c>
      <c r="R294" t="s">
        <v>51</v>
      </c>
      <c r="S294" t="s">
        <v>52</v>
      </c>
      <c r="T294" t="b">
        <v>1</v>
      </c>
      <c r="U294" t="s">
        <v>53</v>
      </c>
      <c r="V294" t="s">
        <v>54</v>
      </c>
      <c r="W294">
        <v>4</v>
      </c>
      <c r="X294" t="b">
        <v>0</v>
      </c>
      <c r="Y294" t="s">
        <v>55</v>
      </c>
      <c r="Z294" t="s">
        <v>56</v>
      </c>
      <c r="AA294" t="s">
        <v>57</v>
      </c>
      <c r="AB294">
        <v>0</v>
      </c>
      <c r="AC294" t="s">
        <v>58</v>
      </c>
      <c r="AD294">
        <v>8</v>
      </c>
      <c r="AE294" t="s">
        <v>59</v>
      </c>
      <c r="AF294">
        <v>7490</v>
      </c>
      <c r="AG294" t="b">
        <v>0</v>
      </c>
      <c r="AH294">
        <v>8</v>
      </c>
      <c r="AI294" t="s">
        <v>59</v>
      </c>
      <c r="AJ294">
        <v>7490</v>
      </c>
      <c r="AK294" t="b">
        <v>0</v>
      </c>
      <c r="AL294">
        <v>7490</v>
      </c>
      <c r="AM294" t="b">
        <v>0</v>
      </c>
      <c r="AN294">
        <v>0</v>
      </c>
      <c r="AO294" t="b">
        <v>0</v>
      </c>
      <c r="AQ294">
        <v>4702.58</v>
      </c>
      <c r="AR294">
        <v>4702.58</v>
      </c>
      <c r="AS294">
        <v>0</v>
      </c>
      <c r="AT294" t="b">
        <v>0</v>
      </c>
      <c r="AU294" t="b">
        <v>1</v>
      </c>
      <c r="BA294" t="str">
        <f t="shared" si="8"/>
        <v>Normal</v>
      </c>
      <c r="BG294" t="str">
        <f t="shared" si="9"/>
        <v>Normal</v>
      </c>
    </row>
    <row r="295" spans="1:59" x14ac:dyDescent="0.2">
      <c r="A295" t="s">
        <v>42</v>
      </c>
      <c r="B295" t="s">
        <v>43</v>
      </c>
      <c r="C295">
        <v>20210101</v>
      </c>
      <c r="D295">
        <v>2021</v>
      </c>
      <c r="E295">
        <v>52</v>
      </c>
      <c r="F295" t="s">
        <v>287</v>
      </c>
      <c r="G295">
        <v>804</v>
      </c>
      <c r="H295" t="s">
        <v>260</v>
      </c>
      <c r="I295" t="s">
        <v>261</v>
      </c>
      <c r="J295" t="s">
        <v>47</v>
      </c>
      <c r="K295" t="s">
        <v>48</v>
      </c>
      <c r="L295">
        <v>0</v>
      </c>
      <c r="M295" t="s">
        <v>49</v>
      </c>
      <c r="N295" t="s">
        <v>50</v>
      </c>
      <c r="O295">
        <v>0</v>
      </c>
      <c r="P295" t="s">
        <v>49</v>
      </c>
      <c r="Q295" t="s">
        <v>50</v>
      </c>
      <c r="R295" t="s">
        <v>51</v>
      </c>
      <c r="S295" t="s">
        <v>52</v>
      </c>
      <c r="T295" t="b">
        <v>1</v>
      </c>
      <c r="U295" t="s">
        <v>53</v>
      </c>
      <c r="V295" t="s">
        <v>54</v>
      </c>
      <c r="W295">
        <v>4</v>
      </c>
      <c r="X295" t="b">
        <v>0</v>
      </c>
      <c r="Y295" t="s">
        <v>55</v>
      </c>
      <c r="Z295" t="s">
        <v>56</v>
      </c>
      <c r="AA295" t="s">
        <v>57</v>
      </c>
      <c r="AB295">
        <v>0</v>
      </c>
      <c r="AC295" t="s">
        <v>58</v>
      </c>
      <c r="AD295">
        <v>8</v>
      </c>
      <c r="AE295" t="s">
        <v>59</v>
      </c>
      <c r="AF295">
        <v>89963300</v>
      </c>
      <c r="AG295" t="b">
        <v>0</v>
      </c>
      <c r="AH295">
        <v>8</v>
      </c>
      <c r="AI295" t="s">
        <v>59</v>
      </c>
      <c r="AJ295">
        <v>89963300</v>
      </c>
      <c r="AK295" t="b">
        <v>0</v>
      </c>
      <c r="AL295">
        <v>89963300</v>
      </c>
      <c r="AM295" t="b">
        <v>0</v>
      </c>
      <c r="AN295">
        <v>0</v>
      </c>
      <c r="AO295" t="b">
        <v>0</v>
      </c>
      <c r="AP295">
        <v>0</v>
      </c>
      <c r="AQ295">
        <v>27133479.690000001</v>
      </c>
      <c r="AR295">
        <v>27133479.690000001</v>
      </c>
      <c r="AS295">
        <v>0</v>
      </c>
      <c r="AT295" t="b">
        <v>0</v>
      </c>
      <c r="AU295" t="b">
        <v>1</v>
      </c>
      <c r="BA295" t="str">
        <f t="shared" si="8"/>
        <v>Normal</v>
      </c>
      <c r="BG295" t="str">
        <f t="shared" si="9"/>
        <v>Normal</v>
      </c>
    </row>
    <row r="296" spans="1:59" x14ac:dyDescent="0.2">
      <c r="A296" t="s">
        <v>42</v>
      </c>
      <c r="B296" t="s">
        <v>43</v>
      </c>
      <c r="C296">
        <v>20210101</v>
      </c>
      <c r="D296">
        <v>2021</v>
      </c>
      <c r="E296">
        <v>52</v>
      </c>
      <c r="F296" t="s">
        <v>287</v>
      </c>
      <c r="G296">
        <v>818</v>
      </c>
      <c r="H296" t="s">
        <v>262</v>
      </c>
      <c r="I296" t="s">
        <v>263</v>
      </c>
      <c r="J296" t="s">
        <v>47</v>
      </c>
      <c r="K296" t="s">
        <v>48</v>
      </c>
      <c r="L296">
        <v>0</v>
      </c>
      <c r="M296" t="s">
        <v>49</v>
      </c>
      <c r="N296" t="s">
        <v>50</v>
      </c>
      <c r="O296">
        <v>0</v>
      </c>
      <c r="P296" t="s">
        <v>49</v>
      </c>
      <c r="Q296" t="s">
        <v>50</v>
      </c>
      <c r="R296" t="s">
        <v>104</v>
      </c>
      <c r="S296" t="s">
        <v>52</v>
      </c>
      <c r="T296" t="b">
        <v>1</v>
      </c>
      <c r="U296" t="s">
        <v>53</v>
      </c>
      <c r="V296" t="s">
        <v>54</v>
      </c>
      <c r="W296">
        <v>4</v>
      </c>
      <c r="X296" t="b">
        <v>0</v>
      </c>
      <c r="Y296" t="s">
        <v>55</v>
      </c>
      <c r="Z296" t="s">
        <v>56</v>
      </c>
      <c r="AA296" t="s">
        <v>57</v>
      </c>
      <c r="AB296">
        <v>0</v>
      </c>
      <c r="AC296" t="s">
        <v>58</v>
      </c>
      <c r="AD296">
        <v>8</v>
      </c>
      <c r="AE296" t="s">
        <v>59</v>
      </c>
      <c r="AF296">
        <v>6788547751.9899998</v>
      </c>
      <c r="AG296" t="b">
        <v>1</v>
      </c>
      <c r="AH296">
        <v>-1</v>
      </c>
      <c r="AI296" t="s">
        <v>73</v>
      </c>
      <c r="AJ296">
        <v>0</v>
      </c>
      <c r="AK296" t="b">
        <v>0</v>
      </c>
      <c r="AL296">
        <v>6788547751.9899998</v>
      </c>
      <c r="AM296" t="b">
        <v>1</v>
      </c>
      <c r="AN296">
        <v>0</v>
      </c>
      <c r="AO296" t="b">
        <v>0</v>
      </c>
      <c r="AQ296">
        <v>3213265951.6040001</v>
      </c>
      <c r="AR296">
        <v>3213265951.6040001</v>
      </c>
      <c r="AS296">
        <v>6</v>
      </c>
      <c r="AT296" t="b">
        <v>0</v>
      </c>
      <c r="AU296" t="b">
        <v>1</v>
      </c>
      <c r="BA296" t="str">
        <f t="shared" si="8"/>
        <v>Normal</v>
      </c>
      <c r="BG296" t="str">
        <f t="shared" si="9"/>
        <v>Normal</v>
      </c>
    </row>
    <row r="297" spans="1:59" x14ac:dyDescent="0.2">
      <c r="A297" t="s">
        <v>42</v>
      </c>
      <c r="B297" t="s">
        <v>43</v>
      </c>
      <c r="C297">
        <v>20210101</v>
      </c>
      <c r="D297">
        <v>2021</v>
      </c>
      <c r="E297">
        <v>52</v>
      </c>
      <c r="F297" t="s">
        <v>287</v>
      </c>
      <c r="G297">
        <v>826</v>
      </c>
      <c r="H297" t="s">
        <v>264</v>
      </c>
      <c r="I297" t="s">
        <v>265</v>
      </c>
      <c r="J297" t="s">
        <v>47</v>
      </c>
      <c r="K297" t="s">
        <v>48</v>
      </c>
      <c r="L297">
        <v>0</v>
      </c>
      <c r="M297" t="s">
        <v>49</v>
      </c>
      <c r="N297" t="s">
        <v>50</v>
      </c>
      <c r="O297">
        <v>0</v>
      </c>
      <c r="P297" t="s">
        <v>49</v>
      </c>
      <c r="Q297" t="s">
        <v>50</v>
      </c>
      <c r="R297" t="s">
        <v>51</v>
      </c>
      <c r="S297" t="s">
        <v>52</v>
      </c>
      <c r="T297" t="b">
        <v>1</v>
      </c>
      <c r="U297" t="s">
        <v>53</v>
      </c>
      <c r="V297" t="s">
        <v>54</v>
      </c>
      <c r="W297">
        <v>4</v>
      </c>
      <c r="X297" t="b">
        <v>0</v>
      </c>
      <c r="Y297" t="s">
        <v>55</v>
      </c>
      <c r="Z297" t="s">
        <v>56</v>
      </c>
      <c r="AA297" t="s">
        <v>57</v>
      </c>
      <c r="AB297">
        <v>0</v>
      </c>
      <c r="AC297" t="s">
        <v>58</v>
      </c>
      <c r="AD297">
        <v>8</v>
      </c>
      <c r="AE297" t="s">
        <v>59</v>
      </c>
      <c r="AF297">
        <v>36632901481</v>
      </c>
      <c r="AG297" t="b">
        <v>0</v>
      </c>
      <c r="AH297">
        <v>8</v>
      </c>
      <c r="AI297" t="s">
        <v>59</v>
      </c>
      <c r="AJ297">
        <v>36632901481</v>
      </c>
      <c r="AK297" t="b">
        <v>0</v>
      </c>
      <c r="AL297">
        <v>36632901481</v>
      </c>
      <c r="AM297" t="b">
        <v>0</v>
      </c>
      <c r="AN297">
        <v>0</v>
      </c>
      <c r="AO297" t="b">
        <v>0</v>
      </c>
      <c r="AP297">
        <v>0</v>
      </c>
      <c r="AQ297">
        <v>19719253667.880001</v>
      </c>
      <c r="AR297">
        <v>19719253667.880001</v>
      </c>
      <c r="AS297">
        <v>0</v>
      </c>
      <c r="AT297" t="b">
        <v>0</v>
      </c>
      <c r="AU297" t="b">
        <v>1</v>
      </c>
      <c r="BA297" t="str">
        <f t="shared" si="8"/>
        <v>Normal</v>
      </c>
      <c r="BG297" t="str">
        <f t="shared" si="9"/>
        <v>Normal</v>
      </c>
    </row>
    <row r="298" spans="1:59" x14ac:dyDescent="0.2">
      <c r="A298" t="s">
        <v>42</v>
      </c>
      <c r="B298" t="s">
        <v>43</v>
      </c>
      <c r="C298">
        <v>20210101</v>
      </c>
      <c r="D298">
        <v>2021</v>
      </c>
      <c r="E298">
        <v>52</v>
      </c>
      <c r="F298" t="s">
        <v>287</v>
      </c>
      <c r="G298">
        <v>834</v>
      </c>
      <c r="H298" t="s">
        <v>266</v>
      </c>
      <c r="I298" t="s">
        <v>267</v>
      </c>
      <c r="J298" t="s">
        <v>47</v>
      </c>
      <c r="K298" t="s">
        <v>48</v>
      </c>
      <c r="L298">
        <v>0</v>
      </c>
      <c r="M298" t="s">
        <v>49</v>
      </c>
      <c r="N298" t="s">
        <v>50</v>
      </c>
      <c r="O298">
        <v>0</v>
      </c>
      <c r="P298" t="s">
        <v>49</v>
      </c>
      <c r="Q298" t="s">
        <v>50</v>
      </c>
      <c r="R298" t="s">
        <v>51</v>
      </c>
      <c r="S298" t="s">
        <v>52</v>
      </c>
      <c r="T298" t="b">
        <v>1</v>
      </c>
      <c r="U298" t="s">
        <v>53</v>
      </c>
      <c r="V298" t="s">
        <v>54</v>
      </c>
      <c r="W298">
        <v>4</v>
      </c>
      <c r="X298" t="b">
        <v>0</v>
      </c>
      <c r="Y298" t="s">
        <v>55</v>
      </c>
      <c r="Z298" t="s">
        <v>56</v>
      </c>
      <c r="AA298" t="s">
        <v>57</v>
      </c>
      <c r="AB298">
        <v>0</v>
      </c>
      <c r="AC298" t="s">
        <v>58</v>
      </c>
      <c r="AD298">
        <v>8</v>
      </c>
      <c r="AE298" t="s">
        <v>59</v>
      </c>
      <c r="AF298">
        <v>4826910</v>
      </c>
      <c r="AG298" t="b">
        <v>0</v>
      </c>
      <c r="AH298">
        <v>8</v>
      </c>
      <c r="AI298" t="s">
        <v>59</v>
      </c>
      <c r="AJ298">
        <v>4826910</v>
      </c>
      <c r="AK298" t="b">
        <v>0</v>
      </c>
      <c r="AL298">
        <v>4826910</v>
      </c>
      <c r="AM298" t="b">
        <v>0</v>
      </c>
      <c r="AN298">
        <v>0</v>
      </c>
      <c r="AO298" t="b">
        <v>0</v>
      </c>
      <c r="AP298">
        <v>0</v>
      </c>
      <c r="AQ298">
        <v>637029.29</v>
      </c>
      <c r="AR298">
        <v>637029.29</v>
      </c>
      <c r="AS298">
        <v>0</v>
      </c>
      <c r="AT298" t="b">
        <v>0</v>
      </c>
      <c r="AU298" t="b">
        <v>1</v>
      </c>
      <c r="BA298" t="str">
        <f t="shared" si="8"/>
        <v>Normal</v>
      </c>
      <c r="BG298" t="str">
        <f t="shared" si="9"/>
        <v>Normal</v>
      </c>
    </row>
    <row r="299" spans="1:59" x14ac:dyDescent="0.2">
      <c r="A299" t="s">
        <v>42</v>
      </c>
      <c r="B299" t="s">
        <v>43</v>
      </c>
      <c r="C299">
        <v>20210101</v>
      </c>
      <c r="D299">
        <v>2021</v>
      </c>
      <c r="E299">
        <v>52</v>
      </c>
      <c r="F299" t="s">
        <v>287</v>
      </c>
      <c r="G299">
        <v>842</v>
      </c>
      <c r="H299" t="s">
        <v>268</v>
      </c>
      <c r="I299" t="s">
        <v>268</v>
      </c>
      <c r="J299" t="s">
        <v>47</v>
      </c>
      <c r="K299" t="s">
        <v>48</v>
      </c>
      <c r="L299">
        <v>0</v>
      </c>
      <c r="M299" t="s">
        <v>49</v>
      </c>
      <c r="N299" t="s">
        <v>50</v>
      </c>
      <c r="O299">
        <v>0</v>
      </c>
      <c r="P299" t="s">
        <v>49</v>
      </c>
      <c r="Q299" t="s">
        <v>50</v>
      </c>
      <c r="R299" t="s">
        <v>51</v>
      </c>
      <c r="S299" t="s">
        <v>52</v>
      </c>
      <c r="T299" t="b">
        <v>1</v>
      </c>
      <c r="U299" t="s">
        <v>53</v>
      </c>
      <c r="V299" t="s">
        <v>54</v>
      </c>
      <c r="W299">
        <v>4</v>
      </c>
      <c r="X299" t="b">
        <v>0</v>
      </c>
      <c r="Y299" t="s">
        <v>55</v>
      </c>
      <c r="Z299" t="s">
        <v>56</v>
      </c>
      <c r="AA299" t="s">
        <v>57</v>
      </c>
      <c r="AB299">
        <v>0</v>
      </c>
      <c r="AC299" t="s">
        <v>58</v>
      </c>
      <c r="AD299">
        <v>8</v>
      </c>
      <c r="AE299" t="s">
        <v>59</v>
      </c>
      <c r="AF299">
        <v>172772127009</v>
      </c>
      <c r="AG299" t="b">
        <v>0</v>
      </c>
      <c r="AH299">
        <v>19</v>
      </c>
      <c r="AI299" t="s">
        <v>60</v>
      </c>
      <c r="AJ299">
        <v>1086617151</v>
      </c>
      <c r="AK299" t="b">
        <v>0</v>
      </c>
      <c r="AL299">
        <v>172772127009</v>
      </c>
      <c r="AM299" t="b">
        <v>0</v>
      </c>
      <c r="AN299">
        <v>0</v>
      </c>
      <c r="AO299" t="b">
        <v>0</v>
      </c>
      <c r="AP299">
        <v>0</v>
      </c>
      <c r="AQ299">
        <v>69356113331</v>
      </c>
      <c r="AR299">
        <v>69356113331</v>
      </c>
      <c r="AS299">
        <v>0</v>
      </c>
      <c r="AT299" t="b">
        <v>0</v>
      </c>
      <c r="AU299" t="b">
        <v>1</v>
      </c>
      <c r="BA299" t="str">
        <f t="shared" si="8"/>
        <v>Normal</v>
      </c>
      <c r="BG299" t="str">
        <f t="shared" si="9"/>
        <v>Normal</v>
      </c>
    </row>
    <row r="300" spans="1:59" x14ac:dyDescent="0.2">
      <c r="A300" t="s">
        <v>42</v>
      </c>
      <c r="B300" t="s">
        <v>43</v>
      </c>
      <c r="C300">
        <v>20210101</v>
      </c>
      <c r="D300">
        <v>2021</v>
      </c>
      <c r="E300">
        <v>52</v>
      </c>
      <c r="F300" t="s">
        <v>287</v>
      </c>
      <c r="G300">
        <v>894</v>
      </c>
      <c r="H300" t="s">
        <v>285</v>
      </c>
      <c r="I300" t="s">
        <v>286</v>
      </c>
      <c r="J300" t="s">
        <v>47</v>
      </c>
      <c r="K300" t="s">
        <v>48</v>
      </c>
      <c r="L300">
        <v>0</v>
      </c>
      <c r="M300" t="s">
        <v>49</v>
      </c>
      <c r="N300" t="s">
        <v>50</v>
      </c>
      <c r="O300">
        <v>0</v>
      </c>
      <c r="P300" t="s">
        <v>49</v>
      </c>
      <c r="Q300" t="s">
        <v>50</v>
      </c>
      <c r="R300" t="s">
        <v>51</v>
      </c>
      <c r="S300" t="s">
        <v>52</v>
      </c>
      <c r="T300" t="b">
        <v>1</v>
      </c>
      <c r="U300" t="s">
        <v>53</v>
      </c>
      <c r="V300" t="s">
        <v>54</v>
      </c>
      <c r="W300">
        <v>4</v>
      </c>
      <c r="X300" t="b">
        <v>0</v>
      </c>
      <c r="Y300" t="s">
        <v>55</v>
      </c>
      <c r="Z300" t="s">
        <v>56</v>
      </c>
      <c r="AA300" t="s">
        <v>57</v>
      </c>
      <c r="AB300">
        <v>0</v>
      </c>
      <c r="AC300" t="s">
        <v>58</v>
      </c>
      <c r="AD300">
        <v>8</v>
      </c>
      <c r="AE300" t="s">
        <v>59</v>
      </c>
      <c r="AF300">
        <v>2023672</v>
      </c>
      <c r="AG300" t="b">
        <v>0</v>
      </c>
      <c r="AH300">
        <v>7</v>
      </c>
      <c r="AI300" t="s">
        <v>67</v>
      </c>
      <c r="AJ300">
        <v>71</v>
      </c>
      <c r="AK300" t="b">
        <v>0</v>
      </c>
      <c r="AL300">
        <v>2023672</v>
      </c>
      <c r="AM300" t="b">
        <v>0</v>
      </c>
      <c r="AN300">
        <v>0</v>
      </c>
      <c r="AO300" t="b">
        <v>0</v>
      </c>
      <c r="AQ300">
        <v>484197.48800000001</v>
      </c>
      <c r="AR300">
        <v>484197.48800000001</v>
      </c>
      <c r="AS300">
        <v>0</v>
      </c>
      <c r="AT300" t="b">
        <v>0</v>
      </c>
      <c r="AU300" t="b">
        <v>1</v>
      </c>
      <c r="BA300" t="str">
        <f t="shared" si="8"/>
        <v>Normal</v>
      </c>
      <c r="BG300" t="str">
        <f t="shared" si="9"/>
        <v>Normal</v>
      </c>
    </row>
    <row r="301" spans="1:59" x14ac:dyDescent="0.2">
      <c r="A301" t="s">
        <v>42</v>
      </c>
      <c r="B301" t="s">
        <v>43</v>
      </c>
      <c r="C301">
        <v>20220101</v>
      </c>
      <c r="D301">
        <v>2022</v>
      </c>
      <c r="E301">
        <v>52</v>
      </c>
      <c r="F301" t="s">
        <v>299</v>
      </c>
      <c r="G301">
        <v>20</v>
      </c>
      <c r="H301" t="s">
        <v>288</v>
      </c>
      <c r="I301" t="s">
        <v>289</v>
      </c>
      <c r="J301" t="s">
        <v>47</v>
      </c>
      <c r="K301" t="s">
        <v>48</v>
      </c>
      <c r="L301">
        <v>0</v>
      </c>
      <c r="M301" t="s">
        <v>49</v>
      </c>
      <c r="N301" t="s">
        <v>50</v>
      </c>
      <c r="O301">
        <v>0</v>
      </c>
      <c r="P301" t="s">
        <v>49</v>
      </c>
      <c r="Q301" t="s">
        <v>50</v>
      </c>
      <c r="R301" t="s">
        <v>300</v>
      </c>
      <c r="S301" t="s">
        <v>52</v>
      </c>
      <c r="T301" t="b">
        <v>1</v>
      </c>
      <c r="U301" t="s">
        <v>53</v>
      </c>
      <c r="V301" t="s">
        <v>54</v>
      </c>
      <c r="W301">
        <v>4</v>
      </c>
      <c r="X301" t="b">
        <v>0</v>
      </c>
      <c r="Y301" t="s">
        <v>55</v>
      </c>
      <c r="Z301" t="s">
        <v>56</v>
      </c>
      <c r="AA301" t="s">
        <v>57</v>
      </c>
      <c r="AB301">
        <v>0</v>
      </c>
      <c r="AC301" t="s">
        <v>58</v>
      </c>
      <c r="AD301">
        <v>8</v>
      </c>
      <c r="AE301" t="s">
        <v>59</v>
      </c>
      <c r="AF301">
        <v>10800</v>
      </c>
      <c r="AG301" t="b">
        <v>0</v>
      </c>
      <c r="AH301">
        <v>8</v>
      </c>
      <c r="AI301" t="s">
        <v>59</v>
      </c>
      <c r="AJ301">
        <v>10800</v>
      </c>
      <c r="AK301" t="b">
        <v>0</v>
      </c>
      <c r="AL301">
        <v>10800</v>
      </c>
      <c r="AM301" t="b">
        <v>0</v>
      </c>
      <c r="AN301">
        <v>0</v>
      </c>
      <c r="AO301" t="b">
        <v>0</v>
      </c>
      <c r="AQ301">
        <v>908.59799999999996</v>
      </c>
      <c r="AR301">
        <v>908.59799999999996</v>
      </c>
      <c r="AS301">
        <v>0</v>
      </c>
      <c r="AT301" t="b">
        <v>0</v>
      </c>
      <c r="AU301" t="b">
        <v>1</v>
      </c>
      <c r="BA301" t="str">
        <f t="shared" si="8"/>
        <v>Normal</v>
      </c>
      <c r="BG301" t="str">
        <f t="shared" si="9"/>
        <v>Normal</v>
      </c>
    </row>
    <row r="302" spans="1:59" x14ac:dyDescent="0.2">
      <c r="A302" t="s">
        <v>42</v>
      </c>
      <c r="B302" t="s">
        <v>43</v>
      </c>
      <c r="C302">
        <v>20220101</v>
      </c>
      <c r="D302">
        <v>2022</v>
      </c>
      <c r="E302">
        <v>52</v>
      </c>
      <c r="F302" t="s">
        <v>299</v>
      </c>
      <c r="G302">
        <v>24</v>
      </c>
      <c r="H302" t="s">
        <v>45</v>
      </c>
      <c r="I302" t="s">
        <v>46</v>
      </c>
      <c r="J302" t="s">
        <v>47</v>
      </c>
      <c r="K302" t="s">
        <v>48</v>
      </c>
      <c r="L302">
        <v>0</v>
      </c>
      <c r="M302" t="s">
        <v>49</v>
      </c>
      <c r="N302" t="s">
        <v>50</v>
      </c>
      <c r="O302">
        <v>0</v>
      </c>
      <c r="P302" t="s">
        <v>49</v>
      </c>
      <c r="Q302" t="s">
        <v>50</v>
      </c>
      <c r="R302" t="s">
        <v>51</v>
      </c>
      <c r="S302" t="s">
        <v>52</v>
      </c>
      <c r="T302" t="b">
        <v>1</v>
      </c>
      <c r="U302" t="s">
        <v>53</v>
      </c>
      <c r="V302" t="s">
        <v>54</v>
      </c>
      <c r="W302">
        <v>4</v>
      </c>
      <c r="X302" t="b">
        <v>0</v>
      </c>
      <c r="Y302" t="s">
        <v>55</v>
      </c>
      <c r="Z302" t="s">
        <v>56</v>
      </c>
      <c r="AA302" t="s">
        <v>57</v>
      </c>
      <c r="AB302">
        <v>0</v>
      </c>
      <c r="AC302" t="s">
        <v>58</v>
      </c>
      <c r="AD302">
        <v>8</v>
      </c>
      <c r="AE302" t="s">
        <v>59</v>
      </c>
      <c r="AF302">
        <v>62962811157</v>
      </c>
      <c r="AG302" t="b">
        <v>0</v>
      </c>
      <c r="AH302">
        <v>19</v>
      </c>
      <c r="AI302" t="s">
        <v>60</v>
      </c>
      <c r="AJ302">
        <v>395992523</v>
      </c>
      <c r="AK302" t="b">
        <v>0</v>
      </c>
      <c r="AL302">
        <v>62962811157</v>
      </c>
      <c r="AM302" t="b">
        <v>0</v>
      </c>
      <c r="AN302">
        <v>0</v>
      </c>
      <c r="AO302" t="b">
        <v>0</v>
      </c>
      <c r="AQ302">
        <v>40311108896.753998</v>
      </c>
      <c r="AR302">
        <v>40311108896.753998</v>
      </c>
      <c r="AS302">
        <v>0</v>
      </c>
      <c r="AT302" t="b">
        <v>0</v>
      </c>
      <c r="AU302" t="b">
        <v>1</v>
      </c>
      <c r="BA302" t="str">
        <f t="shared" si="8"/>
        <v>Normal</v>
      </c>
      <c r="BG302" t="str">
        <f t="shared" si="9"/>
        <v>Normal</v>
      </c>
    </row>
    <row r="303" spans="1:59" x14ac:dyDescent="0.2">
      <c r="A303" t="s">
        <v>42</v>
      </c>
      <c r="B303" t="s">
        <v>43</v>
      </c>
      <c r="C303">
        <v>20220101</v>
      </c>
      <c r="D303">
        <v>2022</v>
      </c>
      <c r="E303">
        <v>52</v>
      </c>
      <c r="F303" t="s">
        <v>299</v>
      </c>
      <c r="G303">
        <v>28</v>
      </c>
      <c r="H303" t="s">
        <v>301</v>
      </c>
      <c r="I303" t="s">
        <v>302</v>
      </c>
      <c r="J303" t="s">
        <v>47</v>
      </c>
      <c r="K303" t="s">
        <v>48</v>
      </c>
      <c r="L303">
        <v>0</v>
      </c>
      <c r="M303" t="s">
        <v>49</v>
      </c>
      <c r="N303" t="s">
        <v>50</v>
      </c>
      <c r="O303">
        <v>0</v>
      </c>
      <c r="P303" t="s">
        <v>49</v>
      </c>
      <c r="Q303" t="s">
        <v>50</v>
      </c>
      <c r="R303" t="s">
        <v>127</v>
      </c>
      <c r="S303" t="s">
        <v>52</v>
      </c>
      <c r="T303" t="b">
        <v>1</v>
      </c>
      <c r="U303" t="s">
        <v>53</v>
      </c>
      <c r="V303" t="s">
        <v>54</v>
      </c>
      <c r="W303">
        <v>4</v>
      </c>
      <c r="X303" t="b">
        <v>0</v>
      </c>
      <c r="Y303" t="s">
        <v>55</v>
      </c>
      <c r="Z303" t="s">
        <v>56</v>
      </c>
      <c r="AA303" t="s">
        <v>57</v>
      </c>
      <c r="AB303">
        <v>0</v>
      </c>
      <c r="AC303" t="s">
        <v>58</v>
      </c>
      <c r="AD303">
        <v>8</v>
      </c>
      <c r="AE303" t="s">
        <v>59</v>
      </c>
      <c r="AF303">
        <v>105</v>
      </c>
      <c r="AG303" t="b">
        <v>0</v>
      </c>
      <c r="AH303">
        <v>12</v>
      </c>
      <c r="AI303" t="s">
        <v>70</v>
      </c>
      <c r="AJ303">
        <v>49</v>
      </c>
      <c r="AK303" t="b">
        <v>0</v>
      </c>
      <c r="AL303">
        <v>105</v>
      </c>
      <c r="AM303" t="b">
        <v>0</v>
      </c>
      <c r="AN303">
        <v>0</v>
      </c>
      <c r="AO303" t="b">
        <v>0</v>
      </c>
      <c r="AQ303">
        <v>853.15599999999995</v>
      </c>
      <c r="AR303">
        <v>853.15599999999995</v>
      </c>
      <c r="AS303">
        <v>0</v>
      </c>
      <c r="AT303" t="b">
        <v>0</v>
      </c>
      <c r="AU303" t="b">
        <v>1</v>
      </c>
      <c r="BA303" t="str">
        <f t="shared" si="8"/>
        <v>Normal</v>
      </c>
      <c r="BG303" t="str">
        <f t="shared" si="9"/>
        <v>Normal</v>
      </c>
    </row>
    <row r="304" spans="1:59" x14ac:dyDescent="0.2">
      <c r="A304" t="s">
        <v>42</v>
      </c>
      <c r="B304" t="s">
        <v>43</v>
      </c>
      <c r="C304">
        <v>20220101</v>
      </c>
      <c r="D304">
        <v>2022</v>
      </c>
      <c r="E304">
        <v>52</v>
      </c>
      <c r="F304" t="s">
        <v>299</v>
      </c>
      <c r="G304">
        <v>31</v>
      </c>
      <c r="H304" t="s">
        <v>61</v>
      </c>
      <c r="I304" t="s">
        <v>62</v>
      </c>
      <c r="J304" t="s">
        <v>47</v>
      </c>
      <c r="K304" t="s">
        <v>48</v>
      </c>
      <c r="L304">
        <v>0</v>
      </c>
      <c r="M304" t="s">
        <v>49</v>
      </c>
      <c r="N304" t="s">
        <v>50</v>
      </c>
      <c r="O304">
        <v>0</v>
      </c>
      <c r="P304" t="s">
        <v>49</v>
      </c>
      <c r="Q304" t="s">
        <v>50</v>
      </c>
      <c r="R304" t="s">
        <v>300</v>
      </c>
      <c r="S304" t="s">
        <v>52</v>
      </c>
      <c r="T304" t="b">
        <v>1</v>
      </c>
      <c r="U304" t="s">
        <v>53</v>
      </c>
      <c r="V304" t="s">
        <v>54</v>
      </c>
      <c r="W304">
        <v>4</v>
      </c>
      <c r="X304" t="b">
        <v>0</v>
      </c>
      <c r="Y304" t="s">
        <v>55</v>
      </c>
      <c r="Z304" t="s">
        <v>56</v>
      </c>
      <c r="AA304" t="s">
        <v>57</v>
      </c>
      <c r="AB304">
        <v>0</v>
      </c>
      <c r="AC304" t="s">
        <v>58</v>
      </c>
      <c r="AD304">
        <v>8</v>
      </c>
      <c r="AE304" t="s">
        <v>59</v>
      </c>
      <c r="AF304">
        <v>26024196665</v>
      </c>
      <c r="AG304" t="b">
        <v>0</v>
      </c>
      <c r="AH304">
        <v>8</v>
      </c>
      <c r="AI304" t="s">
        <v>59</v>
      </c>
      <c r="AJ304">
        <v>26024196665</v>
      </c>
      <c r="AK304" t="b">
        <v>0</v>
      </c>
      <c r="AL304">
        <v>26024196665</v>
      </c>
      <c r="AM304" t="b">
        <v>0</v>
      </c>
      <c r="AN304">
        <v>0</v>
      </c>
      <c r="AO304" t="b">
        <v>0</v>
      </c>
      <c r="AQ304">
        <v>19483623559.450001</v>
      </c>
      <c r="AR304">
        <v>19483623559.450001</v>
      </c>
      <c r="AS304">
        <v>0</v>
      </c>
      <c r="AT304" t="b">
        <v>0</v>
      </c>
      <c r="AU304" t="b">
        <v>1</v>
      </c>
      <c r="BA304" t="str">
        <f t="shared" si="8"/>
        <v>Normal</v>
      </c>
      <c r="BG304" t="str">
        <f t="shared" si="9"/>
        <v>Normal</v>
      </c>
    </row>
    <row r="305" spans="1:59" x14ac:dyDescent="0.2">
      <c r="A305" t="s">
        <v>42</v>
      </c>
      <c r="B305" t="s">
        <v>43</v>
      </c>
      <c r="C305">
        <v>20220101</v>
      </c>
      <c r="D305">
        <v>2022</v>
      </c>
      <c r="E305">
        <v>52</v>
      </c>
      <c r="F305" t="s">
        <v>299</v>
      </c>
      <c r="G305">
        <v>32</v>
      </c>
      <c r="H305" t="s">
        <v>63</v>
      </c>
      <c r="I305" t="s">
        <v>64</v>
      </c>
      <c r="J305" t="s">
        <v>47</v>
      </c>
      <c r="K305" t="s">
        <v>48</v>
      </c>
      <c r="L305">
        <v>0</v>
      </c>
      <c r="M305" t="s">
        <v>49</v>
      </c>
      <c r="N305" t="s">
        <v>50</v>
      </c>
      <c r="O305">
        <v>0</v>
      </c>
      <c r="P305" t="s">
        <v>49</v>
      </c>
      <c r="Q305" t="s">
        <v>50</v>
      </c>
      <c r="R305" t="s">
        <v>51</v>
      </c>
      <c r="S305" t="s">
        <v>52</v>
      </c>
      <c r="T305" t="b">
        <v>1</v>
      </c>
      <c r="U305" t="s">
        <v>53</v>
      </c>
      <c r="V305" t="s">
        <v>54</v>
      </c>
      <c r="W305">
        <v>4</v>
      </c>
      <c r="X305" t="b">
        <v>0</v>
      </c>
      <c r="Y305" t="s">
        <v>55</v>
      </c>
      <c r="Z305" t="s">
        <v>56</v>
      </c>
      <c r="AA305" t="s">
        <v>57</v>
      </c>
      <c r="AB305">
        <v>0</v>
      </c>
      <c r="AC305" t="s">
        <v>58</v>
      </c>
      <c r="AD305">
        <v>8</v>
      </c>
      <c r="AE305" t="s">
        <v>59</v>
      </c>
      <c r="AF305">
        <v>4422277000</v>
      </c>
      <c r="AG305" t="b">
        <v>0</v>
      </c>
      <c r="AH305">
        <v>8</v>
      </c>
      <c r="AI305" t="s">
        <v>59</v>
      </c>
      <c r="AJ305">
        <v>4422277000</v>
      </c>
      <c r="AK305" t="b">
        <v>0</v>
      </c>
      <c r="AL305">
        <v>4422277000</v>
      </c>
      <c r="AM305" t="b">
        <v>0</v>
      </c>
      <c r="AN305">
        <v>0</v>
      </c>
      <c r="AO305" t="b">
        <v>0</v>
      </c>
      <c r="AQ305">
        <v>3072569252.6100001</v>
      </c>
      <c r="AR305">
        <v>3072569252.6100001</v>
      </c>
      <c r="AS305">
        <v>0</v>
      </c>
      <c r="AT305" t="b">
        <v>0</v>
      </c>
      <c r="AU305" t="b">
        <v>1</v>
      </c>
      <c r="BA305" t="str">
        <f t="shared" si="8"/>
        <v>Normal</v>
      </c>
      <c r="BG305" t="str">
        <f t="shared" si="9"/>
        <v>Normal</v>
      </c>
    </row>
    <row r="306" spans="1:59" x14ac:dyDescent="0.2">
      <c r="A306" t="s">
        <v>42</v>
      </c>
      <c r="B306" t="s">
        <v>43</v>
      </c>
      <c r="C306">
        <v>20220101</v>
      </c>
      <c r="D306">
        <v>2022</v>
      </c>
      <c r="E306">
        <v>52</v>
      </c>
      <c r="F306" t="s">
        <v>299</v>
      </c>
      <c r="G306">
        <v>36</v>
      </c>
      <c r="H306" t="s">
        <v>65</v>
      </c>
      <c r="I306" t="s">
        <v>66</v>
      </c>
      <c r="J306" t="s">
        <v>47</v>
      </c>
      <c r="K306" t="s">
        <v>48</v>
      </c>
      <c r="L306">
        <v>0</v>
      </c>
      <c r="M306" t="s">
        <v>49</v>
      </c>
      <c r="N306" t="s">
        <v>50</v>
      </c>
      <c r="O306">
        <v>0</v>
      </c>
      <c r="P306" t="s">
        <v>49</v>
      </c>
      <c r="Q306" t="s">
        <v>50</v>
      </c>
      <c r="R306" t="s">
        <v>300</v>
      </c>
      <c r="S306" t="s">
        <v>52</v>
      </c>
      <c r="T306" t="b">
        <v>1</v>
      </c>
      <c r="U306" t="s">
        <v>53</v>
      </c>
      <c r="V306" t="s">
        <v>54</v>
      </c>
      <c r="W306">
        <v>4</v>
      </c>
      <c r="X306" t="b">
        <v>0</v>
      </c>
      <c r="Y306" t="s">
        <v>55</v>
      </c>
      <c r="Z306" t="s">
        <v>56</v>
      </c>
      <c r="AA306" t="s">
        <v>57</v>
      </c>
      <c r="AB306">
        <v>0</v>
      </c>
      <c r="AC306" t="s">
        <v>58</v>
      </c>
      <c r="AD306">
        <v>8</v>
      </c>
      <c r="AE306" t="s">
        <v>59</v>
      </c>
      <c r="AF306">
        <v>15186700000</v>
      </c>
      <c r="AG306" t="b">
        <v>0</v>
      </c>
      <c r="AH306">
        <v>7</v>
      </c>
      <c r="AI306" t="s">
        <v>67</v>
      </c>
      <c r="AJ306">
        <v>15186700000</v>
      </c>
      <c r="AK306" t="b">
        <v>0</v>
      </c>
      <c r="AL306">
        <v>15186700000</v>
      </c>
      <c r="AM306" t="b">
        <v>0</v>
      </c>
      <c r="AN306">
        <v>12715800000</v>
      </c>
      <c r="AO306" t="b">
        <v>0</v>
      </c>
      <c r="AQ306">
        <v>10054424249.025</v>
      </c>
      <c r="AR306">
        <v>10054424249.025</v>
      </c>
      <c r="AS306">
        <v>0</v>
      </c>
      <c r="AT306" t="b">
        <v>0</v>
      </c>
      <c r="AU306" t="b">
        <v>1</v>
      </c>
      <c r="BA306" t="str">
        <f t="shared" si="8"/>
        <v>Normal</v>
      </c>
      <c r="BG306" t="str">
        <f t="shared" si="9"/>
        <v>Normal</v>
      </c>
    </row>
    <row r="307" spans="1:59" x14ac:dyDescent="0.2">
      <c r="A307" t="s">
        <v>42</v>
      </c>
      <c r="B307" t="s">
        <v>43</v>
      </c>
      <c r="C307">
        <v>20220101</v>
      </c>
      <c r="D307">
        <v>2022</v>
      </c>
      <c r="E307">
        <v>52</v>
      </c>
      <c r="F307" t="s">
        <v>299</v>
      </c>
      <c r="G307">
        <v>44</v>
      </c>
      <c r="H307" t="s">
        <v>303</v>
      </c>
      <c r="I307" t="s">
        <v>304</v>
      </c>
      <c r="J307" t="s">
        <v>47</v>
      </c>
      <c r="K307" t="s">
        <v>48</v>
      </c>
      <c r="L307">
        <v>0</v>
      </c>
      <c r="M307" t="s">
        <v>49</v>
      </c>
      <c r="N307" t="s">
        <v>50</v>
      </c>
      <c r="O307">
        <v>0</v>
      </c>
      <c r="P307" t="s">
        <v>49</v>
      </c>
      <c r="Q307" t="s">
        <v>50</v>
      </c>
      <c r="R307" t="s">
        <v>51</v>
      </c>
      <c r="S307" t="s">
        <v>52</v>
      </c>
      <c r="T307" t="b">
        <v>1</v>
      </c>
      <c r="U307" t="s">
        <v>53</v>
      </c>
      <c r="V307" t="s">
        <v>54</v>
      </c>
      <c r="W307">
        <v>4</v>
      </c>
      <c r="X307" t="b">
        <v>0</v>
      </c>
      <c r="Y307" t="s">
        <v>55</v>
      </c>
      <c r="Z307" t="s">
        <v>56</v>
      </c>
      <c r="AA307" t="s">
        <v>57</v>
      </c>
      <c r="AB307">
        <v>0</v>
      </c>
      <c r="AC307" t="s">
        <v>58</v>
      </c>
      <c r="AD307">
        <v>8</v>
      </c>
      <c r="AE307" t="s">
        <v>59</v>
      </c>
      <c r="AF307">
        <v>70000</v>
      </c>
      <c r="AG307" t="b">
        <v>0</v>
      </c>
      <c r="AH307">
        <v>8</v>
      </c>
      <c r="AI307" t="s">
        <v>59</v>
      </c>
      <c r="AJ307">
        <v>70000</v>
      </c>
      <c r="AK307" t="b">
        <v>0</v>
      </c>
      <c r="AL307">
        <v>70000</v>
      </c>
      <c r="AM307" t="b">
        <v>0</v>
      </c>
      <c r="AN307">
        <v>0</v>
      </c>
      <c r="AO307" t="b">
        <v>0</v>
      </c>
      <c r="AQ307">
        <v>1500</v>
      </c>
      <c r="AR307">
        <v>1500</v>
      </c>
      <c r="AS307">
        <v>0</v>
      </c>
      <c r="AT307" t="b">
        <v>0</v>
      </c>
      <c r="AU307" t="b">
        <v>1</v>
      </c>
      <c r="BA307" t="str">
        <f t="shared" si="8"/>
        <v>Normal</v>
      </c>
      <c r="BG307" t="str">
        <f t="shared" si="9"/>
        <v>Normal</v>
      </c>
    </row>
    <row r="308" spans="1:59" x14ac:dyDescent="0.2">
      <c r="A308" t="s">
        <v>42</v>
      </c>
      <c r="B308" t="s">
        <v>43</v>
      </c>
      <c r="C308">
        <v>20220101</v>
      </c>
      <c r="D308">
        <v>2022</v>
      </c>
      <c r="E308">
        <v>52</v>
      </c>
      <c r="F308" t="s">
        <v>299</v>
      </c>
      <c r="G308">
        <v>52</v>
      </c>
      <c r="H308" t="s">
        <v>68</v>
      </c>
      <c r="I308" t="s">
        <v>69</v>
      </c>
      <c r="J308" t="s">
        <v>47</v>
      </c>
      <c r="K308" t="s">
        <v>48</v>
      </c>
      <c r="L308">
        <v>0</v>
      </c>
      <c r="M308" t="s">
        <v>49</v>
      </c>
      <c r="N308" t="s">
        <v>50</v>
      </c>
      <c r="O308">
        <v>0</v>
      </c>
      <c r="P308" t="s">
        <v>49</v>
      </c>
      <c r="Q308" t="s">
        <v>50</v>
      </c>
      <c r="R308" t="s">
        <v>51</v>
      </c>
      <c r="S308" t="s">
        <v>52</v>
      </c>
      <c r="T308" t="b">
        <v>1</v>
      </c>
      <c r="U308" t="s">
        <v>53</v>
      </c>
      <c r="V308" t="s">
        <v>54</v>
      </c>
      <c r="W308">
        <v>4</v>
      </c>
      <c r="X308" t="b">
        <v>0</v>
      </c>
      <c r="Y308" t="s">
        <v>55</v>
      </c>
      <c r="Z308" t="s">
        <v>56</v>
      </c>
      <c r="AA308" t="s">
        <v>57</v>
      </c>
      <c r="AB308">
        <v>0</v>
      </c>
      <c r="AC308" t="s">
        <v>58</v>
      </c>
      <c r="AD308">
        <v>8</v>
      </c>
      <c r="AE308" t="s">
        <v>59</v>
      </c>
      <c r="AF308">
        <v>21648740</v>
      </c>
      <c r="AG308" t="b">
        <v>0</v>
      </c>
      <c r="AH308">
        <v>8</v>
      </c>
      <c r="AI308" t="s">
        <v>59</v>
      </c>
      <c r="AJ308">
        <v>21648740</v>
      </c>
      <c r="AK308" t="b">
        <v>0</v>
      </c>
      <c r="AL308">
        <v>21648740</v>
      </c>
      <c r="AM308" t="b">
        <v>0</v>
      </c>
      <c r="AN308">
        <v>0</v>
      </c>
      <c r="AO308" t="b">
        <v>0</v>
      </c>
      <c r="AQ308">
        <v>13355328.5</v>
      </c>
      <c r="AR308">
        <v>13355328.5</v>
      </c>
      <c r="AS308">
        <v>0</v>
      </c>
      <c r="AT308" t="b">
        <v>0</v>
      </c>
      <c r="AU308" t="b">
        <v>1</v>
      </c>
      <c r="BA308" t="str">
        <f t="shared" si="8"/>
        <v>Normal</v>
      </c>
      <c r="BG308" t="str">
        <f t="shared" si="9"/>
        <v>Normal</v>
      </c>
    </row>
    <row r="309" spans="1:59" x14ac:dyDescent="0.2">
      <c r="A309" t="s">
        <v>42</v>
      </c>
      <c r="B309" t="s">
        <v>43</v>
      </c>
      <c r="C309">
        <v>20220101</v>
      </c>
      <c r="D309">
        <v>2022</v>
      </c>
      <c r="E309">
        <v>52</v>
      </c>
      <c r="F309" t="s">
        <v>299</v>
      </c>
      <c r="G309">
        <v>56</v>
      </c>
      <c r="H309" t="s">
        <v>71</v>
      </c>
      <c r="I309" t="s">
        <v>72</v>
      </c>
      <c r="J309" t="s">
        <v>47</v>
      </c>
      <c r="K309" t="s">
        <v>48</v>
      </c>
      <c r="L309">
        <v>0</v>
      </c>
      <c r="M309" t="s">
        <v>49</v>
      </c>
      <c r="N309" t="s">
        <v>50</v>
      </c>
      <c r="O309">
        <v>0</v>
      </c>
      <c r="P309" t="s">
        <v>49</v>
      </c>
      <c r="Q309" t="s">
        <v>50</v>
      </c>
      <c r="R309" t="s">
        <v>300</v>
      </c>
      <c r="S309" t="s">
        <v>52</v>
      </c>
      <c r="T309" t="b">
        <v>1</v>
      </c>
      <c r="U309" t="s">
        <v>53</v>
      </c>
      <c r="V309" t="s">
        <v>54</v>
      </c>
      <c r="W309">
        <v>4</v>
      </c>
      <c r="X309" t="b">
        <v>0</v>
      </c>
      <c r="Y309" t="s">
        <v>55</v>
      </c>
      <c r="Z309" t="s">
        <v>56</v>
      </c>
      <c r="AA309" t="s">
        <v>57</v>
      </c>
      <c r="AB309">
        <v>0</v>
      </c>
      <c r="AC309" t="s">
        <v>58</v>
      </c>
      <c r="AD309">
        <v>8</v>
      </c>
      <c r="AE309" t="s">
        <v>59</v>
      </c>
      <c r="AF309">
        <v>90487861.760000005</v>
      </c>
      <c r="AG309" t="b">
        <v>0</v>
      </c>
      <c r="AH309">
        <v>8</v>
      </c>
      <c r="AI309" t="s">
        <v>59</v>
      </c>
      <c r="AJ309">
        <v>90487861.760000005</v>
      </c>
      <c r="AK309" t="b">
        <v>0</v>
      </c>
      <c r="AL309">
        <v>90487861.760000005</v>
      </c>
      <c r="AM309" t="b">
        <v>0</v>
      </c>
      <c r="AN309">
        <v>0</v>
      </c>
      <c r="AO309" t="b">
        <v>0</v>
      </c>
      <c r="AQ309">
        <v>64173681.868000001</v>
      </c>
      <c r="AR309">
        <v>64173681.868000001</v>
      </c>
      <c r="AS309">
        <v>0</v>
      </c>
      <c r="AT309" t="b">
        <v>0</v>
      </c>
      <c r="AU309" t="b">
        <v>1</v>
      </c>
      <c r="BA309" t="str">
        <f t="shared" si="8"/>
        <v>Normal</v>
      </c>
      <c r="BG309" t="str">
        <f t="shared" si="9"/>
        <v>Normal</v>
      </c>
    </row>
    <row r="310" spans="1:59" x14ac:dyDescent="0.2">
      <c r="A310" t="s">
        <v>42</v>
      </c>
      <c r="B310" t="s">
        <v>43</v>
      </c>
      <c r="C310">
        <v>20220101</v>
      </c>
      <c r="D310">
        <v>2022</v>
      </c>
      <c r="E310">
        <v>52</v>
      </c>
      <c r="F310" t="s">
        <v>299</v>
      </c>
      <c r="G310">
        <v>68</v>
      </c>
      <c r="H310" t="s">
        <v>74</v>
      </c>
      <c r="I310" t="s">
        <v>75</v>
      </c>
      <c r="J310" t="s">
        <v>47</v>
      </c>
      <c r="K310" t="s">
        <v>48</v>
      </c>
      <c r="L310">
        <v>0</v>
      </c>
      <c r="M310" t="s">
        <v>49</v>
      </c>
      <c r="N310" t="s">
        <v>50</v>
      </c>
      <c r="O310">
        <v>0</v>
      </c>
      <c r="P310" t="s">
        <v>49</v>
      </c>
      <c r="Q310" t="s">
        <v>50</v>
      </c>
      <c r="R310" t="s">
        <v>300</v>
      </c>
      <c r="S310" t="s">
        <v>52</v>
      </c>
      <c r="T310" t="b">
        <v>1</v>
      </c>
      <c r="U310" t="s">
        <v>53</v>
      </c>
      <c r="V310" t="s">
        <v>54</v>
      </c>
      <c r="W310">
        <v>4</v>
      </c>
      <c r="X310" t="b">
        <v>0</v>
      </c>
      <c r="Y310" t="s">
        <v>55</v>
      </c>
      <c r="Z310" t="s">
        <v>56</v>
      </c>
      <c r="AA310" t="s">
        <v>57</v>
      </c>
      <c r="AB310">
        <v>0</v>
      </c>
      <c r="AC310" t="s">
        <v>58</v>
      </c>
      <c r="AD310">
        <v>8</v>
      </c>
      <c r="AE310" t="s">
        <v>59</v>
      </c>
      <c r="AF310">
        <v>705920.5</v>
      </c>
      <c r="AG310" t="b">
        <v>0</v>
      </c>
      <c r="AH310">
        <v>8</v>
      </c>
      <c r="AI310" t="s">
        <v>59</v>
      </c>
      <c r="AJ310">
        <v>705920.5</v>
      </c>
      <c r="AK310" t="b">
        <v>0</v>
      </c>
      <c r="AL310">
        <v>705920.5</v>
      </c>
      <c r="AM310" t="b">
        <v>0</v>
      </c>
      <c r="AN310">
        <v>705920.5</v>
      </c>
      <c r="AO310" t="b">
        <v>0</v>
      </c>
      <c r="AQ310">
        <v>395801.35</v>
      </c>
      <c r="AR310">
        <v>395801.35</v>
      </c>
      <c r="AS310">
        <v>0</v>
      </c>
      <c r="AT310" t="b">
        <v>0</v>
      </c>
      <c r="AU310" t="b">
        <v>1</v>
      </c>
      <c r="BA310" t="str">
        <f t="shared" si="8"/>
        <v>Normal</v>
      </c>
      <c r="BG310" t="str">
        <f t="shared" si="9"/>
        <v>Normal</v>
      </c>
    </row>
    <row r="311" spans="1:59" x14ac:dyDescent="0.2">
      <c r="A311" t="s">
        <v>42</v>
      </c>
      <c r="B311" t="s">
        <v>43</v>
      </c>
      <c r="C311">
        <v>20220101</v>
      </c>
      <c r="D311">
        <v>2022</v>
      </c>
      <c r="E311">
        <v>52</v>
      </c>
      <c r="F311" t="s">
        <v>299</v>
      </c>
      <c r="G311">
        <v>70</v>
      </c>
      <c r="H311" t="s">
        <v>76</v>
      </c>
      <c r="I311" t="s">
        <v>77</v>
      </c>
      <c r="J311" t="s">
        <v>47</v>
      </c>
      <c r="K311" t="s">
        <v>48</v>
      </c>
      <c r="L311">
        <v>0</v>
      </c>
      <c r="M311" t="s">
        <v>49</v>
      </c>
      <c r="N311" t="s">
        <v>50</v>
      </c>
      <c r="O311">
        <v>0</v>
      </c>
      <c r="P311" t="s">
        <v>49</v>
      </c>
      <c r="Q311" t="s">
        <v>50</v>
      </c>
      <c r="R311" t="s">
        <v>300</v>
      </c>
      <c r="S311" t="s">
        <v>52</v>
      </c>
      <c r="T311" t="b">
        <v>1</v>
      </c>
      <c r="U311" t="s">
        <v>53</v>
      </c>
      <c r="V311" t="s">
        <v>54</v>
      </c>
      <c r="W311">
        <v>4</v>
      </c>
      <c r="X311" t="b">
        <v>0</v>
      </c>
      <c r="Y311" t="s">
        <v>55</v>
      </c>
      <c r="Z311" t="s">
        <v>56</v>
      </c>
      <c r="AA311" t="s">
        <v>57</v>
      </c>
      <c r="AB311">
        <v>0</v>
      </c>
      <c r="AC311" t="s">
        <v>58</v>
      </c>
      <c r="AD311">
        <v>8</v>
      </c>
      <c r="AE311" t="s">
        <v>59</v>
      </c>
      <c r="AF311">
        <v>10920250</v>
      </c>
      <c r="AG311" t="b">
        <v>0</v>
      </c>
      <c r="AH311">
        <v>8</v>
      </c>
      <c r="AI311" t="s">
        <v>59</v>
      </c>
      <c r="AJ311">
        <v>10920250</v>
      </c>
      <c r="AK311" t="b">
        <v>0</v>
      </c>
      <c r="AL311">
        <v>10920250</v>
      </c>
      <c r="AM311" t="b">
        <v>0</v>
      </c>
      <c r="AN311">
        <v>0</v>
      </c>
      <c r="AO311" t="b">
        <v>0</v>
      </c>
      <c r="AQ311">
        <v>5386613.1200000001</v>
      </c>
      <c r="AR311">
        <v>5386613.1200000001</v>
      </c>
      <c r="AS311">
        <v>0</v>
      </c>
      <c r="AT311" t="b">
        <v>0</v>
      </c>
      <c r="AU311" t="b">
        <v>1</v>
      </c>
      <c r="BA311" t="str">
        <f t="shared" si="8"/>
        <v>Normal</v>
      </c>
      <c r="BG311" t="str">
        <f t="shared" si="9"/>
        <v>Normal</v>
      </c>
    </row>
    <row r="312" spans="1:59" x14ac:dyDescent="0.2">
      <c r="A312" t="s">
        <v>42</v>
      </c>
      <c r="B312" t="s">
        <v>43</v>
      </c>
      <c r="C312">
        <v>20220101</v>
      </c>
      <c r="D312">
        <v>2022</v>
      </c>
      <c r="E312">
        <v>52</v>
      </c>
      <c r="F312" t="s">
        <v>299</v>
      </c>
      <c r="G312">
        <v>72</v>
      </c>
      <c r="H312" t="s">
        <v>78</v>
      </c>
      <c r="I312" t="s">
        <v>79</v>
      </c>
      <c r="J312" t="s">
        <v>47</v>
      </c>
      <c r="K312" t="s">
        <v>48</v>
      </c>
      <c r="L312">
        <v>0</v>
      </c>
      <c r="M312" t="s">
        <v>49</v>
      </c>
      <c r="N312" t="s">
        <v>50</v>
      </c>
      <c r="O312">
        <v>0</v>
      </c>
      <c r="P312" t="s">
        <v>49</v>
      </c>
      <c r="Q312" t="s">
        <v>50</v>
      </c>
      <c r="R312" t="s">
        <v>300</v>
      </c>
      <c r="S312" t="s">
        <v>52</v>
      </c>
      <c r="T312" t="b">
        <v>1</v>
      </c>
      <c r="U312" t="s">
        <v>53</v>
      </c>
      <c r="V312" t="s">
        <v>54</v>
      </c>
      <c r="W312">
        <v>4</v>
      </c>
      <c r="X312" t="b">
        <v>0</v>
      </c>
      <c r="Y312" t="s">
        <v>55</v>
      </c>
      <c r="Z312" t="s">
        <v>56</v>
      </c>
      <c r="AA312" t="s">
        <v>57</v>
      </c>
      <c r="AB312">
        <v>0</v>
      </c>
      <c r="AC312" t="s">
        <v>58</v>
      </c>
      <c r="AD312">
        <v>8</v>
      </c>
      <c r="AE312" t="s">
        <v>59</v>
      </c>
      <c r="AF312">
        <v>1222</v>
      </c>
      <c r="AG312" t="b">
        <v>0</v>
      </c>
      <c r="AH312">
        <v>8</v>
      </c>
      <c r="AI312" t="s">
        <v>59</v>
      </c>
      <c r="AJ312">
        <v>1222</v>
      </c>
      <c r="AK312" t="b">
        <v>0</v>
      </c>
      <c r="AL312">
        <v>1580</v>
      </c>
      <c r="AM312" t="b">
        <v>0</v>
      </c>
      <c r="AN312">
        <v>0</v>
      </c>
      <c r="AO312" t="b">
        <v>0</v>
      </c>
      <c r="AQ312">
        <v>2136.5</v>
      </c>
      <c r="AR312">
        <v>2136.5</v>
      </c>
      <c r="AS312">
        <v>0</v>
      </c>
      <c r="AT312" t="b">
        <v>0</v>
      </c>
      <c r="AU312" t="b">
        <v>1</v>
      </c>
      <c r="BA312" t="str">
        <f t="shared" si="8"/>
        <v>Normal</v>
      </c>
      <c r="BG312" t="str">
        <f t="shared" si="9"/>
        <v>Normal</v>
      </c>
    </row>
    <row r="313" spans="1:59" x14ac:dyDescent="0.2">
      <c r="A313" t="s">
        <v>42</v>
      </c>
      <c r="B313" t="s">
        <v>43</v>
      </c>
      <c r="C313">
        <v>20220101</v>
      </c>
      <c r="D313">
        <v>2022</v>
      </c>
      <c r="E313">
        <v>52</v>
      </c>
      <c r="F313" t="s">
        <v>299</v>
      </c>
      <c r="G313">
        <v>76</v>
      </c>
      <c r="H313" t="s">
        <v>80</v>
      </c>
      <c r="I313" t="s">
        <v>81</v>
      </c>
      <c r="J313" t="s">
        <v>47</v>
      </c>
      <c r="K313" t="s">
        <v>48</v>
      </c>
      <c r="L313">
        <v>0</v>
      </c>
      <c r="M313" t="s">
        <v>49</v>
      </c>
      <c r="N313" t="s">
        <v>50</v>
      </c>
      <c r="O313">
        <v>0</v>
      </c>
      <c r="P313" t="s">
        <v>49</v>
      </c>
      <c r="Q313" t="s">
        <v>50</v>
      </c>
      <c r="R313" t="s">
        <v>300</v>
      </c>
      <c r="S313" t="s">
        <v>52</v>
      </c>
      <c r="T313" t="b">
        <v>1</v>
      </c>
      <c r="U313" t="s">
        <v>53</v>
      </c>
      <c r="V313" t="s">
        <v>54</v>
      </c>
      <c r="W313">
        <v>4</v>
      </c>
      <c r="X313" t="b">
        <v>0</v>
      </c>
      <c r="Y313" t="s">
        <v>55</v>
      </c>
      <c r="Z313" t="s">
        <v>56</v>
      </c>
      <c r="AA313" t="s">
        <v>57</v>
      </c>
      <c r="AB313">
        <v>0</v>
      </c>
      <c r="AC313" t="s">
        <v>58</v>
      </c>
      <c r="AD313">
        <v>-1</v>
      </c>
      <c r="AE313" t="s">
        <v>73</v>
      </c>
      <c r="AF313">
        <v>0</v>
      </c>
      <c r="AG313" t="b">
        <v>0</v>
      </c>
      <c r="AH313">
        <v>-1</v>
      </c>
      <c r="AI313" t="s">
        <v>73</v>
      </c>
      <c r="AJ313">
        <v>0</v>
      </c>
      <c r="AK313" t="b">
        <v>0</v>
      </c>
      <c r="AL313">
        <v>0</v>
      </c>
      <c r="AM313" t="b">
        <v>0</v>
      </c>
      <c r="AN313">
        <v>0</v>
      </c>
      <c r="AO313" t="b">
        <v>0</v>
      </c>
      <c r="AP313">
        <v>0</v>
      </c>
      <c r="AQ313">
        <v>42688098560</v>
      </c>
      <c r="AR313">
        <v>42688098560</v>
      </c>
      <c r="AS313">
        <v>0</v>
      </c>
      <c r="AT313" t="b">
        <v>0</v>
      </c>
      <c r="AU313" t="b">
        <v>1</v>
      </c>
      <c r="BA313" t="str">
        <f t="shared" si="8"/>
        <v>Normal</v>
      </c>
      <c r="BG313" t="str">
        <f t="shared" si="9"/>
        <v>Normal</v>
      </c>
    </row>
    <row r="314" spans="1:59" x14ac:dyDescent="0.2">
      <c r="A314" t="s">
        <v>42</v>
      </c>
      <c r="B314" t="s">
        <v>43</v>
      </c>
      <c r="C314">
        <v>20220101</v>
      </c>
      <c r="D314">
        <v>2022</v>
      </c>
      <c r="E314">
        <v>52</v>
      </c>
      <c r="F314" t="s">
        <v>299</v>
      </c>
      <c r="G314">
        <v>84</v>
      </c>
      <c r="H314" t="s">
        <v>82</v>
      </c>
      <c r="I314" t="s">
        <v>83</v>
      </c>
      <c r="J314" t="s">
        <v>47</v>
      </c>
      <c r="K314" t="s">
        <v>48</v>
      </c>
      <c r="L314">
        <v>0</v>
      </c>
      <c r="M314" t="s">
        <v>49</v>
      </c>
      <c r="N314" t="s">
        <v>50</v>
      </c>
      <c r="O314">
        <v>0</v>
      </c>
      <c r="P314" t="s">
        <v>49</v>
      </c>
      <c r="Q314" t="s">
        <v>50</v>
      </c>
      <c r="R314" t="s">
        <v>51</v>
      </c>
      <c r="S314" t="s">
        <v>52</v>
      </c>
      <c r="T314" t="b">
        <v>1</v>
      </c>
      <c r="U314" t="s">
        <v>53</v>
      </c>
      <c r="V314" t="s">
        <v>54</v>
      </c>
      <c r="W314">
        <v>4</v>
      </c>
      <c r="X314" t="b">
        <v>0</v>
      </c>
      <c r="Y314" t="s">
        <v>55</v>
      </c>
      <c r="Z314" t="s">
        <v>56</v>
      </c>
      <c r="AA314" t="s">
        <v>57</v>
      </c>
      <c r="AB314">
        <v>0</v>
      </c>
      <c r="AC314" t="s">
        <v>58</v>
      </c>
      <c r="AD314">
        <v>8</v>
      </c>
      <c r="AE314" t="s">
        <v>59</v>
      </c>
      <c r="AF314">
        <v>1885657.6</v>
      </c>
      <c r="AG314" t="b">
        <v>0</v>
      </c>
      <c r="AH314">
        <v>8</v>
      </c>
      <c r="AI314" t="s">
        <v>59</v>
      </c>
      <c r="AJ314">
        <v>1885657.6</v>
      </c>
      <c r="AK314" t="b">
        <v>0</v>
      </c>
      <c r="AL314">
        <v>1885657.6</v>
      </c>
      <c r="AM314" t="b">
        <v>0</v>
      </c>
      <c r="AN314">
        <v>0</v>
      </c>
      <c r="AO314" t="b">
        <v>0</v>
      </c>
      <c r="AQ314">
        <v>1173230.1059999999</v>
      </c>
      <c r="AR314">
        <v>1173230.1059999999</v>
      </c>
      <c r="AS314">
        <v>0</v>
      </c>
      <c r="AT314" t="b">
        <v>0</v>
      </c>
      <c r="AU314" t="b">
        <v>1</v>
      </c>
      <c r="BA314" t="str">
        <f t="shared" si="8"/>
        <v>Normal</v>
      </c>
      <c r="BG314" t="str">
        <f t="shared" si="9"/>
        <v>Normal</v>
      </c>
    </row>
    <row r="315" spans="1:59" x14ac:dyDescent="0.2">
      <c r="A315" t="s">
        <v>42</v>
      </c>
      <c r="B315" t="s">
        <v>43</v>
      </c>
      <c r="C315">
        <v>20220101</v>
      </c>
      <c r="D315">
        <v>2022</v>
      </c>
      <c r="E315">
        <v>52</v>
      </c>
      <c r="F315" t="s">
        <v>299</v>
      </c>
      <c r="G315">
        <v>96</v>
      </c>
      <c r="H315" t="s">
        <v>84</v>
      </c>
      <c r="I315" t="s">
        <v>85</v>
      </c>
      <c r="J315" t="s">
        <v>47</v>
      </c>
      <c r="K315" t="s">
        <v>48</v>
      </c>
      <c r="L315">
        <v>0</v>
      </c>
      <c r="M315" t="s">
        <v>49</v>
      </c>
      <c r="N315" t="s">
        <v>50</v>
      </c>
      <c r="O315">
        <v>0</v>
      </c>
      <c r="P315" t="s">
        <v>49</v>
      </c>
      <c r="Q315" t="s">
        <v>50</v>
      </c>
      <c r="R315" t="s">
        <v>51</v>
      </c>
      <c r="S315" t="s">
        <v>52</v>
      </c>
      <c r="T315" t="b">
        <v>1</v>
      </c>
      <c r="U315" t="s">
        <v>53</v>
      </c>
      <c r="V315" t="s">
        <v>54</v>
      </c>
      <c r="W315">
        <v>4</v>
      </c>
      <c r="X315" t="b">
        <v>0</v>
      </c>
      <c r="Y315" t="s">
        <v>55</v>
      </c>
      <c r="Z315" t="s">
        <v>56</v>
      </c>
      <c r="AA315" t="s">
        <v>57</v>
      </c>
      <c r="AB315">
        <v>0</v>
      </c>
      <c r="AC315" t="s">
        <v>58</v>
      </c>
      <c r="AD315">
        <v>8</v>
      </c>
      <c r="AE315" t="s">
        <v>59</v>
      </c>
      <c r="AF315">
        <v>2744227009</v>
      </c>
      <c r="AG315" t="b">
        <v>0</v>
      </c>
      <c r="AH315">
        <v>8</v>
      </c>
      <c r="AI315" t="s">
        <v>59</v>
      </c>
      <c r="AJ315">
        <v>2744227009</v>
      </c>
      <c r="AK315" t="b">
        <v>0</v>
      </c>
      <c r="AL315">
        <v>2744227009</v>
      </c>
      <c r="AM315" t="b">
        <v>0</v>
      </c>
      <c r="AN315">
        <v>0</v>
      </c>
      <c r="AO315" t="b">
        <v>0</v>
      </c>
      <c r="AQ315">
        <v>2170259187.2080002</v>
      </c>
      <c r="AR315">
        <v>2170259187.2080002</v>
      </c>
      <c r="AS315">
        <v>0</v>
      </c>
      <c r="AT315" t="b">
        <v>0</v>
      </c>
      <c r="AU315" t="b">
        <v>1</v>
      </c>
      <c r="BA315" t="str">
        <f t="shared" si="8"/>
        <v>Normal</v>
      </c>
      <c r="BG315" t="str">
        <f t="shared" si="9"/>
        <v>Normal</v>
      </c>
    </row>
    <row r="316" spans="1:59" x14ac:dyDescent="0.2">
      <c r="A316" t="s">
        <v>42</v>
      </c>
      <c r="B316" t="s">
        <v>43</v>
      </c>
      <c r="C316">
        <v>20220101</v>
      </c>
      <c r="D316">
        <v>2022</v>
      </c>
      <c r="E316">
        <v>52</v>
      </c>
      <c r="F316" t="s">
        <v>299</v>
      </c>
      <c r="G316">
        <v>108</v>
      </c>
      <c r="H316" t="s">
        <v>305</v>
      </c>
      <c r="I316" t="s">
        <v>306</v>
      </c>
      <c r="J316" t="s">
        <v>47</v>
      </c>
      <c r="K316" t="s">
        <v>48</v>
      </c>
      <c r="L316">
        <v>0</v>
      </c>
      <c r="M316" t="s">
        <v>49</v>
      </c>
      <c r="N316" t="s">
        <v>50</v>
      </c>
      <c r="O316">
        <v>0</v>
      </c>
      <c r="P316" t="s">
        <v>49</v>
      </c>
      <c r="Q316" t="s">
        <v>50</v>
      </c>
      <c r="R316" t="s">
        <v>300</v>
      </c>
      <c r="S316" t="s">
        <v>52</v>
      </c>
      <c r="T316" t="b">
        <v>1</v>
      </c>
      <c r="U316" t="s">
        <v>53</v>
      </c>
      <c r="V316" t="s">
        <v>54</v>
      </c>
      <c r="W316">
        <v>4</v>
      </c>
      <c r="X316" t="b">
        <v>0</v>
      </c>
      <c r="Y316" t="s">
        <v>55</v>
      </c>
      <c r="Z316" t="s">
        <v>56</v>
      </c>
      <c r="AA316" t="s">
        <v>57</v>
      </c>
      <c r="AB316">
        <v>0</v>
      </c>
      <c r="AC316" t="s">
        <v>58</v>
      </c>
      <c r="AD316">
        <v>8</v>
      </c>
      <c r="AE316" t="s">
        <v>59</v>
      </c>
      <c r="AF316">
        <v>8</v>
      </c>
      <c r="AG316" t="b">
        <v>0</v>
      </c>
      <c r="AH316">
        <v>8</v>
      </c>
      <c r="AI316" t="s">
        <v>59</v>
      </c>
      <c r="AJ316">
        <v>8</v>
      </c>
      <c r="AK316" t="b">
        <v>0</v>
      </c>
      <c r="AL316">
        <v>8</v>
      </c>
      <c r="AM316" t="b">
        <v>0</v>
      </c>
      <c r="AN316">
        <v>0</v>
      </c>
      <c r="AO316" t="b">
        <v>0</v>
      </c>
      <c r="AQ316">
        <v>13.39</v>
      </c>
      <c r="AR316">
        <v>13.39</v>
      </c>
      <c r="AS316">
        <v>0</v>
      </c>
      <c r="AT316" t="b">
        <v>0</v>
      </c>
      <c r="AU316" t="b">
        <v>1</v>
      </c>
      <c r="BA316" t="str">
        <f t="shared" si="8"/>
        <v>Normal</v>
      </c>
      <c r="BG316" t="str">
        <f t="shared" si="9"/>
        <v>Normal</v>
      </c>
    </row>
    <row r="317" spans="1:59" x14ac:dyDescent="0.2">
      <c r="A317" t="s">
        <v>42</v>
      </c>
      <c r="B317" t="s">
        <v>43</v>
      </c>
      <c r="C317">
        <v>20220101</v>
      </c>
      <c r="D317">
        <v>2022</v>
      </c>
      <c r="E317">
        <v>52</v>
      </c>
      <c r="F317" t="s">
        <v>299</v>
      </c>
      <c r="G317">
        <v>120</v>
      </c>
      <c r="H317" t="s">
        <v>92</v>
      </c>
      <c r="I317" t="s">
        <v>93</v>
      </c>
      <c r="J317" t="s">
        <v>47</v>
      </c>
      <c r="K317" t="s">
        <v>48</v>
      </c>
      <c r="L317">
        <v>0</v>
      </c>
      <c r="M317" t="s">
        <v>49</v>
      </c>
      <c r="N317" t="s">
        <v>50</v>
      </c>
      <c r="O317">
        <v>0</v>
      </c>
      <c r="P317" t="s">
        <v>49</v>
      </c>
      <c r="Q317" t="s">
        <v>50</v>
      </c>
      <c r="R317" t="s">
        <v>300</v>
      </c>
      <c r="S317" t="s">
        <v>52</v>
      </c>
      <c r="T317" t="b">
        <v>1</v>
      </c>
      <c r="U317" t="s">
        <v>53</v>
      </c>
      <c r="V317" t="s">
        <v>54</v>
      </c>
      <c r="W317">
        <v>4</v>
      </c>
      <c r="X317" t="b">
        <v>0</v>
      </c>
      <c r="Y317" t="s">
        <v>55</v>
      </c>
      <c r="Z317" t="s">
        <v>56</v>
      </c>
      <c r="AA317" t="s">
        <v>57</v>
      </c>
      <c r="AB317">
        <v>0</v>
      </c>
      <c r="AC317" t="s">
        <v>58</v>
      </c>
      <c r="AD317">
        <v>8</v>
      </c>
      <c r="AE317" t="s">
        <v>59</v>
      </c>
      <c r="AF317">
        <v>3570648700</v>
      </c>
      <c r="AG317" t="b">
        <v>0</v>
      </c>
      <c r="AH317">
        <v>8</v>
      </c>
      <c r="AI317" t="s">
        <v>59</v>
      </c>
      <c r="AJ317">
        <v>3570648700</v>
      </c>
      <c r="AK317" t="b">
        <v>0</v>
      </c>
      <c r="AL317">
        <v>3570648700</v>
      </c>
      <c r="AM317" t="b">
        <v>0</v>
      </c>
      <c r="AN317">
        <v>0</v>
      </c>
      <c r="AO317" t="b">
        <v>0</v>
      </c>
      <c r="AQ317">
        <v>2445344018.7259998</v>
      </c>
      <c r="AR317">
        <v>2445344018.7259998</v>
      </c>
      <c r="AS317">
        <v>0</v>
      </c>
      <c r="AT317" t="b">
        <v>0</v>
      </c>
      <c r="AU317" t="b">
        <v>1</v>
      </c>
      <c r="BA317" t="str">
        <f t="shared" si="8"/>
        <v>Normal</v>
      </c>
      <c r="BG317" t="str">
        <f t="shared" si="9"/>
        <v>Normal</v>
      </c>
    </row>
    <row r="318" spans="1:59" x14ac:dyDescent="0.2">
      <c r="A318" t="s">
        <v>42</v>
      </c>
      <c r="B318" t="s">
        <v>43</v>
      </c>
      <c r="C318">
        <v>20220101</v>
      </c>
      <c r="D318">
        <v>2022</v>
      </c>
      <c r="E318">
        <v>52</v>
      </c>
      <c r="F318" t="s">
        <v>299</v>
      </c>
      <c r="G318">
        <v>124</v>
      </c>
      <c r="H318" t="s">
        <v>94</v>
      </c>
      <c r="I318" t="s">
        <v>95</v>
      </c>
      <c r="J318" t="s">
        <v>47</v>
      </c>
      <c r="K318" t="s">
        <v>48</v>
      </c>
      <c r="L318">
        <v>0</v>
      </c>
      <c r="M318" t="s">
        <v>49</v>
      </c>
      <c r="N318" t="s">
        <v>50</v>
      </c>
      <c r="O318">
        <v>0</v>
      </c>
      <c r="P318" t="s">
        <v>49</v>
      </c>
      <c r="Q318" t="s">
        <v>50</v>
      </c>
      <c r="R318" t="s">
        <v>300</v>
      </c>
      <c r="S318" t="s">
        <v>52</v>
      </c>
      <c r="T318" t="b">
        <v>1</v>
      </c>
      <c r="U318" t="s">
        <v>53</v>
      </c>
      <c r="V318" t="s">
        <v>54</v>
      </c>
      <c r="W318">
        <v>4</v>
      </c>
      <c r="X318" t="b">
        <v>0</v>
      </c>
      <c r="Y318" t="s">
        <v>55</v>
      </c>
      <c r="Z318" t="s">
        <v>56</v>
      </c>
      <c r="AA318" t="s">
        <v>57</v>
      </c>
      <c r="AB318">
        <v>0</v>
      </c>
      <c r="AC318" t="s">
        <v>58</v>
      </c>
      <c r="AD318">
        <v>8</v>
      </c>
      <c r="AE318" t="s">
        <v>59</v>
      </c>
      <c r="AF318">
        <v>178306480693.33801</v>
      </c>
      <c r="AG318" t="b">
        <v>1</v>
      </c>
      <c r="AH318">
        <v>-1</v>
      </c>
      <c r="AI318" t="s">
        <v>73</v>
      </c>
      <c r="AJ318">
        <v>0</v>
      </c>
      <c r="AK318" t="b">
        <v>0</v>
      </c>
      <c r="AL318">
        <v>178306480693.33801</v>
      </c>
      <c r="AM318" t="b">
        <v>1</v>
      </c>
      <c r="AN318">
        <v>0</v>
      </c>
      <c r="AO318" t="b">
        <v>0</v>
      </c>
      <c r="AQ318">
        <v>120391288495.24699</v>
      </c>
      <c r="AR318">
        <v>120391288495.24699</v>
      </c>
      <c r="AS318">
        <v>6</v>
      </c>
      <c r="AT318" t="b">
        <v>0</v>
      </c>
      <c r="AU318" t="b">
        <v>1</v>
      </c>
      <c r="BA318" t="str">
        <f t="shared" si="8"/>
        <v>Normal</v>
      </c>
      <c r="BG318" t="str">
        <f t="shared" si="9"/>
        <v>Normal</v>
      </c>
    </row>
    <row r="319" spans="1:59" x14ac:dyDescent="0.2">
      <c r="A319" t="s">
        <v>42</v>
      </c>
      <c r="B319" t="s">
        <v>43</v>
      </c>
      <c r="C319">
        <v>20220101</v>
      </c>
      <c r="D319">
        <v>2022</v>
      </c>
      <c r="E319">
        <v>52</v>
      </c>
      <c r="F319" t="s">
        <v>299</v>
      </c>
      <c r="G319">
        <v>152</v>
      </c>
      <c r="H319" t="s">
        <v>272</v>
      </c>
      <c r="I319" t="s">
        <v>273</v>
      </c>
      <c r="J319" t="s">
        <v>47</v>
      </c>
      <c r="K319" t="s">
        <v>48</v>
      </c>
      <c r="L319">
        <v>0</v>
      </c>
      <c r="M319" t="s">
        <v>49</v>
      </c>
      <c r="N319" t="s">
        <v>50</v>
      </c>
      <c r="O319">
        <v>0</v>
      </c>
      <c r="P319" t="s">
        <v>49</v>
      </c>
      <c r="Q319" t="s">
        <v>50</v>
      </c>
      <c r="R319" t="s">
        <v>300</v>
      </c>
      <c r="S319" t="s">
        <v>52</v>
      </c>
      <c r="T319" t="b">
        <v>1</v>
      </c>
      <c r="U319" t="s">
        <v>53</v>
      </c>
      <c r="V319" t="s">
        <v>54</v>
      </c>
      <c r="W319">
        <v>4</v>
      </c>
      <c r="X319" t="b">
        <v>0</v>
      </c>
      <c r="Y319" t="s">
        <v>55</v>
      </c>
      <c r="Z319" t="s">
        <v>56</v>
      </c>
      <c r="AA319" t="s">
        <v>57</v>
      </c>
      <c r="AB319">
        <v>0</v>
      </c>
      <c r="AC319" t="s">
        <v>58</v>
      </c>
      <c r="AD319">
        <v>8</v>
      </c>
      <c r="AE319" t="s">
        <v>59</v>
      </c>
      <c r="AF319">
        <v>58483410</v>
      </c>
      <c r="AG319" t="b">
        <v>0</v>
      </c>
      <c r="AH319">
        <v>8</v>
      </c>
      <c r="AI319" t="s">
        <v>59</v>
      </c>
      <c r="AJ319">
        <v>58483410</v>
      </c>
      <c r="AK319" t="b">
        <v>0</v>
      </c>
      <c r="AL319">
        <v>58483410</v>
      </c>
      <c r="AM319" t="b">
        <v>0</v>
      </c>
      <c r="AN319">
        <v>0</v>
      </c>
      <c r="AO319" t="b">
        <v>0</v>
      </c>
      <c r="AQ319">
        <v>37836314.780000001</v>
      </c>
      <c r="AR319">
        <v>37836314.780000001</v>
      </c>
      <c r="AS319">
        <v>0</v>
      </c>
      <c r="AT319" t="b">
        <v>0</v>
      </c>
      <c r="AU319" t="b">
        <v>1</v>
      </c>
      <c r="BA319" t="str">
        <f t="shared" si="8"/>
        <v>Normal</v>
      </c>
      <c r="BG319" t="str">
        <f t="shared" si="9"/>
        <v>Normal</v>
      </c>
    </row>
    <row r="320" spans="1:59" x14ac:dyDescent="0.2">
      <c r="A320" t="s">
        <v>42</v>
      </c>
      <c r="B320" t="s">
        <v>43</v>
      </c>
      <c r="C320">
        <v>20220101</v>
      </c>
      <c r="D320">
        <v>2022</v>
      </c>
      <c r="E320">
        <v>52</v>
      </c>
      <c r="F320" t="s">
        <v>299</v>
      </c>
      <c r="G320">
        <v>156</v>
      </c>
      <c r="H320" t="s">
        <v>96</v>
      </c>
      <c r="I320" t="s">
        <v>97</v>
      </c>
      <c r="J320" t="s">
        <v>47</v>
      </c>
      <c r="K320" t="s">
        <v>48</v>
      </c>
      <c r="L320">
        <v>0</v>
      </c>
      <c r="M320" t="s">
        <v>49</v>
      </c>
      <c r="N320" t="s">
        <v>50</v>
      </c>
      <c r="O320">
        <v>0</v>
      </c>
      <c r="P320" t="s">
        <v>49</v>
      </c>
      <c r="Q320" t="s">
        <v>50</v>
      </c>
      <c r="R320" t="s">
        <v>300</v>
      </c>
      <c r="S320" t="s">
        <v>52</v>
      </c>
      <c r="T320" t="b">
        <v>1</v>
      </c>
      <c r="U320" t="s">
        <v>53</v>
      </c>
      <c r="V320" t="s">
        <v>54</v>
      </c>
      <c r="W320">
        <v>4</v>
      </c>
      <c r="X320" t="b">
        <v>0</v>
      </c>
      <c r="Y320" t="s">
        <v>55</v>
      </c>
      <c r="Z320" t="s">
        <v>56</v>
      </c>
      <c r="AA320" t="s">
        <v>57</v>
      </c>
      <c r="AB320">
        <v>0</v>
      </c>
      <c r="AC320" t="s">
        <v>58</v>
      </c>
      <c r="AD320">
        <v>8</v>
      </c>
      <c r="AE320" t="s">
        <v>59</v>
      </c>
      <c r="AF320">
        <v>2052010500</v>
      </c>
      <c r="AG320" t="b">
        <v>0</v>
      </c>
      <c r="AH320">
        <v>8</v>
      </c>
      <c r="AI320" t="s">
        <v>59</v>
      </c>
      <c r="AJ320">
        <v>2052010500</v>
      </c>
      <c r="AK320" t="b">
        <v>0</v>
      </c>
      <c r="AL320">
        <v>2052010500</v>
      </c>
      <c r="AM320" t="b">
        <v>0</v>
      </c>
      <c r="AN320">
        <v>0</v>
      </c>
      <c r="AO320" t="b">
        <v>0</v>
      </c>
      <c r="AQ320">
        <v>1438103655</v>
      </c>
      <c r="AR320">
        <v>1438103655</v>
      </c>
      <c r="AS320">
        <v>0</v>
      </c>
      <c r="AT320" t="b">
        <v>0</v>
      </c>
      <c r="AU320" t="b">
        <v>1</v>
      </c>
      <c r="BA320" t="str">
        <f t="shared" si="8"/>
        <v>Normal</v>
      </c>
      <c r="BG320" t="str">
        <f t="shared" si="9"/>
        <v>Normal</v>
      </c>
    </row>
    <row r="321" spans="1:59" x14ac:dyDescent="0.2">
      <c r="A321" t="s">
        <v>42</v>
      </c>
      <c r="B321" t="s">
        <v>43</v>
      </c>
      <c r="C321">
        <v>20220101</v>
      </c>
      <c r="D321">
        <v>2022</v>
      </c>
      <c r="E321">
        <v>52</v>
      </c>
      <c r="F321" t="s">
        <v>299</v>
      </c>
      <c r="G321">
        <v>170</v>
      </c>
      <c r="H321" t="s">
        <v>98</v>
      </c>
      <c r="I321" t="s">
        <v>99</v>
      </c>
      <c r="J321" t="s">
        <v>47</v>
      </c>
      <c r="K321" t="s">
        <v>48</v>
      </c>
      <c r="L321">
        <v>0</v>
      </c>
      <c r="M321" t="s">
        <v>49</v>
      </c>
      <c r="N321" t="s">
        <v>50</v>
      </c>
      <c r="O321">
        <v>0</v>
      </c>
      <c r="P321" t="s">
        <v>49</v>
      </c>
      <c r="Q321" t="s">
        <v>50</v>
      </c>
      <c r="R321" t="s">
        <v>300</v>
      </c>
      <c r="S321" t="s">
        <v>52</v>
      </c>
      <c r="T321" t="b">
        <v>1</v>
      </c>
      <c r="U321" t="s">
        <v>53</v>
      </c>
      <c r="V321" t="s">
        <v>54</v>
      </c>
      <c r="W321">
        <v>4</v>
      </c>
      <c r="X321" t="b">
        <v>0</v>
      </c>
      <c r="Y321" t="s">
        <v>55</v>
      </c>
      <c r="Z321" t="s">
        <v>56</v>
      </c>
      <c r="AA321" t="s">
        <v>57</v>
      </c>
      <c r="AB321">
        <v>0</v>
      </c>
      <c r="AC321" t="s">
        <v>58</v>
      </c>
      <c r="AD321">
        <v>8</v>
      </c>
      <c r="AE321" t="s">
        <v>59</v>
      </c>
      <c r="AF321">
        <v>25941151610</v>
      </c>
      <c r="AG321" t="b">
        <v>0</v>
      </c>
      <c r="AH321">
        <v>12</v>
      </c>
      <c r="AI321" t="s">
        <v>70</v>
      </c>
      <c r="AJ321">
        <v>28058793.620000001</v>
      </c>
      <c r="AK321" t="b">
        <v>0</v>
      </c>
      <c r="AL321">
        <v>25941151610</v>
      </c>
      <c r="AM321" t="b">
        <v>0</v>
      </c>
      <c r="AN321">
        <v>0</v>
      </c>
      <c r="AO321" t="b">
        <v>0</v>
      </c>
      <c r="AQ321">
        <v>15836623713.1</v>
      </c>
      <c r="AR321">
        <v>15836623713.1</v>
      </c>
      <c r="AS321">
        <v>0</v>
      </c>
      <c r="AT321" t="b">
        <v>0</v>
      </c>
      <c r="AU321" t="b">
        <v>1</v>
      </c>
      <c r="BA321" t="str">
        <f t="shared" si="8"/>
        <v>Normal</v>
      </c>
      <c r="BG321" t="str">
        <f t="shared" si="9"/>
        <v>Normal</v>
      </c>
    </row>
    <row r="322" spans="1:59" x14ac:dyDescent="0.2">
      <c r="A322" t="s">
        <v>42</v>
      </c>
      <c r="B322" t="s">
        <v>43</v>
      </c>
      <c r="C322">
        <v>20220101</v>
      </c>
      <c r="D322">
        <v>2022</v>
      </c>
      <c r="E322">
        <v>52</v>
      </c>
      <c r="F322" t="s">
        <v>299</v>
      </c>
      <c r="G322">
        <v>178</v>
      </c>
      <c r="H322" t="s">
        <v>100</v>
      </c>
      <c r="I322" t="s">
        <v>101</v>
      </c>
      <c r="J322" t="s">
        <v>47</v>
      </c>
      <c r="K322" t="s">
        <v>48</v>
      </c>
      <c r="L322">
        <v>0</v>
      </c>
      <c r="M322" t="s">
        <v>49</v>
      </c>
      <c r="N322" t="s">
        <v>50</v>
      </c>
      <c r="O322">
        <v>0</v>
      </c>
      <c r="P322" t="s">
        <v>49</v>
      </c>
      <c r="Q322" t="s">
        <v>50</v>
      </c>
      <c r="R322" t="s">
        <v>51</v>
      </c>
      <c r="S322" t="s">
        <v>52</v>
      </c>
      <c r="T322" t="b">
        <v>1</v>
      </c>
      <c r="U322" t="s">
        <v>53</v>
      </c>
      <c r="V322" t="s">
        <v>54</v>
      </c>
      <c r="W322">
        <v>4</v>
      </c>
      <c r="X322" t="b">
        <v>0</v>
      </c>
      <c r="Y322" t="s">
        <v>55</v>
      </c>
      <c r="Z322" t="s">
        <v>56</v>
      </c>
      <c r="AA322" t="s">
        <v>57</v>
      </c>
      <c r="AB322">
        <v>0</v>
      </c>
      <c r="AC322" t="s">
        <v>58</v>
      </c>
      <c r="AD322">
        <v>8</v>
      </c>
      <c r="AE322" t="s">
        <v>59</v>
      </c>
      <c r="AF322">
        <v>13630647779.174</v>
      </c>
      <c r="AG322" t="b">
        <v>1</v>
      </c>
      <c r="AH322">
        <v>-1</v>
      </c>
      <c r="AI322" t="s">
        <v>73</v>
      </c>
      <c r="AJ322">
        <v>0</v>
      </c>
      <c r="AK322" t="b">
        <v>0</v>
      </c>
      <c r="AL322">
        <v>13630647779.174</v>
      </c>
      <c r="AM322" t="b">
        <v>1</v>
      </c>
      <c r="AN322">
        <v>0</v>
      </c>
      <c r="AO322" t="b">
        <v>0</v>
      </c>
      <c r="AQ322">
        <v>6634290450.5679998</v>
      </c>
      <c r="AR322">
        <v>6634290450.5679998</v>
      </c>
      <c r="AS322">
        <v>6</v>
      </c>
      <c r="AT322" t="b">
        <v>0</v>
      </c>
      <c r="AU322" t="b">
        <v>1</v>
      </c>
      <c r="BA322" t="str">
        <f t="shared" si="8"/>
        <v>Normal</v>
      </c>
      <c r="BG322" t="str">
        <f t="shared" si="9"/>
        <v>Normal</v>
      </c>
    </row>
    <row r="323" spans="1:59" x14ac:dyDescent="0.2">
      <c r="A323" t="s">
        <v>42</v>
      </c>
      <c r="B323" t="s">
        <v>43</v>
      </c>
      <c r="C323">
        <v>20220101</v>
      </c>
      <c r="D323">
        <v>2022</v>
      </c>
      <c r="E323">
        <v>52</v>
      </c>
      <c r="F323" t="s">
        <v>299</v>
      </c>
      <c r="G323">
        <v>180</v>
      </c>
      <c r="H323" t="s">
        <v>102</v>
      </c>
      <c r="I323" t="s">
        <v>103</v>
      </c>
      <c r="J323" t="s">
        <v>47</v>
      </c>
      <c r="K323" t="s">
        <v>48</v>
      </c>
      <c r="L323">
        <v>0</v>
      </c>
      <c r="M323" t="s">
        <v>49</v>
      </c>
      <c r="N323" t="s">
        <v>50</v>
      </c>
      <c r="O323">
        <v>0</v>
      </c>
      <c r="P323" t="s">
        <v>49</v>
      </c>
      <c r="Q323" t="s">
        <v>50</v>
      </c>
      <c r="R323" t="s">
        <v>104</v>
      </c>
      <c r="S323" t="s">
        <v>52</v>
      </c>
      <c r="T323" t="b">
        <v>1</v>
      </c>
      <c r="U323" t="s">
        <v>53</v>
      </c>
      <c r="V323" t="s">
        <v>54</v>
      </c>
      <c r="W323">
        <v>4</v>
      </c>
      <c r="X323" t="b">
        <v>0</v>
      </c>
      <c r="Y323" t="s">
        <v>55</v>
      </c>
      <c r="Z323" t="s">
        <v>56</v>
      </c>
      <c r="AA323" t="s">
        <v>57</v>
      </c>
      <c r="AB323">
        <v>0</v>
      </c>
      <c r="AC323" t="s">
        <v>58</v>
      </c>
      <c r="AD323">
        <v>8</v>
      </c>
      <c r="AE323" t="s">
        <v>59</v>
      </c>
      <c r="AF323">
        <v>6</v>
      </c>
      <c r="AG323" t="b">
        <v>0</v>
      </c>
      <c r="AH323">
        <v>8</v>
      </c>
      <c r="AI323" t="s">
        <v>59</v>
      </c>
      <c r="AJ323">
        <v>6</v>
      </c>
      <c r="AK323" t="b">
        <v>0</v>
      </c>
      <c r="AL323">
        <v>6</v>
      </c>
      <c r="AM323" t="b">
        <v>0</v>
      </c>
      <c r="AN323">
        <v>0</v>
      </c>
      <c r="AO323" t="b">
        <v>0</v>
      </c>
      <c r="AQ323">
        <v>601.58399999999995</v>
      </c>
      <c r="AR323">
        <v>601.58399999999995</v>
      </c>
      <c r="AS323">
        <v>0</v>
      </c>
      <c r="AT323" t="b">
        <v>0</v>
      </c>
      <c r="AU323" t="b">
        <v>1</v>
      </c>
      <c r="BA323" t="str">
        <f t="shared" ref="BA323:BA386" si="10">IF(OR(AJ323&lt;AY323,AJ897&gt;AZ323),"Outlier","Normal")</f>
        <v>Normal</v>
      </c>
      <c r="BG323" t="str">
        <f t="shared" ref="BG323:BG386" si="11">IF(OR(AQ323&lt;BE323,AQ897&gt;BF323),"Outlier","Normal")</f>
        <v>Normal</v>
      </c>
    </row>
    <row r="324" spans="1:59" x14ac:dyDescent="0.2">
      <c r="A324" t="s">
        <v>42</v>
      </c>
      <c r="B324" t="s">
        <v>43</v>
      </c>
      <c r="C324">
        <v>20220101</v>
      </c>
      <c r="D324">
        <v>2022</v>
      </c>
      <c r="E324">
        <v>52</v>
      </c>
      <c r="F324" t="s">
        <v>299</v>
      </c>
      <c r="G324">
        <v>191</v>
      </c>
      <c r="H324" t="s">
        <v>105</v>
      </c>
      <c r="I324" t="s">
        <v>106</v>
      </c>
      <c r="J324" t="s">
        <v>47</v>
      </c>
      <c r="K324" t="s">
        <v>48</v>
      </c>
      <c r="L324">
        <v>0</v>
      </c>
      <c r="M324" t="s">
        <v>49</v>
      </c>
      <c r="N324" t="s">
        <v>50</v>
      </c>
      <c r="O324">
        <v>0</v>
      </c>
      <c r="P324" t="s">
        <v>49</v>
      </c>
      <c r="Q324" t="s">
        <v>50</v>
      </c>
      <c r="R324" t="s">
        <v>300</v>
      </c>
      <c r="S324" t="s">
        <v>52</v>
      </c>
      <c r="T324" t="b">
        <v>1</v>
      </c>
      <c r="U324" t="s">
        <v>53</v>
      </c>
      <c r="V324" t="s">
        <v>54</v>
      </c>
      <c r="W324">
        <v>4</v>
      </c>
      <c r="X324" t="b">
        <v>0</v>
      </c>
      <c r="Y324" t="s">
        <v>55</v>
      </c>
      <c r="Z324" t="s">
        <v>56</v>
      </c>
      <c r="AA324" t="s">
        <v>57</v>
      </c>
      <c r="AB324">
        <v>0</v>
      </c>
      <c r="AC324" t="s">
        <v>58</v>
      </c>
      <c r="AD324">
        <v>8</v>
      </c>
      <c r="AE324" t="s">
        <v>59</v>
      </c>
      <c r="AF324">
        <v>562127671</v>
      </c>
      <c r="AG324" t="b">
        <v>0</v>
      </c>
      <c r="AH324">
        <v>8</v>
      </c>
      <c r="AI324" t="s">
        <v>59</v>
      </c>
      <c r="AJ324">
        <v>562127671</v>
      </c>
      <c r="AK324" t="b">
        <v>0</v>
      </c>
      <c r="AL324">
        <v>562127671</v>
      </c>
      <c r="AM324" t="b">
        <v>0</v>
      </c>
      <c r="AN324">
        <v>0</v>
      </c>
      <c r="AO324" t="b">
        <v>0</v>
      </c>
      <c r="AQ324">
        <v>391327310</v>
      </c>
      <c r="AR324">
        <v>391327310</v>
      </c>
      <c r="AS324">
        <v>0</v>
      </c>
      <c r="AT324" t="b">
        <v>0</v>
      </c>
      <c r="AU324" t="b">
        <v>1</v>
      </c>
      <c r="BA324" t="str">
        <f t="shared" si="10"/>
        <v>Normal</v>
      </c>
      <c r="BG324" t="str">
        <f t="shared" si="11"/>
        <v>Normal</v>
      </c>
    </row>
    <row r="325" spans="1:59" x14ac:dyDescent="0.2">
      <c r="A325" t="s">
        <v>42</v>
      </c>
      <c r="B325" t="s">
        <v>43</v>
      </c>
      <c r="C325">
        <v>20220101</v>
      </c>
      <c r="D325">
        <v>2022</v>
      </c>
      <c r="E325">
        <v>52</v>
      </c>
      <c r="F325" t="s">
        <v>299</v>
      </c>
      <c r="G325">
        <v>203</v>
      </c>
      <c r="H325" t="s">
        <v>107</v>
      </c>
      <c r="I325" t="s">
        <v>108</v>
      </c>
      <c r="J325" t="s">
        <v>47</v>
      </c>
      <c r="K325" t="s">
        <v>48</v>
      </c>
      <c r="L325">
        <v>0</v>
      </c>
      <c r="M325" t="s">
        <v>49</v>
      </c>
      <c r="N325" t="s">
        <v>50</v>
      </c>
      <c r="O325">
        <v>0</v>
      </c>
      <c r="P325" t="s">
        <v>49</v>
      </c>
      <c r="Q325" t="s">
        <v>50</v>
      </c>
      <c r="R325" t="s">
        <v>300</v>
      </c>
      <c r="S325" t="s">
        <v>52</v>
      </c>
      <c r="T325" t="b">
        <v>1</v>
      </c>
      <c r="U325" t="s">
        <v>53</v>
      </c>
      <c r="V325" t="s">
        <v>54</v>
      </c>
      <c r="W325">
        <v>4</v>
      </c>
      <c r="X325" t="b">
        <v>0</v>
      </c>
      <c r="Y325" t="s">
        <v>55</v>
      </c>
      <c r="Z325" t="s">
        <v>56</v>
      </c>
      <c r="AA325" t="s">
        <v>57</v>
      </c>
      <c r="AB325">
        <v>0</v>
      </c>
      <c r="AC325" t="s">
        <v>58</v>
      </c>
      <c r="AD325">
        <v>8</v>
      </c>
      <c r="AE325" t="s">
        <v>59</v>
      </c>
      <c r="AF325">
        <v>1340</v>
      </c>
      <c r="AG325" t="b">
        <v>0</v>
      </c>
      <c r="AH325">
        <v>8</v>
      </c>
      <c r="AI325" t="s">
        <v>59</v>
      </c>
      <c r="AJ325">
        <v>1340</v>
      </c>
      <c r="AK325" t="b">
        <v>0</v>
      </c>
      <c r="AL325">
        <v>1340</v>
      </c>
      <c r="AM325" t="b">
        <v>0</v>
      </c>
      <c r="AN325">
        <v>0</v>
      </c>
      <c r="AO325" t="b">
        <v>0</v>
      </c>
      <c r="AQ325">
        <v>9836</v>
      </c>
      <c r="AR325">
        <v>9836</v>
      </c>
      <c r="AS325">
        <v>0</v>
      </c>
      <c r="AT325" t="b">
        <v>0</v>
      </c>
      <c r="AU325" t="b">
        <v>1</v>
      </c>
      <c r="BA325" t="str">
        <f t="shared" si="10"/>
        <v>Normal</v>
      </c>
      <c r="BG325" t="str">
        <f t="shared" si="11"/>
        <v>Normal</v>
      </c>
    </row>
    <row r="326" spans="1:59" x14ac:dyDescent="0.2">
      <c r="A326" t="s">
        <v>42</v>
      </c>
      <c r="B326" t="s">
        <v>43</v>
      </c>
      <c r="C326">
        <v>20220101</v>
      </c>
      <c r="D326">
        <v>2022</v>
      </c>
      <c r="E326">
        <v>52</v>
      </c>
      <c r="F326" t="s">
        <v>299</v>
      </c>
      <c r="G326">
        <v>208</v>
      </c>
      <c r="H326" t="s">
        <v>109</v>
      </c>
      <c r="I326" t="s">
        <v>110</v>
      </c>
      <c r="J326" t="s">
        <v>47</v>
      </c>
      <c r="K326" t="s">
        <v>48</v>
      </c>
      <c r="L326">
        <v>0</v>
      </c>
      <c r="M326" t="s">
        <v>49</v>
      </c>
      <c r="N326" t="s">
        <v>50</v>
      </c>
      <c r="O326">
        <v>0</v>
      </c>
      <c r="P326" t="s">
        <v>49</v>
      </c>
      <c r="Q326" t="s">
        <v>50</v>
      </c>
      <c r="R326" t="s">
        <v>300</v>
      </c>
      <c r="S326" t="s">
        <v>52</v>
      </c>
      <c r="T326" t="b">
        <v>1</v>
      </c>
      <c r="U326" t="s">
        <v>53</v>
      </c>
      <c r="V326" t="s">
        <v>54</v>
      </c>
      <c r="W326">
        <v>4</v>
      </c>
      <c r="X326" t="b">
        <v>0</v>
      </c>
      <c r="Y326" t="s">
        <v>55</v>
      </c>
      <c r="Z326" t="s">
        <v>56</v>
      </c>
      <c r="AA326" t="s">
        <v>57</v>
      </c>
      <c r="AB326">
        <v>0</v>
      </c>
      <c r="AC326" t="s">
        <v>58</v>
      </c>
      <c r="AD326">
        <v>-1</v>
      </c>
      <c r="AE326" t="s">
        <v>73</v>
      </c>
      <c r="AF326">
        <v>0</v>
      </c>
      <c r="AG326" t="b">
        <v>0</v>
      </c>
      <c r="AH326">
        <v>-1</v>
      </c>
      <c r="AI326" t="s">
        <v>73</v>
      </c>
      <c r="AJ326">
        <v>0</v>
      </c>
      <c r="AK326" t="b">
        <v>0</v>
      </c>
      <c r="AM326" t="b">
        <v>0</v>
      </c>
      <c r="AN326">
        <v>0</v>
      </c>
      <c r="AO326" t="b">
        <v>0</v>
      </c>
      <c r="AQ326">
        <v>365370665.43199998</v>
      </c>
      <c r="AR326">
        <v>365370665.43199998</v>
      </c>
      <c r="AS326">
        <v>0</v>
      </c>
      <c r="AT326" t="b">
        <v>0</v>
      </c>
      <c r="AU326" t="b">
        <v>1</v>
      </c>
      <c r="BA326" t="str">
        <f t="shared" si="10"/>
        <v>Normal</v>
      </c>
      <c r="BG326" t="str">
        <f t="shared" si="11"/>
        <v>Normal</v>
      </c>
    </row>
    <row r="327" spans="1:59" x14ac:dyDescent="0.2">
      <c r="A327" t="s">
        <v>42</v>
      </c>
      <c r="B327" t="s">
        <v>43</v>
      </c>
      <c r="C327">
        <v>20220101</v>
      </c>
      <c r="D327">
        <v>2022</v>
      </c>
      <c r="E327">
        <v>52</v>
      </c>
      <c r="F327" t="s">
        <v>299</v>
      </c>
      <c r="G327">
        <v>212</v>
      </c>
      <c r="H327" t="s">
        <v>290</v>
      </c>
      <c r="I327" t="s">
        <v>291</v>
      </c>
      <c r="J327" t="s">
        <v>47</v>
      </c>
      <c r="K327" t="s">
        <v>48</v>
      </c>
      <c r="L327">
        <v>0</v>
      </c>
      <c r="M327" t="s">
        <v>49</v>
      </c>
      <c r="N327" t="s">
        <v>50</v>
      </c>
      <c r="O327">
        <v>0</v>
      </c>
      <c r="P327" t="s">
        <v>49</v>
      </c>
      <c r="Q327" t="s">
        <v>50</v>
      </c>
      <c r="R327" t="s">
        <v>51</v>
      </c>
      <c r="S327" t="s">
        <v>52</v>
      </c>
      <c r="T327" t="b">
        <v>1</v>
      </c>
      <c r="U327" t="s">
        <v>53</v>
      </c>
      <c r="V327" t="s">
        <v>54</v>
      </c>
      <c r="W327">
        <v>4</v>
      </c>
      <c r="X327" t="b">
        <v>0</v>
      </c>
      <c r="Y327" t="s">
        <v>55</v>
      </c>
      <c r="Z327" t="s">
        <v>56</v>
      </c>
      <c r="AA327" t="s">
        <v>57</v>
      </c>
      <c r="AB327">
        <v>0</v>
      </c>
      <c r="AC327" t="s">
        <v>58</v>
      </c>
      <c r="AD327">
        <v>8</v>
      </c>
      <c r="AE327" t="s">
        <v>59</v>
      </c>
      <c r="AF327">
        <v>54</v>
      </c>
      <c r="AG327" t="b">
        <v>0</v>
      </c>
      <c r="AH327">
        <v>8</v>
      </c>
      <c r="AI327" t="s">
        <v>59</v>
      </c>
      <c r="AJ327">
        <v>54</v>
      </c>
      <c r="AK327" t="b">
        <v>0</v>
      </c>
      <c r="AL327">
        <v>54</v>
      </c>
      <c r="AM327" t="b">
        <v>0</v>
      </c>
      <c r="AN327">
        <v>0</v>
      </c>
      <c r="AO327" t="b">
        <v>0</v>
      </c>
      <c r="AQ327">
        <v>74.073999999999998</v>
      </c>
      <c r="AR327">
        <v>74.073999999999998</v>
      </c>
      <c r="AS327">
        <v>0</v>
      </c>
      <c r="AT327" t="b">
        <v>0</v>
      </c>
      <c r="AU327" t="b">
        <v>1</v>
      </c>
      <c r="BA327" t="str">
        <f t="shared" si="10"/>
        <v>Normal</v>
      </c>
      <c r="BG327" t="str">
        <f t="shared" si="11"/>
        <v>Normal</v>
      </c>
    </row>
    <row r="328" spans="1:59" x14ac:dyDescent="0.2">
      <c r="A328" t="s">
        <v>42</v>
      </c>
      <c r="B328" t="s">
        <v>43</v>
      </c>
      <c r="C328">
        <v>20220101</v>
      </c>
      <c r="D328">
        <v>2022</v>
      </c>
      <c r="E328">
        <v>52</v>
      </c>
      <c r="F328" t="s">
        <v>299</v>
      </c>
      <c r="G328">
        <v>214</v>
      </c>
      <c r="H328" t="s">
        <v>111</v>
      </c>
      <c r="I328" t="s">
        <v>112</v>
      </c>
      <c r="J328" t="s">
        <v>47</v>
      </c>
      <c r="K328" t="s">
        <v>48</v>
      </c>
      <c r="L328">
        <v>0</v>
      </c>
      <c r="M328" t="s">
        <v>49</v>
      </c>
      <c r="N328" t="s">
        <v>50</v>
      </c>
      <c r="O328">
        <v>0</v>
      </c>
      <c r="P328" t="s">
        <v>49</v>
      </c>
      <c r="Q328" t="s">
        <v>50</v>
      </c>
      <c r="R328" t="s">
        <v>51</v>
      </c>
      <c r="S328" t="s">
        <v>52</v>
      </c>
      <c r="T328" t="b">
        <v>1</v>
      </c>
      <c r="U328" t="s">
        <v>53</v>
      </c>
      <c r="V328" t="s">
        <v>54</v>
      </c>
      <c r="W328">
        <v>4</v>
      </c>
      <c r="X328" t="b">
        <v>0</v>
      </c>
      <c r="Y328" t="s">
        <v>55</v>
      </c>
      <c r="Z328" t="s">
        <v>56</v>
      </c>
      <c r="AA328" t="s">
        <v>57</v>
      </c>
      <c r="AB328">
        <v>0</v>
      </c>
      <c r="AC328" t="s">
        <v>58</v>
      </c>
      <c r="AD328">
        <v>8</v>
      </c>
      <c r="AE328" t="s">
        <v>59</v>
      </c>
      <c r="AF328">
        <v>17</v>
      </c>
      <c r="AG328" t="b">
        <v>0</v>
      </c>
      <c r="AH328">
        <v>5</v>
      </c>
      <c r="AI328" t="s">
        <v>292</v>
      </c>
      <c r="AJ328">
        <v>17</v>
      </c>
      <c r="AK328" t="b">
        <v>0</v>
      </c>
      <c r="AL328">
        <v>17</v>
      </c>
      <c r="AM328" t="b">
        <v>0</v>
      </c>
      <c r="AN328">
        <v>0</v>
      </c>
      <c r="AO328" t="b">
        <v>0</v>
      </c>
      <c r="AQ328">
        <v>31.79</v>
      </c>
      <c r="AR328">
        <v>31.79</v>
      </c>
      <c r="AS328">
        <v>0</v>
      </c>
      <c r="AT328" t="b">
        <v>0</v>
      </c>
      <c r="AU328" t="b">
        <v>1</v>
      </c>
      <c r="BA328" t="str">
        <f t="shared" si="10"/>
        <v>Normal</v>
      </c>
      <c r="BG328" t="str">
        <f t="shared" si="11"/>
        <v>Normal</v>
      </c>
    </row>
    <row r="329" spans="1:59" x14ac:dyDescent="0.2">
      <c r="A329" t="s">
        <v>42</v>
      </c>
      <c r="B329" t="s">
        <v>43</v>
      </c>
      <c r="C329">
        <v>20220101</v>
      </c>
      <c r="D329">
        <v>2022</v>
      </c>
      <c r="E329">
        <v>52</v>
      </c>
      <c r="F329" t="s">
        <v>299</v>
      </c>
      <c r="G329">
        <v>218</v>
      </c>
      <c r="H329" t="s">
        <v>113</v>
      </c>
      <c r="I329" t="s">
        <v>114</v>
      </c>
      <c r="J329" t="s">
        <v>47</v>
      </c>
      <c r="K329" t="s">
        <v>48</v>
      </c>
      <c r="L329">
        <v>0</v>
      </c>
      <c r="M329" t="s">
        <v>49</v>
      </c>
      <c r="N329" t="s">
        <v>50</v>
      </c>
      <c r="O329">
        <v>0</v>
      </c>
      <c r="P329" t="s">
        <v>49</v>
      </c>
      <c r="Q329" t="s">
        <v>50</v>
      </c>
      <c r="R329" t="s">
        <v>51</v>
      </c>
      <c r="S329" t="s">
        <v>52</v>
      </c>
      <c r="T329" t="b">
        <v>1</v>
      </c>
      <c r="U329" t="s">
        <v>53</v>
      </c>
      <c r="V329" t="s">
        <v>54</v>
      </c>
      <c r="W329">
        <v>4</v>
      </c>
      <c r="X329" t="b">
        <v>0</v>
      </c>
      <c r="Y329" t="s">
        <v>55</v>
      </c>
      <c r="Z329" t="s">
        <v>56</v>
      </c>
      <c r="AA329" t="s">
        <v>57</v>
      </c>
      <c r="AB329">
        <v>0</v>
      </c>
      <c r="AC329" t="s">
        <v>58</v>
      </c>
      <c r="AD329">
        <v>8</v>
      </c>
      <c r="AE329" t="s">
        <v>59</v>
      </c>
      <c r="AF329">
        <v>17633121300</v>
      </c>
      <c r="AG329" t="b">
        <v>0</v>
      </c>
      <c r="AH329">
        <v>21</v>
      </c>
      <c r="AI329" t="s">
        <v>170</v>
      </c>
      <c r="AJ329">
        <v>17633121.300000001</v>
      </c>
      <c r="AK329" t="b">
        <v>0</v>
      </c>
      <c r="AL329">
        <v>17633121300</v>
      </c>
      <c r="AM329" t="b">
        <v>0</v>
      </c>
      <c r="AN329">
        <v>0</v>
      </c>
      <c r="AO329" t="b">
        <v>0</v>
      </c>
      <c r="AQ329">
        <v>10834637184.299999</v>
      </c>
      <c r="AR329">
        <v>10834637184.299999</v>
      </c>
      <c r="AS329">
        <v>0</v>
      </c>
      <c r="AT329" t="b">
        <v>0</v>
      </c>
      <c r="AU329" t="b">
        <v>1</v>
      </c>
      <c r="BA329" t="str">
        <f t="shared" si="10"/>
        <v>Normal</v>
      </c>
      <c r="BG329" t="str">
        <f t="shared" si="11"/>
        <v>Normal</v>
      </c>
    </row>
    <row r="330" spans="1:59" x14ac:dyDescent="0.2">
      <c r="A330" t="s">
        <v>42</v>
      </c>
      <c r="B330" t="s">
        <v>43</v>
      </c>
      <c r="C330">
        <v>20220101</v>
      </c>
      <c r="D330">
        <v>2022</v>
      </c>
      <c r="E330">
        <v>52</v>
      </c>
      <c r="F330" t="s">
        <v>299</v>
      </c>
      <c r="G330">
        <v>233</v>
      </c>
      <c r="H330" t="s">
        <v>117</v>
      </c>
      <c r="I330" t="s">
        <v>118</v>
      </c>
      <c r="J330" t="s">
        <v>47</v>
      </c>
      <c r="K330" t="s">
        <v>48</v>
      </c>
      <c r="L330">
        <v>0</v>
      </c>
      <c r="M330" t="s">
        <v>49</v>
      </c>
      <c r="N330" t="s">
        <v>50</v>
      </c>
      <c r="O330">
        <v>0</v>
      </c>
      <c r="P330" t="s">
        <v>49</v>
      </c>
      <c r="Q330" t="s">
        <v>50</v>
      </c>
      <c r="R330" t="s">
        <v>300</v>
      </c>
      <c r="S330" t="s">
        <v>52</v>
      </c>
      <c r="T330" t="b">
        <v>1</v>
      </c>
      <c r="U330" t="s">
        <v>53</v>
      </c>
      <c r="V330" t="s">
        <v>54</v>
      </c>
      <c r="W330">
        <v>4</v>
      </c>
      <c r="X330" t="b">
        <v>0</v>
      </c>
      <c r="Y330" t="s">
        <v>55</v>
      </c>
      <c r="Z330" t="s">
        <v>56</v>
      </c>
      <c r="AA330" t="s">
        <v>57</v>
      </c>
      <c r="AB330">
        <v>0</v>
      </c>
      <c r="AC330" t="s">
        <v>58</v>
      </c>
      <c r="AD330">
        <v>8</v>
      </c>
      <c r="AE330" t="s">
        <v>59</v>
      </c>
      <c r="AF330">
        <v>34797052.659999996</v>
      </c>
      <c r="AG330" t="b">
        <v>0</v>
      </c>
      <c r="AH330">
        <v>8</v>
      </c>
      <c r="AI330" t="s">
        <v>59</v>
      </c>
      <c r="AJ330">
        <v>34797052.659999996</v>
      </c>
      <c r="AK330" t="b">
        <v>0</v>
      </c>
      <c r="AL330">
        <v>34797052.659999996</v>
      </c>
      <c r="AM330" t="b">
        <v>0</v>
      </c>
      <c r="AN330">
        <v>0</v>
      </c>
      <c r="AO330" t="b">
        <v>0</v>
      </c>
      <c r="AQ330">
        <v>28125856.030000001</v>
      </c>
      <c r="AR330">
        <v>28125856.030000001</v>
      </c>
      <c r="AS330">
        <v>0</v>
      </c>
      <c r="AT330" t="b">
        <v>0</v>
      </c>
      <c r="AU330" t="b">
        <v>1</v>
      </c>
      <c r="BA330" t="str">
        <f t="shared" si="10"/>
        <v>Normal</v>
      </c>
      <c r="BG330" t="str">
        <f t="shared" si="11"/>
        <v>Normal</v>
      </c>
    </row>
    <row r="331" spans="1:59" x14ac:dyDescent="0.2">
      <c r="A331" t="s">
        <v>42</v>
      </c>
      <c r="B331" t="s">
        <v>43</v>
      </c>
      <c r="C331">
        <v>20220101</v>
      </c>
      <c r="D331">
        <v>2022</v>
      </c>
      <c r="E331">
        <v>52</v>
      </c>
      <c r="F331" t="s">
        <v>299</v>
      </c>
      <c r="G331">
        <v>242</v>
      </c>
      <c r="H331" t="s">
        <v>119</v>
      </c>
      <c r="I331" t="s">
        <v>120</v>
      </c>
      <c r="J331" t="s">
        <v>47</v>
      </c>
      <c r="K331" t="s">
        <v>48</v>
      </c>
      <c r="L331">
        <v>0</v>
      </c>
      <c r="M331" t="s">
        <v>49</v>
      </c>
      <c r="N331" t="s">
        <v>50</v>
      </c>
      <c r="O331">
        <v>0</v>
      </c>
      <c r="P331" t="s">
        <v>49</v>
      </c>
      <c r="Q331" t="s">
        <v>50</v>
      </c>
      <c r="R331" t="s">
        <v>300</v>
      </c>
      <c r="S331" t="s">
        <v>52</v>
      </c>
      <c r="T331" t="b">
        <v>1</v>
      </c>
      <c r="U331" t="s">
        <v>53</v>
      </c>
      <c r="V331" t="s">
        <v>54</v>
      </c>
      <c r="W331">
        <v>4</v>
      </c>
      <c r="X331" t="b">
        <v>0</v>
      </c>
      <c r="Y331" t="s">
        <v>55</v>
      </c>
      <c r="Z331" t="s">
        <v>56</v>
      </c>
      <c r="AA331" t="s">
        <v>57</v>
      </c>
      <c r="AB331">
        <v>0</v>
      </c>
      <c r="AC331" t="s">
        <v>58</v>
      </c>
      <c r="AD331">
        <v>8</v>
      </c>
      <c r="AE331" t="s">
        <v>59</v>
      </c>
      <c r="AF331">
        <v>1900164</v>
      </c>
      <c r="AG331" t="b">
        <v>0</v>
      </c>
      <c r="AH331">
        <v>8</v>
      </c>
      <c r="AI331" t="s">
        <v>59</v>
      </c>
      <c r="AJ331">
        <v>1900164</v>
      </c>
      <c r="AK331" t="b">
        <v>0</v>
      </c>
      <c r="AL331">
        <v>1900164</v>
      </c>
      <c r="AM331" t="b">
        <v>0</v>
      </c>
      <c r="AN331">
        <v>0</v>
      </c>
      <c r="AO331" t="b">
        <v>0</v>
      </c>
      <c r="AQ331">
        <v>2045637.64</v>
      </c>
      <c r="AR331">
        <v>2045637.64</v>
      </c>
      <c r="AS331">
        <v>0</v>
      </c>
      <c r="AT331" t="b">
        <v>0</v>
      </c>
      <c r="AU331" t="b">
        <v>1</v>
      </c>
      <c r="BA331" t="str">
        <f t="shared" si="10"/>
        <v>Normal</v>
      </c>
      <c r="BG331" t="str">
        <f t="shared" si="11"/>
        <v>Normal</v>
      </c>
    </row>
    <row r="332" spans="1:59" x14ac:dyDescent="0.2">
      <c r="A332" t="s">
        <v>42</v>
      </c>
      <c r="B332" t="s">
        <v>43</v>
      </c>
      <c r="C332">
        <v>20220101</v>
      </c>
      <c r="D332">
        <v>2022</v>
      </c>
      <c r="E332">
        <v>52</v>
      </c>
      <c r="F332" t="s">
        <v>299</v>
      </c>
      <c r="G332">
        <v>246</v>
      </c>
      <c r="H332" t="s">
        <v>121</v>
      </c>
      <c r="I332" t="s">
        <v>122</v>
      </c>
      <c r="J332" t="s">
        <v>47</v>
      </c>
      <c r="K332" t="s">
        <v>48</v>
      </c>
      <c r="L332">
        <v>0</v>
      </c>
      <c r="M332" t="s">
        <v>49</v>
      </c>
      <c r="N332" t="s">
        <v>50</v>
      </c>
      <c r="O332">
        <v>0</v>
      </c>
      <c r="P332" t="s">
        <v>49</v>
      </c>
      <c r="Q332" t="s">
        <v>50</v>
      </c>
      <c r="R332" t="s">
        <v>300</v>
      </c>
      <c r="S332" t="s">
        <v>52</v>
      </c>
      <c r="T332" t="b">
        <v>1</v>
      </c>
      <c r="U332" t="s">
        <v>53</v>
      </c>
      <c r="V332" t="s">
        <v>54</v>
      </c>
      <c r="W332">
        <v>4</v>
      </c>
      <c r="X332" t="b">
        <v>0</v>
      </c>
      <c r="Y332" t="s">
        <v>55</v>
      </c>
      <c r="Z332" t="s">
        <v>56</v>
      </c>
      <c r="AA332" t="s">
        <v>57</v>
      </c>
      <c r="AB332">
        <v>0</v>
      </c>
      <c r="AC332" t="s">
        <v>58</v>
      </c>
      <c r="AD332">
        <v>8</v>
      </c>
      <c r="AE332" t="s">
        <v>59</v>
      </c>
      <c r="AF332">
        <v>31.044</v>
      </c>
      <c r="AG332" t="b">
        <v>1</v>
      </c>
      <c r="AH332">
        <v>-1</v>
      </c>
      <c r="AI332" t="s">
        <v>73</v>
      </c>
      <c r="AJ332">
        <v>0</v>
      </c>
      <c r="AK332" t="b">
        <v>0</v>
      </c>
      <c r="AL332">
        <v>31.044</v>
      </c>
      <c r="AM332" t="b">
        <v>1</v>
      </c>
      <c r="AN332">
        <v>0</v>
      </c>
      <c r="AO332" t="b">
        <v>0</v>
      </c>
      <c r="AQ332">
        <v>738.18700000000001</v>
      </c>
      <c r="AR332">
        <v>738.18700000000001</v>
      </c>
      <c r="AS332">
        <v>6</v>
      </c>
      <c r="AT332" t="b">
        <v>0</v>
      </c>
      <c r="AU332" t="b">
        <v>1</v>
      </c>
      <c r="BA332" t="str">
        <f t="shared" si="10"/>
        <v>Normal</v>
      </c>
      <c r="BG332" t="str">
        <f t="shared" si="11"/>
        <v>Normal</v>
      </c>
    </row>
    <row r="333" spans="1:59" x14ac:dyDescent="0.2">
      <c r="A333" t="s">
        <v>42</v>
      </c>
      <c r="B333" t="s">
        <v>43</v>
      </c>
      <c r="C333">
        <v>20220101</v>
      </c>
      <c r="D333">
        <v>2022</v>
      </c>
      <c r="E333">
        <v>52</v>
      </c>
      <c r="F333" t="s">
        <v>299</v>
      </c>
      <c r="G333">
        <v>251</v>
      </c>
      <c r="H333" t="s">
        <v>123</v>
      </c>
      <c r="I333" t="s">
        <v>124</v>
      </c>
      <c r="J333" t="s">
        <v>47</v>
      </c>
      <c r="K333" t="s">
        <v>48</v>
      </c>
      <c r="L333">
        <v>0</v>
      </c>
      <c r="M333" t="s">
        <v>49</v>
      </c>
      <c r="N333" t="s">
        <v>50</v>
      </c>
      <c r="O333">
        <v>0</v>
      </c>
      <c r="P333" t="s">
        <v>49</v>
      </c>
      <c r="Q333" t="s">
        <v>50</v>
      </c>
      <c r="R333" t="s">
        <v>300</v>
      </c>
      <c r="S333" t="s">
        <v>52</v>
      </c>
      <c r="T333" t="b">
        <v>1</v>
      </c>
      <c r="U333" t="s">
        <v>53</v>
      </c>
      <c r="V333" t="s">
        <v>54</v>
      </c>
      <c r="W333">
        <v>4</v>
      </c>
      <c r="X333" t="b">
        <v>0</v>
      </c>
      <c r="Y333" t="s">
        <v>55</v>
      </c>
      <c r="Z333" t="s">
        <v>56</v>
      </c>
      <c r="AA333" t="s">
        <v>57</v>
      </c>
      <c r="AB333">
        <v>0</v>
      </c>
      <c r="AC333" t="s">
        <v>58</v>
      </c>
      <c r="AD333">
        <v>8</v>
      </c>
      <c r="AE333" t="s">
        <v>59</v>
      </c>
      <c r="AF333">
        <v>3886102.176</v>
      </c>
      <c r="AG333" t="b">
        <v>1</v>
      </c>
      <c r="AH333">
        <v>-1</v>
      </c>
      <c r="AI333" t="s">
        <v>73</v>
      </c>
      <c r="AJ333">
        <v>0</v>
      </c>
      <c r="AK333" t="b">
        <v>0</v>
      </c>
      <c r="AL333">
        <v>3886102.176</v>
      </c>
      <c r="AM333" t="b">
        <v>1</v>
      </c>
      <c r="AN333">
        <v>0</v>
      </c>
      <c r="AO333" t="b">
        <v>0</v>
      </c>
      <c r="AQ333">
        <v>3870644.5150000001</v>
      </c>
      <c r="AR333">
        <v>3870644.5150000001</v>
      </c>
      <c r="AS333">
        <v>6</v>
      </c>
      <c r="AT333" t="b">
        <v>0</v>
      </c>
      <c r="AU333" t="b">
        <v>1</v>
      </c>
      <c r="BA333" t="str">
        <f t="shared" si="10"/>
        <v>Normal</v>
      </c>
      <c r="BG333" t="str">
        <f t="shared" si="11"/>
        <v>Normal</v>
      </c>
    </row>
    <row r="334" spans="1:59" x14ac:dyDescent="0.2">
      <c r="A334" t="s">
        <v>42</v>
      </c>
      <c r="B334" t="s">
        <v>43</v>
      </c>
      <c r="C334">
        <v>20220101</v>
      </c>
      <c r="D334">
        <v>2022</v>
      </c>
      <c r="E334">
        <v>52</v>
      </c>
      <c r="F334" t="s">
        <v>299</v>
      </c>
      <c r="G334">
        <v>266</v>
      </c>
      <c r="H334" t="s">
        <v>125</v>
      </c>
      <c r="I334" t="s">
        <v>126</v>
      </c>
      <c r="J334" t="s">
        <v>47</v>
      </c>
      <c r="K334" t="s">
        <v>48</v>
      </c>
      <c r="L334">
        <v>0</v>
      </c>
      <c r="M334" t="s">
        <v>49</v>
      </c>
      <c r="N334" t="s">
        <v>50</v>
      </c>
      <c r="O334">
        <v>0</v>
      </c>
      <c r="P334" t="s">
        <v>49</v>
      </c>
      <c r="Q334" t="s">
        <v>50</v>
      </c>
      <c r="R334" t="s">
        <v>51</v>
      </c>
      <c r="S334" t="s">
        <v>52</v>
      </c>
      <c r="T334" t="b">
        <v>1</v>
      </c>
      <c r="U334" t="s">
        <v>53</v>
      </c>
      <c r="V334" t="s">
        <v>54</v>
      </c>
      <c r="W334">
        <v>4</v>
      </c>
      <c r="X334" t="b">
        <v>0</v>
      </c>
      <c r="Y334" t="s">
        <v>55</v>
      </c>
      <c r="Z334" t="s">
        <v>56</v>
      </c>
      <c r="AA334" t="s">
        <v>57</v>
      </c>
      <c r="AB334">
        <v>0</v>
      </c>
      <c r="AC334" t="s">
        <v>58</v>
      </c>
      <c r="AD334">
        <v>8</v>
      </c>
      <c r="AE334" t="s">
        <v>59</v>
      </c>
      <c r="AF334">
        <v>9202728843</v>
      </c>
      <c r="AG334" t="b">
        <v>0</v>
      </c>
      <c r="AH334">
        <v>19</v>
      </c>
      <c r="AI334" t="s">
        <v>60</v>
      </c>
      <c r="AJ334">
        <v>163445158.63999999</v>
      </c>
      <c r="AK334" t="b">
        <v>0</v>
      </c>
      <c r="AL334">
        <v>9202728843</v>
      </c>
      <c r="AM334" t="b">
        <v>0</v>
      </c>
      <c r="AN334">
        <v>0</v>
      </c>
      <c r="AO334" t="b">
        <v>0</v>
      </c>
      <c r="AQ334">
        <v>6692910396.9060001</v>
      </c>
      <c r="AR334">
        <v>6692910396.9060001</v>
      </c>
      <c r="AS334">
        <v>0</v>
      </c>
      <c r="AT334" t="b">
        <v>0</v>
      </c>
      <c r="AU334" t="b">
        <v>1</v>
      </c>
      <c r="BA334" t="str">
        <f t="shared" si="10"/>
        <v>Normal</v>
      </c>
      <c r="BG334" t="str">
        <f t="shared" si="11"/>
        <v>Normal</v>
      </c>
    </row>
    <row r="335" spans="1:59" x14ac:dyDescent="0.2">
      <c r="A335" t="s">
        <v>42</v>
      </c>
      <c r="B335" t="s">
        <v>43</v>
      </c>
      <c r="C335">
        <v>20220101</v>
      </c>
      <c r="D335">
        <v>2022</v>
      </c>
      <c r="E335">
        <v>52</v>
      </c>
      <c r="F335" t="s">
        <v>299</v>
      </c>
      <c r="G335">
        <v>270</v>
      </c>
      <c r="H335" t="s">
        <v>307</v>
      </c>
      <c r="I335" t="s">
        <v>308</v>
      </c>
      <c r="J335" t="s">
        <v>47</v>
      </c>
      <c r="K335" t="s">
        <v>48</v>
      </c>
      <c r="L335">
        <v>0</v>
      </c>
      <c r="M335" t="s">
        <v>49</v>
      </c>
      <c r="N335" t="s">
        <v>50</v>
      </c>
      <c r="O335">
        <v>0</v>
      </c>
      <c r="P335" t="s">
        <v>49</v>
      </c>
      <c r="Q335" t="s">
        <v>50</v>
      </c>
      <c r="R335" t="s">
        <v>300</v>
      </c>
      <c r="S335" t="s">
        <v>52</v>
      </c>
      <c r="T335" t="b">
        <v>1</v>
      </c>
      <c r="U335" t="s">
        <v>53</v>
      </c>
      <c r="V335" t="s">
        <v>54</v>
      </c>
      <c r="W335">
        <v>4</v>
      </c>
      <c r="X335" t="b">
        <v>0</v>
      </c>
      <c r="Y335" t="s">
        <v>55</v>
      </c>
      <c r="Z335" t="s">
        <v>56</v>
      </c>
      <c r="AA335" t="s">
        <v>57</v>
      </c>
      <c r="AB335">
        <v>0</v>
      </c>
      <c r="AC335" t="s">
        <v>58</v>
      </c>
      <c r="AD335">
        <v>8</v>
      </c>
      <c r="AE335" t="s">
        <v>59</v>
      </c>
      <c r="AF335">
        <v>23644</v>
      </c>
      <c r="AG335" t="b">
        <v>0</v>
      </c>
      <c r="AH335">
        <v>8</v>
      </c>
      <c r="AI335" t="s">
        <v>59</v>
      </c>
      <c r="AJ335">
        <v>23644</v>
      </c>
      <c r="AK335" t="b">
        <v>0</v>
      </c>
      <c r="AL335">
        <v>23644</v>
      </c>
      <c r="AM335" t="b">
        <v>0</v>
      </c>
      <c r="AN335">
        <v>0</v>
      </c>
      <c r="AO335" t="b">
        <v>0</v>
      </c>
      <c r="AQ335">
        <v>19989.329000000002</v>
      </c>
      <c r="AR335">
        <v>19989.329000000002</v>
      </c>
      <c r="AS335">
        <v>0</v>
      </c>
      <c r="AT335" t="b">
        <v>0</v>
      </c>
      <c r="AU335" t="b">
        <v>1</v>
      </c>
      <c r="BA335" t="str">
        <f t="shared" si="10"/>
        <v>Normal</v>
      </c>
      <c r="BG335" t="str">
        <f t="shared" si="11"/>
        <v>Normal</v>
      </c>
    </row>
    <row r="336" spans="1:59" x14ac:dyDescent="0.2">
      <c r="A336" t="s">
        <v>42</v>
      </c>
      <c r="B336" t="s">
        <v>43</v>
      </c>
      <c r="C336">
        <v>20220101</v>
      </c>
      <c r="D336">
        <v>2022</v>
      </c>
      <c r="E336">
        <v>52</v>
      </c>
      <c r="F336" t="s">
        <v>299</v>
      </c>
      <c r="G336">
        <v>276</v>
      </c>
      <c r="H336" t="s">
        <v>130</v>
      </c>
      <c r="I336" t="s">
        <v>131</v>
      </c>
      <c r="J336" t="s">
        <v>47</v>
      </c>
      <c r="K336" t="s">
        <v>48</v>
      </c>
      <c r="L336">
        <v>0</v>
      </c>
      <c r="M336" t="s">
        <v>49</v>
      </c>
      <c r="N336" t="s">
        <v>50</v>
      </c>
      <c r="O336">
        <v>0</v>
      </c>
      <c r="P336" t="s">
        <v>49</v>
      </c>
      <c r="Q336" t="s">
        <v>50</v>
      </c>
      <c r="R336" t="s">
        <v>300</v>
      </c>
      <c r="S336" t="s">
        <v>52</v>
      </c>
      <c r="T336" t="b">
        <v>1</v>
      </c>
      <c r="U336" t="s">
        <v>53</v>
      </c>
      <c r="V336" t="s">
        <v>54</v>
      </c>
      <c r="W336">
        <v>4</v>
      </c>
      <c r="X336" t="b">
        <v>0</v>
      </c>
      <c r="Y336" t="s">
        <v>55</v>
      </c>
      <c r="Z336" t="s">
        <v>56</v>
      </c>
      <c r="AA336" t="s">
        <v>57</v>
      </c>
      <c r="AB336">
        <v>0</v>
      </c>
      <c r="AC336" t="s">
        <v>58</v>
      </c>
      <c r="AD336">
        <v>8</v>
      </c>
      <c r="AE336" t="s">
        <v>59</v>
      </c>
      <c r="AF336">
        <v>10375420</v>
      </c>
      <c r="AG336" t="b">
        <v>0</v>
      </c>
      <c r="AH336">
        <v>8</v>
      </c>
      <c r="AI336" t="s">
        <v>59</v>
      </c>
      <c r="AJ336">
        <v>10375420</v>
      </c>
      <c r="AK336" t="b">
        <v>0</v>
      </c>
      <c r="AL336">
        <v>10375420</v>
      </c>
      <c r="AM336" t="b">
        <v>0</v>
      </c>
      <c r="AN336">
        <v>0</v>
      </c>
      <c r="AO336" t="b">
        <v>0</v>
      </c>
      <c r="AQ336">
        <v>5673771.0870000003</v>
      </c>
      <c r="AR336">
        <v>5673771.0870000003</v>
      </c>
      <c r="AS336">
        <v>0</v>
      </c>
      <c r="AT336" t="b">
        <v>0</v>
      </c>
      <c r="AU336" t="b">
        <v>1</v>
      </c>
      <c r="BA336" t="str">
        <f t="shared" si="10"/>
        <v>Normal</v>
      </c>
      <c r="BG336" t="str">
        <f t="shared" si="11"/>
        <v>Normal</v>
      </c>
    </row>
    <row r="337" spans="1:59" x14ac:dyDescent="0.2">
      <c r="A337" t="s">
        <v>42</v>
      </c>
      <c r="B337" t="s">
        <v>43</v>
      </c>
      <c r="C337">
        <v>20220101</v>
      </c>
      <c r="D337">
        <v>2022</v>
      </c>
      <c r="E337">
        <v>52</v>
      </c>
      <c r="F337" t="s">
        <v>299</v>
      </c>
      <c r="G337">
        <v>288</v>
      </c>
      <c r="H337" t="s">
        <v>132</v>
      </c>
      <c r="I337" t="s">
        <v>133</v>
      </c>
      <c r="J337" t="s">
        <v>47</v>
      </c>
      <c r="K337" t="s">
        <v>48</v>
      </c>
      <c r="L337">
        <v>0</v>
      </c>
      <c r="M337" t="s">
        <v>49</v>
      </c>
      <c r="N337" t="s">
        <v>50</v>
      </c>
      <c r="O337">
        <v>0</v>
      </c>
      <c r="P337" t="s">
        <v>49</v>
      </c>
      <c r="Q337" t="s">
        <v>50</v>
      </c>
      <c r="R337" t="s">
        <v>51</v>
      </c>
      <c r="S337" t="s">
        <v>52</v>
      </c>
      <c r="T337" t="b">
        <v>1</v>
      </c>
      <c r="U337" t="s">
        <v>53</v>
      </c>
      <c r="V337" t="s">
        <v>54</v>
      </c>
      <c r="W337">
        <v>4</v>
      </c>
      <c r="X337" t="b">
        <v>0</v>
      </c>
      <c r="Y337" t="s">
        <v>55</v>
      </c>
      <c r="Z337" t="s">
        <v>56</v>
      </c>
      <c r="AA337" t="s">
        <v>57</v>
      </c>
      <c r="AB337">
        <v>0</v>
      </c>
      <c r="AC337" t="s">
        <v>58</v>
      </c>
      <c r="AD337">
        <v>8</v>
      </c>
      <c r="AE337" t="s">
        <v>59</v>
      </c>
      <c r="AF337">
        <v>6943073001</v>
      </c>
      <c r="AG337" t="b">
        <v>0</v>
      </c>
      <c r="AH337">
        <v>8</v>
      </c>
      <c r="AI337" t="s">
        <v>59</v>
      </c>
      <c r="AJ337">
        <v>6943073001</v>
      </c>
      <c r="AK337" t="b">
        <v>0</v>
      </c>
      <c r="AL337">
        <v>6943073007</v>
      </c>
      <c r="AM337" t="b">
        <v>0</v>
      </c>
      <c r="AN337">
        <v>0</v>
      </c>
      <c r="AO337" t="b">
        <v>0</v>
      </c>
      <c r="AQ337">
        <v>5188804242.3909998</v>
      </c>
      <c r="AR337">
        <v>5188804242.3909998</v>
      </c>
      <c r="AS337">
        <v>0</v>
      </c>
      <c r="AT337" t="b">
        <v>0</v>
      </c>
      <c r="AU337" t="b">
        <v>1</v>
      </c>
      <c r="BA337" t="str">
        <f t="shared" si="10"/>
        <v>Normal</v>
      </c>
      <c r="BG337" t="str">
        <f t="shared" si="11"/>
        <v>Normal</v>
      </c>
    </row>
    <row r="338" spans="1:59" x14ac:dyDescent="0.2">
      <c r="A338" t="s">
        <v>42</v>
      </c>
      <c r="B338" t="s">
        <v>43</v>
      </c>
      <c r="C338">
        <v>20220101</v>
      </c>
      <c r="D338">
        <v>2022</v>
      </c>
      <c r="E338">
        <v>52</v>
      </c>
      <c r="F338" t="s">
        <v>299</v>
      </c>
      <c r="G338">
        <v>300</v>
      </c>
      <c r="H338" t="s">
        <v>134</v>
      </c>
      <c r="I338" t="s">
        <v>135</v>
      </c>
      <c r="J338" t="s">
        <v>47</v>
      </c>
      <c r="K338" t="s">
        <v>48</v>
      </c>
      <c r="L338">
        <v>0</v>
      </c>
      <c r="M338" t="s">
        <v>49</v>
      </c>
      <c r="N338" t="s">
        <v>50</v>
      </c>
      <c r="O338">
        <v>0</v>
      </c>
      <c r="P338" t="s">
        <v>49</v>
      </c>
      <c r="Q338" t="s">
        <v>50</v>
      </c>
      <c r="R338" t="s">
        <v>300</v>
      </c>
      <c r="S338" t="s">
        <v>52</v>
      </c>
      <c r="T338" t="b">
        <v>1</v>
      </c>
      <c r="U338" t="s">
        <v>53</v>
      </c>
      <c r="V338" t="s">
        <v>54</v>
      </c>
      <c r="W338">
        <v>4</v>
      </c>
      <c r="X338" t="b">
        <v>0</v>
      </c>
      <c r="Y338" t="s">
        <v>55</v>
      </c>
      <c r="Z338" t="s">
        <v>56</v>
      </c>
      <c r="AA338" t="s">
        <v>57</v>
      </c>
      <c r="AB338">
        <v>0</v>
      </c>
      <c r="AC338" t="s">
        <v>58</v>
      </c>
      <c r="AD338">
        <v>8</v>
      </c>
      <c r="AE338" t="s">
        <v>59</v>
      </c>
      <c r="AF338">
        <v>2048891.2350000001</v>
      </c>
      <c r="AG338" t="b">
        <v>1</v>
      </c>
      <c r="AH338">
        <v>-1</v>
      </c>
      <c r="AI338" t="s">
        <v>73</v>
      </c>
      <c r="AJ338">
        <v>0</v>
      </c>
      <c r="AK338" t="b">
        <v>0</v>
      </c>
      <c r="AL338">
        <v>2048891.2350000001</v>
      </c>
      <c r="AM338" t="b">
        <v>1</v>
      </c>
      <c r="AN338">
        <v>0</v>
      </c>
      <c r="AO338" t="b">
        <v>0</v>
      </c>
      <c r="AQ338">
        <v>6838831.6200000001</v>
      </c>
      <c r="AR338">
        <v>6838831.6200000001</v>
      </c>
      <c r="AS338">
        <v>6</v>
      </c>
      <c r="AT338" t="b">
        <v>0</v>
      </c>
      <c r="AU338" t="b">
        <v>1</v>
      </c>
      <c r="BA338" t="str">
        <f t="shared" si="10"/>
        <v>Normal</v>
      </c>
      <c r="BG338" t="str">
        <f t="shared" si="11"/>
        <v>Normal</v>
      </c>
    </row>
    <row r="339" spans="1:59" x14ac:dyDescent="0.2">
      <c r="A339" t="s">
        <v>42</v>
      </c>
      <c r="B339" t="s">
        <v>43</v>
      </c>
      <c r="C339">
        <v>20220101</v>
      </c>
      <c r="D339">
        <v>2022</v>
      </c>
      <c r="E339">
        <v>52</v>
      </c>
      <c r="F339" t="s">
        <v>299</v>
      </c>
      <c r="G339">
        <v>320</v>
      </c>
      <c r="H339" t="s">
        <v>136</v>
      </c>
      <c r="I339" t="s">
        <v>137</v>
      </c>
      <c r="J339" t="s">
        <v>47</v>
      </c>
      <c r="K339" t="s">
        <v>48</v>
      </c>
      <c r="L339">
        <v>0</v>
      </c>
      <c r="M339" t="s">
        <v>49</v>
      </c>
      <c r="N339" t="s">
        <v>50</v>
      </c>
      <c r="O339">
        <v>0</v>
      </c>
      <c r="P339" t="s">
        <v>49</v>
      </c>
      <c r="Q339" t="s">
        <v>50</v>
      </c>
      <c r="R339" t="s">
        <v>300</v>
      </c>
      <c r="S339" t="s">
        <v>52</v>
      </c>
      <c r="T339" t="b">
        <v>1</v>
      </c>
      <c r="U339" t="s">
        <v>53</v>
      </c>
      <c r="V339" t="s">
        <v>54</v>
      </c>
      <c r="W339">
        <v>4</v>
      </c>
      <c r="X339" t="b">
        <v>0</v>
      </c>
      <c r="Y339" t="s">
        <v>55</v>
      </c>
      <c r="Z339" t="s">
        <v>56</v>
      </c>
      <c r="AA339" t="s">
        <v>57</v>
      </c>
      <c r="AB339">
        <v>0</v>
      </c>
      <c r="AC339" t="s">
        <v>58</v>
      </c>
      <c r="AD339">
        <v>8</v>
      </c>
      <c r="AE339" t="s">
        <v>59</v>
      </c>
      <c r="AF339">
        <v>131658277</v>
      </c>
      <c r="AG339" t="b">
        <v>0</v>
      </c>
      <c r="AH339">
        <v>8</v>
      </c>
      <c r="AI339" t="s">
        <v>59</v>
      </c>
      <c r="AJ339">
        <v>131658277</v>
      </c>
      <c r="AK339" t="b">
        <v>0</v>
      </c>
      <c r="AL339">
        <v>131658277</v>
      </c>
      <c r="AM339" t="b">
        <v>0</v>
      </c>
      <c r="AN339">
        <v>0</v>
      </c>
      <c r="AO339" t="b">
        <v>0</v>
      </c>
      <c r="AQ339">
        <v>95671031</v>
      </c>
      <c r="AR339">
        <v>95671031</v>
      </c>
      <c r="AS339">
        <v>0</v>
      </c>
      <c r="AT339" t="b">
        <v>0</v>
      </c>
      <c r="AU339" t="b">
        <v>1</v>
      </c>
      <c r="BA339" t="str">
        <f t="shared" si="10"/>
        <v>Normal</v>
      </c>
      <c r="BG339" t="str">
        <f t="shared" si="11"/>
        <v>Normal</v>
      </c>
    </row>
    <row r="340" spans="1:59" x14ac:dyDescent="0.2">
      <c r="A340" t="s">
        <v>42</v>
      </c>
      <c r="B340" t="s">
        <v>43</v>
      </c>
      <c r="C340">
        <v>20220101</v>
      </c>
      <c r="D340">
        <v>2022</v>
      </c>
      <c r="E340">
        <v>52</v>
      </c>
      <c r="F340" t="s">
        <v>299</v>
      </c>
      <c r="G340">
        <v>328</v>
      </c>
      <c r="H340" t="s">
        <v>276</v>
      </c>
      <c r="I340" t="s">
        <v>277</v>
      </c>
      <c r="J340" t="s">
        <v>47</v>
      </c>
      <c r="K340" t="s">
        <v>48</v>
      </c>
      <c r="L340">
        <v>0</v>
      </c>
      <c r="M340" t="s">
        <v>49</v>
      </c>
      <c r="N340" t="s">
        <v>50</v>
      </c>
      <c r="O340">
        <v>0</v>
      </c>
      <c r="P340" t="s">
        <v>49</v>
      </c>
      <c r="Q340" t="s">
        <v>50</v>
      </c>
      <c r="R340" t="s">
        <v>51</v>
      </c>
      <c r="S340" t="s">
        <v>52</v>
      </c>
      <c r="T340" t="b">
        <v>1</v>
      </c>
      <c r="U340" t="s">
        <v>53</v>
      </c>
      <c r="V340" t="s">
        <v>54</v>
      </c>
      <c r="W340">
        <v>4</v>
      </c>
      <c r="X340" t="b">
        <v>0</v>
      </c>
      <c r="Y340" t="s">
        <v>55</v>
      </c>
      <c r="Z340" t="s">
        <v>56</v>
      </c>
      <c r="AA340" t="s">
        <v>57</v>
      </c>
      <c r="AB340">
        <v>0</v>
      </c>
      <c r="AC340" t="s">
        <v>58</v>
      </c>
      <c r="AD340">
        <v>8</v>
      </c>
      <c r="AE340" t="s">
        <v>59</v>
      </c>
      <c r="AF340">
        <v>27485774200</v>
      </c>
      <c r="AG340" t="b">
        <v>0</v>
      </c>
      <c r="AH340">
        <v>8</v>
      </c>
      <c r="AI340" t="s">
        <v>59</v>
      </c>
      <c r="AJ340">
        <v>27485774200</v>
      </c>
      <c r="AK340" t="b">
        <v>0</v>
      </c>
      <c r="AL340">
        <v>27485774200</v>
      </c>
      <c r="AM340" t="b">
        <v>0</v>
      </c>
      <c r="AN340">
        <v>0</v>
      </c>
      <c r="AO340" t="b">
        <v>0</v>
      </c>
      <c r="AQ340">
        <v>19707661922.18</v>
      </c>
      <c r="AR340">
        <v>19707661922.18</v>
      </c>
      <c r="AS340">
        <v>0</v>
      </c>
      <c r="AT340" t="b">
        <v>0</v>
      </c>
      <c r="AU340" t="b">
        <v>1</v>
      </c>
      <c r="BA340" t="str">
        <f t="shared" si="10"/>
        <v>Normal</v>
      </c>
      <c r="BG340" t="str">
        <f t="shared" si="11"/>
        <v>Normal</v>
      </c>
    </row>
    <row r="341" spans="1:59" x14ac:dyDescent="0.2">
      <c r="A341" t="s">
        <v>42</v>
      </c>
      <c r="B341" t="s">
        <v>43</v>
      </c>
      <c r="C341">
        <v>20220101</v>
      </c>
      <c r="D341">
        <v>2022</v>
      </c>
      <c r="E341">
        <v>52</v>
      </c>
      <c r="F341" t="s">
        <v>299</v>
      </c>
      <c r="G341">
        <v>348</v>
      </c>
      <c r="H341" t="s">
        <v>138</v>
      </c>
      <c r="I341" t="s">
        <v>139</v>
      </c>
      <c r="J341" t="s">
        <v>47</v>
      </c>
      <c r="K341" t="s">
        <v>48</v>
      </c>
      <c r="L341">
        <v>0</v>
      </c>
      <c r="M341" t="s">
        <v>49</v>
      </c>
      <c r="N341" t="s">
        <v>50</v>
      </c>
      <c r="O341">
        <v>0</v>
      </c>
      <c r="P341" t="s">
        <v>49</v>
      </c>
      <c r="Q341" t="s">
        <v>50</v>
      </c>
      <c r="R341" t="s">
        <v>300</v>
      </c>
      <c r="S341" t="s">
        <v>52</v>
      </c>
      <c r="T341" t="b">
        <v>1</v>
      </c>
      <c r="U341" t="s">
        <v>53</v>
      </c>
      <c r="V341" t="s">
        <v>54</v>
      </c>
      <c r="W341">
        <v>4</v>
      </c>
      <c r="X341" t="b">
        <v>0</v>
      </c>
      <c r="Y341" t="s">
        <v>55</v>
      </c>
      <c r="Z341" t="s">
        <v>56</v>
      </c>
      <c r="AA341" t="s">
        <v>57</v>
      </c>
      <c r="AB341">
        <v>0</v>
      </c>
      <c r="AC341" t="s">
        <v>58</v>
      </c>
      <c r="AD341">
        <v>8</v>
      </c>
      <c r="AE341" t="s">
        <v>59</v>
      </c>
      <c r="AF341">
        <v>190319240</v>
      </c>
      <c r="AG341" t="b">
        <v>0</v>
      </c>
      <c r="AH341">
        <v>8</v>
      </c>
      <c r="AI341" t="s">
        <v>59</v>
      </c>
      <c r="AJ341">
        <v>190319240</v>
      </c>
      <c r="AK341" t="b">
        <v>0</v>
      </c>
      <c r="AL341">
        <v>190319240</v>
      </c>
      <c r="AM341" t="b">
        <v>0</v>
      </c>
      <c r="AN341">
        <v>0</v>
      </c>
      <c r="AO341" t="b">
        <v>0</v>
      </c>
      <c r="AQ341">
        <v>112422916</v>
      </c>
      <c r="AR341">
        <v>112422916</v>
      </c>
      <c r="AS341">
        <v>0</v>
      </c>
      <c r="AT341" t="b">
        <v>0</v>
      </c>
      <c r="AU341" t="b">
        <v>1</v>
      </c>
      <c r="BA341" t="str">
        <f t="shared" si="10"/>
        <v>Normal</v>
      </c>
      <c r="BG341" t="str">
        <f t="shared" si="11"/>
        <v>Normal</v>
      </c>
    </row>
    <row r="342" spans="1:59" x14ac:dyDescent="0.2">
      <c r="A342" t="s">
        <v>42</v>
      </c>
      <c r="B342" t="s">
        <v>43</v>
      </c>
      <c r="C342">
        <v>20220101</v>
      </c>
      <c r="D342">
        <v>2022</v>
      </c>
      <c r="E342">
        <v>52</v>
      </c>
      <c r="F342" t="s">
        <v>299</v>
      </c>
      <c r="G342">
        <v>360</v>
      </c>
      <c r="H342" t="s">
        <v>140</v>
      </c>
      <c r="I342" t="s">
        <v>141</v>
      </c>
      <c r="J342" t="s">
        <v>47</v>
      </c>
      <c r="K342" t="s">
        <v>48</v>
      </c>
      <c r="L342">
        <v>0</v>
      </c>
      <c r="M342" t="s">
        <v>49</v>
      </c>
      <c r="N342" t="s">
        <v>50</v>
      </c>
      <c r="O342">
        <v>0</v>
      </c>
      <c r="P342" t="s">
        <v>49</v>
      </c>
      <c r="Q342" t="s">
        <v>50</v>
      </c>
      <c r="R342" t="s">
        <v>300</v>
      </c>
      <c r="S342" t="s">
        <v>52</v>
      </c>
      <c r="T342" t="b">
        <v>1</v>
      </c>
      <c r="U342" t="s">
        <v>53</v>
      </c>
      <c r="V342" t="s">
        <v>54</v>
      </c>
      <c r="W342">
        <v>4</v>
      </c>
      <c r="X342" t="b">
        <v>0</v>
      </c>
      <c r="Y342" t="s">
        <v>55</v>
      </c>
      <c r="Z342" t="s">
        <v>56</v>
      </c>
      <c r="AA342" t="s">
        <v>57</v>
      </c>
      <c r="AB342">
        <v>0</v>
      </c>
      <c r="AC342" t="s">
        <v>58</v>
      </c>
      <c r="AD342">
        <v>8</v>
      </c>
      <c r="AE342" t="s">
        <v>59</v>
      </c>
      <c r="AF342">
        <v>2180680020</v>
      </c>
      <c r="AG342" t="b">
        <v>0</v>
      </c>
      <c r="AH342">
        <v>8</v>
      </c>
      <c r="AI342" t="s">
        <v>59</v>
      </c>
      <c r="AJ342">
        <v>2180680020</v>
      </c>
      <c r="AK342" t="b">
        <v>0</v>
      </c>
      <c r="AL342">
        <v>2180680020</v>
      </c>
      <c r="AM342" t="b">
        <v>0</v>
      </c>
      <c r="AN342">
        <v>0</v>
      </c>
      <c r="AO342" t="b">
        <v>0</v>
      </c>
      <c r="AQ342">
        <v>1615292667.355</v>
      </c>
      <c r="AR342">
        <v>1615292667.355</v>
      </c>
      <c r="AS342">
        <v>0</v>
      </c>
      <c r="AT342" t="b">
        <v>0</v>
      </c>
      <c r="AU342" t="b">
        <v>1</v>
      </c>
      <c r="BA342" t="str">
        <f t="shared" si="10"/>
        <v>Normal</v>
      </c>
      <c r="BG342" t="str">
        <f t="shared" si="11"/>
        <v>Normal</v>
      </c>
    </row>
    <row r="343" spans="1:59" x14ac:dyDescent="0.2">
      <c r="A343" t="s">
        <v>42</v>
      </c>
      <c r="B343" t="s">
        <v>43</v>
      </c>
      <c r="C343">
        <v>20220101</v>
      </c>
      <c r="D343">
        <v>2022</v>
      </c>
      <c r="E343">
        <v>52</v>
      </c>
      <c r="F343" t="s">
        <v>299</v>
      </c>
      <c r="G343">
        <v>364</v>
      </c>
      <c r="H343" t="s">
        <v>142</v>
      </c>
      <c r="I343" t="s">
        <v>143</v>
      </c>
      <c r="J343" t="s">
        <v>47</v>
      </c>
      <c r="K343" t="s">
        <v>48</v>
      </c>
      <c r="L343">
        <v>0</v>
      </c>
      <c r="M343" t="s">
        <v>49</v>
      </c>
      <c r="N343" t="s">
        <v>50</v>
      </c>
      <c r="O343">
        <v>0</v>
      </c>
      <c r="P343" t="s">
        <v>49</v>
      </c>
      <c r="Q343" t="s">
        <v>50</v>
      </c>
      <c r="R343" t="s">
        <v>300</v>
      </c>
      <c r="S343" t="s">
        <v>52</v>
      </c>
      <c r="T343" t="b">
        <v>1</v>
      </c>
      <c r="U343" t="s">
        <v>53</v>
      </c>
      <c r="V343" t="s">
        <v>54</v>
      </c>
      <c r="W343">
        <v>4</v>
      </c>
      <c r="X343" t="b">
        <v>0</v>
      </c>
      <c r="Y343" t="s">
        <v>55</v>
      </c>
      <c r="Z343" t="s">
        <v>56</v>
      </c>
      <c r="AA343" t="s">
        <v>57</v>
      </c>
      <c r="AB343">
        <v>0</v>
      </c>
      <c r="AC343" t="s">
        <v>58</v>
      </c>
      <c r="AD343">
        <v>8</v>
      </c>
      <c r="AE343" t="s">
        <v>59</v>
      </c>
      <c r="AF343">
        <v>45408550750</v>
      </c>
      <c r="AG343" t="b">
        <v>0</v>
      </c>
      <c r="AH343">
        <v>-1</v>
      </c>
      <c r="AI343" t="s">
        <v>73</v>
      </c>
      <c r="AJ343">
        <v>0</v>
      </c>
      <c r="AK343" t="b">
        <v>0</v>
      </c>
      <c r="AL343">
        <v>45408550750</v>
      </c>
      <c r="AM343" t="b">
        <v>0</v>
      </c>
      <c r="AN343">
        <v>0</v>
      </c>
      <c r="AO343" t="b">
        <v>0</v>
      </c>
      <c r="AQ343">
        <v>22485849684</v>
      </c>
      <c r="AR343">
        <v>22485849684</v>
      </c>
      <c r="AS343">
        <v>0</v>
      </c>
      <c r="AT343" t="b">
        <v>0</v>
      </c>
      <c r="AU343" t="b">
        <v>1</v>
      </c>
      <c r="BA343" t="str">
        <f t="shared" si="10"/>
        <v>Normal</v>
      </c>
      <c r="BG343" t="str">
        <f t="shared" si="11"/>
        <v>Normal</v>
      </c>
    </row>
    <row r="344" spans="1:59" x14ac:dyDescent="0.2">
      <c r="A344" t="s">
        <v>42</v>
      </c>
      <c r="B344" t="s">
        <v>43</v>
      </c>
      <c r="C344">
        <v>20220101</v>
      </c>
      <c r="D344">
        <v>2022</v>
      </c>
      <c r="E344">
        <v>52</v>
      </c>
      <c r="F344" t="s">
        <v>299</v>
      </c>
      <c r="G344">
        <v>372</v>
      </c>
      <c r="H344" t="s">
        <v>144</v>
      </c>
      <c r="I344" t="s">
        <v>145</v>
      </c>
      <c r="J344" t="s">
        <v>47</v>
      </c>
      <c r="K344" t="s">
        <v>48</v>
      </c>
      <c r="L344">
        <v>0</v>
      </c>
      <c r="M344" t="s">
        <v>49</v>
      </c>
      <c r="N344" t="s">
        <v>50</v>
      </c>
      <c r="O344">
        <v>0</v>
      </c>
      <c r="P344" t="s">
        <v>49</v>
      </c>
      <c r="Q344" t="s">
        <v>50</v>
      </c>
      <c r="R344" t="s">
        <v>300</v>
      </c>
      <c r="S344" t="s">
        <v>52</v>
      </c>
      <c r="T344" t="b">
        <v>1</v>
      </c>
      <c r="U344" t="s">
        <v>53</v>
      </c>
      <c r="V344" t="s">
        <v>54</v>
      </c>
      <c r="W344">
        <v>4</v>
      </c>
      <c r="X344" t="b">
        <v>0</v>
      </c>
      <c r="Y344" t="s">
        <v>55</v>
      </c>
      <c r="Z344" t="s">
        <v>56</v>
      </c>
      <c r="AA344" t="s">
        <v>57</v>
      </c>
      <c r="AB344">
        <v>0</v>
      </c>
      <c r="AC344" t="s">
        <v>58</v>
      </c>
      <c r="AD344">
        <v>8</v>
      </c>
      <c r="AE344" t="s">
        <v>59</v>
      </c>
      <c r="AF344">
        <v>139566799</v>
      </c>
      <c r="AG344" t="b">
        <v>0</v>
      </c>
      <c r="AH344">
        <v>8</v>
      </c>
      <c r="AI344" t="s">
        <v>59</v>
      </c>
      <c r="AJ344">
        <v>139566799</v>
      </c>
      <c r="AK344" t="b">
        <v>0</v>
      </c>
      <c r="AL344">
        <v>139566799</v>
      </c>
      <c r="AM344" t="b">
        <v>0</v>
      </c>
      <c r="AN344">
        <v>0</v>
      </c>
      <c r="AO344" t="b">
        <v>0</v>
      </c>
      <c r="AQ344">
        <v>100364849.707</v>
      </c>
      <c r="AR344">
        <v>100364849.707</v>
      </c>
      <c r="AS344">
        <v>0</v>
      </c>
      <c r="AT344" t="b">
        <v>0</v>
      </c>
      <c r="AU344" t="b">
        <v>1</v>
      </c>
      <c r="BA344" t="str">
        <f t="shared" si="10"/>
        <v>Normal</v>
      </c>
      <c r="BG344" t="str">
        <f t="shared" si="11"/>
        <v>Normal</v>
      </c>
    </row>
    <row r="345" spans="1:59" x14ac:dyDescent="0.2">
      <c r="A345" t="s">
        <v>42</v>
      </c>
      <c r="B345" t="s">
        <v>43</v>
      </c>
      <c r="C345">
        <v>20220101</v>
      </c>
      <c r="D345">
        <v>2022</v>
      </c>
      <c r="E345">
        <v>52</v>
      </c>
      <c r="F345" t="s">
        <v>299</v>
      </c>
      <c r="G345">
        <v>376</v>
      </c>
      <c r="H345" t="s">
        <v>146</v>
      </c>
      <c r="I345" t="s">
        <v>147</v>
      </c>
      <c r="J345" t="s">
        <v>47</v>
      </c>
      <c r="K345" t="s">
        <v>48</v>
      </c>
      <c r="L345">
        <v>0</v>
      </c>
      <c r="M345" t="s">
        <v>49</v>
      </c>
      <c r="N345" t="s">
        <v>50</v>
      </c>
      <c r="O345">
        <v>0</v>
      </c>
      <c r="P345" t="s">
        <v>49</v>
      </c>
      <c r="Q345" t="s">
        <v>50</v>
      </c>
      <c r="R345" t="s">
        <v>300</v>
      </c>
      <c r="S345" t="s">
        <v>52</v>
      </c>
      <c r="T345" t="b">
        <v>1</v>
      </c>
      <c r="U345" t="s">
        <v>53</v>
      </c>
      <c r="V345" t="s">
        <v>54</v>
      </c>
      <c r="W345">
        <v>4</v>
      </c>
      <c r="X345" t="b">
        <v>0</v>
      </c>
      <c r="Y345" t="s">
        <v>55</v>
      </c>
      <c r="Z345" t="s">
        <v>56</v>
      </c>
      <c r="AA345" t="s">
        <v>57</v>
      </c>
      <c r="AB345">
        <v>0</v>
      </c>
      <c r="AC345" t="s">
        <v>58</v>
      </c>
      <c r="AD345">
        <v>8</v>
      </c>
      <c r="AE345" t="s">
        <v>59</v>
      </c>
      <c r="AF345">
        <v>2074962.2549999999</v>
      </c>
      <c r="AG345" t="b">
        <v>1</v>
      </c>
      <c r="AH345">
        <v>-1</v>
      </c>
      <c r="AI345" t="s">
        <v>73</v>
      </c>
      <c r="AJ345">
        <v>0</v>
      </c>
      <c r="AK345" t="b">
        <v>0</v>
      </c>
      <c r="AL345">
        <v>2074962.2549999999</v>
      </c>
      <c r="AM345" t="b">
        <v>1</v>
      </c>
      <c r="AN345">
        <v>0</v>
      </c>
      <c r="AO345" t="b">
        <v>0</v>
      </c>
      <c r="AQ345">
        <v>1401000</v>
      </c>
      <c r="AR345">
        <v>1401000</v>
      </c>
      <c r="AS345">
        <v>6</v>
      </c>
      <c r="AT345" t="b">
        <v>0</v>
      </c>
      <c r="AU345" t="b">
        <v>1</v>
      </c>
      <c r="BA345" t="str">
        <f t="shared" si="10"/>
        <v>Normal</v>
      </c>
      <c r="BG345" t="str">
        <f t="shared" si="11"/>
        <v>Normal</v>
      </c>
    </row>
    <row r="346" spans="1:59" x14ac:dyDescent="0.2">
      <c r="A346" t="s">
        <v>42</v>
      </c>
      <c r="B346" t="s">
        <v>43</v>
      </c>
      <c r="C346">
        <v>20220101</v>
      </c>
      <c r="D346">
        <v>2022</v>
      </c>
      <c r="E346">
        <v>52</v>
      </c>
      <c r="F346" t="s">
        <v>299</v>
      </c>
      <c r="G346">
        <v>380</v>
      </c>
      <c r="H346" t="s">
        <v>148</v>
      </c>
      <c r="I346" t="s">
        <v>149</v>
      </c>
      <c r="J346" t="s">
        <v>47</v>
      </c>
      <c r="K346" t="s">
        <v>48</v>
      </c>
      <c r="L346">
        <v>0</v>
      </c>
      <c r="M346" t="s">
        <v>49</v>
      </c>
      <c r="N346" t="s">
        <v>50</v>
      </c>
      <c r="O346">
        <v>0</v>
      </c>
      <c r="P346" t="s">
        <v>49</v>
      </c>
      <c r="Q346" t="s">
        <v>50</v>
      </c>
      <c r="R346" t="s">
        <v>300</v>
      </c>
      <c r="S346" t="s">
        <v>52</v>
      </c>
      <c r="T346" t="b">
        <v>1</v>
      </c>
      <c r="U346" t="s">
        <v>53</v>
      </c>
      <c r="V346" t="s">
        <v>54</v>
      </c>
      <c r="W346">
        <v>4</v>
      </c>
      <c r="X346" t="b">
        <v>0</v>
      </c>
      <c r="Y346" t="s">
        <v>55</v>
      </c>
      <c r="Z346" t="s">
        <v>56</v>
      </c>
      <c r="AA346" t="s">
        <v>57</v>
      </c>
      <c r="AB346">
        <v>0</v>
      </c>
      <c r="AC346" t="s">
        <v>58</v>
      </c>
      <c r="AD346">
        <v>-1</v>
      </c>
      <c r="AE346" t="s">
        <v>73</v>
      </c>
      <c r="AF346">
        <v>0</v>
      </c>
      <c r="AG346" t="b">
        <v>0</v>
      </c>
      <c r="AH346">
        <v>-1</v>
      </c>
      <c r="AI346" t="s">
        <v>73</v>
      </c>
      <c r="AJ346">
        <v>0</v>
      </c>
      <c r="AK346" t="b">
        <v>0</v>
      </c>
      <c r="AM346" t="b">
        <v>0</v>
      </c>
      <c r="AN346">
        <v>0</v>
      </c>
      <c r="AO346" t="b">
        <v>0</v>
      </c>
      <c r="AQ346">
        <v>487399795.85299999</v>
      </c>
      <c r="AR346">
        <v>487399795.85299999</v>
      </c>
      <c r="AS346">
        <v>0</v>
      </c>
      <c r="AT346" t="b">
        <v>0</v>
      </c>
      <c r="AU346" t="b">
        <v>1</v>
      </c>
      <c r="BA346" t="str">
        <f t="shared" si="10"/>
        <v>Normal</v>
      </c>
      <c r="BG346" t="str">
        <f t="shared" si="11"/>
        <v>Normal</v>
      </c>
    </row>
    <row r="347" spans="1:59" x14ac:dyDescent="0.2">
      <c r="A347" t="s">
        <v>42</v>
      </c>
      <c r="B347" t="s">
        <v>43</v>
      </c>
      <c r="C347">
        <v>20220101</v>
      </c>
      <c r="D347">
        <v>2022</v>
      </c>
      <c r="E347">
        <v>52</v>
      </c>
      <c r="F347" t="s">
        <v>299</v>
      </c>
      <c r="G347">
        <v>384</v>
      </c>
      <c r="H347" t="s">
        <v>150</v>
      </c>
      <c r="I347" t="s">
        <v>151</v>
      </c>
      <c r="J347" t="s">
        <v>47</v>
      </c>
      <c r="K347" t="s">
        <v>48</v>
      </c>
      <c r="L347">
        <v>0</v>
      </c>
      <c r="M347" t="s">
        <v>49</v>
      </c>
      <c r="N347" t="s">
        <v>50</v>
      </c>
      <c r="O347">
        <v>0</v>
      </c>
      <c r="P347" t="s">
        <v>49</v>
      </c>
      <c r="Q347" t="s">
        <v>50</v>
      </c>
      <c r="R347" t="s">
        <v>51</v>
      </c>
      <c r="S347" t="s">
        <v>52</v>
      </c>
      <c r="T347" t="b">
        <v>1</v>
      </c>
      <c r="U347" t="s">
        <v>53</v>
      </c>
      <c r="V347" t="s">
        <v>54</v>
      </c>
      <c r="W347">
        <v>4</v>
      </c>
      <c r="X347" t="b">
        <v>0</v>
      </c>
      <c r="Y347" t="s">
        <v>55</v>
      </c>
      <c r="Z347" t="s">
        <v>56</v>
      </c>
      <c r="AA347" t="s">
        <v>57</v>
      </c>
      <c r="AB347">
        <v>0</v>
      </c>
      <c r="AC347" t="s">
        <v>58</v>
      </c>
      <c r="AD347">
        <v>8</v>
      </c>
      <c r="AE347" t="s">
        <v>59</v>
      </c>
      <c r="AF347">
        <v>1224999509</v>
      </c>
      <c r="AG347" t="b">
        <v>0</v>
      </c>
      <c r="AH347">
        <v>8</v>
      </c>
      <c r="AI347" t="s">
        <v>59</v>
      </c>
      <c r="AJ347">
        <v>1224999509</v>
      </c>
      <c r="AK347" t="b">
        <v>0</v>
      </c>
      <c r="AL347">
        <v>1224999509</v>
      </c>
      <c r="AM347" t="b">
        <v>0</v>
      </c>
      <c r="AN347">
        <v>0</v>
      </c>
      <c r="AO347" t="b">
        <v>0</v>
      </c>
      <c r="AQ347">
        <v>832372531.58299994</v>
      </c>
      <c r="AR347">
        <v>832372531.58299994</v>
      </c>
      <c r="AS347">
        <v>0</v>
      </c>
      <c r="AT347" t="b">
        <v>0</v>
      </c>
      <c r="AU347" t="b">
        <v>1</v>
      </c>
      <c r="BA347" t="str">
        <f t="shared" si="10"/>
        <v>Normal</v>
      </c>
      <c r="BG347" t="str">
        <f t="shared" si="11"/>
        <v>Normal</v>
      </c>
    </row>
    <row r="348" spans="1:59" x14ac:dyDescent="0.2">
      <c r="A348" t="s">
        <v>42</v>
      </c>
      <c r="B348" t="s">
        <v>43</v>
      </c>
      <c r="C348">
        <v>20220101</v>
      </c>
      <c r="D348">
        <v>2022</v>
      </c>
      <c r="E348">
        <v>52</v>
      </c>
      <c r="F348" t="s">
        <v>299</v>
      </c>
      <c r="G348">
        <v>392</v>
      </c>
      <c r="H348" t="s">
        <v>293</v>
      </c>
      <c r="I348" t="s">
        <v>294</v>
      </c>
      <c r="J348" t="s">
        <v>47</v>
      </c>
      <c r="K348" t="s">
        <v>48</v>
      </c>
      <c r="L348">
        <v>0</v>
      </c>
      <c r="M348" t="s">
        <v>49</v>
      </c>
      <c r="N348" t="s">
        <v>50</v>
      </c>
      <c r="O348">
        <v>0</v>
      </c>
      <c r="P348" t="s">
        <v>49</v>
      </c>
      <c r="Q348" t="s">
        <v>50</v>
      </c>
      <c r="R348" t="s">
        <v>300</v>
      </c>
      <c r="S348" t="s">
        <v>52</v>
      </c>
      <c r="T348" t="b">
        <v>1</v>
      </c>
      <c r="U348" t="s">
        <v>53</v>
      </c>
      <c r="V348" t="s">
        <v>54</v>
      </c>
      <c r="W348">
        <v>4</v>
      </c>
      <c r="X348" t="b">
        <v>0</v>
      </c>
      <c r="Y348" t="s">
        <v>55</v>
      </c>
      <c r="Z348" t="s">
        <v>56</v>
      </c>
      <c r="AA348" t="s">
        <v>57</v>
      </c>
      <c r="AB348">
        <v>0</v>
      </c>
      <c r="AC348" t="s">
        <v>58</v>
      </c>
      <c r="AD348">
        <v>8</v>
      </c>
      <c r="AE348" t="s">
        <v>59</v>
      </c>
      <c r="AF348">
        <v>13067100</v>
      </c>
      <c r="AG348" t="b">
        <v>0</v>
      </c>
      <c r="AH348">
        <v>8</v>
      </c>
      <c r="AI348" t="s">
        <v>59</v>
      </c>
      <c r="AJ348">
        <v>13067100</v>
      </c>
      <c r="AK348" t="b">
        <v>0</v>
      </c>
      <c r="AL348">
        <v>13067100</v>
      </c>
      <c r="AM348" t="b">
        <v>0</v>
      </c>
      <c r="AN348">
        <v>0</v>
      </c>
      <c r="AO348" t="b">
        <v>0</v>
      </c>
      <c r="AP348">
        <v>0</v>
      </c>
      <c r="AQ348">
        <v>4915255.6399999997</v>
      </c>
      <c r="AR348">
        <v>4915255.6399999997</v>
      </c>
      <c r="AS348">
        <v>0</v>
      </c>
      <c r="AT348" t="b">
        <v>0</v>
      </c>
      <c r="AU348" t="b">
        <v>1</v>
      </c>
      <c r="BA348" t="str">
        <f t="shared" si="10"/>
        <v>Normal</v>
      </c>
      <c r="BG348" t="str">
        <f t="shared" si="11"/>
        <v>Normal</v>
      </c>
    </row>
    <row r="349" spans="1:59" x14ac:dyDescent="0.2">
      <c r="A349" t="s">
        <v>42</v>
      </c>
      <c r="B349" t="s">
        <v>43</v>
      </c>
      <c r="C349">
        <v>20220101</v>
      </c>
      <c r="D349">
        <v>2022</v>
      </c>
      <c r="E349">
        <v>52</v>
      </c>
      <c r="F349" t="s">
        <v>299</v>
      </c>
      <c r="G349">
        <v>398</v>
      </c>
      <c r="H349" t="s">
        <v>152</v>
      </c>
      <c r="I349" t="s">
        <v>153</v>
      </c>
      <c r="J349" t="s">
        <v>47</v>
      </c>
      <c r="K349" t="s">
        <v>48</v>
      </c>
      <c r="L349">
        <v>0</v>
      </c>
      <c r="M349" t="s">
        <v>49</v>
      </c>
      <c r="N349" t="s">
        <v>50</v>
      </c>
      <c r="O349">
        <v>0</v>
      </c>
      <c r="P349" t="s">
        <v>49</v>
      </c>
      <c r="Q349" t="s">
        <v>50</v>
      </c>
      <c r="R349" t="s">
        <v>300</v>
      </c>
      <c r="S349" t="s">
        <v>52</v>
      </c>
      <c r="T349" t="b">
        <v>1</v>
      </c>
      <c r="U349" t="s">
        <v>53</v>
      </c>
      <c r="V349" t="s">
        <v>54</v>
      </c>
      <c r="W349">
        <v>4</v>
      </c>
      <c r="X349" t="b">
        <v>0</v>
      </c>
      <c r="Y349" t="s">
        <v>55</v>
      </c>
      <c r="Z349" t="s">
        <v>56</v>
      </c>
      <c r="AA349" t="s">
        <v>57</v>
      </c>
      <c r="AB349">
        <v>0</v>
      </c>
      <c r="AC349" t="s">
        <v>58</v>
      </c>
      <c r="AD349">
        <v>8</v>
      </c>
      <c r="AE349" t="s">
        <v>59</v>
      </c>
      <c r="AF349">
        <v>65202596576.599998</v>
      </c>
      <c r="AG349" t="b">
        <v>0</v>
      </c>
      <c r="AH349">
        <v>8</v>
      </c>
      <c r="AI349" t="s">
        <v>59</v>
      </c>
      <c r="AJ349">
        <v>65202596576.599998</v>
      </c>
      <c r="AK349" t="b">
        <v>0</v>
      </c>
      <c r="AL349">
        <v>65202596576.599998</v>
      </c>
      <c r="AM349" t="b">
        <v>0</v>
      </c>
      <c r="AN349">
        <v>0</v>
      </c>
      <c r="AO349" t="b">
        <v>0</v>
      </c>
      <c r="AQ349">
        <v>46920647039.010002</v>
      </c>
      <c r="AR349">
        <v>46920647039.010002</v>
      </c>
      <c r="AS349">
        <v>0</v>
      </c>
      <c r="AT349" t="b">
        <v>0</v>
      </c>
      <c r="AU349" t="b">
        <v>1</v>
      </c>
      <c r="BA349" t="str">
        <f t="shared" si="10"/>
        <v>Normal</v>
      </c>
      <c r="BG349" t="str">
        <f t="shared" si="11"/>
        <v>Normal</v>
      </c>
    </row>
    <row r="350" spans="1:59" x14ac:dyDescent="0.2">
      <c r="A350" t="s">
        <v>42</v>
      </c>
      <c r="B350" t="s">
        <v>43</v>
      </c>
      <c r="C350">
        <v>20220101</v>
      </c>
      <c r="D350">
        <v>2022</v>
      </c>
      <c r="E350">
        <v>52</v>
      </c>
      <c r="F350" t="s">
        <v>299</v>
      </c>
      <c r="G350">
        <v>404</v>
      </c>
      <c r="H350" t="s">
        <v>154</v>
      </c>
      <c r="I350" t="s">
        <v>155</v>
      </c>
      <c r="J350" t="s">
        <v>47</v>
      </c>
      <c r="K350" t="s">
        <v>48</v>
      </c>
      <c r="L350">
        <v>0</v>
      </c>
      <c r="M350" t="s">
        <v>49</v>
      </c>
      <c r="N350" t="s">
        <v>50</v>
      </c>
      <c r="O350">
        <v>0</v>
      </c>
      <c r="P350" t="s">
        <v>49</v>
      </c>
      <c r="Q350" t="s">
        <v>50</v>
      </c>
      <c r="R350" t="s">
        <v>300</v>
      </c>
      <c r="S350" t="s">
        <v>52</v>
      </c>
      <c r="T350" t="b">
        <v>1</v>
      </c>
      <c r="U350" t="s">
        <v>53</v>
      </c>
      <c r="V350" t="s">
        <v>54</v>
      </c>
      <c r="W350">
        <v>4</v>
      </c>
      <c r="X350" t="b">
        <v>0</v>
      </c>
      <c r="Y350" t="s">
        <v>55</v>
      </c>
      <c r="Z350" t="s">
        <v>56</v>
      </c>
      <c r="AA350" t="s">
        <v>57</v>
      </c>
      <c r="AB350">
        <v>0</v>
      </c>
      <c r="AC350" t="s">
        <v>58</v>
      </c>
      <c r="AD350">
        <v>8</v>
      </c>
      <c r="AE350" t="s">
        <v>59</v>
      </c>
      <c r="AF350">
        <v>24087322</v>
      </c>
      <c r="AG350" t="b">
        <v>0</v>
      </c>
      <c r="AH350">
        <v>8</v>
      </c>
      <c r="AI350" t="s">
        <v>59</v>
      </c>
      <c r="AJ350">
        <v>24087322</v>
      </c>
      <c r="AK350" t="b">
        <v>0</v>
      </c>
      <c r="AL350">
        <v>24087322</v>
      </c>
      <c r="AM350" t="b">
        <v>0</v>
      </c>
      <c r="AN350">
        <v>0</v>
      </c>
      <c r="AO350" t="b">
        <v>0</v>
      </c>
      <c r="AQ350">
        <v>13614269.220000001</v>
      </c>
      <c r="AR350">
        <v>13614269.220000001</v>
      </c>
      <c r="AS350">
        <v>0</v>
      </c>
      <c r="AT350" t="b">
        <v>0</v>
      </c>
      <c r="AU350" t="b">
        <v>1</v>
      </c>
      <c r="BA350" t="str">
        <f t="shared" si="10"/>
        <v>Normal</v>
      </c>
      <c r="BG350" t="str">
        <f t="shared" si="11"/>
        <v>Normal</v>
      </c>
    </row>
    <row r="351" spans="1:59" x14ac:dyDescent="0.2">
      <c r="A351" t="s">
        <v>42</v>
      </c>
      <c r="B351" t="s">
        <v>43</v>
      </c>
      <c r="C351">
        <v>20220101</v>
      </c>
      <c r="D351">
        <v>2022</v>
      </c>
      <c r="E351">
        <v>52</v>
      </c>
      <c r="F351" t="s">
        <v>299</v>
      </c>
      <c r="G351">
        <v>410</v>
      </c>
      <c r="H351" t="s">
        <v>156</v>
      </c>
      <c r="I351" t="s">
        <v>157</v>
      </c>
      <c r="J351" t="s">
        <v>47</v>
      </c>
      <c r="K351" t="s">
        <v>48</v>
      </c>
      <c r="L351">
        <v>0</v>
      </c>
      <c r="M351" t="s">
        <v>49</v>
      </c>
      <c r="N351" t="s">
        <v>50</v>
      </c>
      <c r="O351">
        <v>0</v>
      </c>
      <c r="P351" t="s">
        <v>49</v>
      </c>
      <c r="Q351" t="s">
        <v>50</v>
      </c>
      <c r="R351" t="s">
        <v>300</v>
      </c>
      <c r="S351" t="s">
        <v>52</v>
      </c>
      <c r="T351" t="b">
        <v>1</v>
      </c>
      <c r="U351" t="s">
        <v>53</v>
      </c>
      <c r="V351" t="s">
        <v>54</v>
      </c>
      <c r="W351">
        <v>4</v>
      </c>
      <c r="X351" t="b">
        <v>0</v>
      </c>
      <c r="Y351" t="s">
        <v>55</v>
      </c>
      <c r="Z351" t="s">
        <v>56</v>
      </c>
      <c r="AA351" t="s">
        <v>57</v>
      </c>
      <c r="AB351">
        <v>0</v>
      </c>
      <c r="AC351" t="s">
        <v>58</v>
      </c>
      <c r="AD351">
        <v>8</v>
      </c>
      <c r="AE351" t="s">
        <v>59</v>
      </c>
      <c r="AF351">
        <v>4462.3</v>
      </c>
      <c r="AG351" t="b">
        <v>0</v>
      </c>
      <c r="AH351">
        <v>8</v>
      </c>
      <c r="AI351" t="s">
        <v>59</v>
      </c>
      <c r="AJ351">
        <v>4462.3</v>
      </c>
      <c r="AK351" t="b">
        <v>0</v>
      </c>
      <c r="AL351">
        <v>4462.3</v>
      </c>
      <c r="AM351" t="b">
        <v>0</v>
      </c>
      <c r="AN351">
        <v>0</v>
      </c>
      <c r="AO351" t="b">
        <v>0</v>
      </c>
      <c r="AQ351">
        <v>9382</v>
      </c>
      <c r="AR351">
        <v>9382</v>
      </c>
      <c r="AS351">
        <v>0</v>
      </c>
      <c r="AT351" t="b">
        <v>0</v>
      </c>
      <c r="AU351" t="b">
        <v>1</v>
      </c>
      <c r="BA351" t="str">
        <f t="shared" si="10"/>
        <v>Normal</v>
      </c>
      <c r="BG351" t="str">
        <f t="shared" si="11"/>
        <v>Normal</v>
      </c>
    </row>
    <row r="352" spans="1:59" x14ac:dyDescent="0.2">
      <c r="A352" t="s">
        <v>42</v>
      </c>
      <c r="B352" t="s">
        <v>43</v>
      </c>
      <c r="C352">
        <v>20220101</v>
      </c>
      <c r="D352">
        <v>2022</v>
      </c>
      <c r="E352">
        <v>52</v>
      </c>
      <c r="F352" t="s">
        <v>299</v>
      </c>
      <c r="G352">
        <v>414</v>
      </c>
      <c r="H352" t="s">
        <v>158</v>
      </c>
      <c r="I352" t="s">
        <v>159</v>
      </c>
      <c r="J352" t="s">
        <v>47</v>
      </c>
      <c r="K352" t="s">
        <v>48</v>
      </c>
      <c r="L352">
        <v>0</v>
      </c>
      <c r="M352" t="s">
        <v>49</v>
      </c>
      <c r="N352" t="s">
        <v>50</v>
      </c>
      <c r="O352">
        <v>0</v>
      </c>
      <c r="P352" t="s">
        <v>49</v>
      </c>
      <c r="Q352" t="s">
        <v>50</v>
      </c>
      <c r="R352" t="s">
        <v>300</v>
      </c>
      <c r="S352" t="s">
        <v>52</v>
      </c>
      <c r="T352" t="b">
        <v>1</v>
      </c>
      <c r="U352" t="s">
        <v>53</v>
      </c>
      <c r="V352" t="s">
        <v>54</v>
      </c>
      <c r="W352">
        <v>4</v>
      </c>
      <c r="X352" t="b">
        <v>0</v>
      </c>
      <c r="Y352" t="s">
        <v>55</v>
      </c>
      <c r="Z352" t="s">
        <v>56</v>
      </c>
      <c r="AA352" t="s">
        <v>57</v>
      </c>
      <c r="AB352">
        <v>0</v>
      </c>
      <c r="AC352" t="s">
        <v>58</v>
      </c>
      <c r="AD352">
        <v>8</v>
      </c>
      <c r="AE352" t="s">
        <v>59</v>
      </c>
      <c r="AF352">
        <v>100765410308.06799</v>
      </c>
      <c r="AG352" t="b">
        <v>1</v>
      </c>
      <c r="AH352">
        <v>-1</v>
      </c>
      <c r="AI352" t="s">
        <v>73</v>
      </c>
      <c r="AJ352">
        <v>0</v>
      </c>
      <c r="AK352" t="b">
        <v>0</v>
      </c>
      <c r="AL352">
        <v>100765410308.06799</v>
      </c>
      <c r="AM352" t="b">
        <v>1</v>
      </c>
      <c r="AN352">
        <v>0</v>
      </c>
      <c r="AO352" t="b">
        <v>0</v>
      </c>
      <c r="AQ352">
        <v>68036100177.450996</v>
      </c>
      <c r="AR352">
        <v>68036100177.450996</v>
      </c>
      <c r="AS352">
        <v>6</v>
      </c>
      <c r="AT352" t="b">
        <v>0</v>
      </c>
      <c r="AU352" t="b">
        <v>1</v>
      </c>
      <c r="BA352" t="str">
        <f t="shared" si="10"/>
        <v>Normal</v>
      </c>
      <c r="BG352" t="str">
        <f t="shared" si="11"/>
        <v>Normal</v>
      </c>
    </row>
    <row r="353" spans="1:59" x14ac:dyDescent="0.2">
      <c r="A353" t="s">
        <v>42</v>
      </c>
      <c r="B353" t="s">
        <v>43</v>
      </c>
      <c r="C353">
        <v>20220101</v>
      </c>
      <c r="D353">
        <v>2022</v>
      </c>
      <c r="E353">
        <v>52</v>
      </c>
      <c r="F353" t="s">
        <v>299</v>
      </c>
      <c r="G353">
        <v>418</v>
      </c>
      <c r="H353" t="s">
        <v>162</v>
      </c>
      <c r="I353" t="s">
        <v>163</v>
      </c>
      <c r="J353" t="s">
        <v>47</v>
      </c>
      <c r="K353" t="s">
        <v>48</v>
      </c>
      <c r="L353">
        <v>0</v>
      </c>
      <c r="M353" t="s">
        <v>49</v>
      </c>
      <c r="N353" t="s">
        <v>50</v>
      </c>
      <c r="O353">
        <v>0</v>
      </c>
      <c r="P353" t="s">
        <v>49</v>
      </c>
      <c r="Q353" t="s">
        <v>50</v>
      </c>
      <c r="R353" t="s">
        <v>300</v>
      </c>
      <c r="S353" t="s">
        <v>52</v>
      </c>
      <c r="T353" t="b">
        <v>1</v>
      </c>
      <c r="U353" t="s">
        <v>53</v>
      </c>
      <c r="V353" t="s">
        <v>54</v>
      </c>
      <c r="W353">
        <v>4</v>
      </c>
      <c r="X353" t="b">
        <v>0</v>
      </c>
      <c r="Y353" t="s">
        <v>55</v>
      </c>
      <c r="Z353" t="s">
        <v>56</v>
      </c>
      <c r="AA353" t="s">
        <v>57</v>
      </c>
      <c r="AB353">
        <v>0</v>
      </c>
      <c r="AC353" t="s">
        <v>58</v>
      </c>
      <c r="AD353">
        <v>8</v>
      </c>
      <c r="AE353" t="s">
        <v>59</v>
      </c>
      <c r="AF353">
        <v>1600</v>
      </c>
      <c r="AG353" t="b">
        <v>0</v>
      </c>
      <c r="AH353">
        <v>8</v>
      </c>
      <c r="AI353" t="s">
        <v>59</v>
      </c>
      <c r="AJ353">
        <v>1600</v>
      </c>
      <c r="AK353" t="b">
        <v>0</v>
      </c>
      <c r="AL353">
        <v>1600</v>
      </c>
      <c r="AM353" t="b">
        <v>0</v>
      </c>
      <c r="AN353">
        <v>0</v>
      </c>
      <c r="AO353" t="b">
        <v>0</v>
      </c>
      <c r="AQ353">
        <v>100</v>
      </c>
      <c r="AR353">
        <v>100</v>
      </c>
      <c r="AS353">
        <v>0</v>
      </c>
      <c r="AT353" t="b">
        <v>0</v>
      </c>
      <c r="AU353" t="b">
        <v>1</v>
      </c>
      <c r="BA353" t="str">
        <f t="shared" si="10"/>
        <v>Normal</v>
      </c>
      <c r="BG353" t="str">
        <f t="shared" si="11"/>
        <v>Normal</v>
      </c>
    </row>
    <row r="354" spans="1:59" x14ac:dyDescent="0.2">
      <c r="A354" t="s">
        <v>42</v>
      </c>
      <c r="B354" t="s">
        <v>43</v>
      </c>
      <c r="C354">
        <v>20220101</v>
      </c>
      <c r="D354">
        <v>2022</v>
      </c>
      <c r="E354">
        <v>52</v>
      </c>
      <c r="F354" t="s">
        <v>299</v>
      </c>
      <c r="G354">
        <v>422</v>
      </c>
      <c r="H354" t="s">
        <v>164</v>
      </c>
      <c r="I354" t="s">
        <v>165</v>
      </c>
      <c r="J354" t="s">
        <v>47</v>
      </c>
      <c r="K354" t="s">
        <v>48</v>
      </c>
      <c r="L354">
        <v>0</v>
      </c>
      <c r="M354" t="s">
        <v>49</v>
      </c>
      <c r="N354" t="s">
        <v>50</v>
      </c>
      <c r="O354">
        <v>0</v>
      </c>
      <c r="P354" t="s">
        <v>49</v>
      </c>
      <c r="Q354" t="s">
        <v>50</v>
      </c>
      <c r="R354" t="s">
        <v>51</v>
      </c>
      <c r="S354" t="s">
        <v>52</v>
      </c>
      <c r="T354" t="b">
        <v>1</v>
      </c>
      <c r="U354" t="s">
        <v>53</v>
      </c>
      <c r="V354" t="s">
        <v>54</v>
      </c>
      <c r="W354">
        <v>4</v>
      </c>
      <c r="X354" t="b">
        <v>0</v>
      </c>
      <c r="Y354" t="s">
        <v>55</v>
      </c>
      <c r="Z354" t="s">
        <v>56</v>
      </c>
      <c r="AA354" t="s">
        <v>57</v>
      </c>
      <c r="AB354">
        <v>0</v>
      </c>
      <c r="AC354" t="s">
        <v>58</v>
      </c>
      <c r="AD354">
        <v>8</v>
      </c>
      <c r="AE354" t="s">
        <v>59</v>
      </c>
      <c r="AF354">
        <v>2780</v>
      </c>
      <c r="AG354" t="b">
        <v>0</v>
      </c>
      <c r="AH354">
        <v>8</v>
      </c>
      <c r="AI354" t="s">
        <v>59</v>
      </c>
      <c r="AJ354">
        <v>2780</v>
      </c>
      <c r="AK354" t="b">
        <v>0</v>
      </c>
      <c r="AL354">
        <v>2780</v>
      </c>
      <c r="AM354" t="b">
        <v>0</v>
      </c>
      <c r="AN354">
        <v>0</v>
      </c>
      <c r="AO354" t="b">
        <v>0</v>
      </c>
      <c r="AQ354">
        <v>9720</v>
      </c>
      <c r="AR354">
        <v>9720</v>
      </c>
      <c r="AS354">
        <v>0</v>
      </c>
      <c r="AT354" t="b">
        <v>0</v>
      </c>
      <c r="AU354" t="b">
        <v>1</v>
      </c>
      <c r="BA354" t="str">
        <f t="shared" si="10"/>
        <v>Normal</v>
      </c>
      <c r="BG354" t="str">
        <f t="shared" si="11"/>
        <v>Normal</v>
      </c>
    </row>
    <row r="355" spans="1:59" x14ac:dyDescent="0.2">
      <c r="A355" t="s">
        <v>42</v>
      </c>
      <c r="B355" t="s">
        <v>43</v>
      </c>
      <c r="C355">
        <v>20220101</v>
      </c>
      <c r="D355">
        <v>2022</v>
      </c>
      <c r="E355">
        <v>52</v>
      </c>
      <c r="F355" t="s">
        <v>299</v>
      </c>
      <c r="G355">
        <v>428</v>
      </c>
      <c r="H355" t="s">
        <v>166</v>
      </c>
      <c r="I355" t="s">
        <v>167</v>
      </c>
      <c r="J355" t="s">
        <v>47</v>
      </c>
      <c r="K355" t="s">
        <v>48</v>
      </c>
      <c r="L355">
        <v>0</v>
      </c>
      <c r="M355" t="s">
        <v>49</v>
      </c>
      <c r="N355" t="s">
        <v>50</v>
      </c>
      <c r="O355">
        <v>0</v>
      </c>
      <c r="P355" t="s">
        <v>49</v>
      </c>
      <c r="Q355" t="s">
        <v>50</v>
      </c>
      <c r="R355" t="s">
        <v>300</v>
      </c>
      <c r="S355" t="s">
        <v>52</v>
      </c>
      <c r="T355" t="b">
        <v>1</v>
      </c>
      <c r="U355" t="s">
        <v>53</v>
      </c>
      <c r="V355" t="s">
        <v>54</v>
      </c>
      <c r="W355">
        <v>4</v>
      </c>
      <c r="X355" t="b">
        <v>0</v>
      </c>
      <c r="Y355" t="s">
        <v>55</v>
      </c>
      <c r="Z355" t="s">
        <v>56</v>
      </c>
      <c r="AA355" t="s">
        <v>57</v>
      </c>
      <c r="AB355">
        <v>0</v>
      </c>
      <c r="AC355" t="s">
        <v>58</v>
      </c>
      <c r="AD355">
        <v>8</v>
      </c>
      <c r="AE355" t="s">
        <v>59</v>
      </c>
      <c r="AF355">
        <v>7787878</v>
      </c>
      <c r="AG355" t="b">
        <v>0</v>
      </c>
      <c r="AH355">
        <v>8</v>
      </c>
      <c r="AI355" t="s">
        <v>59</v>
      </c>
      <c r="AJ355">
        <v>7787878</v>
      </c>
      <c r="AK355" t="b">
        <v>0</v>
      </c>
      <c r="AL355">
        <v>7787878</v>
      </c>
      <c r="AM355" t="b">
        <v>0</v>
      </c>
      <c r="AN355">
        <v>0</v>
      </c>
      <c r="AO355" t="b">
        <v>0</v>
      </c>
      <c r="AQ355">
        <v>2272547.392</v>
      </c>
      <c r="AR355">
        <v>2272547.392</v>
      </c>
      <c r="AS355">
        <v>0</v>
      </c>
      <c r="AT355" t="b">
        <v>0</v>
      </c>
      <c r="AU355" t="b">
        <v>1</v>
      </c>
      <c r="BA355" t="str">
        <f t="shared" si="10"/>
        <v>Normal</v>
      </c>
      <c r="BG355" t="str">
        <f t="shared" si="11"/>
        <v>Normal</v>
      </c>
    </row>
    <row r="356" spans="1:59" x14ac:dyDescent="0.2">
      <c r="A356" t="s">
        <v>42</v>
      </c>
      <c r="B356" t="s">
        <v>43</v>
      </c>
      <c r="C356">
        <v>20220101</v>
      </c>
      <c r="D356">
        <v>2022</v>
      </c>
      <c r="E356">
        <v>52</v>
      </c>
      <c r="F356" t="s">
        <v>299</v>
      </c>
      <c r="G356">
        <v>430</v>
      </c>
      <c r="H356" t="s">
        <v>297</v>
      </c>
      <c r="I356" t="s">
        <v>298</v>
      </c>
      <c r="J356" t="s">
        <v>47</v>
      </c>
      <c r="K356" t="s">
        <v>48</v>
      </c>
      <c r="L356">
        <v>0</v>
      </c>
      <c r="M356" t="s">
        <v>49</v>
      </c>
      <c r="N356" t="s">
        <v>50</v>
      </c>
      <c r="O356">
        <v>0</v>
      </c>
      <c r="P356" t="s">
        <v>49</v>
      </c>
      <c r="Q356" t="s">
        <v>50</v>
      </c>
      <c r="R356" t="s">
        <v>51</v>
      </c>
      <c r="S356" t="s">
        <v>52</v>
      </c>
      <c r="T356" t="b">
        <v>1</v>
      </c>
      <c r="U356" t="s">
        <v>53</v>
      </c>
      <c r="V356" t="s">
        <v>54</v>
      </c>
      <c r="W356">
        <v>4</v>
      </c>
      <c r="X356" t="b">
        <v>0</v>
      </c>
      <c r="Y356" t="s">
        <v>55</v>
      </c>
      <c r="Z356" t="s">
        <v>56</v>
      </c>
      <c r="AA356" t="s">
        <v>57</v>
      </c>
      <c r="AB356">
        <v>0</v>
      </c>
      <c r="AC356" t="s">
        <v>58</v>
      </c>
      <c r="AD356">
        <v>8</v>
      </c>
      <c r="AE356" t="s">
        <v>59</v>
      </c>
      <c r="AF356">
        <v>7071519.8899999997</v>
      </c>
      <c r="AG356" t="b">
        <v>1</v>
      </c>
      <c r="AH356">
        <v>-1</v>
      </c>
      <c r="AI356" t="s">
        <v>73</v>
      </c>
      <c r="AJ356">
        <v>0</v>
      </c>
      <c r="AK356" t="b">
        <v>0</v>
      </c>
      <c r="AL356">
        <v>7071519.8899999997</v>
      </c>
      <c r="AM356" t="b">
        <v>1</v>
      </c>
      <c r="AN356">
        <v>0</v>
      </c>
      <c r="AO356" t="b">
        <v>0</v>
      </c>
      <c r="AQ356">
        <v>9005828</v>
      </c>
      <c r="AR356">
        <v>9005828</v>
      </c>
      <c r="AS356">
        <v>6</v>
      </c>
      <c r="AT356" t="b">
        <v>0</v>
      </c>
      <c r="AU356" t="b">
        <v>1</v>
      </c>
      <c r="BA356" t="str">
        <f t="shared" si="10"/>
        <v>Normal</v>
      </c>
      <c r="BG356" t="str">
        <f t="shared" si="11"/>
        <v>Normal</v>
      </c>
    </row>
    <row r="357" spans="1:59" x14ac:dyDescent="0.2">
      <c r="A357" t="s">
        <v>42</v>
      </c>
      <c r="B357" t="s">
        <v>43</v>
      </c>
      <c r="C357">
        <v>20220101</v>
      </c>
      <c r="D357">
        <v>2022</v>
      </c>
      <c r="E357">
        <v>52</v>
      </c>
      <c r="F357" t="s">
        <v>299</v>
      </c>
      <c r="G357">
        <v>440</v>
      </c>
      <c r="H357" t="s">
        <v>171</v>
      </c>
      <c r="I357" t="s">
        <v>172</v>
      </c>
      <c r="J357" t="s">
        <v>47</v>
      </c>
      <c r="K357" t="s">
        <v>48</v>
      </c>
      <c r="L357">
        <v>0</v>
      </c>
      <c r="M357" t="s">
        <v>49</v>
      </c>
      <c r="N357" t="s">
        <v>50</v>
      </c>
      <c r="O357">
        <v>0</v>
      </c>
      <c r="P357" t="s">
        <v>49</v>
      </c>
      <c r="Q357" t="s">
        <v>50</v>
      </c>
      <c r="R357" t="s">
        <v>300</v>
      </c>
      <c r="S357" t="s">
        <v>52</v>
      </c>
      <c r="T357" t="b">
        <v>1</v>
      </c>
      <c r="U357" t="s">
        <v>53</v>
      </c>
      <c r="V357" t="s">
        <v>54</v>
      </c>
      <c r="W357">
        <v>4</v>
      </c>
      <c r="X357" t="b">
        <v>0</v>
      </c>
      <c r="Y357" t="s">
        <v>55</v>
      </c>
      <c r="Z357" t="s">
        <v>56</v>
      </c>
      <c r="AA357" t="s">
        <v>57</v>
      </c>
      <c r="AB357">
        <v>0</v>
      </c>
      <c r="AC357" t="s">
        <v>58</v>
      </c>
      <c r="AD357">
        <v>8</v>
      </c>
      <c r="AE357" t="s">
        <v>59</v>
      </c>
      <c r="AF357">
        <v>22778430</v>
      </c>
      <c r="AG357" t="b">
        <v>0</v>
      </c>
      <c r="AH357">
        <v>8</v>
      </c>
      <c r="AI357" t="s">
        <v>59</v>
      </c>
      <c r="AJ357">
        <v>22778430</v>
      </c>
      <c r="AK357" t="b">
        <v>0</v>
      </c>
      <c r="AL357">
        <v>22778430</v>
      </c>
      <c r="AM357" t="b">
        <v>0</v>
      </c>
      <c r="AN357">
        <v>0</v>
      </c>
      <c r="AO357" t="b">
        <v>0</v>
      </c>
      <c r="AQ357">
        <v>17242129</v>
      </c>
      <c r="AR357">
        <v>17242129</v>
      </c>
      <c r="AS357">
        <v>0</v>
      </c>
      <c r="AT357" t="b">
        <v>0</v>
      </c>
      <c r="AU357" t="b">
        <v>1</v>
      </c>
      <c r="BA357" t="str">
        <f t="shared" si="10"/>
        <v>Normal</v>
      </c>
      <c r="BG357" t="str">
        <f t="shared" si="11"/>
        <v>Normal</v>
      </c>
    </row>
    <row r="358" spans="1:59" x14ac:dyDescent="0.2">
      <c r="A358" t="s">
        <v>42</v>
      </c>
      <c r="B358" t="s">
        <v>43</v>
      </c>
      <c r="C358">
        <v>20220101</v>
      </c>
      <c r="D358">
        <v>2022</v>
      </c>
      <c r="E358">
        <v>52</v>
      </c>
      <c r="F358" t="s">
        <v>299</v>
      </c>
      <c r="G358">
        <v>450</v>
      </c>
      <c r="H358" t="s">
        <v>309</v>
      </c>
      <c r="I358" t="s">
        <v>310</v>
      </c>
      <c r="J358" t="s">
        <v>47</v>
      </c>
      <c r="K358" t="s">
        <v>48</v>
      </c>
      <c r="L358">
        <v>0</v>
      </c>
      <c r="M358" t="s">
        <v>49</v>
      </c>
      <c r="N358" t="s">
        <v>50</v>
      </c>
      <c r="O358">
        <v>0</v>
      </c>
      <c r="P358" t="s">
        <v>49</v>
      </c>
      <c r="Q358" t="s">
        <v>50</v>
      </c>
      <c r="R358" t="s">
        <v>300</v>
      </c>
      <c r="S358" t="s">
        <v>52</v>
      </c>
      <c r="T358" t="b">
        <v>1</v>
      </c>
      <c r="U358" t="s">
        <v>53</v>
      </c>
      <c r="V358" t="s">
        <v>54</v>
      </c>
      <c r="W358">
        <v>4</v>
      </c>
      <c r="X358" t="b">
        <v>0</v>
      </c>
      <c r="Y358" t="s">
        <v>55</v>
      </c>
      <c r="Z358" t="s">
        <v>56</v>
      </c>
      <c r="AA358" t="s">
        <v>57</v>
      </c>
      <c r="AB358">
        <v>0</v>
      </c>
      <c r="AC358" t="s">
        <v>58</v>
      </c>
      <c r="AD358">
        <v>8</v>
      </c>
      <c r="AE358" t="s">
        <v>59</v>
      </c>
      <c r="AF358">
        <v>10</v>
      </c>
      <c r="AG358" t="b">
        <v>0</v>
      </c>
      <c r="AH358">
        <v>8</v>
      </c>
      <c r="AI358" t="s">
        <v>59</v>
      </c>
      <c r="AJ358">
        <v>10</v>
      </c>
      <c r="AK358" t="b">
        <v>0</v>
      </c>
      <c r="AL358">
        <v>10</v>
      </c>
      <c r="AM358" t="b">
        <v>0</v>
      </c>
      <c r="AN358">
        <v>0</v>
      </c>
      <c r="AO358" t="b">
        <v>0</v>
      </c>
      <c r="AQ358">
        <v>7.21</v>
      </c>
      <c r="AR358">
        <v>7.21</v>
      </c>
      <c r="AS358">
        <v>0</v>
      </c>
      <c r="AT358" t="b">
        <v>0</v>
      </c>
      <c r="AU358" t="b">
        <v>1</v>
      </c>
      <c r="BA358" t="str">
        <f t="shared" si="10"/>
        <v>Normal</v>
      </c>
      <c r="BG358" t="str">
        <f t="shared" si="11"/>
        <v>Normal</v>
      </c>
    </row>
    <row r="359" spans="1:59" x14ac:dyDescent="0.2">
      <c r="A359" t="s">
        <v>42</v>
      </c>
      <c r="B359" t="s">
        <v>43</v>
      </c>
      <c r="C359">
        <v>20220101</v>
      </c>
      <c r="D359">
        <v>2022</v>
      </c>
      <c r="E359">
        <v>52</v>
      </c>
      <c r="F359" t="s">
        <v>299</v>
      </c>
      <c r="G359">
        <v>454</v>
      </c>
      <c r="H359" t="s">
        <v>175</v>
      </c>
      <c r="I359" t="s">
        <v>176</v>
      </c>
      <c r="J359" t="s">
        <v>47</v>
      </c>
      <c r="K359" t="s">
        <v>48</v>
      </c>
      <c r="L359">
        <v>0</v>
      </c>
      <c r="M359" t="s">
        <v>49</v>
      </c>
      <c r="N359" t="s">
        <v>50</v>
      </c>
      <c r="O359">
        <v>0</v>
      </c>
      <c r="P359" t="s">
        <v>49</v>
      </c>
      <c r="Q359" t="s">
        <v>50</v>
      </c>
      <c r="R359" t="s">
        <v>51</v>
      </c>
      <c r="S359" t="s">
        <v>52</v>
      </c>
      <c r="T359" t="b">
        <v>1</v>
      </c>
      <c r="U359" t="s">
        <v>53</v>
      </c>
      <c r="V359" t="s">
        <v>54</v>
      </c>
      <c r="W359">
        <v>4</v>
      </c>
      <c r="X359" t="b">
        <v>0</v>
      </c>
      <c r="Y359" t="s">
        <v>55</v>
      </c>
      <c r="Z359" t="s">
        <v>56</v>
      </c>
      <c r="AA359" t="s">
        <v>57</v>
      </c>
      <c r="AB359">
        <v>0</v>
      </c>
      <c r="AC359" t="s">
        <v>58</v>
      </c>
      <c r="AD359">
        <v>8</v>
      </c>
      <c r="AE359" t="s">
        <v>59</v>
      </c>
      <c r="AF359">
        <v>5000</v>
      </c>
      <c r="AG359" t="b">
        <v>0</v>
      </c>
      <c r="AH359">
        <v>21</v>
      </c>
      <c r="AI359" t="s">
        <v>170</v>
      </c>
      <c r="AJ359">
        <v>5</v>
      </c>
      <c r="AK359" t="b">
        <v>0</v>
      </c>
      <c r="AL359">
        <v>3.5</v>
      </c>
      <c r="AM359" t="b">
        <v>0</v>
      </c>
      <c r="AN359">
        <v>0</v>
      </c>
      <c r="AO359" t="b">
        <v>0</v>
      </c>
      <c r="AQ359">
        <v>25.809000000000001</v>
      </c>
      <c r="AR359">
        <v>25.809000000000001</v>
      </c>
      <c r="AS359">
        <v>0</v>
      </c>
      <c r="AT359" t="b">
        <v>0</v>
      </c>
      <c r="AU359" t="b">
        <v>1</v>
      </c>
      <c r="BA359" t="str">
        <f t="shared" si="10"/>
        <v>Normal</v>
      </c>
      <c r="BG359" t="str">
        <f t="shared" si="11"/>
        <v>Normal</v>
      </c>
    </row>
    <row r="360" spans="1:59" x14ac:dyDescent="0.2">
      <c r="A360" t="s">
        <v>42</v>
      </c>
      <c r="B360" t="s">
        <v>43</v>
      </c>
      <c r="C360">
        <v>20220101</v>
      </c>
      <c r="D360">
        <v>2022</v>
      </c>
      <c r="E360">
        <v>52</v>
      </c>
      <c r="F360" t="s">
        <v>299</v>
      </c>
      <c r="G360">
        <v>458</v>
      </c>
      <c r="H360" t="s">
        <v>177</v>
      </c>
      <c r="I360" t="s">
        <v>178</v>
      </c>
      <c r="J360" t="s">
        <v>47</v>
      </c>
      <c r="K360" t="s">
        <v>48</v>
      </c>
      <c r="L360">
        <v>0</v>
      </c>
      <c r="M360" t="s">
        <v>49</v>
      </c>
      <c r="N360" t="s">
        <v>50</v>
      </c>
      <c r="O360">
        <v>0</v>
      </c>
      <c r="P360" t="s">
        <v>49</v>
      </c>
      <c r="Q360" t="s">
        <v>50</v>
      </c>
      <c r="R360" t="s">
        <v>300</v>
      </c>
      <c r="S360" t="s">
        <v>52</v>
      </c>
      <c r="T360" t="b">
        <v>1</v>
      </c>
      <c r="U360" t="s">
        <v>53</v>
      </c>
      <c r="V360" t="s">
        <v>54</v>
      </c>
      <c r="W360">
        <v>4</v>
      </c>
      <c r="X360" t="b">
        <v>0</v>
      </c>
      <c r="Y360" t="s">
        <v>55</v>
      </c>
      <c r="Z360" t="s">
        <v>56</v>
      </c>
      <c r="AA360" t="s">
        <v>57</v>
      </c>
      <c r="AB360">
        <v>0</v>
      </c>
      <c r="AC360" t="s">
        <v>58</v>
      </c>
      <c r="AD360">
        <v>8</v>
      </c>
      <c r="AE360" t="s">
        <v>59</v>
      </c>
      <c r="AF360">
        <v>9852320280</v>
      </c>
      <c r="AG360" t="b">
        <v>0</v>
      </c>
      <c r="AH360">
        <v>8</v>
      </c>
      <c r="AI360" t="s">
        <v>59</v>
      </c>
      <c r="AJ360">
        <v>9852320280</v>
      </c>
      <c r="AK360" t="b">
        <v>0</v>
      </c>
      <c r="AL360">
        <v>9852320280</v>
      </c>
      <c r="AM360" t="b">
        <v>0</v>
      </c>
      <c r="AN360">
        <v>0</v>
      </c>
      <c r="AO360" t="b">
        <v>0</v>
      </c>
      <c r="AQ360">
        <v>8003751457.4499998</v>
      </c>
      <c r="AR360">
        <v>8003751457.4499998</v>
      </c>
      <c r="AS360">
        <v>0</v>
      </c>
      <c r="AT360" t="b">
        <v>0</v>
      </c>
      <c r="AU360" t="b">
        <v>1</v>
      </c>
      <c r="BA360" t="str">
        <f t="shared" si="10"/>
        <v>Normal</v>
      </c>
      <c r="BG360" t="str">
        <f t="shared" si="11"/>
        <v>Normal</v>
      </c>
    </row>
    <row r="361" spans="1:59" x14ac:dyDescent="0.2">
      <c r="A361" t="s">
        <v>42</v>
      </c>
      <c r="B361" t="s">
        <v>43</v>
      </c>
      <c r="C361">
        <v>20220101</v>
      </c>
      <c r="D361">
        <v>2022</v>
      </c>
      <c r="E361">
        <v>52</v>
      </c>
      <c r="F361" t="s">
        <v>299</v>
      </c>
      <c r="G361">
        <v>484</v>
      </c>
      <c r="H361" t="s">
        <v>181</v>
      </c>
      <c r="I361" t="s">
        <v>182</v>
      </c>
      <c r="J361" t="s">
        <v>47</v>
      </c>
      <c r="K361" t="s">
        <v>48</v>
      </c>
      <c r="L361">
        <v>0</v>
      </c>
      <c r="M361" t="s">
        <v>49</v>
      </c>
      <c r="N361" t="s">
        <v>50</v>
      </c>
      <c r="O361">
        <v>0</v>
      </c>
      <c r="P361" t="s">
        <v>49</v>
      </c>
      <c r="Q361" t="s">
        <v>50</v>
      </c>
      <c r="R361" t="s">
        <v>300</v>
      </c>
      <c r="S361" t="s">
        <v>52</v>
      </c>
      <c r="T361" t="b">
        <v>1</v>
      </c>
      <c r="U361" t="s">
        <v>53</v>
      </c>
      <c r="V361" t="s">
        <v>54</v>
      </c>
      <c r="W361">
        <v>4</v>
      </c>
      <c r="X361" t="b">
        <v>0</v>
      </c>
      <c r="Y361" t="s">
        <v>55</v>
      </c>
      <c r="Z361" t="s">
        <v>56</v>
      </c>
      <c r="AA361" t="s">
        <v>57</v>
      </c>
      <c r="AB361">
        <v>0</v>
      </c>
      <c r="AC361" t="s">
        <v>58</v>
      </c>
      <c r="AD361">
        <v>8</v>
      </c>
      <c r="AE361" t="s">
        <v>59</v>
      </c>
      <c r="AF361">
        <v>46838852520.334999</v>
      </c>
      <c r="AG361" t="b">
        <v>1</v>
      </c>
      <c r="AH361">
        <v>-1</v>
      </c>
      <c r="AI361" t="s">
        <v>73</v>
      </c>
      <c r="AJ361">
        <v>0</v>
      </c>
      <c r="AK361" t="b">
        <v>0</v>
      </c>
      <c r="AL361">
        <v>46838852520.334999</v>
      </c>
      <c r="AM361" t="b">
        <v>1</v>
      </c>
      <c r="AN361">
        <v>0</v>
      </c>
      <c r="AO361" t="b">
        <v>0</v>
      </c>
      <c r="AQ361">
        <v>31625265580</v>
      </c>
      <c r="AR361">
        <v>31625265580</v>
      </c>
      <c r="AS361">
        <v>6</v>
      </c>
      <c r="AT361" t="b">
        <v>0</v>
      </c>
      <c r="AU361" t="b">
        <v>1</v>
      </c>
      <c r="BA361" t="str">
        <f t="shared" si="10"/>
        <v>Normal</v>
      </c>
      <c r="BG361" t="str">
        <f t="shared" si="11"/>
        <v>Normal</v>
      </c>
    </row>
    <row r="362" spans="1:59" x14ac:dyDescent="0.2">
      <c r="A362" t="s">
        <v>42</v>
      </c>
      <c r="B362" t="s">
        <v>43</v>
      </c>
      <c r="C362">
        <v>20220101</v>
      </c>
      <c r="D362">
        <v>2022</v>
      </c>
      <c r="E362">
        <v>52</v>
      </c>
      <c r="F362" t="s">
        <v>299</v>
      </c>
      <c r="G362">
        <v>496</v>
      </c>
      <c r="H362" t="s">
        <v>183</v>
      </c>
      <c r="I362" t="s">
        <v>184</v>
      </c>
      <c r="J362" t="s">
        <v>47</v>
      </c>
      <c r="K362" t="s">
        <v>48</v>
      </c>
      <c r="L362">
        <v>0</v>
      </c>
      <c r="M362" t="s">
        <v>49</v>
      </c>
      <c r="N362" t="s">
        <v>50</v>
      </c>
      <c r="O362">
        <v>0</v>
      </c>
      <c r="P362" t="s">
        <v>49</v>
      </c>
      <c r="Q362" t="s">
        <v>50</v>
      </c>
      <c r="R362" t="s">
        <v>300</v>
      </c>
      <c r="S362" t="s">
        <v>52</v>
      </c>
      <c r="T362" t="b">
        <v>1</v>
      </c>
      <c r="U362" t="s">
        <v>53</v>
      </c>
      <c r="V362" t="s">
        <v>54</v>
      </c>
      <c r="W362">
        <v>4</v>
      </c>
      <c r="X362" t="b">
        <v>0</v>
      </c>
      <c r="Y362" t="s">
        <v>55</v>
      </c>
      <c r="Z362" t="s">
        <v>56</v>
      </c>
      <c r="AA362" t="s">
        <v>57</v>
      </c>
      <c r="AB362">
        <v>0</v>
      </c>
      <c r="AC362" t="s">
        <v>58</v>
      </c>
      <c r="AD362">
        <v>8</v>
      </c>
      <c r="AE362" t="s">
        <v>59</v>
      </c>
      <c r="AF362">
        <v>356292400</v>
      </c>
      <c r="AG362" t="b">
        <v>0</v>
      </c>
      <c r="AH362">
        <v>19</v>
      </c>
      <c r="AI362" t="s">
        <v>60</v>
      </c>
      <c r="AJ362">
        <v>2625649</v>
      </c>
      <c r="AK362" t="b">
        <v>0</v>
      </c>
      <c r="AL362">
        <v>356292400</v>
      </c>
      <c r="AM362" t="b">
        <v>0</v>
      </c>
      <c r="AN362">
        <v>0</v>
      </c>
      <c r="AO362" t="b">
        <v>0</v>
      </c>
      <c r="AQ362">
        <v>243491925.32600001</v>
      </c>
      <c r="AR362">
        <v>243491925.32600001</v>
      </c>
      <c r="AS362">
        <v>0</v>
      </c>
      <c r="AT362" t="b">
        <v>0</v>
      </c>
      <c r="AU362" t="b">
        <v>1</v>
      </c>
      <c r="BA362" t="str">
        <f t="shared" si="10"/>
        <v>Normal</v>
      </c>
      <c r="BG362" t="str">
        <f t="shared" si="11"/>
        <v>Normal</v>
      </c>
    </row>
    <row r="363" spans="1:59" x14ac:dyDescent="0.2">
      <c r="A363" t="s">
        <v>42</v>
      </c>
      <c r="B363" t="s">
        <v>43</v>
      </c>
      <c r="C363">
        <v>20220101</v>
      </c>
      <c r="D363">
        <v>2022</v>
      </c>
      <c r="E363">
        <v>52</v>
      </c>
      <c r="F363" t="s">
        <v>299</v>
      </c>
      <c r="G363">
        <v>498</v>
      </c>
      <c r="H363" t="s">
        <v>185</v>
      </c>
      <c r="I363" t="s">
        <v>186</v>
      </c>
      <c r="J363" t="s">
        <v>47</v>
      </c>
      <c r="K363" t="s">
        <v>48</v>
      </c>
      <c r="L363">
        <v>0</v>
      </c>
      <c r="M363" t="s">
        <v>49</v>
      </c>
      <c r="N363" t="s">
        <v>50</v>
      </c>
      <c r="O363">
        <v>0</v>
      </c>
      <c r="P363" t="s">
        <v>49</v>
      </c>
      <c r="Q363" t="s">
        <v>50</v>
      </c>
      <c r="R363" t="s">
        <v>51</v>
      </c>
      <c r="S363" t="s">
        <v>52</v>
      </c>
      <c r="T363" t="b">
        <v>1</v>
      </c>
      <c r="U363" t="s">
        <v>53</v>
      </c>
      <c r="V363" t="s">
        <v>54</v>
      </c>
      <c r="W363">
        <v>4</v>
      </c>
      <c r="X363" t="b">
        <v>0</v>
      </c>
      <c r="Y363" t="s">
        <v>55</v>
      </c>
      <c r="Z363" t="s">
        <v>56</v>
      </c>
      <c r="AA363" t="s">
        <v>57</v>
      </c>
      <c r="AB363">
        <v>0</v>
      </c>
      <c r="AC363" t="s">
        <v>58</v>
      </c>
      <c r="AD363">
        <v>8</v>
      </c>
      <c r="AE363" t="s">
        <v>59</v>
      </c>
      <c r="AF363">
        <v>2101890</v>
      </c>
      <c r="AG363" t="b">
        <v>0</v>
      </c>
      <c r="AH363">
        <v>8</v>
      </c>
      <c r="AI363" t="s">
        <v>59</v>
      </c>
      <c r="AJ363">
        <v>2101890</v>
      </c>
      <c r="AK363" t="b">
        <v>0</v>
      </c>
      <c r="AL363">
        <v>2101890</v>
      </c>
      <c r="AM363" t="b">
        <v>0</v>
      </c>
      <c r="AN363">
        <v>0</v>
      </c>
      <c r="AO363" t="b">
        <v>0</v>
      </c>
      <c r="AQ363">
        <v>877005</v>
      </c>
      <c r="AR363">
        <v>877005</v>
      </c>
      <c r="AS363">
        <v>0</v>
      </c>
      <c r="AT363" t="b">
        <v>0</v>
      </c>
      <c r="AU363" t="b">
        <v>1</v>
      </c>
      <c r="BA363" t="str">
        <f t="shared" si="10"/>
        <v>Normal</v>
      </c>
      <c r="BG363" t="str">
        <f t="shared" si="11"/>
        <v>Normal</v>
      </c>
    </row>
    <row r="364" spans="1:59" x14ac:dyDescent="0.2">
      <c r="A364" t="s">
        <v>42</v>
      </c>
      <c r="B364" t="s">
        <v>43</v>
      </c>
      <c r="C364">
        <v>20220101</v>
      </c>
      <c r="D364">
        <v>2022</v>
      </c>
      <c r="E364">
        <v>52</v>
      </c>
      <c r="F364" t="s">
        <v>299</v>
      </c>
      <c r="G364">
        <v>512</v>
      </c>
      <c r="H364" t="s">
        <v>187</v>
      </c>
      <c r="I364" t="s">
        <v>188</v>
      </c>
      <c r="J364" t="s">
        <v>47</v>
      </c>
      <c r="K364" t="s">
        <v>48</v>
      </c>
      <c r="L364">
        <v>0</v>
      </c>
      <c r="M364" t="s">
        <v>49</v>
      </c>
      <c r="N364" t="s">
        <v>50</v>
      </c>
      <c r="O364">
        <v>0</v>
      </c>
      <c r="P364" t="s">
        <v>49</v>
      </c>
      <c r="Q364" t="s">
        <v>50</v>
      </c>
      <c r="R364" t="s">
        <v>300</v>
      </c>
      <c r="S364" t="s">
        <v>52</v>
      </c>
      <c r="T364" t="b">
        <v>1</v>
      </c>
      <c r="U364" t="s">
        <v>53</v>
      </c>
      <c r="V364" t="s">
        <v>54</v>
      </c>
      <c r="W364">
        <v>4</v>
      </c>
      <c r="X364" t="b">
        <v>0</v>
      </c>
      <c r="Y364" t="s">
        <v>55</v>
      </c>
      <c r="Z364" t="s">
        <v>56</v>
      </c>
      <c r="AA364" t="s">
        <v>57</v>
      </c>
      <c r="AB364">
        <v>0</v>
      </c>
      <c r="AC364" t="s">
        <v>58</v>
      </c>
      <c r="AD364">
        <v>8</v>
      </c>
      <c r="AE364" t="s">
        <v>59</v>
      </c>
      <c r="AF364">
        <v>44899361297.093002</v>
      </c>
      <c r="AG364" t="b">
        <v>1</v>
      </c>
      <c r="AH364">
        <v>-1</v>
      </c>
      <c r="AI364" t="s">
        <v>73</v>
      </c>
      <c r="AJ364">
        <v>0</v>
      </c>
      <c r="AK364" t="b">
        <v>0</v>
      </c>
      <c r="AL364">
        <v>44899361297.093002</v>
      </c>
      <c r="AM364" t="b">
        <v>1</v>
      </c>
      <c r="AN364">
        <v>0</v>
      </c>
      <c r="AO364" t="b">
        <v>0</v>
      </c>
      <c r="AQ364">
        <v>30315734672.972</v>
      </c>
      <c r="AR364">
        <v>30315734672.972</v>
      </c>
      <c r="AS364">
        <v>6</v>
      </c>
      <c r="AT364" t="b">
        <v>0</v>
      </c>
      <c r="AU364" t="b">
        <v>1</v>
      </c>
      <c r="BA364" t="str">
        <f t="shared" si="10"/>
        <v>Normal</v>
      </c>
      <c r="BG364" t="str">
        <f t="shared" si="11"/>
        <v>Normal</v>
      </c>
    </row>
    <row r="365" spans="1:59" x14ac:dyDescent="0.2">
      <c r="A365" t="s">
        <v>42</v>
      </c>
      <c r="B365" t="s">
        <v>43</v>
      </c>
      <c r="C365">
        <v>20220101</v>
      </c>
      <c r="D365">
        <v>2022</v>
      </c>
      <c r="E365">
        <v>52</v>
      </c>
      <c r="F365" t="s">
        <v>299</v>
      </c>
      <c r="G365">
        <v>516</v>
      </c>
      <c r="H365" t="s">
        <v>189</v>
      </c>
      <c r="I365" t="s">
        <v>190</v>
      </c>
      <c r="J365" t="s">
        <v>47</v>
      </c>
      <c r="K365" t="s">
        <v>48</v>
      </c>
      <c r="L365">
        <v>0</v>
      </c>
      <c r="M365" t="s">
        <v>49</v>
      </c>
      <c r="N365" t="s">
        <v>50</v>
      </c>
      <c r="O365">
        <v>0</v>
      </c>
      <c r="P365" t="s">
        <v>49</v>
      </c>
      <c r="Q365" t="s">
        <v>50</v>
      </c>
      <c r="R365" t="s">
        <v>300</v>
      </c>
      <c r="S365" t="s">
        <v>52</v>
      </c>
      <c r="T365" t="b">
        <v>1</v>
      </c>
      <c r="U365" t="s">
        <v>53</v>
      </c>
      <c r="V365" t="s">
        <v>54</v>
      </c>
      <c r="W365">
        <v>4</v>
      </c>
      <c r="X365" t="b">
        <v>0</v>
      </c>
      <c r="Y365" t="s">
        <v>55</v>
      </c>
      <c r="Z365" t="s">
        <v>56</v>
      </c>
      <c r="AA365" t="s">
        <v>57</v>
      </c>
      <c r="AB365">
        <v>0</v>
      </c>
      <c r="AC365" t="s">
        <v>58</v>
      </c>
      <c r="AD365">
        <v>8</v>
      </c>
      <c r="AE365" t="s">
        <v>59</v>
      </c>
      <c r="AF365">
        <v>551233</v>
      </c>
      <c r="AG365" t="b">
        <v>0</v>
      </c>
      <c r="AH365">
        <v>8</v>
      </c>
      <c r="AI365" t="s">
        <v>59</v>
      </c>
      <c r="AJ365">
        <v>551233</v>
      </c>
      <c r="AK365" t="b">
        <v>0</v>
      </c>
      <c r="AL365">
        <v>551233</v>
      </c>
      <c r="AM365" t="b">
        <v>0</v>
      </c>
      <c r="AN365">
        <v>0</v>
      </c>
      <c r="AO365" t="b">
        <v>0</v>
      </c>
      <c r="AQ365">
        <v>393964.45</v>
      </c>
      <c r="AR365">
        <v>393964.45</v>
      </c>
      <c r="AS365">
        <v>0</v>
      </c>
      <c r="AT365" t="b">
        <v>0</v>
      </c>
      <c r="AU365" t="b">
        <v>1</v>
      </c>
      <c r="BA365" t="str">
        <f t="shared" si="10"/>
        <v>Normal</v>
      </c>
      <c r="BG365" t="str">
        <f t="shared" si="11"/>
        <v>Normal</v>
      </c>
    </row>
    <row r="366" spans="1:59" x14ac:dyDescent="0.2">
      <c r="A366" t="s">
        <v>42</v>
      </c>
      <c r="B366" t="s">
        <v>43</v>
      </c>
      <c r="C366">
        <v>20220101</v>
      </c>
      <c r="D366">
        <v>2022</v>
      </c>
      <c r="E366">
        <v>52</v>
      </c>
      <c r="F366" t="s">
        <v>299</v>
      </c>
      <c r="G366">
        <v>528</v>
      </c>
      <c r="H366" t="s">
        <v>191</v>
      </c>
      <c r="I366" t="s">
        <v>192</v>
      </c>
      <c r="J366" t="s">
        <v>47</v>
      </c>
      <c r="K366" t="s">
        <v>48</v>
      </c>
      <c r="L366">
        <v>0</v>
      </c>
      <c r="M366" t="s">
        <v>49</v>
      </c>
      <c r="N366" t="s">
        <v>50</v>
      </c>
      <c r="O366">
        <v>0</v>
      </c>
      <c r="P366" t="s">
        <v>49</v>
      </c>
      <c r="Q366" t="s">
        <v>50</v>
      </c>
      <c r="R366" t="s">
        <v>300</v>
      </c>
      <c r="S366" t="s">
        <v>52</v>
      </c>
      <c r="T366" t="b">
        <v>1</v>
      </c>
      <c r="U366" t="s">
        <v>53</v>
      </c>
      <c r="V366" t="s">
        <v>54</v>
      </c>
      <c r="W366">
        <v>4</v>
      </c>
      <c r="X366" t="b">
        <v>0</v>
      </c>
      <c r="Y366" t="s">
        <v>55</v>
      </c>
      <c r="Z366" t="s">
        <v>56</v>
      </c>
      <c r="AA366" t="s">
        <v>57</v>
      </c>
      <c r="AB366">
        <v>0</v>
      </c>
      <c r="AC366" t="s">
        <v>58</v>
      </c>
      <c r="AD366">
        <v>-1</v>
      </c>
      <c r="AE366" t="s">
        <v>73</v>
      </c>
      <c r="AF366">
        <v>0</v>
      </c>
      <c r="AG366" t="b">
        <v>0</v>
      </c>
      <c r="AH366">
        <v>-1</v>
      </c>
      <c r="AI366" t="s">
        <v>73</v>
      </c>
      <c r="AJ366">
        <v>0</v>
      </c>
      <c r="AK366" t="b">
        <v>0</v>
      </c>
      <c r="AM366" t="b">
        <v>0</v>
      </c>
      <c r="AN366">
        <v>0</v>
      </c>
      <c r="AO366" t="b">
        <v>0</v>
      </c>
      <c r="AQ366">
        <v>9020872843.9720001</v>
      </c>
      <c r="AR366">
        <v>9020872843.9720001</v>
      </c>
      <c r="AS366">
        <v>0</v>
      </c>
      <c r="AT366" t="b">
        <v>0</v>
      </c>
      <c r="AU366" t="b">
        <v>1</v>
      </c>
      <c r="BA366" t="str">
        <f t="shared" si="10"/>
        <v>Normal</v>
      </c>
      <c r="BG366" t="str">
        <f t="shared" si="11"/>
        <v>Normal</v>
      </c>
    </row>
    <row r="367" spans="1:59" x14ac:dyDescent="0.2">
      <c r="A367" t="s">
        <v>42</v>
      </c>
      <c r="B367" t="s">
        <v>43</v>
      </c>
      <c r="C367">
        <v>20220101</v>
      </c>
      <c r="D367">
        <v>2022</v>
      </c>
      <c r="E367">
        <v>52</v>
      </c>
      <c r="F367" t="s">
        <v>299</v>
      </c>
      <c r="G367">
        <v>554</v>
      </c>
      <c r="H367" t="s">
        <v>195</v>
      </c>
      <c r="I367" t="s">
        <v>196</v>
      </c>
      <c r="J367" t="s">
        <v>47</v>
      </c>
      <c r="K367" t="s">
        <v>48</v>
      </c>
      <c r="L367">
        <v>0</v>
      </c>
      <c r="M367" t="s">
        <v>49</v>
      </c>
      <c r="N367" t="s">
        <v>50</v>
      </c>
      <c r="O367">
        <v>0</v>
      </c>
      <c r="P367" t="s">
        <v>49</v>
      </c>
      <c r="Q367" t="s">
        <v>50</v>
      </c>
      <c r="R367" t="s">
        <v>300</v>
      </c>
      <c r="S367" t="s">
        <v>52</v>
      </c>
      <c r="T367" t="b">
        <v>1</v>
      </c>
      <c r="U367" t="s">
        <v>53</v>
      </c>
      <c r="V367" t="s">
        <v>54</v>
      </c>
      <c r="W367">
        <v>4</v>
      </c>
      <c r="X367" t="b">
        <v>0</v>
      </c>
      <c r="Y367" t="s">
        <v>55</v>
      </c>
      <c r="Z367" t="s">
        <v>56</v>
      </c>
      <c r="AA367" t="s">
        <v>57</v>
      </c>
      <c r="AB367">
        <v>0</v>
      </c>
      <c r="AC367" t="s">
        <v>58</v>
      </c>
      <c r="AD367">
        <v>8</v>
      </c>
      <c r="AE367" t="s">
        <v>59</v>
      </c>
      <c r="AF367">
        <v>729942000</v>
      </c>
      <c r="AG367" t="b">
        <v>0</v>
      </c>
      <c r="AH367">
        <v>21</v>
      </c>
      <c r="AI367" t="s">
        <v>170</v>
      </c>
      <c r="AJ367">
        <v>729942</v>
      </c>
      <c r="AK367" t="b">
        <v>0</v>
      </c>
      <c r="AL367">
        <v>729942000</v>
      </c>
      <c r="AM367" t="b">
        <v>0</v>
      </c>
      <c r="AN367">
        <v>729943400</v>
      </c>
      <c r="AO367" t="b">
        <v>0</v>
      </c>
      <c r="AQ367">
        <v>577428907.02600002</v>
      </c>
      <c r="AR367">
        <v>577428907.02600002</v>
      </c>
      <c r="AS367">
        <v>0</v>
      </c>
      <c r="AT367" t="b">
        <v>0</v>
      </c>
      <c r="AU367" t="b">
        <v>1</v>
      </c>
      <c r="BA367" t="str">
        <f t="shared" si="10"/>
        <v>Normal</v>
      </c>
      <c r="BG367" t="str">
        <f t="shared" si="11"/>
        <v>Normal</v>
      </c>
    </row>
    <row r="368" spans="1:59" x14ac:dyDescent="0.2">
      <c r="A368" t="s">
        <v>42</v>
      </c>
      <c r="B368" t="s">
        <v>43</v>
      </c>
      <c r="C368">
        <v>20220101</v>
      </c>
      <c r="D368">
        <v>2022</v>
      </c>
      <c r="E368">
        <v>52</v>
      </c>
      <c r="F368" t="s">
        <v>299</v>
      </c>
      <c r="G368">
        <v>566</v>
      </c>
      <c r="H368" t="s">
        <v>197</v>
      </c>
      <c r="I368" t="s">
        <v>198</v>
      </c>
      <c r="J368" t="s">
        <v>47</v>
      </c>
      <c r="K368" t="s">
        <v>48</v>
      </c>
      <c r="L368">
        <v>0</v>
      </c>
      <c r="M368" t="s">
        <v>49</v>
      </c>
      <c r="N368" t="s">
        <v>50</v>
      </c>
      <c r="O368">
        <v>0</v>
      </c>
      <c r="P368" t="s">
        <v>49</v>
      </c>
      <c r="Q368" t="s">
        <v>50</v>
      </c>
      <c r="R368" t="s">
        <v>300</v>
      </c>
      <c r="S368" t="s">
        <v>52</v>
      </c>
      <c r="T368" t="b">
        <v>1</v>
      </c>
      <c r="U368" t="s">
        <v>53</v>
      </c>
      <c r="V368" t="s">
        <v>54</v>
      </c>
      <c r="W368">
        <v>4</v>
      </c>
      <c r="X368" t="b">
        <v>0</v>
      </c>
      <c r="Y368" t="s">
        <v>55</v>
      </c>
      <c r="Z368" t="s">
        <v>56</v>
      </c>
      <c r="AA368" t="s">
        <v>57</v>
      </c>
      <c r="AB368">
        <v>0</v>
      </c>
      <c r="AC368" t="s">
        <v>58</v>
      </c>
      <c r="AD368">
        <v>-1</v>
      </c>
      <c r="AE368" t="s">
        <v>73</v>
      </c>
      <c r="AF368">
        <v>0</v>
      </c>
      <c r="AG368" t="b">
        <v>0</v>
      </c>
      <c r="AH368">
        <v>-1</v>
      </c>
      <c r="AI368" t="s">
        <v>73</v>
      </c>
      <c r="AJ368">
        <v>0</v>
      </c>
      <c r="AK368" t="b">
        <v>0</v>
      </c>
      <c r="AM368" t="b">
        <v>0</v>
      </c>
      <c r="AN368">
        <v>0</v>
      </c>
      <c r="AO368" t="b">
        <v>0</v>
      </c>
      <c r="AQ368">
        <v>49932928897.913002</v>
      </c>
      <c r="AR368">
        <v>49932928897.913002</v>
      </c>
      <c r="AS368">
        <v>0</v>
      </c>
      <c r="AT368" t="b">
        <v>0</v>
      </c>
      <c r="AU368" t="b">
        <v>1</v>
      </c>
      <c r="BA368" t="str">
        <f t="shared" si="10"/>
        <v>Normal</v>
      </c>
      <c r="BG368" t="str">
        <f t="shared" si="11"/>
        <v>Normal</v>
      </c>
    </row>
    <row r="369" spans="1:59" x14ac:dyDescent="0.2">
      <c r="A369" t="s">
        <v>42</v>
      </c>
      <c r="B369" t="s">
        <v>43</v>
      </c>
      <c r="C369">
        <v>20220101</v>
      </c>
      <c r="D369">
        <v>2022</v>
      </c>
      <c r="E369">
        <v>52</v>
      </c>
      <c r="F369" t="s">
        <v>299</v>
      </c>
      <c r="G369">
        <v>579</v>
      </c>
      <c r="H369" t="s">
        <v>199</v>
      </c>
      <c r="I369" t="s">
        <v>200</v>
      </c>
      <c r="J369" t="s">
        <v>47</v>
      </c>
      <c r="K369" t="s">
        <v>48</v>
      </c>
      <c r="L369">
        <v>0</v>
      </c>
      <c r="M369" t="s">
        <v>49</v>
      </c>
      <c r="N369" t="s">
        <v>50</v>
      </c>
      <c r="O369">
        <v>0</v>
      </c>
      <c r="P369" t="s">
        <v>49</v>
      </c>
      <c r="Q369" t="s">
        <v>50</v>
      </c>
      <c r="R369" t="s">
        <v>300</v>
      </c>
      <c r="S369" t="s">
        <v>52</v>
      </c>
      <c r="T369" t="b">
        <v>1</v>
      </c>
      <c r="U369" t="s">
        <v>53</v>
      </c>
      <c r="V369" t="s">
        <v>54</v>
      </c>
      <c r="W369">
        <v>4</v>
      </c>
      <c r="X369" t="b">
        <v>0</v>
      </c>
      <c r="Y369" t="s">
        <v>55</v>
      </c>
      <c r="Z369" t="s">
        <v>56</v>
      </c>
      <c r="AA369" t="s">
        <v>57</v>
      </c>
      <c r="AB369">
        <v>0</v>
      </c>
      <c r="AC369" t="s">
        <v>58</v>
      </c>
      <c r="AD369">
        <v>8</v>
      </c>
      <c r="AE369" t="s">
        <v>59</v>
      </c>
      <c r="AF369">
        <v>77728819900</v>
      </c>
      <c r="AG369" t="b">
        <v>0</v>
      </c>
      <c r="AH369">
        <v>-1</v>
      </c>
      <c r="AI369" t="s">
        <v>73</v>
      </c>
      <c r="AJ369">
        <v>0</v>
      </c>
      <c r="AK369" t="b">
        <v>0</v>
      </c>
      <c r="AL369">
        <v>77728819900</v>
      </c>
      <c r="AM369" t="b">
        <v>0</v>
      </c>
      <c r="AN369">
        <v>0</v>
      </c>
      <c r="AO369" t="b">
        <v>0</v>
      </c>
      <c r="AQ369">
        <v>56750851151.129997</v>
      </c>
      <c r="AR369">
        <v>56750851151.129997</v>
      </c>
      <c r="AS369">
        <v>0</v>
      </c>
      <c r="AT369" t="b">
        <v>0</v>
      </c>
      <c r="AU369" t="b">
        <v>1</v>
      </c>
      <c r="BA369" t="str">
        <f t="shared" si="10"/>
        <v>Normal</v>
      </c>
      <c r="BG369" t="str">
        <f t="shared" si="11"/>
        <v>Normal</v>
      </c>
    </row>
    <row r="370" spans="1:59" x14ac:dyDescent="0.2">
      <c r="A370" t="s">
        <v>42</v>
      </c>
      <c r="B370" t="s">
        <v>43</v>
      </c>
      <c r="C370">
        <v>20220101</v>
      </c>
      <c r="D370">
        <v>2022</v>
      </c>
      <c r="E370">
        <v>52</v>
      </c>
      <c r="F370" t="s">
        <v>299</v>
      </c>
      <c r="G370">
        <v>586</v>
      </c>
      <c r="H370" t="s">
        <v>201</v>
      </c>
      <c r="I370" t="s">
        <v>202</v>
      </c>
      <c r="J370" t="s">
        <v>47</v>
      </c>
      <c r="K370" t="s">
        <v>48</v>
      </c>
      <c r="L370">
        <v>0</v>
      </c>
      <c r="M370" t="s">
        <v>49</v>
      </c>
      <c r="N370" t="s">
        <v>50</v>
      </c>
      <c r="O370">
        <v>0</v>
      </c>
      <c r="P370" t="s">
        <v>49</v>
      </c>
      <c r="Q370" t="s">
        <v>50</v>
      </c>
      <c r="R370" t="s">
        <v>300</v>
      </c>
      <c r="S370" t="s">
        <v>52</v>
      </c>
      <c r="T370" t="b">
        <v>1</v>
      </c>
      <c r="U370" t="s">
        <v>53</v>
      </c>
      <c r="V370" t="s">
        <v>54</v>
      </c>
      <c r="W370">
        <v>4</v>
      </c>
      <c r="X370" t="b">
        <v>0</v>
      </c>
      <c r="Y370" t="s">
        <v>55</v>
      </c>
      <c r="Z370" t="s">
        <v>56</v>
      </c>
      <c r="AA370" t="s">
        <v>57</v>
      </c>
      <c r="AB370">
        <v>0</v>
      </c>
      <c r="AC370" t="s">
        <v>58</v>
      </c>
      <c r="AD370">
        <v>8</v>
      </c>
      <c r="AE370" t="s">
        <v>59</v>
      </c>
      <c r="AF370">
        <v>387780000</v>
      </c>
      <c r="AG370" t="b">
        <v>0</v>
      </c>
      <c r="AH370">
        <v>21</v>
      </c>
      <c r="AI370" t="s">
        <v>170</v>
      </c>
      <c r="AJ370">
        <v>387780</v>
      </c>
      <c r="AK370" t="b">
        <v>0</v>
      </c>
      <c r="AL370">
        <v>387780000</v>
      </c>
      <c r="AM370" t="b">
        <v>0</v>
      </c>
      <c r="AN370">
        <v>0</v>
      </c>
      <c r="AO370" t="b">
        <v>0</v>
      </c>
      <c r="AQ370">
        <v>292835510.21899998</v>
      </c>
      <c r="AR370">
        <v>292835510.21899998</v>
      </c>
      <c r="AS370">
        <v>0</v>
      </c>
      <c r="AT370" t="b">
        <v>0</v>
      </c>
      <c r="AU370" t="b">
        <v>1</v>
      </c>
      <c r="BA370" t="str">
        <f t="shared" si="10"/>
        <v>Normal</v>
      </c>
      <c r="BG370" t="str">
        <f t="shared" si="11"/>
        <v>Normal</v>
      </c>
    </row>
    <row r="371" spans="1:59" x14ac:dyDescent="0.2">
      <c r="A371" t="s">
        <v>42</v>
      </c>
      <c r="B371" t="s">
        <v>43</v>
      </c>
      <c r="C371">
        <v>20220101</v>
      </c>
      <c r="D371">
        <v>2022</v>
      </c>
      <c r="E371">
        <v>52</v>
      </c>
      <c r="F371" t="s">
        <v>299</v>
      </c>
      <c r="G371">
        <v>598</v>
      </c>
      <c r="H371" t="s">
        <v>203</v>
      </c>
      <c r="I371" t="s">
        <v>204</v>
      </c>
      <c r="J371" t="s">
        <v>47</v>
      </c>
      <c r="K371" t="s">
        <v>48</v>
      </c>
      <c r="L371">
        <v>0</v>
      </c>
      <c r="M371" t="s">
        <v>49</v>
      </c>
      <c r="N371" t="s">
        <v>50</v>
      </c>
      <c r="O371">
        <v>0</v>
      </c>
      <c r="P371" t="s">
        <v>49</v>
      </c>
      <c r="Q371" t="s">
        <v>50</v>
      </c>
      <c r="R371" t="s">
        <v>51</v>
      </c>
      <c r="S371" t="s">
        <v>52</v>
      </c>
      <c r="T371" t="b">
        <v>1</v>
      </c>
      <c r="U371" t="s">
        <v>53</v>
      </c>
      <c r="V371" t="s">
        <v>54</v>
      </c>
      <c r="W371">
        <v>4</v>
      </c>
      <c r="X371" t="b">
        <v>0</v>
      </c>
      <c r="Y371" t="s">
        <v>55</v>
      </c>
      <c r="Z371" t="s">
        <v>56</v>
      </c>
      <c r="AA371" t="s">
        <v>57</v>
      </c>
      <c r="AB371">
        <v>0</v>
      </c>
      <c r="AC371" t="s">
        <v>58</v>
      </c>
      <c r="AD371">
        <v>8</v>
      </c>
      <c r="AE371" t="s">
        <v>59</v>
      </c>
      <c r="AF371">
        <v>96528004</v>
      </c>
      <c r="AG371" t="b">
        <v>0</v>
      </c>
      <c r="AH371">
        <v>7</v>
      </c>
      <c r="AI371" t="s">
        <v>67</v>
      </c>
      <c r="AJ371">
        <v>96528004</v>
      </c>
      <c r="AK371" t="b">
        <v>0</v>
      </c>
      <c r="AL371">
        <v>96528004</v>
      </c>
      <c r="AM371" t="b">
        <v>0</v>
      </c>
      <c r="AN371">
        <v>0</v>
      </c>
      <c r="AO371" t="b">
        <v>0</v>
      </c>
      <c r="AQ371">
        <v>843529266.91299999</v>
      </c>
      <c r="AR371">
        <v>843529266.91299999</v>
      </c>
      <c r="AS371">
        <v>0</v>
      </c>
      <c r="AT371" t="b">
        <v>0</v>
      </c>
      <c r="AU371" t="b">
        <v>1</v>
      </c>
      <c r="BA371" t="str">
        <f t="shared" si="10"/>
        <v>Normal</v>
      </c>
      <c r="BG371" t="str">
        <f t="shared" si="11"/>
        <v>Normal</v>
      </c>
    </row>
    <row r="372" spans="1:59" x14ac:dyDescent="0.2">
      <c r="A372" t="s">
        <v>42</v>
      </c>
      <c r="B372" t="s">
        <v>43</v>
      </c>
      <c r="C372">
        <v>20220101</v>
      </c>
      <c r="D372">
        <v>2022</v>
      </c>
      <c r="E372">
        <v>52</v>
      </c>
      <c r="F372" t="s">
        <v>299</v>
      </c>
      <c r="G372">
        <v>604</v>
      </c>
      <c r="H372" t="s">
        <v>205</v>
      </c>
      <c r="I372" t="s">
        <v>206</v>
      </c>
      <c r="J372" t="s">
        <v>47</v>
      </c>
      <c r="K372" t="s">
        <v>48</v>
      </c>
      <c r="L372">
        <v>0</v>
      </c>
      <c r="M372" t="s">
        <v>49</v>
      </c>
      <c r="N372" t="s">
        <v>50</v>
      </c>
      <c r="O372">
        <v>0</v>
      </c>
      <c r="P372" t="s">
        <v>49</v>
      </c>
      <c r="Q372" t="s">
        <v>50</v>
      </c>
      <c r="R372" t="s">
        <v>300</v>
      </c>
      <c r="S372" t="s">
        <v>52</v>
      </c>
      <c r="T372" t="b">
        <v>1</v>
      </c>
      <c r="U372" t="s">
        <v>53</v>
      </c>
      <c r="V372" t="s">
        <v>54</v>
      </c>
      <c r="W372">
        <v>4</v>
      </c>
      <c r="X372" t="b">
        <v>0</v>
      </c>
      <c r="Y372" t="s">
        <v>55</v>
      </c>
      <c r="Z372" t="s">
        <v>56</v>
      </c>
      <c r="AA372" t="s">
        <v>57</v>
      </c>
      <c r="AB372">
        <v>0</v>
      </c>
      <c r="AC372" t="s">
        <v>58</v>
      </c>
      <c r="AD372">
        <v>8</v>
      </c>
      <c r="AE372" t="s">
        <v>59</v>
      </c>
      <c r="AF372">
        <v>883104638.95000005</v>
      </c>
      <c r="AG372" t="b">
        <v>0</v>
      </c>
      <c r="AH372">
        <v>12</v>
      </c>
      <c r="AI372" t="s">
        <v>70</v>
      </c>
      <c r="AJ372">
        <v>951872.674</v>
      </c>
      <c r="AK372" t="b">
        <v>0</v>
      </c>
      <c r="AL372">
        <v>883104638.95000005</v>
      </c>
      <c r="AM372" t="b">
        <v>0</v>
      </c>
      <c r="AN372">
        <v>0</v>
      </c>
      <c r="AO372" t="b">
        <v>0</v>
      </c>
      <c r="AQ372">
        <v>508915564.64999998</v>
      </c>
      <c r="AR372">
        <v>508915564.64999998</v>
      </c>
      <c r="AS372">
        <v>0</v>
      </c>
      <c r="AT372" t="b">
        <v>0</v>
      </c>
      <c r="AU372" t="b">
        <v>1</v>
      </c>
      <c r="BA372" t="str">
        <f t="shared" si="10"/>
        <v>Normal</v>
      </c>
      <c r="BG372" t="str">
        <f t="shared" si="11"/>
        <v>Normal</v>
      </c>
    </row>
    <row r="373" spans="1:59" x14ac:dyDescent="0.2">
      <c r="A373" t="s">
        <v>42</v>
      </c>
      <c r="B373" t="s">
        <v>43</v>
      </c>
      <c r="C373">
        <v>20220101</v>
      </c>
      <c r="D373">
        <v>2022</v>
      </c>
      <c r="E373">
        <v>52</v>
      </c>
      <c r="F373" t="s">
        <v>299</v>
      </c>
      <c r="G373">
        <v>608</v>
      </c>
      <c r="H373" t="s">
        <v>207</v>
      </c>
      <c r="I373" t="s">
        <v>208</v>
      </c>
      <c r="J373" t="s">
        <v>47</v>
      </c>
      <c r="K373" t="s">
        <v>48</v>
      </c>
      <c r="L373">
        <v>0</v>
      </c>
      <c r="M373" t="s">
        <v>49</v>
      </c>
      <c r="N373" t="s">
        <v>50</v>
      </c>
      <c r="O373">
        <v>0</v>
      </c>
      <c r="P373" t="s">
        <v>49</v>
      </c>
      <c r="Q373" t="s">
        <v>50</v>
      </c>
      <c r="R373" t="s">
        <v>51</v>
      </c>
      <c r="S373" t="s">
        <v>52</v>
      </c>
      <c r="T373" t="b">
        <v>1</v>
      </c>
      <c r="U373" t="s">
        <v>53</v>
      </c>
      <c r="V373" t="s">
        <v>54</v>
      </c>
      <c r="W373">
        <v>4</v>
      </c>
      <c r="X373" t="b">
        <v>0</v>
      </c>
      <c r="Y373" t="s">
        <v>55</v>
      </c>
      <c r="Z373" t="s">
        <v>56</v>
      </c>
      <c r="AA373" t="s">
        <v>57</v>
      </c>
      <c r="AB373">
        <v>0</v>
      </c>
      <c r="AC373" t="s">
        <v>58</v>
      </c>
      <c r="AD373">
        <v>8</v>
      </c>
      <c r="AE373" t="s">
        <v>59</v>
      </c>
      <c r="AF373">
        <v>538077017.44400001</v>
      </c>
      <c r="AG373" t="b">
        <v>1</v>
      </c>
      <c r="AH373">
        <v>-1</v>
      </c>
      <c r="AI373" t="s">
        <v>73</v>
      </c>
      <c r="AJ373">
        <v>0</v>
      </c>
      <c r="AK373" t="b">
        <v>0</v>
      </c>
      <c r="AL373">
        <v>538077017.44400001</v>
      </c>
      <c r="AM373" t="b">
        <v>1</v>
      </c>
      <c r="AN373">
        <v>422472400</v>
      </c>
      <c r="AO373" t="b">
        <v>0</v>
      </c>
      <c r="AQ373">
        <v>323547500</v>
      </c>
      <c r="AR373">
        <v>323547500</v>
      </c>
      <c r="AS373">
        <v>6</v>
      </c>
      <c r="AT373" t="b">
        <v>0</v>
      </c>
      <c r="AU373" t="b">
        <v>1</v>
      </c>
      <c r="BA373" t="str">
        <f t="shared" si="10"/>
        <v>Normal</v>
      </c>
      <c r="BG373" t="str">
        <f t="shared" si="11"/>
        <v>Normal</v>
      </c>
    </row>
    <row r="374" spans="1:59" x14ac:dyDescent="0.2">
      <c r="A374" t="s">
        <v>42</v>
      </c>
      <c r="B374" t="s">
        <v>43</v>
      </c>
      <c r="C374">
        <v>20220101</v>
      </c>
      <c r="D374">
        <v>2022</v>
      </c>
      <c r="E374">
        <v>52</v>
      </c>
      <c r="F374" t="s">
        <v>299</v>
      </c>
      <c r="G374">
        <v>616</v>
      </c>
      <c r="H374" t="s">
        <v>209</v>
      </c>
      <c r="I374" t="s">
        <v>210</v>
      </c>
      <c r="J374" t="s">
        <v>47</v>
      </c>
      <c r="K374" t="s">
        <v>48</v>
      </c>
      <c r="L374">
        <v>0</v>
      </c>
      <c r="M374" t="s">
        <v>49</v>
      </c>
      <c r="N374" t="s">
        <v>50</v>
      </c>
      <c r="O374">
        <v>0</v>
      </c>
      <c r="P374" t="s">
        <v>49</v>
      </c>
      <c r="Q374" t="s">
        <v>50</v>
      </c>
      <c r="R374" t="s">
        <v>300</v>
      </c>
      <c r="S374" t="s">
        <v>52</v>
      </c>
      <c r="T374" t="b">
        <v>1</v>
      </c>
      <c r="U374" t="s">
        <v>53</v>
      </c>
      <c r="V374" t="s">
        <v>54</v>
      </c>
      <c r="W374">
        <v>4</v>
      </c>
      <c r="X374" t="b">
        <v>0</v>
      </c>
      <c r="Y374" t="s">
        <v>55</v>
      </c>
      <c r="Z374" t="s">
        <v>56</v>
      </c>
      <c r="AA374" t="s">
        <v>57</v>
      </c>
      <c r="AB374">
        <v>0</v>
      </c>
      <c r="AC374" t="s">
        <v>58</v>
      </c>
      <c r="AD374">
        <v>-1</v>
      </c>
      <c r="AE374" t="s">
        <v>73</v>
      </c>
      <c r="AF374">
        <v>0</v>
      </c>
      <c r="AG374" t="b">
        <v>0</v>
      </c>
      <c r="AH374">
        <v>-1</v>
      </c>
      <c r="AI374" t="s">
        <v>73</v>
      </c>
      <c r="AJ374">
        <v>0</v>
      </c>
      <c r="AK374" t="b">
        <v>0</v>
      </c>
      <c r="AM374" t="b">
        <v>0</v>
      </c>
      <c r="AN374">
        <v>0</v>
      </c>
      <c r="AO374" t="b">
        <v>0</v>
      </c>
      <c r="AQ374">
        <v>112222704</v>
      </c>
      <c r="AR374">
        <v>112222704</v>
      </c>
      <c r="AS374">
        <v>0</v>
      </c>
      <c r="AT374" t="b">
        <v>0</v>
      </c>
      <c r="AU374" t="b">
        <v>1</v>
      </c>
      <c r="BA374" t="str">
        <f t="shared" si="10"/>
        <v>Normal</v>
      </c>
      <c r="BG374" t="str">
        <f t="shared" si="11"/>
        <v>Normal</v>
      </c>
    </row>
    <row r="375" spans="1:59" x14ac:dyDescent="0.2">
      <c r="A375" t="s">
        <v>42</v>
      </c>
      <c r="B375" t="s">
        <v>43</v>
      </c>
      <c r="C375">
        <v>20220101</v>
      </c>
      <c r="D375">
        <v>2022</v>
      </c>
      <c r="E375">
        <v>52</v>
      </c>
      <c r="F375" t="s">
        <v>299</v>
      </c>
      <c r="G375">
        <v>626</v>
      </c>
      <c r="H375" t="s">
        <v>213</v>
      </c>
      <c r="I375" t="s">
        <v>214</v>
      </c>
      <c r="J375" t="s">
        <v>47</v>
      </c>
      <c r="K375" t="s">
        <v>48</v>
      </c>
      <c r="L375">
        <v>0</v>
      </c>
      <c r="M375" t="s">
        <v>49</v>
      </c>
      <c r="N375" t="s">
        <v>50</v>
      </c>
      <c r="O375">
        <v>0</v>
      </c>
      <c r="P375" t="s">
        <v>49</v>
      </c>
      <c r="Q375" t="s">
        <v>50</v>
      </c>
      <c r="R375" t="s">
        <v>51</v>
      </c>
      <c r="S375" t="s">
        <v>52</v>
      </c>
      <c r="T375" t="b">
        <v>1</v>
      </c>
      <c r="U375" t="s">
        <v>53</v>
      </c>
      <c r="V375" t="s">
        <v>54</v>
      </c>
      <c r="W375">
        <v>4</v>
      </c>
      <c r="X375" t="b">
        <v>0</v>
      </c>
      <c r="Y375" t="s">
        <v>55</v>
      </c>
      <c r="Z375" t="s">
        <v>56</v>
      </c>
      <c r="AA375" t="s">
        <v>57</v>
      </c>
      <c r="AB375">
        <v>0</v>
      </c>
      <c r="AC375" t="s">
        <v>58</v>
      </c>
      <c r="AD375">
        <v>8</v>
      </c>
      <c r="AE375" t="s">
        <v>59</v>
      </c>
      <c r="AF375">
        <v>321415200</v>
      </c>
      <c r="AG375" t="b">
        <v>0</v>
      </c>
      <c r="AH375">
        <v>8</v>
      </c>
      <c r="AI375" t="s">
        <v>59</v>
      </c>
      <c r="AJ375">
        <v>321415200</v>
      </c>
      <c r="AK375" t="b">
        <v>0</v>
      </c>
      <c r="AL375">
        <v>321415200</v>
      </c>
      <c r="AM375" t="b">
        <v>0</v>
      </c>
      <c r="AN375">
        <v>0</v>
      </c>
      <c r="AO375" t="b">
        <v>0</v>
      </c>
      <c r="AQ375">
        <v>226068128.37</v>
      </c>
      <c r="AR375">
        <v>226068128.37</v>
      </c>
      <c r="AS375">
        <v>0</v>
      </c>
      <c r="AT375" t="b">
        <v>0</v>
      </c>
      <c r="AU375" t="b">
        <v>1</v>
      </c>
      <c r="BA375" t="str">
        <f t="shared" si="10"/>
        <v>Normal</v>
      </c>
      <c r="BG375" t="str">
        <f t="shared" si="11"/>
        <v>Normal</v>
      </c>
    </row>
    <row r="376" spans="1:59" x14ac:dyDescent="0.2">
      <c r="A376" t="s">
        <v>42</v>
      </c>
      <c r="B376" t="s">
        <v>43</v>
      </c>
      <c r="C376">
        <v>20220101</v>
      </c>
      <c r="D376">
        <v>2022</v>
      </c>
      <c r="E376">
        <v>52</v>
      </c>
      <c r="F376" t="s">
        <v>299</v>
      </c>
      <c r="G376">
        <v>634</v>
      </c>
      <c r="H376" t="s">
        <v>216</v>
      </c>
      <c r="I376" t="s">
        <v>217</v>
      </c>
      <c r="J376" t="s">
        <v>47</v>
      </c>
      <c r="K376" t="s">
        <v>48</v>
      </c>
      <c r="L376">
        <v>0</v>
      </c>
      <c r="M376" t="s">
        <v>49</v>
      </c>
      <c r="N376" t="s">
        <v>50</v>
      </c>
      <c r="O376">
        <v>0</v>
      </c>
      <c r="P376" t="s">
        <v>49</v>
      </c>
      <c r="Q376" t="s">
        <v>50</v>
      </c>
      <c r="R376" t="s">
        <v>300</v>
      </c>
      <c r="S376" t="s">
        <v>52</v>
      </c>
      <c r="T376" t="b">
        <v>1</v>
      </c>
      <c r="U376" t="s">
        <v>53</v>
      </c>
      <c r="V376" t="s">
        <v>54</v>
      </c>
      <c r="W376">
        <v>4</v>
      </c>
      <c r="X376" t="b">
        <v>0</v>
      </c>
      <c r="Y376" t="s">
        <v>55</v>
      </c>
      <c r="Z376" t="s">
        <v>56</v>
      </c>
      <c r="AA376" t="s">
        <v>57</v>
      </c>
      <c r="AB376">
        <v>0</v>
      </c>
      <c r="AC376" t="s">
        <v>58</v>
      </c>
      <c r="AD376">
        <v>-1</v>
      </c>
      <c r="AE376" t="s">
        <v>73</v>
      </c>
      <c r="AF376">
        <v>0</v>
      </c>
      <c r="AG376" t="b">
        <v>0</v>
      </c>
      <c r="AH376">
        <v>-1</v>
      </c>
      <c r="AI376" t="s">
        <v>73</v>
      </c>
      <c r="AJ376">
        <v>0</v>
      </c>
      <c r="AK376" t="b">
        <v>0</v>
      </c>
      <c r="AM376" t="b">
        <v>0</v>
      </c>
      <c r="AN376">
        <v>0</v>
      </c>
      <c r="AO376" t="b">
        <v>0</v>
      </c>
      <c r="AQ376">
        <v>18728368788.229</v>
      </c>
      <c r="AR376">
        <v>18728368788.229</v>
      </c>
      <c r="AS376">
        <v>0</v>
      </c>
      <c r="AT376" t="b">
        <v>0</v>
      </c>
      <c r="AU376" t="b">
        <v>1</v>
      </c>
      <c r="BA376" t="str">
        <f t="shared" si="10"/>
        <v>Normal</v>
      </c>
      <c r="BG376" t="str">
        <f t="shared" si="11"/>
        <v>Normal</v>
      </c>
    </row>
    <row r="377" spans="1:59" x14ac:dyDescent="0.2">
      <c r="A377" t="s">
        <v>42</v>
      </c>
      <c r="B377" t="s">
        <v>43</v>
      </c>
      <c r="C377">
        <v>20220101</v>
      </c>
      <c r="D377">
        <v>2022</v>
      </c>
      <c r="E377">
        <v>52</v>
      </c>
      <c r="F377" t="s">
        <v>299</v>
      </c>
      <c r="G377">
        <v>642</v>
      </c>
      <c r="H377" t="s">
        <v>218</v>
      </c>
      <c r="I377" t="s">
        <v>219</v>
      </c>
      <c r="J377" t="s">
        <v>47</v>
      </c>
      <c r="K377" t="s">
        <v>48</v>
      </c>
      <c r="L377">
        <v>0</v>
      </c>
      <c r="M377" t="s">
        <v>49</v>
      </c>
      <c r="N377" t="s">
        <v>50</v>
      </c>
      <c r="O377">
        <v>0</v>
      </c>
      <c r="P377" t="s">
        <v>49</v>
      </c>
      <c r="Q377" t="s">
        <v>50</v>
      </c>
      <c r="R377" t="s">
        <v>300</v>
      </c>
      <c r="S377" t="s">
        <v>52</v>
      </c>
      <c r="T377" t="b">
        <v>1</v>
      </c>
      <c r="U377" t="s">
        <v>53</v>
      </c>
      <c r="V377" t="s">
        <v>54</v>
      </c>
      <c r="W377">
        <v>4</v>
      </c>
      <c r="X377" t="b">
        <v>0</v>
      </c>
      <c r="Y377" t="s">
        <v>55</v>
      </c>
      <c r="Z377" t="s">
        <v>56</v>
      </c>
      <c r="AA377" t="s">
        <v>57</v>
      </c>
      <c r="AB377">
        <v>0</v>
      </c>
      <c r="AC377" t="s">
        <v>58</v>
      </c>
      <c r="AD377">
        <v>8</v>
      </c>
      <c r="AE377" t="s">
        <v>59</v>
      </c>
      <c r="AF377">
        <v>39260381.880000003</v>
      </c>
      <c r="AG377" t="b">
        <v>0</v>
      </c>
      <c r="AH377">
        <v>8</v>
      </c>
      <c r="AI377" t="s">
        <v>59</v>
      </c>
      <c r="AJ377">
        <v>39260381.880000003</v>
      </c>
      <c r="AK377" t="b">
        <v>0</v>
      </c>
      <c r="AL377">
        <v>39260381.880000003</v>
      </c>
      <c r="AM377" t="b">
        <v>0</v>
      </c>
      <c r="AN377">
        <v>0</v>
      </c>
      <c r="AO377" t="b">
        <v>0</v>
      </c>
      <c r="AQ377">
        <v>29797550.629999999</v>
      </c>
      <c r="AR377">
        <v>29797550.629999999</v>
      </c>
      <c r="AS377">
        <v>0</v>
      </c>
      <c r="AT377" t="b">
        <v>0</v>
      </c>
      <c r="AU377" t="b">
        <v>1</v>
      </c>
      <c r="BA377" t="str">
        <f t="shared" si="10"/>
        <v>Normal</v>
      </c>
      <c r="BG377" t="str">
        <f t="shared" si="11"/>
        <v>Normal</v>
      </c>
    </row>
    <row r="378" spans="1:59" x14ac:dyDescent="0.2">
      <c r="A378" t="s">
        <v>42</v>
      </c>
      <c r="B378" t="s">
        <v>43</v>
      </c>
      <c r="C378">
        <v>20220101</v>
      </c>
      <c r="D378">
        <v>2022</v>
      </c>
      <c r="E378">
        <v>52</v>
      </c>
      <c r="F378" t="s">
        <v>299</v>
      </c>
      <c r="G378">
        <v>682</v>
      </c>
      <c r="H378" t="s">
        <v>224</v>
      </c>
      <c r="I378" t="s">
        <v>225</v>
      </c>
      <c r="J378" t="s">
        <v>47</v>
      </c>
      <c r="K378" t="s">
        <v>48</v>
      </c>
      <c r="L378">
        <v>0</v>
      </c>
      <c r="M378" t="s">
        <v>49</v>
      </c>
      <c r="N378" t="s">
        <v>50</v>
      </c>
      <c r="O378">
        <v>0</v>
      </c>
      <c r="P378" t="s">
        <v>49</v>
      </c>
      <c r="Q378" t="s">
        <v>50</v>
      </c>
      <c r="R378" t="s">
        <v>300</v>
      </c>
      <c r="S378" t="s">
        <v>52</v>
      </c>
      <c r="T378" t="b">
        <v>1</v>
      </c>
      <c r="U378" t="s">
        <v>53</v>
      </c>
      <c r="V378" t="s">
        <v>54</v>
      </c>
      <c r="W378">
        <v>4</v>
      </c>
      <c r="X378" t="b">
        <v>0</v>
      </c>
      <c r="Y378" t="s">
        <v>55</v>
      </c>
      <c r="Z378" t="s">
        <v>56</v>
      </c>
      <c r="AA378" t="s">
        <v>57</v>
      </c>
      <c r="AB378">
        <v>0</v>
      </c>
      <c r="AC378" t="s">
        <v>58</v>
      </c>
      <c r="AD378">
        <v>8</v>
      </c>
      <c r="AE378" t="s">
        <v>59</v>
      </c>
      <c r="AF378">
        <v>350466700000</v>
      </c>
      <c r="AG378" t="b">
        <v>0</v>
      </c>
      <c r="AH378">
        <v>8</v>
      </c>
      <c r="AI378" t="s">
        <v>59</v>
      </c>
      <c r="AJ378">
        <v>350466700000</v>
      </c>
      <c r="AK378" t="b">
        <v>0</v>
      </c>
      <c r="AL378">
        <v>350466700000</v>
      </c>
      <c r="AM378" t="b">
        <v>0</v>
      </c>
      <c r="AN378">
        <v>0</v>
      </c>
      <c r="AO378" t="b">
        <v>0</v>
      </c>
      <c r="AQ378">
        <v>258544564094.25201</v>
      </c>
      <c r="AR378">
        <v>258544564094.25201</v>
      </c>
      <c r="AS378">
        <v>0</v>
      </c>
      <c r="AT378" t="b">
        <v>0</v>
      </c>
      <c r="AU378" t="b">
        <v>1</v>
      </c>
      <c r="BA378" t="str">
        <f t="shared" si="10"/>
        <v>Normal</v>
      </c>
      <c r="BG378" t="str">
        <f t="shared" si="11"/>
        <v>Normal</v>
      </c>
    </row>
    <row r="379" spans="1:59" x14ac:dyDescent="0.2">
      <c r="A379" t="s">
        <v>42</v>
      </c>
      <c r="B379" t="s">
        <v>43</v>
      </c>
      <c r="C379">
        <v>20220101</v>
      </c>
      <c r="D379">
        <v>2022</v>
      </c>
      <c r="E379">
        <v>52</v>
      </c>
      <c r="F379" t="s">
        <v>299</v>
      </c>
      <c r="G379">
        <v>686</v>
      </c>
      <c r="H379" t="s">
        <v>226</v>
      </c>
      <c r="I379" t="s">
        <v>227</v>
      </c>
      <c r="J379" t="s">
        <v>47</v>
      </c>
      <c r="K379" t="s">
        <v>48</v>
      </c>
      <c r="L379">
        <v>0</v>
      </c>
      <c r="M379" t="s">
        <v>49</v>
      </c>
      <c r="N379" t="s">
        <v>50</v>
      </c>
      <c r="O379">
        <v>0</v>
      </c>
      <c r="P379" t="s">
        <v>49</v>
      </c>
      <c r="Q379" t="s">
        <v>50</v>
      </c>
      <c r="R379" t="s">
        <v>300</v>
      </c>
      <c r="S379" t="s">
        <v>52</v>
      </c>
      <c r="T379" t="b">
        <v>1</v>
      </c>
      <c r="U379" t="s">
        <v>53</v>
      </c>
      <c r="V379" t="s">
        <v>54</v>
      </c>
      <c r="W379">
        <v>4</v>
      </c>
      <c r="X379" t="b">
        <v>0</v>
      </c>
      <c r="Y379" t="s">
        <v>55</v>
      </c>
      <c r="Z379" t="s">
        <v>56</v>
      </c>
      <c r="AA379" t="s">
        <v>57</v>
      </c>
      <c r="AB379">
        <v>0</v>
      </c>
      <c r="AC379" t="s">
        <v>58</v>
      </c>
      <c r="AD379">
        <v>8</v>
      </c>
      <c r="AE379" t="s">
        <v>59</v>
      </c>
      <c r="AF379">
        <v>6927890</v>
      </c>
      <c r="AG379" t="b">
        <v>0</v>
      </c>
      <c r="AH379">
        <v>8</v>
      </c>
      <c r="AI379" t="s">
        <v>59</v>
      </c>
      <c r="AJ379">
        <v>6927890</v>
      </c>
      <c r="AK379" t="b">
        <v>0</v>
      </c>
      <c r="AL379">
        <v>6927890</v>
      </c>
      <c r="AM379" t="b">
        <v>0</v>
      </c>
      <c r="AN379">
        <v>0</v>
      </c>
      <c r="AO379" t="b">
        <v>0</v>
      </c>
      <c r="AQ379">
        <v>2476311.554</v>
      </c>
      <c r="AR379">
        <v>2476311.554</v>
      </c>
      <c r="AS379">
        <v>0</v>
      </c>
      <c r="AT379" t="b">
        <v>0</v>
      </c>
      <c r="AU379" t="b">
        <v>1</v>
      </c>
      <c r="BA379" t="str">
        <f t="shared" si="10"/>
        <v>Normal</v>
      </c>
      <c r="BG379" t="str">
        <f t="shared" si="11"/>
        <v>Normal</v>
      </c>
    </row>
    <row r="380" spans="1:59" x14ac:dyDescent="0.2">
      <c r="A380" t="s">
        <v>42</v>
      </c>
      <c r="B380" t="s">
        <v>43</v>
      </c>
      <c r="C380">
        <v>20220101</v>
      </c>
      <c r="D380">
        <v>2022</v>
      </c>
      <c r="E380">
        <v>52</v>
      </c>
      <c r="F380" t="s">
        <v>299</v>
      </c>
      <c r="G380">
        <v>702</v>
      </c>
      <c r="H380" t="s">
        <v>230</v>
      </c>
      <c r="I380" t="s">
        <v>231</v>
      </c>
      <c r="J380" t="s">
        <v>47</v>
      </c>
      <c r="K380" t="s">
        <v>48</v>
      </c>
      <c r="L380">
        <v>0</v>
      </c>
      <c r="M380" t="s">
        <v>49</v>
      </c>
      <c r="N380" t="s">
        <v>50</v>
      </c>
      <c r="O380">
        <v>0</v>
      </c>
      <c r="P380" t="s">
        <v>49</v>
      </c>
      <c r="Q380" t="s">
        <v>50</v>
      </c>
      <c r="R380" t="s">
        <v>300</v>
      </c>
      <c r="S380" t="s">
        <v>52</v>
      </c>
      <c r="T380" t="b">
        <v>1</v>
      </c>
      <c r="U380" t="s">
        <v>53</v>
      </c>
      <c r="V380" t="s">
        <v>54</v>
      </c>
      <c r="W380">
        <v>4</v>
      </c>
      <c r="X380" t="b">
        <v>0</v>
      </c>
      <c r="Y380" t="s">
        <v>55</v>
      </c>
      <c r="Z380" t="s">
        <v>56</v>
      </c>
      <c r="AA380" t="s">
        <v>57</v>
      </c>
      <c r="AB380">
        <v>0</v>
      </c>
      <c r="AC380" t="s">
        <v>58</v>
      </c>
      <c r="AD380">
        <v>-1</v>
      </c>
      <c r="AE380" t="s">
        <v>73</v>
      </c>
      <c r="AF380">
        <v>0</v>
      </c>
      <c r="AG380" t="b">
        <v>0</v>
      </c>
      <c r="AH380">
        <v>-1</v>
      </c>
      <c r="AI380" t="s">
        <v>73</v>
      </c>
      <c r="AJ380">
        <v>0</v>
      </c>
      <c r="AK380" t="b">
        <v>0</v>
      </c>
      <c r="AM380" t="b">
        <v>0</v>
      </c>
      <c r="AN380">
        <v>0</v>
      </c>
      <c r="AO380" t="b">
        <v>0</v>
      </c>
      <c r="AQ380">
        <v>170471.95300000001</v>
      </c>
      <c r="AR380">
        <v>170471.95300000001</v>
      </c>
      <c r="AS380">
        <v>0</v>
      </c>
      <c r="AT380" t="b">
        <v>0</v>
      </c>
      <c r="AU380" t="b">
        <v>1</v>
      </c>
      <c r="BA380" t="str">
        <f t="shared" si="10"/>
        <v>Normal</v>
      </c>
      <c r="BG380" t="str">
        <f t="shared" si="11"/>
        <v>Normal</v>
      </c>
    </row>
    <row r="381" spans="1:59" x14ac:dyDescent="0.2">
      <c r="A381" t="s">
        <v>42</v>
      </c>
      <c r="B381" t="s">
        <v>43</v>
      </c>
      <c r="C381">
        <v>20220101</v>
      </c>
      <c r="D381">
        <v>2022</v>
      </c>
      <c r="E381">
        <v>52</v>
      </c>
      <c r="F381" t="s">
        <v>299</v>
      </c>
      <c r="G381">
        <v>703</v>
      </c>
      <c r="H381" t="s">
        <v>232</v>
      </c>
      <c r="I381" t="s">
        <v>233</v>
      </c>
      <c r="J381" t="s">
        <v>47</v>
      </c>
      <c r="K381" t="s">
        <v>48</v>
      </c>
      <c r="L381">
        <v>0</v>
      </c>
      <c r="M381" t="s">
        <v>49</v>
      </c>
      <c r="N381" t="s">
        <v>50</v>
      </c>
      <c r="O381">
        <v>0</v>
      </c>
      <c r="P381" t="s">
        <v>49</v>
      </c>
      <c r="Q381" t="s">
        <v>50</v>
      </c>
      <c r="R381" t="s">
        <v>300</v>
      </c>
      <c r="S381" t="s">
        <v>52</v>
      </c>
      <c r="T381" t="b">
        <v>1</v>
      </c>
      <c r="U381" t="s">
        <v>53</v>
      </c>
      <c r="V381" t="s">
        <v>54</v>
      </c>
      <c r="W381">
        <v>4</v>
      </c>
      <c r="X381" t="b">
        <v>0</v>
      </c>
      <c r="Y381" t="s">
        <v>55</v>
      </c>
      <c r="Z381" t="s">
        <v>56</v>
      </c>
      <c r="AA381" t="s">
        <v>57</v>
      </c>
      <c r="AB381">
        <v>0</v>
      </c>
      <c r="AC381" t="s">
        <v>58</v>
      </c>
      <c r="AD381">
        <v>8</v>
      </c>
      <c r="AE381" t="s">
        <v>59</v>
      </c>
      <c r="AF381">
        <v>2124510</v>
      </c>
      <c r="AG381" t="b">
        <v>0</v>
      </c>
      <c r="AH381">
        <v>8</v>
      </c>
      <c r="AI381" t="s">
        <v>59</v>
      </c>
      <c r="AJ381">
        <v>2124510</v>
      </c>
      <c r="AK381" t="b">
        <v>0</v>
      </c>
      <c r="AL381">
        <v>2124510</v>
      </c>
      <c r="AM381" t="b">
        <v>0</v>
      </c>
      <c r="AN381">
        <v>0</v>
      </c>
      <c r="AO381" t="b">
        <v>0</v>
      </c>
      <c r="AQ381">
        <v>1514850.47</v>
      </c>
      <c r="AR381">
        <v>1514850.47</v>
      </c>
      <c r="AS381">
        <v>0</v>
      </c>
      <c r="AT381" t="b">
        <v>0</v>
      </c>
      <c r="AU381" t="b">
        <v>1</v>
      </c>
      <c r="BA381" t="str">
        <f t="shared" si="10"/>
        <v>Normal</v>
      </c>
      <c r="BG381" t="str">
        <f t="shared" si="11"/>
        <v>Normal</v>
      </c>
    </row>
    <row r="382" spans="1:59" x14ac:dyDescent="0.2">
      <c r="A382" t="s">
        <v>42</v>
      </c>
      <c r="B382" t="s">
        <v>43</v>
      </c>
      <c r="C382">
        <v>20220101</v>
      </c>
      <c r="D382">
        <v>2022</v>
      </c>
      <c r="E382">
        <v>52</v>
      </c>
      <c r="F382" t="s">
        <v>299</v>
      </c>
      <c r="G382">
        <v>704</v>
      </c>
      <c r="H382" t="s">
        <v>234</v>
      </c>
      <c r="I382" t="s">
        <v>235</v>
      </c>
      <c r="J382" t="s">
        <v>47</v>
      </c>
      <c r="K382" t="s">
        <v>48</v>
      </c>
      <c r="L382">
        <v>0</v>
      </c>
      <c r="M382" t="s">
        <v>49</v>
      </c>
      <c r="N382" t="s">
        <v>50</v>
      </c>
      <c r="O382">
        <v>0</v>
      </c>
      <c r="P382" t="s">
        <v>49</v>
      </c>
      <c r="Q382" t="s">
        <v>50</v>
      </c>
      <c r="R382" t="s">
        <v>300</v>
      </c>
      <c r="S382" t="s">
        <v>52</v>
      </c>
      <c r="T382" t="b">
        <v>1</v>
      </c>
      <c r="U382" t="s">
        <v>53</v>
      </c>
      <c r="V382" t="s">
        <v>54</v>
      </c>
      <c r="W382">
        <v>4</v>
      </c>
      <c r="X382" t="b">
        <v>0</v>
      </c>
      <c r="Y382" t="s">
        <v>55</v>
      </c>
      <c r="Z382" t="s">
        <v>56</v>
      </c>
      <c r="AA382" t="s">
        <v>57</v>
      </c>
      <c r="AB382">
        <v>0</v>
      </c>
      <c r="AC382" t="s">
        <v>58</v>
      </c>
      <c r="AD382">
        <v>8</v>
      </c>
      <c r="AE382" t="s">
        <v>59</v>
      </c>
      <c r="AF382">
        <v>2599091800</v>
      </c>
      <c r="AG382" t="b">
        <v>0</v>
      </c>
      <c r="AH382">
        <v>21</v>
      </c>
      <c r="AI382" t="s">
        <v>170</v>
      </c>
      <c r="AJ382">
        <v>2599091.7999999998</v>
      </c>
      <c r="AK382" t="b">
        <v>0</v>
      </c>
      <c r="AL382">
        <v>2599091800</v>
      </c>
      <c r="AM382" t="b">
        <v>0</v>
      </c>
      <c r="AN382">
        <v>0</v>
      </c>
      <c r="AO382" t="b">
        <v>0</v>
      </c>
      <c r="AQ382">
        <v>2125131855.6400001</v>
      </c>
      <c r="AR382">
        <v>2125131855.6400001</v>
      </c>
      <c r="AS382">
        <v>0</v>
      </c>
      <c r="AT382" t="b">
        <v>0</v>
      </c>
      <c r="AU382" t="b">
        <v>1</v>
      </c>
      <c r="BA382" t="str">
        <f t="shared" si="10"/>
        <v>Normal</v>
      </c>
      <c r="BG382" t="str">
        <f t="shared" si="11"/>
        <v>Normal</v>
      </c>
    </row>
    <row r="383" spans="1:59" x14ac:dyDescent="0.2">
      <c r="A383" t="s">
        <v>42</v>
      </c>
      <c r="B383" t="s">
        <v>43</v>
      </c>
      <c r="C383">
        <v>20220101</v>
      </c>
      <c r="D383">
        <v>2022</v>
      </c>
      <c r="E383">
        <v>52</v>
      </c>
      <c r="F383" t="s">
        <v>299</v>
      </c>
      <c r="G383">
        <v>705</v>
      </c>
      <c r="H383" t="s">
        <v>236</v>
      </c>
      <c r="I383" t="s">
        <v>237</v>
      </c>
      <c r="J383" t="s">
        <v>47</v>
      </c>
      <c r="K383" t="s">
        <v>48</v>
      </c>
      <c r="L383">
        <v>0</v>
      </c>
      <c r="M383" t="s">
        <v>49</v>
      </c>
      <c r="N383" t="s">
        <v>50</v>
      </c>
      <c r="O383">
        <v>0</v>
      </c>
      <c r="P383" t="s">
        <v>49</v>
      </c>
      <c r="Q383" t="s">
        <v>50</v>
      </c>
      <c r="R383" t="s">
        <v>300</v>
      </c>
      <c r="S383" t="s">
        <v>52</v>
      </c>
      <c r="T383" t="b">
        <v>1</v>
      </c>
      <c r="U383" t="s">
        <v>53</v>
      </c>
      <c r="V383" t="s">
        <v>54</v>
      </c>
      <c r="W383">
        <v>4</v>
      </c>
      <c r="X383" t="b">
        <v>0</v>
      </c>
      <c r="Y383" t="s">
        <v>55</v>
      </c>
      <c r="Z383" t="s">
        <v>56</v>
      </c>
      <c r="AA383" t="s">
        <v>57</v>
      </c>
      <c r="AB383">
        <v>0</v>
      </c>
      <c r="AC383" t="s">
        <v>58</v>
      </c>
      <c r="AD383">
        <v>8</v>
      </c>
      <c r="AE383" t="s">
        <v>59</v>
      </c>
      <c r="AF383">
        <v>2537.1999999999998</v>
      </c>
      <c r="AG383" t="b">
        <v>0</v>
      </c>
      <c r="AH383">
        <v>8</v>
      </c>
      <c r="AI383" t="s">
        <v>59</v>
      </c>
      <c r="AJ383">
        <v>2537.1999999999998</v>
      </c>
      <c r="AK383" t="b">
        <v>0</v>
      </c>
      <c r="AL383">
        <v>2537.1999999999998</v>
      </c>
      <c r="AM383" t="b">
        <v>0</v>
      </c>
      <c r="AN383">
        <v>0</v>
      </c>
      <c r="AO383" t="b">
        <v>0</v>
      </c>
      <c r="AQ383">
        <v>46277.249000000003</v>
      </c>
      <c r="AR383">
        <v>46277.249000000003</v>
      </c>
      <c r="AS383">
        <v>0</v>
      </c>
      <c r="AT383" t="b">
        <v>0</v>
      </c>
      <c r="AU383" t="b">
        <v>1</v>
      </c>
      <c r="BA383" t="str">
        <f t="shared" si="10"/>
        <v>Normal</v>
      </c>
      <c r="BG383" t="str">
        <f t="shared" si="11"/>
        <v>Normal</v>
      </c>
    </row>
    <row r="384" spans="1:59" x14ac:dyDescent="0.2">
      <c r="A384" t="s">
        <v>42</v>
      </c>
      <c r="B384" t="s">
        <v>43</v>
      </c>
      <c r="C384">
        <v>20220101</v>
      </c>
      <c r="D384">
        <v>2022</v>
      </c>
      <c r="E384">
        <v>52</v>
      </c>
      <c r="F384" t="s">
        <v>299</v>
      </c>
      <c r="G384">
        <v>710</v>
      </c>
      <c r="H384" t="s">
        <v>238</v>
      </c>
      <c r="I384" t="s">
        <v>239</v>
      </c>
      <c r="J384" t="s">
        <v>47</v>
      </c>
      <c r="K384" t="s">
        <v>48</v>
      </c>
      <c r="L384">
        <v>0</v>
      </c>
      <c r="M384" t="s">
        <v>49</v>
      </c>
      <c r="N384" t="s">
        <v>50</v>
      </c>
      <c r="O384">
        <v>0</v>
      </c>
      <c r="P384" t="s">
        <v>49</v>
      </c>
      <c r="Q384" t="s">
        <v>50</v>
      </c>
      <c r="R384" t="s">
        <v>300</v>
      </c>
      <c r="S384" t="s">
        <v>52</v>
      </c>
      <c r="T384" t="b">
        <v>1</v>
      </c>
      <c r="U384" t="s">
        <v>53</v>
      </c>
      <c r="V384" t="s">
        <v>54</v>
      </c>
      <c r="W384">
        <v>4</v>
      </c>
      <c r="X384" t="b">
        <v>0</v>
      </c>
      <c r="Y384" t="s">
        <v>55</v>
      </c>
      <c r="Z384" t="s">
        <v>56</v>
      </c>
      <c r="AA384" t="s">
        <v>57</v>
      </c>
      <c r="AB384">
        <v>0</v>
      </c>
      <c r="AC384" t="s">
        <v>58</v>
      </c>
      <c r="AD384">
        <v>-1</v>
      </c>
      <c r="AE384" t="s">
        <v>73</v>
      </c>
      <c r="AF384">
        <v>0</v>
      </c>
      <c r="AG384" t="b">
        <v>0</v>
      </c>
      <c r="AH384">
        <v>-1</v>
      </c>
      <c r="AI384" t="s">
        <v>73</v>
      </c>
      <c r="AJ384">
        <v>0</v>
      </c>
      <c r="AK384" t="b">
        <v>0</v>
      </c>
      <c r="AM384" t="b">
        <v>0</v>
      </c>
      <c r="AN384">
        <v>0</v>
      </c>
      <c r="AO384" t="b">
        <v>0</v>
      </c>
      <c r="AQ384">
        <v>12520833.479</v>
      </c>
      <c r="AR384">
        <v>12520833.479</v>
      </c>
      <c r="AS384">
        <v>0</v>
      </c>
      <c r="AT384" t="b">
        <v>0</v>
      </c>
      <c r="AU384" t="b">
        <v>1</v>
      </c>
      <c r="BA384" t="str">
        <f t="shared" si="10"/>
        <v>Normal</v>
      </c>
      <c r="BG384" t="str">
        <f t="shared" si="11"/>
        <v>Normal</v>
      </c>
    </row>
    <row r="385" spans="1:59" x14ac:dyDescent="0.2">
      <c r="A385" t="s">
        <v>42</v>
      </c>
      <c r="B385" t="s">
        <v>43</v>
      </c>
      <c r="C385">
        <v>20220101</v>
      </c>
      <c r="D385">
        <v>2022</v>
      </c>
      <c r="E385">
        <v>52</v>
      </c>
      <c r="F385" t="s">
        <v>299</v>
      </c>
      <c r="G385">
        <v>724</v>
      </c>
      <c r="H385" t="s">
        <v>240</v>
      </c>
      <c r="I385" t="s">
        <v>241</v>
      </c>
      <c r="J385" t="s">
        <v>47</v>
      </c>
      <c r="K385" t="s">
        <v>48</v>
      </c>
      <c r="L385">
        <v>0</v>
      </c>
      <c r="M385" t="s">
        <v>49</v>
      </c>
      <c r="N385" t="s">
        <v>50</v>
      </c>
      <c r="O385">
        <v>0</v>
      </c>
      <c r="P385" t="s">
        <v>49</v>
      </c>
      <c r="Q385" t="s">
        <v>50</v>
      </c>
      <c r="R385" t="s">
        <v>300</v>
      </c>
      <c r="S385" t="s">
        <v>52</v>
      </c>
      <c r="T385" t="b">
        <v>1</v>
      </c>
      <c r="U385" t="s">
        <v>53</v>
      </c>
      <c r="V385" t="s">
        <v>54</v>
      </c>
      <c r="W385">
        <v>4</v>
      </c>
      <c r="X385" t="b">
        <v>0</v>
      </c>
      <c r="Y385" t="s">
        <v>55</v>
      </c>
      <c r="Z385" t="s">
        <v>56</v>
      </c>
      <c r="AA385" t="s">
        <v>57</v>
      </c>
      <c r="AB385">
        <v>0</v>
      </c>
      <c r="AC385" t="s">
        <v>58</v>
      </c>
      <c r="AD385">
        <v>-1</v>
      </c>
      <c r="AE385" t="s">
        <v>73</v>
      </c>
      <c r="AF385">
        <v>0</v>
      </c>
      <c r="AG385" t="b">
        <v>0</v>
      </c>
      <c r="AH385">
        <v>-1</v>
      </c>
      <c r="AI385" t="s">
        <v>73</v>
      </c>
      <c r="AJ385">
        <v>0</v>
      </c>
      <c r="AK385" t="b">
        <v>0</v>
      </c>
      <c r="AM385" t="b">
        <v>0</v>
      </c>
      <c r="AN385">
        <v>0</v>
      </c>
      <c r="AO385" t="b">
        <v>0</v>
      </c>
      <c r="AQ385">
        <v>570695687.45799994</v>
      </c>
      <c r="AR385">
        <v>570695687.45799994</v>
      </c>
      <c r="AS385">
        <v>0</v>
      </c>
      <c r="AT385" t="b">
        <v>0</v>
      </c>
      <c r="AU385" t="b">
        <v>1</v>
      </c>
      <c r="BA385" t="str">
        <f t="shared" si="10"/>
        <v>Normal</v>
      </c>
      <c r="BG385" t="str">
        <f t="shared" si="11"/>
        <v>Normal</v>
      </c>
    </row>
    <row r="386" spans="1:59" x14ac:dyDescent="0.2">
      <c r="A386" t="s">
        <v>42</v>
      </c>
      <c r="B386" t="s">
        <v>43</v>
      </c>
      <c r="C386">
        <v>20220101</v>
      </c>
      <c r="D386">
        <v>2022</v>
      </c>
      <c r="E386">
        <v>52</v>
      </c>
      <c r="F386" t="s">
        <v>299</v>
      </c>
      <c r="G386">
        <v>748</v>
      </c>
      <c r="H386" t="s">
        <v>242</v>
      </c>
      <c r="I386" t="s">
        <v>243</v>
      </c>
      <c r="J386" t="s">
        <v>47</v>
      </c>
      <c r="K386" t="s">
        <v>48</v>
      </c>
      <c r="L386">
        <v>0</v>
      </c>
      <c r="M386" t="s">
        <v>49</v>
      </c>
      <c r="N386" t="s">
        <v>50</v>
      </c>
      <c r="O386">
        <v>0</v>
      </c>
      <c r="P386" t="s">
        <v>49</v>
      </c>
      <c r="Q386" t="s">
        <v>50</v>
      </c>
      <c r="R386" t="s">
        <v>300</v>
      </c>
      <c r="S386" t="s">
        <v>52</v>
      </c>
      <c r="T386" t="b">
        <v>1</v>
      </c>
      <c r="U386" t="s">
        <v>53</v>
      </c>
      <c r="V386" t="s">
        <v>54</v>
      </c>
      <c r="W386">
        <v>4</v>
      </c>
      <c r="X386" t="b">
        <v>0</v>
      </c>
      <c r="Y386" t="s">
        <v>55</v>
      </c>
      <c r="Z386" t="s">
        <v>56</v>
      </c>
      <c r="AA386" t="s">
        <v>57</v>
      </c>
      <c r="AB386">
        <v>0</v>
      </c>
      <c r="AC386" t="s">
        <v>58</v>
      </c>
      <c r="AD386">
        <v>8</v>
      </c>
      <c r="AE386" t="s">
        <v>59</v>
      </c>
      <c r="AF386">
        <v>5.3</v>
      </c>
      <c r="AG386" t="b">
        <v>0</v>
      </c>
      <c r="AH386">
        <v>8</v>
      </c>
      <c r="AI386" t="s">
        <v>59</v>
      </c>
      <c r="AJ386">
        <v>5.3</v>
      </c>
      <c r="AK386" t="b">
        <v>0</v>
      </c>
      <c r="AL386">
        <v>5.3</v>
      </c>
      <c r="AM386" t="b">
        <v>0</v>
      </c>
      <c r="AN386">
        <v>0</v>
      </c>
      <c r="AO386" t="b">
        <v>0</v>
      </c>
      <c r="AQ386">
        <v>13.58</v>
      </c>
      <c r="AR386">
        <v>13.58</v>
      </c>
      <c r="AS386">
        <v>0</v>
      </c>
      <c r="AT386" t="b">
        <v>0</v>
      </c>
      <c r="AU386" t="b">
        <v>1</v>
      </c>
      <c r="BA386" t="str">
        <f t="shared" si="10"/>
        <v>Normal</v>
      </c>
      <c r="BG386" t="str">
        <f t="shared" si="11"/>
        <v>Normal</v>
      </c>
    </row>
    <row r="387" spans="1:59" x14ac:dyDescent="0.2">
      <c r="A387" t="s">
        <v>42</v>
      </c>
      <c r="B387" t="s">
        <v>43</v>
      </c>
      <c r="C387">
        <v>20220101</v>
      </c>
      <c r="D387">
        <v>2022</v>
      </c>
      <c r="E387">
        <v>52</v>
      </c>
      <c r="F387" t="s">
        <v>299</v>
      </c>
      <c r="G387">
        <v>752</v>
      </c>
      <c r="H387" t="s">
        <v>244</v>
      </c>
      <c r="I387" t="s">
        <v>245</v>
      </c>
      <c r="J387" t="s">
        <v>47</v>
      </c>
      <c r="K387" t="s">
        <v>48</v>
      </c>
      <c r="L387">
        <v>0</v>
      </c>
      <c r="M387" t="s">
        <v>49</v>
      </c>
      <c r="N387" t="s">
        <v>50</v>
      </c>
      <c r="O387">
        <v>0</v>
      </c>
      <c r="P387" t="s">
        <v>49</v>
      </c>
      <c r="Q387" t="s">
        <v>50</v>
      </c>
      <c r="R387" t="s">
        <v>300</v>
      </c>
      <c r="S387" t="s">
        <v>52</v>
      </c>
      <c r="T387" t="b">
        <v>1</v>
      </c>
      <c r="U387" t="s">
        <v>53</v>
      </c>
      <c r="V387" t="s">
        <v>54</v>
      </c>
      <c r="W387">
        <v>4</v>
      </c>
      <c r="X387" t="b">
        <v>0</v>
      </c>
      <c r="Y387" t="s">
        <v>55</v>
      </c>
      <c r="Z387" t="s">
        <v>56</v>
      </c>
      <c r="AA387" t="s">
        <v>57</v>
      </c>
      <c r="AB387">
        <v>0</v>
      </c>
      <c r="AC387" t="s">
        <v>58</v>
      </c>
      <c r="AD387">
        <v>8</v>
      </c>
      <c r="AE387" t="s">
        <v>59</v>
      </c>
      <c r="AF387">
        <v>309772.93400000001</v>
      </c>
      <c r="AG387" t="b">
        <v>1</v>
      </c>
      <c r="AH387">
        <v>-1</v>
      </c>
      <c r="AI387" t="s">
        <v>73</v>
      </c>
      <c r="AJ387">
        <v>0</v>
      </c>
      <c r="AK387" t="b">
        <v>0</v>
      </c>
      <c r="AL387">
        <v>309772.93400000001</v>
      </c>
      <c r="AM387" t="b">
        <v>1</v>
      </c>
      <c r="AN387">
        <v>0</v>
      </c>
      <c r="AO387" t="b">
        <v>0</v>
      </c>
      <c r="AQ387">
        <v>216427.28400000001</v>
      </c>
      <c r="AR387">
        <v>216427.28400000001</v>
      </c>
      <c r="AS387">
        <v>6</v>
      </c>
      <c r="AT387" t="b">
        <v>0</v>
      </c>
      <c r="AU387" t="b">
        <v>1</v>
      </c>
      <c r="BA387" t="str">
        <f t="shared" ref="BA387:BA450" si="12">IF(OR(AJ387&lt;AY387,AJ961&gt;AZ387),"Outlier","Normal")</f>
        <v>Normal</v>
      </c>
      <c r="BG387" t="str">
        <f t="shared" ref="BG387:BG450" si="13">IF(OR(AQ387&lt;BE387,AQ961&gt;BF387),"Outlier","Normal")</f>
        <v>Normal</v>
      </c>
    </row>
    <row r="388" spans="1:59" x14ac:dyDescent="0.2">
      <c r="A388" t="s">
        <v>42</v>
      </c>
      <c r="B388" t="s">
        <v>43</v>
      </c>
      <c r="C388">
        <v>20220101</v>
      </c>
      <c r="D388">
        <v>2022</v>
      </c>
      <c r="E388">
        <v>52</v>
      </c>
      <c r="F388" t="s">
        <v>299</v>
      </c>
      <c r="G388">
        <v>757</v>
      </c>
      <c r="H388" t="s">
        <v>246</v>
      </c>
      <c r="I388" t="s">
        <v>247</v>
      </c>
      <c r="J388" t="s">
        <v>47</v>
      </c>
      <c r="K388" t="s">
        <v>48</v>
      </c>
      <c r="L388">
        <v>0</v>
      </c>
      <c r="M388" t="s">
        <v>49</v>
      </c>
      <c r="N388" t="s">
        <v>50</v>
      </c>
      <c r="O388">
        <v>0</v>
      </c>
      <c r="P388" t="s">
        <v>49</v>
      </c>
      <c r="Q388" t="s">
        <v>50</v>
      </c>
      <c r="R388" t="s">
        <v>300</v>
      </c>
      <c r="S388" t="s">
        <v>52</v>
      </c>
      <c r="T388" t="b">
        <v>1</v>
      </c>
      <c r="U388" t="s">
        <v>53</v>
      </c>
      <c r="V388" t="s">
        <v>54</v>
      </c>
      <c r="W388">
        <v>4</v>
      </c>
      <c r="X388" t="b">
        <v>0</v>
      </c>
      <c r="Y388" t="s">
        <v>55</v>
      </c>
      <c r="Z388" t="s">
        <v>56</v>
      </c>
      <c r="AA388" t="s">
        <v>57</v>
      </c>
      <c r="AB388">
        <v>0</v>
      </c>
      <c r="AC388" t="s">
        <v>58</v>
      </c>
      <c r="AD388">
        <v>8</v>
      </c>
      <c r="AE388" t="s">
        <v>59</v>
      </c>
      <c r="AF388">
        <v>192.77799999999999</v>
      </c>
      <c r="AG388" t="b">
        <v>1</v>
      </c>
      <c r="AH388">
        <v>-1</v>
      </c>
      <c r="AI388" t="s">
        <v>73</v>
      </c>
      <c r="AJ388">
        <v>0</v>
      </c>
      <c r="AK388" t="b">
        <v>0</v>
      </c>
      <c r="AL388">
        <v>192.77799999999999</v>
      </c>
      <c r="AM388" t="b">
        <v>1</v>
      </c>
      <c r="AN388">
        <v>0</v>
      </c>
      <c r="AO388" t="b">
        <v>0</v>
      </c>
      <c r="AQ388">
        <v>2336.2719999999999</v>
      </c>
      <c r="AR388">
        <v>2336.2719999999999</v>
      </c>
      <c r="AS388">
        <v>6</v>
      </c>
      <c r="AT388" t="b">
        <v>0</v>
      </c>
      <c r="AU388" t="b">
        <v>1</v>
      </c>
      <c r="BA388" t="str">
        <f t="shared" si="12"/>
        <v>Normal</v>
      </c>
      <c r="BG388" t="str">
        <f t="shared" si="13"/>
        <v>Normal</v>
      </c>
    </row>
    <row r="389" spans="1:59" x14ac:dyDescent="0.2">
      <c r="A389" t="s">
        <v>42</v>
      </c>
      <c r="B389" t="s">
        <v>43</v>
      </c>
      <c r="C389">
        <v>20220101</v>
      </c>
      <c r="D389">
        <v>2022</v>
      </c>
      <c r="E389">
        <v>52</v>
      </c>
      <c r="F389" t="s">
        <v>299</v>
      </c>
      <c r="G389">
        <v>764</v>
      </c>
      <c r="H389" t="s">
        <v>248</v>
      </c>
      <c r="I389" t="s">
        <v>249</v>
      </c>
      <c r="J389" t="s">
        <v>47</v>
      </c>
      <c r="K389" t="s">
        <v>48</v>
      </c>
      <c r="L389">
        <v>0</v>
      </c>
      <c r="M389" t="s">
        <v>49</v>
      </c>
      <c r="N389" t="s">
        <v>50</v>
      </c>
      <c r="O389">
        <v>0</v>
      </c>
      <c r="P389" t="s">
        <v>49</v>
      </c>
      <c r="Q389" t="s">
        <v>50</v>
      </c>
      <c r="R389" t="s">
        <v>300</v>
      </c>
      <c r="S389" t="s">
        <v>52</v>
      </c>
      <c r="T389" t="b">
        <v>1</v>
      </c>
      <c r="U389" t="s">
        <v>53</v>
      </c>
      <c r="V389" t="s">
        <v>54</v>
      </c>
      <c r="W389">
        <v>4</v>
      </c>
      <c r="X389" t="b">
        <v>0</v>
      </c>
      <c r="Y389" t="s">
        <v>55</v>
      </c>
      <c r="Z389" t="s">
        <v>56</v>
      </c>
      <c r="AA389" t="s">
        <v>57</v>
      </c>
      <c r="AB389">
        <v>0</v>
      </c>
      <c r="AC389" t="s">
        <v>58</v>
      </c>
      <c r="AD389">
        <v>8</v>
      </c>
      <c r="AE389" t="s">
        <v>59</v>
      </c>
      <c r="AF389">
        <v>836888644</v>
      </c>
      <c r="AG389" t="b">
        <v>0</v>
      </c>
      <c r="AH389">
        <v>7</v>
      </c>
      <c r="AI389" t="s">
        <v>67</v>
      </c>
      <c r="AJ389">
        <v>979547131</v>
      </c>
      <c r="AK389" t="b">
        <v>0</v>
      </c>
      <c r="AL389">
        <v>836888644</v>
      </c>
      <c r="AM389" t="b">
        <v>0</v>
      </c>
      <c r="AN389">
        <v>0</v>
      </c>
      <c r="AO389" t="b">
        <v>0</v>
      </c>
      <c r="AQ389">
        <v>600761481.01699996</v>
      </c>
      <c r="AR389">
        <v>600761481.01699996</v>
      </c>
      <c r="AS389">
        <v>0</v>
      </c>
      <c r="AT389" t="b">
        <v>0</v>
      </c>
      <c r="AU389" t="b">
        <v>1</v>
      </c>
      <c r="BA389" t="str">
        <f t="shared" si="12"/>
        <v>Normal</v>
      </c>
      <c r="BG389" t="str">
        <f t="shared" si="13"/>
        <v>Normal</v>
      </c>
    </row>
    <row r="390" spans="1:59" x14ac:dyDescent="0.2">
      <c r="A390" t="s">
        <v>42</v>
      </c>
      <c r="B390" t="s">
        <v>43</v>
      </c>
      <c r="C390">
        <v>20220101</v>
      </c>
      <c r="D390">
        <v>2022</v>
      </c>
      <c r="E390">
        <v>52</v>
      </c>
      <c r="F390" t="s">
        <v>299</v>
      </c>
      <c r="G390">
        <v>780</v>
      </c>
      <c r="H390" t="s">
        <v>252</v>
      </c>
      <c r="I390" t="s">
        <v>253</v>
      </c>
      <c r="J390" t="s">
        <v>47</v>
      </c>
      <c r="K390" t="s">
        <v>48</v>
      </c>
      <c r="L390">
        <v>0</v>
      </c>
      <c r="M390" t="s">
        <v>49</v>
      </c>
      <c r="N390" t="s">
        <v>50</v>
      </c>
      <c r="O390">
        <v>0</v>
      </c>
      <c r="P390" t="s">
        <v>49</v>
      </c>
      <c r="Q390" t="s">
        <v>50</v>
      </c>
      <c r="R390" t="s">
        <v>104</v>
      </c>
      <c r="S390" t="s">
        <v>52</v>
      </c>
      <c r="T390" t="b">
        <v>1</v>
      </c>
      <c r="U390" t="s">
        <v>53</v>
      </c>
      <c r="V390" t="s">
        <v>54</v>
      </c>
      <c r="W390">
        <v>4</v>
      </c>
      <c r="X390" t="b">
        <v>0</v>
      </c>
      <c r="Y390" t="s">
        <v>55</v>
      </c>
      <c r="Z390" t="s">
        <v>56</v>
      </c>
      <c r="AA390" t="s">
        <v>57</v>
      </c>
      <c r="AB390">
        <v>0</v>
      </c>
      <c r="AC390" t="s">
        <v>58</v>
      </c>
      <c r="AD390">
        <v>-1</v>
      </c>
      <c r="AE390" t="s">
        <v>73</v>
      </c>
      <c r="AF390">
        <v>0</v>
      </c>
      <c r="AG390" t="b">
        <v>0</v>
      </c>
      <c r="AH390">
        <v>-1</v>
      </c>
      <c r="AI390" t="s">
        <v>73</v>
      </c>
      <c r="AJ390">
        <v>0</v>
      </c>
      <c r="AK390" t="b">
        <v>0</v>
      </c>
      <c r="AM390" t="b">
        <v>0</v>
      </c>
      <c r="AN390">
        <v>0</v>
      </c>
      <c r="AO390" t="b">
        <v>0</v>
      </c>
      <c r="AQ390">
        <v>2059983526.756</v>
      </c>
      <c r="AR390">
        <v>2059983526.756</v>
      </c>
      <c r="AS390">
        <v>0</v>
      </c>
      <c r="AT390" t="b">
        <v>0</v>
      </c>
      <c r="AU390" t="b">
        <v>1</v>
      </c>
      <c r="BA390" t="str">
        <f t="shared" si="12"/>
        <v>Normal</v>
      </c>
      <c r="BG390" t="str">
        <f t="shared" si="13"/>
        <v>Normal</v>
      </c>
    </row>
    <row r="391" spans="1:59" x14ac:dyDescent="0.2">
      <c r="A391" t="s">
        <v>42</v>
      </c>
      <c r="B391" t="s">
        <v>43</v>
      </c>
      <c r="C391">
        <v>20220101</v>
      </c>
      <c r="D391">
        <v>2022</v>
      </c>
      <c r="E391">
        <v>52</v>
      </c>
      <c r="F391" t="s">
        <v>299</v>
      </c>
      <c r="G391">
        <v>784</v>
      </c>
      <c r="H391" t="s">
        <v>254</v>
      </c>
      <c r="I391" t="s">
        <v>255</v>
      </c>
      <c r="J391" t="s">
        <v>47</v>
      </c>
      <c r="K391" t="s">
        <v>48</v>
      </c>
      <c r="L391">
        <v>0</v>
      </c>
      <c r="M391" t="s">
        <v>49</v>
      </c>
      <c r="N391" t="s">
        <v>50</v>
      </c>
      <c r="O391">
        <v>0</v>
      </c>
      <c r="P391" t="s">
        <v>49</v>
      </c>
      <c r="Q391" t="s">
        <v>50</v>
      </c>
      <c r="R391" t="s">
        <v>300</v>
      </c>
      <c r="S391" t="s">
        <v>52</v>
      </c>
      <c r="T391" t="b">
        <v>1</v>
      </c>
      <c r="U391" t="s">
        <v>53</v>
      </c>
      <c r="V391" t="s">
        <v>54</v>
      </c>
      <c r="W391">
        <v>4</v>
      </c>
      <c r="X391" t="b">
        <v>0</v>
      </c>
      <c r="Y391" t="s">
        <v>55</v>
      </c>
      <c r="Z391" t="s">
        <v>56</v>
      </c>
      <c r="AA391" t="s">
        <v>57</v>
      </c>
      <c r="AB391">
        <v>0</v>
      </c>
      <c r="AC391" t="s">
        <v>58</v>
      </c>
      <c r="AD391">
        <v>-1</v>
      </c>
      <c r="AE391" t="s">
        <v>73</v>
      </c>
      <c r="AF391">
        <v>0</v>
      </c>
      <c r="AG391" t="b">
        <v>0</v>
      </c>
      <c r="AH391">
        <v>-1</v>
      </c>
      <c r="AI391" t="s">
        <v>73</v>
      </c>
      <c r="AJ391">
        <v>0</v>
      </c>
      <c r="AK391" t="b">
        <v>0</v>
      </c>
      <c r="AM391" t="b">
        <v>0</v>
      </c>
      <c r="AN391">
        <v>0</v>
      </c>
      <c r="AO391" t="b">
        <v>0</v>
      </c>
      <c r="AQ391">
        <v>154476104445.767</v>
      </c>
      <c r="AR391">
        <v>154476104445.767</v>
      </c>
      <c r="AS391">
        <v>0</v>
      </c>
      <c r="AT391" t="b">
        <v>0</v>
      </c>
      <c r="AU391" t="b">
        <v>1</v>
      </c>
      <c r="BA391" t="str">
        <f t="shared" si="12"/>
        <v>Normal</v>
      </c>
      <c r="BG391" t="str">
        <f t="shared" si="13"/>
        <v>Normal</v>
      </c>
    </row>
    <row r="392" spans="1:59" x14ac:dyDescent="0.2">
      <c r="A392" t="s">
        <v>42</v>
      </c>
      <c r="B392" t="s">
        <v>43</v>
      </c>
      <c r="C392">
        <v>20220101</v>
      </c>
      <c r="D392">
        <v>2022</v>
      </c>
      <c r="E392">
        <v>52</v>
      </c>
      <c r="F392" t="s">
        <v>299</v>
      </c>
      <c r="G392">
        <v>788</v>
      </c>
      <c r="H392" t="s">
        <v>256</v>
      </c>
      <c r="I392" t="s">
        <v>257</v>
      </c>
      <c r="J392" t="s">
        <v>47</v>
      </c>
      <c r="K392" t="s">
        <v>48</v>
      </c>
      <c r="L392">
        <v>0</v>
      </c>
      <c r="M392" t="s">
        <v>49</v>
      </c>
      <c r="N392" t="s">
        <v>50</v>
      </c>
      <c r="O392">
        <v>0</v>
      </c>
      <c r="P392" t="s">
        <v>49</v>
      </c>
      <c r="Q392" t="s">
        <v>50</v>
      </c>
      <c r="R392" t="s">
        <v>51</v>
      </c>
      <c r="S392" t="s">
        <v>52</v>
      </c>
      <c r="T392" t="b">
        <v>1</v>
      </c>
      <c r="U392" t="s">
        <v>53</v>
      </c>
      <c r="V392" t="s">
        <v>54</v>
      </c>
      <c r="W392">
        <v>4</v>
      </c>
      <c r="X392" t="b">
        <v>0</v>
      </c>
      <c r="Y392" t="s">
        <v>55</v>
      </c>
      <c r="Z392" t="s">
        <v>56</v>
      </c>
      <c r="AA392" t="s">
        <v>57</v>
      </c>
      <c r="AB392">
        <v>0</v>
      </c>
      <c r="AC392" t="s">
        <v>58</v>
      </c>
      <c r="AD392">
        <v>8</v>
      </c>
      <c r="AE392" t="s">
        <v>59</v>
      </c>
      <c r="AF392">
        <v>1169130263</v>
      </c>
      <c r="AG392" t="b">
        <v>0</v>
      </c>
      <c r="AH392">
        <v>-1</v>
      </c>
      <c r="AI392" t="s">
        <v>73</v>
      </c>
      <c r="AJ392">
        <v>0</v>
      </c>
      <c r="AK392" t="b">
        <v>0</v>
      </c>
      <c r="AL392">
        <v>1169130263</v>
      </c>
      <c r="AM392" t="b">
        <v>0</v>
      </c>
      <c r="AN392">
        <v>0</v>
      </c>
      <c r="AO392" t="b">
        <v>0</v>
      </c>
      <c r="AQ392">
        <v>844763458.91700006</v>
      </c>
      <c r="AR392">
        <v>844763458.91700006</v>
      </c>
      <c r="AS392">
        <v>0</v>
      </c>
      <c r="AT392" t="b">
        <v>0</v>
      </c>
      <c r="AU392" t="b">
        <v>1</v>
      </c>
      <c r="BA392" t="str">
        <f t="shared" si="12"/>
        <v>Normal</v>
      </c>
      <c r="BG392" t="str">
        <f t="shared" si="13"/>
        <v>Normal</v>
      </c>
    </row>
    <row r="393" spans="1:59" x14ac:dyDescent="0.2">
      <c r="A393" t="s">
        <v>42</v>
      </c>
      <c r="B393" t="s">
        <v>43</v>
      </c>
      <c r="C393">
        <v>20220101</v>
      </c>
      <c r="D393">
        <v>2022</v>
      </c>
      <c r="E393">
        <v>52</v>
      </c>
      <c r="F393" t="s">
        <v>299</v>
      </c>
      <c r="G393">
        <v>800</v>
      </c>
      <c r="H393" t="s">
        <v>258</v>
      </c>
      <c r="I393" t="s">
        <v>259</v>
      </c>
      <c r="J393" t="s">
        <v>47</v>
      </c>
      <c r="K393" t="s">
        <v>48</v>
      </c>
      <c r="L393">
        <v>0</v>
      </c>
      <c r="M393" t="s">
        <v>49</v>
      </c>
      <c r="N393" t="s">
        <v>50</v>
      </c>
      <c r="O393">
        <v>0</v>
      </c>
      <c r="P393" t="s">
        <v>49</v>
      </c>
      <c r="Q393" t="s">
        <v>50</v>
      </c>
      <c r="R393" t="s">
        <v>300</v>
      </c>
      <c r="S393" t="s">
        <v>52</v>
      </c>
      <c r="T393" t="b">
        <v>1</v>
      </c>
      <c r="U393" t="s">
        <v>53</v>
      </c>
      <c r="V393" t="s">
        <v>54</v>
      </c>
      <c r="W393">
        <v>4</v>
      </c>
      <c r="X393" t="b">
        <v>0</v>
      </c>
      <c r="Y393" t="s">
        <v>55</v>
      </c>
      <c r="Z393" t="s">
        <v>56</v>
      </c>
      <c r="AA393" t="s">
        <v>57</v>
      </c>
      <c r="AB393">
        <v>0</v>
      </c>
      <c r="AC393" t="s">
        <v>58</v>
      </c>
      <c r="AD393">
        <v>8</v>
      </c>
      <c r="AE393" t="s">
        <v>59</v>
      </c>
      <c r="AF393">
        <v>6351</v>
      </c>
      <c r="AG393" t="b">
        <v>0</v>
      </c>
      <c r="AH393">
        <v>8</v>
      </c>
      <c r="AI393" t="s">
        <v>59</v>
      </c>
      <c r="AJ393">
        <v>6351</v>
      </c>
      <c r="AK393" t="b">
        <v>0</v>
      </c>
      <c r="AL393">
        <v>6351</v>
      </c>
      <c r="AM393" t="b">
        <v>0</v>
      </c>
      <c r="AN393">
        <v>0</v>
      </c>
      <c r="AO393" t="b">
        <v>0</v>
      </c>
      <c r="AQ393">
        <v>46958.03</v>
      </c>
      <c r="AR393">
        <v>46958.03</v>
      </c>
      <c r="AS393">
        <v>0</v>
      </c>
      <c r="AT393" t="b">
        <v>0</v>
      </c>
      <c r="AU393" t="b">
        <v>1</v>
      </c>
      <c r="BA393" t="str">
        <f t="shared" si="12"/>
        <v>Normal</v>
      </c>
      <c r="BG393" t="str">
        <f t="shared" si="13"/>
        <v>Normal</v>
      </c>
    </row>
    <row r="394" spans="1:59" x14ac:dyDescent="0.2">
      <c r="A394" t="s">
        <v>42</v>
      </c>
      <c r="B394" t="s">
        <v>43</v>
      </c>
      <c r="C394">
        <v>20220101</v>
      </c>
      <c r="D394">
        <v>2022</v>
      </c>
      <c r="E394">
        <v>52</v>
      </c>
      <c r="F394" t="s">
        <v>299</v>
      </c>
      <c r="G394">
        <v>804</v>
      </c>
      <c r="H394" t="s">
        <v>260</v>
      </c>
      <c r="I394" t="s">
        <v>261</v>
      </c>
      <c r="J394" t="s">
        <v>47</v>
      </c>
      <c r="K394" t="s">
        <v>48</v>
      </c>
      <c r="L394">
        <v>0</v>
      </c>
      <c r="M394" t="s">
        <v>49</v>
      </c>
      <c r="N394" t="s">
        <v>50</v>
      </c>
      <c r="O394">
        <v>0</v>
      </c>
      <c r="P394" t="s">
        <v>49</v>
      </c>
      <c r="Q394" t="s">
        <v>50</v>
      </c>
      <c r="R394" t="s">
        <v>51</v>
      </c>
      <c r="S394" t="s">
        <v>52</v>
      </c>
      <c r="T394" t="b">
        <v>1</v>
      </c>
      <c r="U394" t="s">
        <v>53</v>
      </c>
      <c r="V394" t="s">
        <v>54</v>
      </c>
      <c r="W394">
        <v>4</v>
      </c>
      <c r="X394" t="b">
        <v>0</v>
      </c>
      <c r="Y394" t="s">
        <v>55</v>
      </c>
      <c r="Z394" t="s">
        <v>56</v>
      </c>
      <c r="AA394" t="s">
        <v>57</v>
      </c>
      <c r="AB394">
        <v>0</v>
      </c>
      <c r="AC394" t="s">
        <v>58</v>
      </c>
      <c r="AD394">
        <v>8</v>
      </c>
      <c r="AE394" t="s">
        <v>59</v>
      </c>
      <c r="AF394">
        <v>3936952</v>
      </c>
      <c r="AG394" t="b">
        <v>0</v>
      </c>
      <c r="AH394">
        <v>8</v>
      </c>
      <c r="AI394" t="s">
        <v>59</v>
      </c>
      <c r="AJ394">
        <v>3936952</v>
      </c>
      <c r="AK394" t="b">
        <v>0</v>
      </c>
      <c r="AL394">
        <v>3936952</v>
      </c>
      <c r="AM394" t="b">
        <v>0</v>
      </c>
      <c r="AN394">
        <v>0</v>
      </c>
      <c r="AO394" t="b">
        <v>0</v>
      </c>
      <c r="AQ394">
        <v>2412428.23</v>
      </c>
      <c r="AR394">
        <v>2412428.23</v>
      </c>
      <c r="AS394">
        <v>0</v>
      </c>
      <c r="AT394" t="b">
        <v>0</v>
      </c>
      <c r="AU394" t="b">
        <v>1</v>
      </c>
      <c r="BA394" t="str">
        <f t="shared" si="12"/>
        <v>Normal</v>
      </c>
      <c r="BG394" t="str">
        <f t="shared" si="13"/>
        <v>Normal</v>
      </c>
    </row>
    <row r="395" spans="1:59" x14ac:dyDescent="0.2">
      <c r="A395" t="s">
        <v>42</v>
      </c>
      <c r="B395" t="s">
        <v>43</v>
      </c>
      <c r="C395">
        <v>20220101</v>
      </c>
      <c r="D395">
        <v>2022</v>
      </c>
      <c r="E395">
        <v>52</v>
      </c>
      <c r="F395" t="s">
        <v>299</v>
      </c>
      <c r="G395">
        <v>818</v>
      </c>
      <c r="H395" t="s">
        <v>262</v>
      </c>
      <c r="I395" t="s">
        <v>263</v>
      </c>
      <c r="J395" t="s">
        <v>47</v>
      </c>
      <c r="K395" t="s">
        <v>48</v>
      </c>
      <c r="L395">
        <v>0</v>
      </c>
      <c r="M395" t="s">
        <v>49</v>
      </c>
      <c r="N395" t="s">
        <v>50</v>
      </c>
      <c r="O395">
        <v>0</v>
      </c>
      <c r="P395" t="s">
        <v>49</v>
      </c>
      <c r="Q395" t="s">
        <v>50</v>
      </c>
      <c r="R395" t="s">
        <v>300</v>
      </c>
      <c r="S395" t="s">
        <v>52</v>
      </c>
      <c r="T395" t="b">
        <v>1</v>
      </c>
      <c r="U395" t="s">
        <v>53</v>
      </c>
      <c r="V395" t="s">
        <v>54</v>
      </c>
      <c r="W395">
        <v>4</v>
      </c>
      <c r="X395" t="b">
        <v>0</v>
      </c>
      <c r="Y395" t="s">
        <v>55</v>
      </c>
      <c r="Z395" t="s">
        <v>56</v>
      </c>
      <c r="AA395" t="s">
        <v>57</v>
      </c>
      <c r="AB395">
        <v>0</v>
      </c>
      <c r="AC395" t="s">
        <v>58</v>
      </c>
      <c r="AD395">
        <v>8</v>
      </c>
      <c r="AE395" t="s">
        <v>59</v>
      </c>
      <c r="AF395">
        <v>4743502934.2469997</v>
      </c>
      <c r="AG395" t="b">
        <v>1</v>
      </c>
      <c r="AH395">
        <v>-1</v>
      </c>
      <c r="AI395" t="s">
        <v>73</v>
      </c>
      <c r="AJ395">
        <v>0</v>
      </c>
      <c r="AK395" t="b">
        <v>0</v>
      </c>
      <c r="AL395">
        <v>4743502934.2469997</v>
      </c>
      <c r="AM395" t="b">
        <v>1</v>
      </c>
      <c r="AN395">
        <v>0</v>
      </c>
      <c r="AO395" t="b">
        <v>0</v>
      </c>
      <c r="AQ395">
        <v>3202780000</v>
      </c>
      <c r="AR395">
        <v>3202780000</v>
      </c>
      <c r="AS395">
        <v>6</v>
      </c>
      <c r="AT395" t="b">
        <v>0</v>
      </c>
      <c r="AU395" t="b">
        <v>1</v>
      </c>
      <c r="BA395" t="str">
        <f t="shared" si="12"/>
        <v>Normal</v>
      </c>
      <c r="BG395" t="str">
        <f t="shared" si="13"/>
        <v>Normal</v>
      </c>
    </row>
    <row r="396" spans="1:59" x14ac:dyDescent="0.2">
      <c r="A396" t="s">
        <v>42</v>
      </c>
      <c r="B396" t="s">
        <v>43</v>
      </c>
      <c r="C396">
        <v>20220101</v>
      </c>
      <c r="D396">
        <v>2022</v>
      </c>
      <c r="E396">
        <v>52</v>
      </c>
      <c r="F396" t="s">
        <v>299</v>
      </c>
      <c r="G396">
        <v>826</v>
      </c>
      <c r="H396" t="s">
        <v>264</v>
      </c>
      <c r="I396" t="s">
        <v>265</v>
      </c>
      <c r="J396" t="s">
        <v>47</v>
      </c>
      <c r="K396" t="s">
        <v>48</v>
      </c>
      <c r="L396">
        <v>0</v>
      </c>
      <c r="M396" t="s">
        <v>49</v>
      </c>
      <c r="N396" t="s">
        <v>50</v>
      </c>
      <c r="O396">
        <v>0</v>
      </c>
      <c r="P396" t="s">
        <v>49</v>
      </c>
      <c r="Q396" t="s">
        <v>50</v>
      </c>
      <c r="R396" t="s">
        <v>300</v>
      </c>
      <c r="S396" t="s">
        <v>52</v>
      </c>
      <c r="T396" t="b">
        <v>1</v>
      </c>
      <c r="U396" t="s">
        <v>53</v>
      </c>
      <c r="V396" t="s">
        <v>54</v>
      </c>
      <c r="W396">
        <v>4</v>
      </c>
      <c r="X396" t="b">
        <v>0</v>
      </c>
      <c r="Y396" t="s">
        <v>55</v>
      </c>
      <c r="Z396" t="s">
        <v>56</v>
      </c>
      <c r="AA396" t="s">
        <v>57</v>
      </c>
      <c r="AB396">
        <v>0</v>
      </c>
      <c r="AC396" t="s">
        <v>58</v>
      </c>
      <c r="AD396">
        <v>-1</v>
      </c>
      <c r="AE396" t="s">
        <v>73</v>
      </c>
      <c r="AF396">
        <v>0</v>
      </c>
      <c r="AG396" t="b">
        <v>0</v>
      </c>
      <c r="AH396">
        <v>-1</v>
      </c>
      <c r="AI396" t="s">
        <v>73</v>
      </c>
      <c r="AJ396">
        <v>0</v>
      </c>
      <c r="AK396" t="b">
        <v>0</v>
      </c>
      <c r="AM396" t="b">
        <v>0</v>
      </c>
      <c r="AN396">
        <v>0</v>
      </c>
      <c r="AO396" t="b">
        <v>0</v>
      </c>
      <c r="AQ396">
        <v>25105379774.403999</v>
      </c>
      <c r="AR396">
        <v>25105379774.403999</v>
      </c>
      <c r="AS396">
        <v>0</v>
      </c>
      <c r="AT396" t="b">
        <v>0</v>
      </c>
      <c r="AU396" t="b">
        <v>1</v>
      </c>
      <c r="BA396" t="str">
        <f t="shared" si="12"/>
        <v>Normal</v>
      </c>
      <c r="BG396" t="str">
        <f t="shared" si="13"/>
        <v>Normal</v>
      </c>
    </row>
    <row r="397" spans="1:59" x14ac:dyDescent="0.2">
      <c r="A397" t="s">
        <v>42</v>
      </c>
      <c r="B397" t="s">
        <v>43</v>
      </c>
      <c r="C397">
        <v>20220101</v>
      </c>
      <c r="D397">
        <v>2022</v>
      </c>
      <c r="E397">
        <v>52</v>
      </c>
      <c r="F397" t="s">
        <v>299</v>
      </c>
      <c r="G397">
        <v>834</v>
      </c>
      <c r="H397" t="s">
        <v>266</v>
      </c>
      <c r="I397" t="s">
        <v>267</v>
      </c>
      <c r="J397" t="s">
        <v>47</v>
      </c>
      <c r="K397" t="s">
        <v>48</v>
      </c>
      <c r="L397">
        <v>0</v>
      </c>
      <c r="M397" t="s">
        <v>49</v>
      </c>
      <c r="N397" t="s">
        <v>50</v>
      </c>
      <c r="O397">
        <v>0</v>
      </c>
      <c r="P397" t="s">
        <v>49</v>
      </c>
      <c r="Q397" t="s">
        <v>50</v>
      </c>
      <c r="R397" t="s">
        <v>300</v>
      </c>
      <c r="S397" t="s">
        <v>52</v>
      </c>
      <c r="T397" t="b">
        <v>1</v>
      </c>
      <c r="U397" t="s">
        <v>53</v>
      </c>
      <c r="V397" t="s">
        <v>54</v>
      </c>
      <c r="W397">
        <v>4</v>
      </c>
      <c r="X397" t="b">
        <v>0</v>
      </c>
      <c r="Y397" t="s">
        <v>55</v>
      </c>
      <c r="Z397" t="s">
        <v>56</v>
      </c>
      <c r="AA397" t="s">
        <v>57</v>
      </c>
      <c r="AB397">
        <v>0</v>
      </c>
      <c r="AC397" t="s">
        <v>58</v>
      </c>
      <c r="AD397">
        <v>8</v>
      </c>
      <c r="AE397" t="s">
        <v>59</v>
      </c>
      <c r="AF397">
        <v>3241530</v>
      </c>
      <c r="AG397" t="b">
        <v>0</v>
      </c>
      <c r="AH397">
        <v>8</v>
      </c>
      <c r="AI397" t="s">
        <v>59</v>
      </c>
      <c r="AJ397">
        <v>3241530</v>
      </c>
      <c r="AK397" t="b">
        <v>0</v>
      </c>
      <c r="AL397">
        <v>3241530</v>
      </c>
      <c r="AM397" t="b">
        <v>0</v>
      </c>
      <c r="AN397">
        <v>0</v>
      </c>
      <c r="AO397" t="b">
        <v>0</v>
      </c>
      <c r="AQ397">
        <v>961595.9</v>
      </c>
      <c r="AR397">
        <v>961595.9</v>
      </c>
      <c r="AS397">
        <v>0</v>
      </c>
      <c r="AT397" t="b">
        <v>0</v>
      </c>
      <c r="AU397" t="b">
        <v>1</v>
      </c>
      <c r="BA397" t="str">
        <f t="shared" si="12"/>
        <v>Normal</v>
      </c>
      <c r="BG397" t="str">
        <f t="shared" si="13"/>
        <v>Normal</v>
      </c>
    </row>
    <row r="398" spans="1:59" x14ac:dyDescent="0.2">
      <c r="A398" t="s">
        <v>42</v>
      </c>
      <c r="B398" t="s">
        <v>43</v>
      </c>
      <c r="C398">
        <v>20220101</v>
      </c>
      <c r="D398">
        <v>2022</v>
      </c>
      <c r="E398">
        <v>52</v>
      </c>
      <c r="F398" t="s">
        <v>299</v>
      </c>
      <c r="G398">
        <v>842</v>
      </c>
      <c r="H398" t="s">
        <v>268</v>
      </c>
      <c r="I398" t="s">
        <v>268</v>
      </c>
      <c r="J398" t="s">
        <v>47</v>
      </c>
      <c r="K398" t="s">
        <v>48</v>
      </c>
      <c r="L398">
        <v>0</v>
      </c>
      <c r="M398" t="s">
        <v>49</v>
      </c>
      <c r="N398" t="s">
        <v>50</v>
      </c>
      <c r="O398">
        <v>0</v>
      </c>
      <c r="P398" t="s">
        <v>49</v>
      </c>
      <c r="Q398" t="s">
        <v>50</v>
      </c>
      <c r="R398" t="s">
        <v>300</v>
      </c>
      <c r="S398" t="s">
        <v>52</v>
      </c>
      <c r="T398" t="b">
        <v>1</v>
      </c>
      <c r="U398" t="s">
        <v>53</v>
      </c>
      <c r="V398" t="s">
        <v>54</v>
      </c>
      <c r="W398">
        <v>4</v>
      </c>
      <c r="X398" t="b">
        <v>0</v>
      </c>
      <c r="Y398" t="s">
        <v>55</v>
      </c>
      <c r="Z398" t="s">
        <v>56</v>
      </c>
      <c r="AA398" t="s">
        <v>57</v>
      </c>
      <c r="AB398">
        <v>0</v>
      </c>
      <c r="AC398" t="s">
        <v>58</v>
      </c>
      <c r="AD398">
        <v>8</v>
      </c>
      <c r="AE398" t="s">
        <v>59</v>
      </c>
      <c r="AF398">
        <v>209184635442</v>
      </c>
      <c r="AG398" t="b">
        <v>0</v>
      </c>
      <c r="AH398">
        <v>19</v>
      </c>
      <c r="AI398" t="s">
        <v>60</v>
      </c>
      <c r="AJ398">
        <v>1315626638</v>
      </c>
      <c r="AK398" t="b">
        <v>0</v>
      </c>
      <c r="AL398">
        <v>209184635442</v>
      </c>
      <c r="AM398" t="b">
        <v>0</v>
      </c>
      <c r="AN398">
        <v>0</v>
      </c>
      <c r="AO398" t="b">
        <v>0</v>
      </c>
      <c r="AQ398">
        <v>117034462388</v>
      </c>
      <c r="AR398">
        <v>117034462388</v>
      </c>
      <c r="AS398">
        <v>0</v>
      </c>
      <c r="AT398" t="b">
        <v>0</v>
      </c>
      <c r="AU398" t="b">
        <v>1</v>
      </c>
      <c r="BA398" t="str">
        <f t="shared" si="12"/>
        <v>Normal</v>
      </c>
      <c r="BG398" t="str">
        <f t="shared" si="13"/>
        <v>Normal</v>
      </c>
    </row>
    <row r="399" spans="1:59" x14ac:dyDescent="0.2">
      <c r="A399" t="s">
        <v>42</v>
      </c>
      <c r="B399" t="s">
        <v>43</v>
      </c>
      <c r="C399">
        <v>20220101</v>
      </c>
      <c r="D399">
        <v>2022</v>
      </c>
      <c r="E399">
        <v>52</v>
      </c>
      <c r="F399" t="s">
        <v>299</v>
      </c>
      <c r="G399">
        <v>860</v>
      </c>
      <c r="H399" t="s">
        <v>283</v>
      </c>
      <c r="I399" t="s">
        <v>284</v>
      </c>
      <c r="J399" t="s">
        <v>47</v>
      </c>
      <c r="K399" t="s">
        <v>48</v>
      </c>
      <c r="L399">
        <v>0</v>
      </c>
      <c r="M399" t="s">
        <v>49</v>
      </c>
      <c r="N399" t="s">
        <v>50</v>
      </c>
      <c r="O399">
        <v>0</v>
      </c>
      <c r="P399" t="s">
        <v>49</v>
      </c>
      <c r="Q399" t="s">
        <v>50</v>
      </c>
      <c r="R399" t="s">
        <v>51</v>
      </c>
      <c r="S399" t="s">
        <v>52</v>
      </c>
      <c r="T399" t="b">
        <v>1</v>
      </c>
      <c r="U399" t="s">
        <v>53</v>
      </c>
      <c r="V399" t="s">
        <v>54</v>
      </c>
      <c r="W399">
        <v>4</v>
      </c>
      <c r="X399" t="b">
        <v>0</v>
      </c>
      <c r="Y399" t="s">
        <v>55</v>
      </c>
      <c r="Z399" t="s">
        <v>56</v>
      </c>
      <c r="AA399" t="s">
        <v>57</v>
      </c>
      <c r="AB399">
        <v>0</v>
      </c>
      <c r="AC399" t="s">
        <v>58</v>
      </c>
      <c r="AD399">
        <v>8</v>
      </c>
      <c r="AE399" t="s">
        <v>59</v>
      </c>
      <c r="AF399">
        <v>60</v>
      </c>
      <c r="AG399" t="b">
        <v>0</v>
      </c>
      <c r="AH399">
        <v>21</v>
      </c>
      <c r="AI399" t="s">
        <v>170</v>
      </c>
      <c r="AJ399">
        <v>0.06</v>
      </c>
      <c r="AK399" t="b">
        <v>0</v>
      </c>
      <c r="AL399">
        <v>60</v>
      </c>
      <c r="AM399" t="b">
        <v>0</v>
      </c>
      <c r="AN399">
        <v>0</v>
      </c>
      <c r="AO399" t="b">
        <v>0</v>
      </c>
      <c r="AP399">
        <v>0</v>
      </c>
      <c r="AQ399">
        <v>51</v>
      </c>
      <c r="AR399">
        <v>51</v>
      </c>
      <c r="AS399">
        <v>0</v>
      </c>
      <c r="AT399" t="b">
        <v>0</v>
      </c>
      <c r="AU399" t="b">
        <v>1</v>
      </c>
      <c r="BA399" t="str">
        <f t="shared" si="12"/>
        <v>Normal</v>
      </c>
      <c r="BG399" t="str">
        <f t="shared" si="13"/>
        <v>Normal</v>
      </c>
    </row>
    <row r="400" spans="1:59" x14ac:dyDescent="0.2">
      <c r="A400" t="s">
        <v>42</v>
      </c>
      <c r="B400" t="s">
        <v>43</v>
      </c>
      <c r="C400">
        <v>20220101</v>
      </c>
      <c r="D400">
        <v>2022</v>
      </c>
      <c r="E400">
        <v>52</v>
      </c>
      <c r="F400" t="s">
        <v>299</v>
      </c>
      <c r="G400">
        <v>882</v>
      </c>
      <c r="H400" t="s">
        <v>269</v>
      </c>
      <c r="I400" t="s">
        <v>270</v>
      </c>
      <c r="J400" t="s">
        <v>47</v>
      </c>
      <c r="K400" t="s">
        <v>48</v>
      </c>
      <c r="L400">
        <v>0</v>
      </c>
      <c r="M400" t="s">
        <v>49</v>
      </c>
      <c r="N400" t="s">
        <v>50</v>
      </c>
      <c r="O400">
        <v>0</v>
      </c>
      <c r="P400" t="s">
        <v>49</v>
      </c>
      <c r="Q400" t="s">
        <v>50</v>
      </c>
      <c r="R400" t="s">
        <v>51</v>
      </c>
      <c r="S400" t="s">
        <v>52</v>
      </c>
      <c r="T400" t="b">
        <v>1</v>
      </c>
      <c r="U400" t="s">
        <v>53</v>
      </c>
      <c r="V400" t="s">
        <v>54</v>
      </c>
      <c r="W400">
        <v>4</v>
      </c>
      <c r="X400" t="b">
        <v>0</v>
      </c>
      <c r="Y400" t="s">
        <v>55</v>
      </c>
      <c r="Z400" t="s">
        <v>56</v>
      </c>
      <c r="AA400" t="s">
        <v>57</v>
      </c>
      <c r="AB400">
        <v>0</v>
      </c>
      <c r="AC400" t="s">
        <v>58</v>
      </c>
      <c r="AD400">
        <v>8</v>
      </c>
      <c r="AE400" t="s">
        <v>59</v>
      </c>
      <c r="AF400">
        <v>9200</v>
      </c>
      <c r="AG400" t="b">
        <v>0</v>
      </c>
      <c r="AH400">
        <v>7</v>
      </c>
      <c r="AI400" t="s">
        <v>67</v>
      </c>
      <c r="AJ400">
        <v>9200</v>
      </c>
      <c r="AK400" t="b">
        <v>0</v>
      </c>
      <c r="AL400">
        <v>9200</v>
      </c>
      <c r="AM400" t="b">
        <v>0</v>
      </c>
      <c r="AN400">
        <v>0</v>
      </c>
      <c r="AO400" t="b">
        <v>0</v>
      </c>
      <c r="AQ400">
        <v>8614.4</v>
      </c>
      <c r="AR400">
        <v>8614.4</v>
      </c>
      <c r="AS400">
        <v>0</v>
      </c>
      <c r="AT400" t="b">
        <v>0</v>
      </c>
      <c r="AU400" t="b">
        <v>1</v>
      </c>
      <c r="BA400" t="str">
        <f t="shared" si="12"/>
        <v>Normal</v>
      </c>
      <c r="BG400" t="str">
        <f t="shared" si="13"/>
        <v>Normal</v>
      </c>
    </row>
    <row r="401" spans="1:59" x14ac:dyDescent="0.2">
      <c r="A401" t="s">
        <v>42</v>
      </c>
      <c r="B401" t="s">
        <v>43</v>
      </c>
      <c r="C401">
        <v>20220101</v>
      </c>
      <c r="D401">
        <v>2022</v>
      </c>
      <c r="E401">
        <v>52</v>
      </c>
      <c r="F401" t="s">
        <v>299</v>
      </c>
      <c r="G401">
        <v>894</v>
      </c>
      <c r="H401" t="s">
        <v>285</v>
      </c>
      <c r="I401" t="s">
        <v>286</v>
      </c>
      <c r="J401" t="s">
        <v>47</v>
      </c>
      <c r="K401" t="s">
        <v>48</v>
      </c>
      <c r="L401">
        <v>0</v>
      </c>
      <c r="M401" t="s">
        <v>49</v>
      </c>
      <c r="N401" t="s">
        <v>50</v>
      </c>
      <c r="O401">
        <v>0</v>
      </c>
      <c r="P401" t="s">
        <v>49</v>
      </c>
      <c r="Q401" t="s">
        <v>50</v>
      </c>
      <c r="R401" t="s">
        <v>300</v>
      </c>
      <c r="S401" t="s">
        <v>52</v>
      </c>
      <c r="T401" t="b">
        <v>1</v>
      </c>
      <c r="U401" t="s">
        <v>53</v>
      </c>
      <c r="V401" t="s">
        <v>54</v>
      </c>
      <c r="W401">
        <v>4</v>
      </c>
      <c r="X401" t="b">
        <v>0</v>
      </c>
      <c r="Y401" t="s">
        <v>55</v>
      </c>
      <c r="Z401" t="s">
        <v>56</v>
      </c>
      <c r="AA401" t="s">
        <v>57</v>
      </c>
      <c r="AB401">
        <v>0</v>
      </c>
      <c r="AC401" t="s">
        <v>58</v>
      </c>
      <c r="AD401">
        <v>8</v>
      </c>
      <c r="AE401" t="s">
        <v>59</v>
      </c>
      <c r="AF401">
        <v>1663463</v>
      </c>
      <c r="AG401" t="b">
        <v>0</v>
      </c>
      <c r="AH401">
        <v>7</v>
      </c>
      <c r="AI401" t="s">
        <v>67</v>
      </c>
      <c r="AJ401">
        <v>178828</v>
      </c>
      <c r="AK401" t="b">
        <v>0</v>
      </c>
      <c r="AL401">
        <v>1663463</v>
      </c>
      <c r="AM401" t="b">
        <v>0</v>
      </c>
      <c r="AN401">
        <v>0</v>
      </c>
      <c r="AO401" t="b">
        <v>0</v>
      </c>
      <c r="AQ401">
        <v>391807.90399999998</v>
      </c>
      <c r="AR401">
        <v>391807.90399999998</v>
      </c>
      <c r="AS401">
        <v>0</v>
      </c>
      <c r="AT401" t="b">
        <v>0</v>
      </c>
      <c r="AU401" t="b">
        <v>1</v>
      </c>
      <c r="BA401" t="str">
        <f t="shared" si="12"/>
        <v>Normal</v>
      </c>
      <c r="BG401" t="str">
        <f t="shared" si="13"/>
        <v>Normal</v>
      </c>
    </row>
    <row r="402" spans="1:59" x14ac:dyDescent="0.2">
      <c r="A402" t="s">
        <v>42</v>
      </c>
      <c r="B402" t="s">
        <v>43</v>
      </c>
      <c r="C402">
        <v>20230101</v>
      </c>
      <c r="D402">
        <v>2023</v>
      </c>
      <c r="E402">
        <v>52</v>
      </c>
      <c r="F402" t="s">
        <v>311</v>
      </c>
      <c r="G402">
        <v>20</v>
      </c>
      <c r="H402" t="s">
        <v>288</v>
      </c>
      <c r="I402" t="s">
        <v>289</v>
      </c>
      <c r="J402" t="s">
        <v>47</v>
      </c>
      <c r="K402" t="s">
        <v>48</v>
      </c>
      <c r="L402">
        <v>0</v>
      </c>
      <c r="M402" t="s">
        <v>49</v>
      </c>
      <c r="N402" t="s">
        <v>50</v>
      </c>
      <c r="O402">
        <v>0</v>
      </c>
      <c r="P402" t="s">
        <v>49</v>
      </c>
      <c r="Q402" t="s">
        <v>50</v>
      </c>
      <c r="R402" t="s">
        <v>300</v>
      </c>
      <c r="S402" t="s">
        <v>52</v>
      </c>
      <c r="T402" t="b">
        <v>1</v>
      </c>
      <c r="U402" t="s">
        <v>53</v>
      </c>
      <c r="V402" t="s">
        <v>54</v>
      </c>
      <c r="W402">
        <v>4</v>
      </c>
      <c r="X402" t="b">
        <v>0</v>
      </c>
      <c r="Y402" t="s">
        <v>55</v>
      </c>
      <c r="Z402" t="s">
        <v>56</v>
      </c>
      <c r="AA402" t="s">
        <v>57</v>
      </c>
      <c r="AB402">
        <v>0</v>
      </c>
      <c r="AC402" t="s">
        <v>58</v>
      </c>
      <c r="AD402">
        <v>8</v>
      </c>
      <c r="AE402" t="s">
        <v>59</v>
      </c>
      <c r="AF402">
        <v>5</v>
      </c>
      <c r="AG402" t="b">
        <v>0</v>
      </c>
      <c r="AH402">
        <v>8</v>
      </c>
      <c r="AI402" t="s">
        <v>59</v>
      </c>
      <c r="AJ402">
        <v>5</v>
      </c>
      <c r="AK402" t="b">
        <v>0</v>
      </c>
      <c r="AL402">
        <v>5</v>
      </c>
      <c r="AM402" t="b">
        <v>0</v>
      </c>
      <c r="AN402">
        <v>0</v>
      </c>
      <c r="AO402" t="b">
        <v>0</v>
      </c>
      <c r="AQ402">
        <v>19.466000000000001</v>
      </c>
      <c r="AR402">
        <v>19.466000000000001</v>
      </c>
      <c r="AS402">
        <v>0</v>
      </c>
      <c r="AT402" t="b">
        <v>0</v>
      </c>
      <c r="AU402" t="b">
        <v>1</v>
      </c>
      <c r="BA402" t="str">
        <f t="shared" si="12"/>
        <v>Normal</v>
      </c>
      <c r="BG402" t="str">
        <f t="shared" si="13"/>
        <v>Normal</v>
      </c>
    </row>
    <row r="403" spans="1:59" x14ac:dyDescent="0.2">
      <c r="A403" t="s">
        <v>42</v>
      </c>
      <c r="B403" t="s">
        <v>43</v>
      </c>
      <c r="C403">
        <v>20230101</v>
      </c>
      <c r="D403">
        <v>2023</v>
      </c>
      <c r="E403">
        <v>52</v>
      </c>
      <c r="F403" t="s">
        <v>311</v>
      </c>
      <c r="G403">
        <v>24</v>
      </c>
      <c r="H403" t="s">
        <v>45</v>
      </c>
      <c r="I403" t="s">
        <v>46</v>
      </c>
      <c r="J403" t="s">
        <v>47</v>
      </c>
      <c r="K403" t="s">
        <v>48</v>
      </c>
      <c r="L403">
        <v>0</v>
      </c>
      <c r="M403" t="s">
        <v>49</v>
      </c>
      <c r="N403" t="s">
        <v>50</v>
      </c>
      <c r="O403">
        <v>0</v>
      </c>
      <c r="P403" t="s">
        <v>49</v>
      </c>
      <c r="Q403" t="s">
        <v>50</v>
      </c>
      <c r="R403" t="s">
        <v>51</v>
      </c>
      <c r="S403" t="s">
        <v>52</v>
      </c>
      <c r="T403" t="b">
        <v>1</v>
      </c>
      <c r="U403" t="s">
        <v>53</v>
      </c>
      <c r="V403" t="s">
        <v>54</v>
      </c>
      <c r="W403">
        <v>4</v>
      </c>
      <c r="X403" t="b">
        <v>0</v>
      </c>
      <c r="Y403" t="s">
        <v>55</v>
      </c>
      <c r="Z403" t="s">
        <v>56</v>
      </c>
      <c r="AA403" t="s">
        <v>57</v>
      </c>
      <c r="AB403">
        <v>0</v>
      </c>
      <c r="AC403" t="s">
        <v>58</v>
      </c>
      <c r="AD403">
        <v>8</v>
      </c>
      <c r="AE403" t="s">
        <v>59</v>
      </c>
      <c r="AF403">
        <v>61441678954.199997</v>
      </c>
      <c r="AG403" t="b">
        <v>0</v>
      </c>
      <c r="AH403">
        <v>19</v>
      </c>
      <c r="AI403" t="s">
        <v>60</v>
      </c>
      <c r="AJ403">
        <v>386425653.80000001</v>
      </c>
      <c r="AK403" t="b">
        <v>0</v>
      </c>
      <c r="AL403">
        <v>61441678954.199997</v>
      </c>
      <c r="AM403" t="b">
        <v>0</v>
      </c>
      <c r="AN403">
        <v>0</v>
      </c>
      <c r="AO403" t="b">
        <v>0</v>
      </c>
      <c r="AQ403">
        <v>32047478607.041</v>
      </c>
      <c r="AR403">
        <v>32047478607.041</v>
      </c>
      <c r="AS403">
        <v>0</v>
      </c>
      <c r="AT403" t="b">
        <v>0</v>
      </c>
      <c r="AU403" t="b">
        <v>1</v>
      </c>
      <c r="BA403" t="str">
        <f t="shared" si="12"/>
        <v>Normal</v>
      </c>
      <c r="BG403" t="str">
        <f t="shared" si="13"/>
        <v>Normal</v>
      </c>
    </row>
    <row r="404" spans="1:59" x14ac:dyDescent="0.2">
      <c r="A404" t="s">
        <v>42</v>
      </c>
      <c r="B404" t="s">
        <v>43</v>
      </c>
      <c r="C404">
        <v>20230101</v>
      </c>
      <c r="D404">
        <v>2023</v>
      </c>
      <c r="E404">
        <v>52</v>
      </c>
      <c r="F404" t="s">
        <v>311</v>
      </c>
      <c r="G404">
        <v>31</v>
      </c>
      <c r="H404" t="s">
        <v>61</v>
      </c>
      <c r="I404" t="s">
        <v>62</v>
      </c>
      <c r="J404" t="s">
        <v>47</v>
      </c>
      <c r="K404" t="s">
        <v>48</v>
      </c>
      <c r="L404">
        <v>0</v>
      </c>
      <c r="M404" t="s">
        <v>49</v>
      </c>
      <c r="N404" t="s">
        <v>50</v>
      </c>
      <c r="O404">
        <v>0</v>
      </c>
      <c r="P404" t="s">
        <v>49</v>
      </c>
      <c r="Q404" t="s">
        <v>50</v>
      </c>
      <c r="R404" t="s">
        <v>300</v>
      </c>
      <c r="S404" t="s">
        <v>52</v>
      </c>
      <c r="T404" t="b">
        <v>1</v>
      </c>
      <c r="U404" t="s">
        <v>53</v>
      </c>
      <c r="V404" t="s">
        <v>54</v>
      </c>
      <c r="W404">
        <v>4</v>
      </c>
      <c r="X404" t="b">
        <v>0</v>
      </c>
      <c r="Y404" t="s">
        <v>55</v>
      </c>
      <c r="Z404" t="s">
        <v>56</v>
      </c>
      <c r="AA404" t="s">
        <v>57</v>
      </c>
      <c r="AB404">
        <v>0</v>
      </c>
      <c r="AC404" t="s">
        <v>58</v>
      </c>
      <c r="AD404">
        <v>8</v>
      </c>
      <c r="AE404" t="s">
        <v>59</v>
      </c>
      <c r="AF404">
        <v>26047249100</v>
      </c>
      <c r="AG404" t="b">
        <v>0</v>
      </c>
      <c r="AH404">
        <v>8</v>
      </c>
      <c r="AI404" t="s">
        <v>59</v>
      </c>
      <c r="AJ404">
        <v>26047249100</v>
      </c>
      <c r="AK404" t="b">
        <v>0</v>
      </c>
      <c r="AL404">
        <v>26047249100</v>
      </c>
      <c r="AM404" t="b">
        <v>0</v>
      </c>
      <c r="AN404">
        <v>0</v>
      </c>
      <c r="AO404" t="b">
        <v>0</v>
      </c>
      <c r="AQ404">
        <v>16240829627.26</v>
      </c>
      <c r="AR404">
        <v>16240829627.26</v>
      </c>
      <c r="AS404">
        <v>0</v>
      </c>
      <c r="AT404" t="b">
        <v>0</v>
      </c>
      <c r="AU404" t="b">
        <v>1</v>
      </c>
      <c r="BA404" t="str">
        <f t="shared" si="12"/>
        <v>Normal</v>
      </c>
      <c r="BG404" t="str">
        <f t="shared" si="13"/>
        <v>Normal</v>
      </c>
    </row>
    <row r="405" spans="1:59" x14ac:dyDescent="0.2">
      <c r="A405" t="s">
        <v>42</v>
      </c>
      <c r="B405" t="s">
        <v>43</v>
      </c>
      <c r="C405">
        <v>20230101</v>
      </c>
      <c r="D405">
        <v>2023</v>
      </c>
      <c r="E405">
        <v>52</v>
      </c>
      <c r="F405" t="s">
        <v>311</v>
      </c>
      <c r="G405">
        <v>32</v>
      </c>
      <c r="H405" t="s">
        <v>63</v>
      </c>
      <c r="I405" t="s">
        <v>64</v>
      </c>
      <c r="J405" t="s">
        <v>47</v>
      </c>
      <c r="K405" t="s">
        <v>48</v>
      </c>
      <c r="L405">
        <v>0</v>
      </c>
      <c r="M405" t="s">
        <v>49</v>
      </c>
      <c r="N405" t="s">
        <v>50</v>
      </c>
      <c r="O405">
        <v>0</v>
      </c>
      <c r="P405" t="s">
        <v>49</v>
      </c>
      <c r="Q405" t="s">
        <v>50</v>
      </c>
      <c r="R405" t="s">
        <v>51</v>
      </c>
      <c r="S405" t="s">
        <v>52</v>
      </c>
      <c r="T405" t="b">
        <v>1</v>
      </c>
      <c r="U405" t="s">
        <v>53</v>
      </c>
      <c r="V405" t="s">
        <v>54</v>
      </c>
      <c r="W405">
        <v>4</v>
      </c>
      <c r="X405" t="b">
        <v>0</v>
      </c>
      <c r="Y405" t="s">
        <v>55</v>
      </c>
      <c r="Z405" t="s">
        <v>56</v>
      </c>
      <c r="AA405" t="s">
        <v>57</v>
      </c>
      <c r="AB405">
        <v>0</v>
      </c>
      <c r="AC405" t="s">
        <v>58</v>
      </c>
      <c r="AD405">
        <v>8</v>
      </c>
      <c r="AE405" t="s">
        <v>59</v>
      </c>
      <c r="AF405">
        <v>6623706300</v>
      </c>
      <c r="AG405" t="b">
        <v>0</v>
      </c>
      <c r="AH405">
        <v>8</v>
      </c>
      <c r="AI405" t="s">
        <v>59</v>
      </c>
      <c r="AJ405">
        <v>6623706300</v>
      </c>
      <c r="AK405" t="b">
        <v>0</v>
      </c>
      <c r="AL405">
        <v>6623706300</v>
      </c>
      <c r="AM405" t="b">
        <v>0</v>
      </c>
      <c r="AN405">
        <v>0</v>
      </c>
      <c r="AO405" t="b">
        <v>0</v>
      </c>
      <c r="AQ405">
        <v>3733440372.73</v>
      </c>
      <c r="AR405">
        <v>3733440372.73</v>
      </c>
      <c r="AS405">
        <v>0</v>
      </c>
      <c r="AT405" t="b">
        <v>0</v>
      </c>
      <c r="AU405" t="b">
        <v>1</v>
      </c>
      <c r="BA405" t="str">
        <f t="shared" si="12"/>
        <v>Normal</v>
      </c>
      <c r="BG405" t="str">
        <f t="shared" si="13"/>
        <v>Normal</v>
      </c>
    </row>
    <row r="406" spans="1:59" x14ac:dyDescent="0.2">
      <c r="A406" t="s">
        <v>42</v>
      </c>
      <c r="B406" t="s">
        <v>43</v>
      </c>
      <c r="C406">
        <v>20230101</v>
      </c>
      <c r="D406">
        <v>2023</v>
      </c>
      <c r="E406">
        <v>52</v>
      </c>
      <c r="F406" t="s">
        <v>311</v>
      </c>
      <c r="G406">
        <v>36</v>
      </c>
      <c r="H406" t="s">
        <v>65</v>
      </c>
      <c r="I406" t="s">
        <v>66</v>
      </c>
      <c r="J406" t="s">
        <v>47</v>
      </c>
      <c r="K406" t="s">
        <v>48</v>
      </c>
      <c r="L406">
        <v>0</v>
      </c>
      <c r="M406" t="s">
        <v>49</v>
      </c>
      <c r="N406" t="s">
        <v>50</v>
      </c>
      <c r="O406">
        <v>0</v>
      </c>
      <c r="P406" t="s">
        <v>49</v>
      </c>
      <c r="Q406" t="s">
        <v>50</v>
      </c>
      <c r="R406" t="s">
        <v>300</v>
      </c>
      <c r="S406" t="s">
        <v>52</v>
      </c>
      <c r="T406" t="b">
        <v>1</v>
      </c>
      <c r="U406" t="s">
        <v>53</v>
      </c>
      <c r="V406" t="s">
        <v>54</v>
      </c>
      <c r="W406">
        <v>4</v>
      </c>
      <c r="X406" t="b">
        <v>0</v>
      </c>
      <c r="Y406" t="s">
        <v>55</v>
      </c>
      <c r="Z406" t="s">
        <v>56</v>
      </c>
      <c r="AA406" t="s">
        <v>57</v>
      </c>
      <c r="AB406">
        <v>0</v>
      </c>
      <c r="AC406" t="s">
        <v>58</v>
      </c>
      <c r="AD406">
        <v>8</v>
      </c>
      <c r="AE406" t="s">
        <v>59</v>
      </c>
      <c r="AF406">
        <v>14880141230.07</v>
      </c>
      <c r="AG406" t="b">
        <v>0</v>
      </c>
      <c r="AH406">
        <v>7</v>
      </c>
      <c r="AI406" t="s">
        <v>67</v>
      </c>
      <c r="AJ406">
        <v>14880141230.07</v>
      </c>
      <c r="AK406" t="b">
        <v>0</v>
      </c>
      <c r="AM406" t="b">
        <v>0</v>
      </c>
      <c r="AN406">
        <v>11963720964.309999</v>
      </c>
      <c r="AO406" t="b">
        <v>0</v>
      </c>
      <c r="AQ406">
        <v>7678708458.698</v>
      </c>
      <c r="AR406">
        <v>7678708458.698</v>
      </c>
      <c r="AS406">
        <v>0</v>
      </c>
      <c r="AT406" t="b">
        <v>0</v>
      </c>
      <c r="AU406" t="b">
        <v>1</v>
      </c>
      <c r="BA406" t="str">
        <f t="shared" si="12"/>
        <v>Normal</v>
      </c>
      <c r="BG406" t="str">
        <f t="shared" si="13"/>
        <v>Normal</v>
      </c>
    </row>
    <row r="407" spans="1:59" x14ac:dyDescent="0.2">
      <c r="A407" t="s">
        <v>42</v>
      </c>
      <c r="B407" t="s">
        <v>43</v>
      </c>
      <c r="C407">
        <v>20230101</v>
      </c>
      <c r="D407">
        <v>2023</v>
      </c>
      <c r="E407">
        <v>52</v>
      </c>
      <c r="F407" t="s">
        <v>311</v>
      </c>
      <c r="G407">
        <v>52</v>
      </c>
      <c r="H407" t="s">
        <v>68</v>
      </c>
      <c r="I407" t="s">
        <v>69</v>
      </c>
      <c r="J407" t="s">
        <v>47</v>
      </c>
      <c r="K407" t="s">
        <v>48</v>
      </c>
      <c r="L407">
        <v>0</v>
      </c>
      <c r="M407" t="s">
        <v>49</v>
      </c>
      <c r="N407" t="s">
        <v>50</v>
      </c>
      <c r="O407">
        <v>0</v>
      </c>
      <c r="P407" t="s">
        <v>49</v>
      </c>
      <c r="Q407" t="s">
        <v>50</v>
      </c>
      <c r="R407" t="s">
        <v>51</v>
      </c>
      <c r="S407" t="s">
        <v>52</v>
      </c>
      <c r="T407" t="b">
        <v>1</v>
      </c>
      <c r="U407" t="s">
        <v>53</v>
      </c>
      <c r="V407" t="s">
        <v>54</v>
      </c>
      <c r="W407">
        <v>4</v>
      </c>
      <c r="X407" t="b">
        <v>0</v>
      </c>
      <c r="Y407" t="s">
        <v>55</v>
      </c>
      <c r="Z407" t="s">
        <v>56</v>
      </c>
      <c r="AA407" t="s">
        <v>57</v>
      </c>
      <c r="AB407">
        <v>0</v>
      </c>
      <c r="AC407" t="s">
        <v>58</v>
      </c>
      <c r="AD407">
        <v>8</v>
      </c>
      <c r="AE407" t="s">
        <v>59</v>
      </c>
      <c r="AF407">
        <v>17639400</v>
      </c>
      <c r="AG407" t="b">
        <v>0</v>
      </c>
      <c r="AH407">
        <v>8</v>
      </c>
      <c r="AI407" t="s">
        <v>59</v>
      </c>
      <c r="AJ407">
        <v>17639400</v>
      </c>
      <c r="AK407" t="b">
        <v>0</v>
      </c>
      <c r="AL407">
        <v>17639400</v>
      </c>
      <c r="AM407" t="b">
        <v>0</v>
      </c>
      <c r="AN407">
        <v>0</v>
      </c>
      <c r="AO407" t="b">
        <v>0</v>
      </c>
      <c r="AQ407">
        <v>10392488</v>
      </c>
      <c r="AR407">
        <v>10392488</v>
      </c>
      <c r="AS407">
        <v>0</v>
      </c>
      <c r="AT407" t="b">
        <v>0</v>
      </c>
      <c r="AU407" t="b">
        <v>1</v>
      </c>
      <c r="BA407" t="str">
        <f t="shared" si="12"/>
        <v>Normal</v>
      </c>
      <c r="BG407" t="str">
        <f t="shared" si="13"/>
        <v>Normal</v>
      </c>
    </row>
    <row r="408" spans="1:59" x14ac:dyDescent="0.2">
      <c r="A408" t="s">
        <v>42</v>
      </c>
      <c r="B408" t="s">
        <v>43</v>
      </c>
      <c r="C408">
        <v>20230101</v>
      </c>
      <c r="D408">
        <v>2023</v>
      </c>
      <c r="E408">
        <v>52</v>
      </c>
      <c r="F408" t="s">
        <v>311</v>
      </c>
      <c r="G408">
        <v>56</v>
      </c>
      <c r="H408" t="s">
        <v>71</v>
      </c>
      <c r="I408" t="s">
        <v>72</v>
      </c>
      <c r="J408" t="s">
        <v>47</v>
      </c>
      <c r="K408" t="s">
        <v>48</v>
      </c>
      <c r="L408">
        <v>0</v>
      </c>
      <c r="M408" t="s">
        <v>49</v>
      </c>
      <c r="N408" t="s">
        <v>50</v>
      </c>
      <c r="O408">
        <v>0</v>
      </c>
      <c r="P408" t="s">
        <v>49</v>
      </c>
      <c r="Q408" t="s">
        <v>50</v>
      </c>
      <c r="R408" t="s">
        <v>300</v>
      </c>
      <c r="S408" t="s">
        <v>52</v>
      </c>
      <c r="T408" t="b">
        <v>1</v>
      </c>
      <c r="U408" t="s">
        <v>53</v>
      </c>
      <c r="V408" t="s">
        <v>54</v>
      </c>
      <c r="W408">
        <v>4</v>
      </c>
      <c r="X408" t="b">
        <v>0</v>
      </c>
      <c r="Y408" t="s">
        <v>55</v>
      </c>
      <c r="Z408" t="s">
        <v>56</v>
      </c>
      <c r="AA408" t="s">
        <v>57</v>
      </c>
      <c r="AB408">
        <v>0</v>
      </c>
      <c r="AC408" t="s">
        <v>58</v>
      </c>
      <c r="AD408">
        <v>8</v>
      </c>
      <c r="AE408" t="s">
        <v>59</v>
      </c>
      <c r="AF408">
        <v>91817989.935000002</v>
      </c>
      <c r="AG408" t="b">
        <v>1</v>
      </c>
      <c r="AH408">
        <v>-1</v>
      </c>
      <c r="AI408" t="s">
        <v>73</v>
      </c>
      <c r="AJ408">
        <v>0</v>
      </c>
      <c r="AK408" t="b">
        <v>0</v>
      </c>
      <c r="AL408">
        <v>91817989.935000002</v>
      </c>
      <c r="AM408" t="b">
        <v>1</v>
      </c>
      <c r="AN408">
        <v>0</v>
      </c>
      <c r="AO408" t="b">
        <v>0</v>
      </c>
      <c r="AQ408">
        <v>58227772.152999997</v>
      </c>
      <c r="AR408">
        <v>58227772.152999997</v>
      </c>
      <c r="AS408">
        <v>6</v>
      </c>
      <c r="AT408" t="b">
        <v>0</v>
      </c>
      <c r="AU408" t="b">
        <v>1</v>
      </c>
      <c r="BA408" t="str">
        <f t="shared" si="12"/>
        <v>Normal</v>
      </c>
      <c r="BG408" t="str">
        <f t="shared" si="13"/>
        <v>Normal</v>
      </c>
    </row>
    <row r="409" spans="1:59" x14ac:dyDescent="0.2">
      <c r="A409" t="s">
        <v>42</v>
      </c>
      <c r="B409" t="s">
        <v>43</v>
      </c>
      <c r="C409">
        <v>20230101</v>
      </c>
      <c r="D409">
        <v>2023</v>
      </c>
      <c r="E409">
        <v>52</v>
      </c>
      <c r="F409" t="s">
        <v>311</v>
      </c>
      <c r="G409">
        <v>68</v>
      </c>
      <c r="H409" t="s">
        <v>74</v>
      </c>
      <c r="I409" t="s">
        <v>75</v>
      </c>
      <c r="J409" t="s">
        <v>47</v>
      </c>
      <c r="K409" t="s">
        <v>48</v>
      </c>
      <c r="L409">
        <v>0</v>
      </c>
      <c r="M409" t="s">
        <v>49</v>
      </c>
      <c r="N409" t="s">
        <v>50</v>
      </c>
      <c r="O409">
        <v>0</v>
      </c>
      <c r="P409" t="s">
        <v>49</v>
      </c>
      <c r="Q409" t="s">
        <v>50</v>
      </c>
      <c r="R409" t="s">
        <v>300</v>
      </c>
      <c r="S409" t="s">
        <v>52</v>
      </c>
      <c r="T409" t="b">
        <v>1</v>
      </c>
      <c r="U409" t="s">
        <v>53</v>
      </c>
      <c r="V409" t="s">
        <v>54</v>
      </c>
      <c r="W409">
        <v>4</v>
      </c>
      <c r="X409" t="b">
        <v>0</v>
      </c>
      <c r="Y409" t="s">
        <v>55</v>
      </c>
      <c r="Z409" t="s">
        <v>56</v>
      </c>
      <c r="AA409" t="s">
        <v>57</v>
      </c>
      <c r="AB409">
        <v>0</v>
      </c>
      <c r="AC409" t="s">
        <v>58</v>
      </c>
      <c r="AD409">
        <v>8</v>
      </c>
      <c r="AE409" t="s">
        <v>59</v>
      </c>
      <c r="AF409">
        <v>35302195.899999999</v>
      </c>
      <c r="AG409" t="b">
        <v>0</v>
      </c>
      <c r="AH409">
        <v>8</v>
      </c>
      <c r="AI409" t="s">
        <v>59</v>
      </c>
      <c r="AJ409">
        <v>35302195.899999999</v>
      </c>
      <c r="AK409" t="b">
        <v>0</v>
      </c>
      <c r="AL409">
        <v>35302195.899999999</v>
      </c>
      <c r="AM409" t="b">
        <v>0</v>
      </c>
      <c r="AN409">
        <v>35302195.899999999</v>
      </c>
      <c r="AO409" t="b">
        <v>0</v>
      </c>
      <c r="AQ409">
        <v>11437216.17</v>
      </c>
      <c r="AR409">
        <v>11437216.17</v>
      </c>
      <c r="AS409">
        <v>0</v>
      </c>
      <c r="AT409" t="b">
        <v>0</v>
      </c>
      <c r="AU409" t="b">
        <v>1</v>
      </c>
      <c r="BA409" t="str">
        <f t="shared" si="12"/>
        <v>Normal</v>
      </c>
      <c r="BG409" t="str">
        <f t="shared" si="13"/>
        <v>Normal</v>
      </c>
    </row>
    <row r="410" spans="1:59" x14ac:dyDescent="0.2">
      <c r="A410" t="s">
        <v>42</v>
      </c>
      <c r="B410" t="s">
        <v>43</v>
      </c>
      <c r="C410">
        <v>20230101</v>
      </c>
      <c r="D410">
        <v>2023</v>
      </c>
      <c r="E410">
        <v>52</v>
      </c>
      <c r="F410" t="s">
        <v>311</v>
      </c>
      <c r="G410">
        <v>70</v>
      </c>
      <c r="H410" t="s">
        <v>76</v>
      </c>
      <c r="I410" t="s">
        <v>77</v>
      </c>
      <c r="J410" t="s">
        <v>47</v>
      </c>
      <c r="K410" t="s">
        <v>48</v>
      </c>
      <c r="L410">
        <v>0</v>
      </c>
      <c r="M410" t="s">
        <v>49</v>
      </c>
      <c r="N410" t="s">
        <v>50</v>
      </c>
      <c r="O410">
        <v>0</v>
      </c>
      <c r="P410" t="s">
        <v>49</v>
      </c>
      <c r="Q410" t="s">
        <v>50</v>
      </c>
      <c r="R410" t="s">
        <v>300</v>
      </c>
      <c r="S410" t="s">
        <v>52</v>
      </c>
      <c r="T410" t="b">
        <v>1</v>
      </c>
      <c r="U410" t="s">
        <v>53</v>
      </c>
      <c r="V410" t="s">
        <v>54</v>
      </c>
      <c r="W410">
        <v>4</v>
      </c>
      <c r="X410" t="b">
        <v>0</v>
      </c>
      <c r="Y410" t="s">
        <v>55</v>
      </c>
      <c r="Z410" t="s">
        <v>56</v>
      </c>
      <c r="AA410" t="s">
        <v>57</v>
      </c>
      <c r="AB410">
        <v>0</v>
      </c>
      <c r="AC410" t="s">
        <v>58</v>
      </c>
      <c r="AD410">
        <v>8</v>
      </c>
      <c r="AE410" t="s">
        <v>59</v>
      </c>
      <c r="AF410">
        <v>625804</v>
      </c>
      <c r="AG410" t="b">
        <v>0</v>
      </c>
      <c r="AH410">
        <v>8</v>
      </c>
      <c r="AI410" t="s">
        <v>59</v>
      </c>
      <c r="AJ410">
        <v>625804</v>
      </c>
      <c r="AK410" t="b">
        <v>0</v>
      </c>
      <c r="AL410">
        <v>625804</v>
      </c>
      <c r="AM410" t="b">
        <v>0</v>
      </c>
      <c r="AN410">
        <v>0</v>
      </c>
      <c r="AO410" t="b">
        <v>0</v>
      </c>
      <c r="AQ410">
        <v>313105.23599999998</v>
      </c>
      <c r="AR410">
        <v>313105.23599999998</v>
      </c>
      <c r="AS410">
        <v>0</v>
      </c>
      <c r="AT410" t="b">
        <v>0</v>
      </c>
      <c r="AU410" t="b">
        <v>1</v>
      </c>
      <c r="BA410" t="str">
        <f t="shared" si="12"/>
        <v>Normal</v>
      </c>
      <c r="BG410" t="str">
        <f t="shared" si="13"/>
        <v>Normal</v>
      </c>
    </row>
    <row r="411" spans="1:59" x14ac:dyDescent="0.2">
      <c r="A411" t="s">
        <v>42</v>
      </c>
      <c r="B411" t="s">
        <v>43</v>
      </c>
      <c r="C411">
        <v>20230101</v>
      </c>
      <c r="D411">
        <v>2023</v>
      </c>
      <c r="E411">
        <v>52</v>
      </c>
      <c r="F411" t="s">
        <v>311</v>
      </c>
      <c r="G411">
        <v>72</v>
      </c>
      <c r="H411" t="s">
        <v>78</v>
      </c>
      <c r="I411" t="s">
        <v>79</v>
      </c>
      <c r="J411" t="s">
        <v>47</v>
      </c>
      <c r="K411" t="s">
        <v>48</v>
      </c>
      <c r="L411">
        <v>0</v>
      </c>
      <c r="M411" t="s">
        <v>49</v>
      </c>
      <c r="N411" t="s">
        <v>50</v>
      </c>
      <c r="O411">
        <v>0</v>
      </c>
      <c r="P411" t="s">
        <v>49</v>
      </c>
      <c r="Q411" t="s">
        <v>50</v>
      </c>
      <c r="R411" t="s">
        <v>300</v>
      </c>
      <c r="S411" t="s">
        <v>52</v>
      </c>
      <c r="T411" t="b">
        <v>1</v>
      </c>
      <c r="U411" t="s">
        <v>53</v>
      </c>
      <c r="V411" t="s">
        <v>54</v>
      </c>
      <c r="W411">
        <v>4</v>
      </c>
      <c r="X411" t="b">
        <v>0</v>
      </c>
      <c r="Y411" t="s">
        <v>55</v>
      </c>
      <c r="Z411" t="s">
        <v>56</v>
      </c>
      <c r="AA411" t="s">
        <v>57</v>
      </c>
      <c r="AB411">
        <v>0</v>
      </c>
      <c r="AC411" t="s">
        <v>58</v>
      </c>
      <c r="AD411">
        <v>8</v>
      </c>
      <c r="AE411" t="s">
        <v>59</v>
      </c>
      <c r="AF411">
        <v>568.75</v>
      </c>
      <c r="AG411" t="b">
        <v>0</v>
      </c>
      <c r="AH411">
        <v>8</v>
      </c>
      <c r="AI411" t="s">
        <v>59</v>
      </c>
      <c r="AJ411">
        <v>568.75</v>
      </c>
      <c r="AK411" t="b">
        <v>0</v>
      </c>
      <c r="AL411">
        <v>568.75</v>
      </c>
      <c r="AM411" t="b">
        <v>0</v>
      </c>
      <c r="AN411">
        <v>0</v>
      </c>
      <c r="AO411" t="b">
        <v>0</v>
      </c>
      <c r="AQ411">
        <v>2553.2559999999999</v>
      </c>
      <c r="AR411">
        <v>2553.2559999999999</v>
      </c>
      <c r="AS411">
        <v>0</v>
      </c>
      <c r="AT411" t="b">
        <v>0</v>
      </c>
      <c r="AU411" t="b">
        <v>1</v>
      </c>
      <c r="BA411" t="str">
        <f t="shared" si="12"/>
        <v>Normal</v>
      </c>
      <c r="BG411" t="str">
        <f t="shared" si="13"/>
        <v>Normal</v>
      </c>
    </row>
    <row r="412" spans="1:59" x14ac:dyDescent="0.2">
      <c r="A412" t="s">
        <v>42</v>
      </c>
      <c r="B412" t="s">
        <v>43</v>
      </c>
      <c r="C412">
        <v>20230101</v>
      </c>
      <c r="D412">
        <v>2023</v>
      </c>
      <c r="E412">
        <v>52</v>
      </c>
      <c r="F412" t="s">
        <v>311</v>
      </c>
      <c r="G412">
        <v>76</v>
      </c>
      <c r="H412" t="s">
        <v>80</v>
      </c>
      <c r="I412" t="s">
        <v>81</v>
      </c>
      <c r="J412" t="s">
        <v>47</v>
      </c>
      <c r="K412" t="s">
        <v>48</v>
      </c>
      <c r="L412">
        <v>0</v>
      </c>
      <c r="M412" t="s">
        <v>49</v>
      </c>
      <c r="N412" t="s">
        <v>50</v>
      </c>
      <c r="O412">
        <v>0</v>
      </c>
      <c r="P412" t="s">
        <v>49</v>
      </c>
      <c r="Q412" t="s">
        <v>50</v>
      </c>
      <c r="R412" t="s">
        <v>300</v>
      </c>
      <c r="S412" t="s">
        <v>52</v>
      </c>
      <c r="T412" t="b">
        <v>1</v>
      </c>
      <c r="U412" t="s">
        <v>53</v>
      </c>
      <c r="V412" t="s">
        <v>54</v>
      </c>
      <c r="W412">
        <v>4</v>
      </c>
      <c r="X412" t="b">
        <v>0</v>
      </c>
      <c r="Y412" t="s">
        <v>55</v>
      </c>
      <c r="Z412" t="s">
        <v>56</v>
      </c>
      <c r="AA412" t="s">
        <v>57</v>
      </c>
      <c r="AB412">
        <v>0</v>
      </c>
      <c r="AC412" t="s">
        <v>58</v>
      </c>
      <c r="AD412">
        <v>8</v>
      </c>
      <c r="AE412" t="s">
        <v>59</v>
      </c>
      <c r="AF412">
        <v>81409576397</v>
      </c>
      <c r="AG412" t="b">
        <v>0</v>
      </c>
      <c r="AH412">
        <v>-1</v>
      </c>
      <c r="AI412" t="s">
        <v>73</v>
      </c>
      <c r="AJ412">
        <v>0</v>
      </c>
      <c r="AK412" t="b">
        <v>0</v>
      </c>
      <c r="AL412">
        <v>81409576397</v>
      </c>
      <c r="AM412" t="b">
        <v>0</v>
      </c>
      <c r="AN412">
        <v>0</v>
      </c>
      <c r="AO412" t="b">
        <v>0</v>
      </c>
      <c r="AQ412">
        <v>42611148597</v>
      </c>
      <c r="AR412">
        <v>42611148597</v>
      </c>
      <c r="AS412">
        <v>0</v>
      </c>
      <c r="AT412" t="b">
        <v>0</v>
      </c>
      <c r="AU412" t="b">
        <v>1</v>
      </c>
      <c r="BA412" t="str">
        <f t="shared" si="12"/>
        <v>Normal</v>
      </c>
      <c r="BG412" t="str">
        <f t="shared" si="13"/>
        <v>Normal</v>
      </c>
    </row>
    <row r="413" spans="1:59" x14ac:dyDescent="0.2">
      <c r="A413" t="s">
        <v>42</v>
      </c>
      <c r="B413" t="s">
        <v>43</v>
      </c>
      <c r="C413">
        <v>20230101</v>
      </c>
      <c r="D413">
        <v>2023</v>
      </c>
      <c r="E413">
        <v>52</v>
      </c>
      <c r="F413" t="s">
        <v>311</v>
      </c>
      <c r="G413">
        <v>84</v>
      </c>
      <c r="H413" t="s">
        <v>82</v>
      </c>
      <c r="I413" t="s">
        <v>83</v>
      </c>
      <c r="J413" t="s">
        <v>47</v>
      </c>
      <c r="K413" t="s">
        <v>48</v>
      </c>
      <c r="L413">
        <v>0</v>
      </c>
      <c r="M413" t="s">
        <v>49</v>
      </c>
      <c r="N413" t="s">
        <v>50</v>
      </c>
      <c r="O413">
        <v>0</v>
      </c>
      <c r="P413" t="s">
        <v>49</v>
      </c>
      <c r="Q413" t="s">
        <v>50</v>
      </c>
      <c r="R413" t="s">
        <v>300</v>
      </c>
      <c r="S413" t="s">
        <v>52</v>
      </c>
      <c r="T413" t="b">
        <v>1</v>
      </c>
      <c r="U413" t="s">
        <v>53</v>
      </c>
      <c r="V413" t="s">
        <v>54</v>
      </c>
      <c r="W413">
        <v>4</v>
      </c>
      <c r="X413" t="b">
        <v>0</v>
      </c>
      <c r="Y413" t="s">
        <v>55</v>
      </c>
      <c r="Z413" t="s">
        <v>56</v>
      </c>
      <c r="AA413" t="s">
        <v>57</v>
      </c>
      <c r="AB413">
        <v>0</v>
      </c>
      <c r="AC413" t="s">
        <v>58</v>
      </c>
      <c r="AD413">
        <v>8</v>
      </c>
      <c r="AE413" t="s">
        <v>59</v>
      </c>
      <c r="AF413">
        <v>3012270</v>
      </c>
      <c r="AG413" t="b">
        <v>0</v>
      </c>
      <c r="AH413">
        <v>8</v>
      </c>
      <c r="AI413" t="s">
        <v>59</v>
      </c>
      <c r="AJ413">
        <v>3012270</v>
      </c>
      <c r="AK413" t="b">
        <v>0</v>
      </c>
      <c r="AL413">
        <v>3012270</v>
      </c>
      <c r="AM413" t="b">
        <v>0</v>
      </c>
      <c r="AN413">
        <v>0</v>
      </c>
      <c r="AO413" t="b">
        <v>0</v>
      </c>
      <c r="AQ413">
        <v>717161.59499999997</v>
      </c>
      <c r="AR413">
        <v>717161.59499999997</v>
      </c>
      <c r="AS413">
        <v>0</v>
      </c>
      <c r="AT413" t="b">
        <v>0</v>
      </c>
      <c r="AU413" t="b">
        <v>1</v>
      </c>
      <c r="BA413" t="str">
        <f t="shared" si="12"/>
        <v>Normal</v>
      </c>
      <c r="BG413" t="str">
        <f t="shared" si="13"/>
        <v>Normal</v>
      </c>
    </row>
    <row r="414" spans="1:59" x14ac:dyDescent="0.2">
      <c r="A414" t="s">
        <v>42</v>
      </c>
      <c r="B414" t="s">
        <v>43</v>
      </c>
      <c r="C414">
        <v>20230101</v>
      </c>
      <c r="D414">
        <v>2023</v>
      </c>
      <c r="E414">
        <v>52</v>
      </c>
      <c r="F414" t="s">
        <v>311</v>
      </c>
      <c r="G414">
        <v>96</v>
      </c>
      <c r="H414" t="s">
        <v>84</v>
      </c>
      <c r="I414" t="s">
        <v>85</v>
      </c>
      <c r="J414" t="s">
        <v>47</v>
      </c>
      <c r="K414" t="s">
        <v>48</v>
      </c>
      <c r="L414">
        <v>0</v>
      </c>
      <c r="M414" t="s">
        <v>49</v>
      </c>
      <c r="N414" t="s">
        <v>50</v>
      </c>
      <c r="O414">
        <v>0</v>
      </c>
      <c r="P414" t="s">
        <v>49</v>
      </c>
      <c r="Q414" t="s">
        <v>50</v>
      </c>
      <c r="R414" t="s">
        <v>300</v>
      </c>
      <c r="S414" t="s">
        <v>52</v>
      </c>
      <c r="T414" t="b">
        <v>1</v>
      </c>
      <c r="U414" t="s">
        <v>53</v>
      </c>
      <c r="V414" t="s">
        <v>54</v>
      </c>
      <c r="W414">
        <v>4</v>
      </c>
      <c r="X414" t="b">
        <v>0</v>
      </c>
      <c r="Y414" t="s">
        <v>55</v>
      </c>
      <c r="Z414" t="s">
        <v>56</v>
      </c>
      <c r="AA414" t="s">
        <v>57</v>
      </c>
      <c r="AB414">
        <v>0</v>
      </c>
      <c r="AC414" t="s">
        <v>58</v>
      </c>
      <c r="AD414">
        <v>8</v>
      </c>
      <c r="AE414" t="s">
        <v>59</v>
      </c>
      <c r="AF414">
        <v>2819599248</v>
      </c>
      <c r="AG414" t="b">
        <v>0</v>
      </c>
      <c r="AH414">
        <v>8</v>
      </c>
      <c r="AI414" t="s">
        <v>59</v>
      </c>
      <c r="AJ414">
        <v>2819599248</v>
      </c>
      <c r="AK414" t="b">
        <v>0</v>
      </c>
      <c r="AL414">
        <v>2819599248</v>
      </c>
      <c r="AM414" t="b">
        <v>0</v>
      </c>
      <c r="AN414">
        <v>0</v>
      </c>
      <c r="AO414" t="b">
        <v>0</v>
      </c>
      <c r="AQ414">
        <v>1814183056.427</v>
      </c>
      <c r="AR414">
        <v>1814183056.427</v>
      </c>
      <c r="AS414">
        <v>0</v>
      </c>
      <c r="AT414" t="b">
        <v>0</v>
      </c>
      <c r="AU414" t="b">
        <v>1</v>
      </c>
      <c r="BA414" t="str">
        <f t="shared" si="12"/>
        <v>Normal</v>
      </c>
      <c r="BG414" t="str">
        <f t="shared" si="13"/>
        <v>Normal</v>
      </c>
    </row>
    <row r="415" spans="1:59" x14ac:dyDescent="0.2">
      <c r="A415" t="s">
        <v>42</v>
      </c>
      <c r="B415" t="s">
        <v>43</v>
      </c>
      <c r="C415">
        <v>20230101</v>
      </c>
      <c r="D415">
        <v>2023</v>
      </c>
      <c r="E415">
        <v>52</v>
      </c>
      <c r="F415" t="s">
        <v>311</v>
      </c>
      <c r="G415">
        <v>104</v>
      </c>
      <c r="H415" t="s">
        <v>88</v>
      </c>
      <c r="I415" t="s">
        <v>89</v>
      </c>
      <c r="J415" t="s">
        <v>47</v>
      </c>
      <c r="K415" t="s">
        <v>48</v>
      </c>
      <c r="L415">
        <v>0</v>
      </c>
      <c r="M415" t="s">
        <v>49</v>
      </c>
      <c r="N415" t="s">
        <v>50</v>
      </c>
      <c r="O415">
        <v>0</v>
      </c>
      <c r="P415" t="s">
        <v>49</v>
      </c>
      <c r="Q415" t="s">
        <v>50</v>
      </c>
      <c r="R415" t="s">
        <v>300</v>
      </c>
      <c r="S415" t="s">
        <v>52</v>
      </c>
      <c r="T415" t="b">
        <v>1</v>
      </c>
      <c r="U415" t="s">
        <v>53</v>
      </c>
      <c r="V415" t="s">
        <v>54</v>
      </c>
      <c r="W415">
        <v>4</v>
      </c>
      <c r="X415" t="b">
        <v>0</v>
      </c>
      <c r="Y415" t="s">
        <v>55</v>
      </c>
      <c r="Z415" t="s">
        <v>56</v>
      </c>
      <c r="AA415" t="s">
        <v>57</v>
      </c>
      <c r="AB415">
        <v>0</v>
      </c>
      <c r="AC415" t="s">
        <v>58</v>
      </c>
      <c r="AD415">
        <v>8</v>
      </c>
      <c r="AE415" t="s">
        <v>59</v>
      </c>
      <c r="AF415">
        <v>43725000</v>
      </c>
      <c r="AG415" t="b">
        <v>0</v>
      </c>
      <c r="AH415">
        <v>19</v>
      </c>
      <c r="AI415" t="s">
        <v>60</v>
      </c>
      <c r="AJ415">
        <v>275000</v>
      </c>
      <c r="AK415" t="b">
        <v>0</v>
      </c>
      <c r="AL415">
        <v>43725000</v>
      </c>
      <c r="AM415" t="b">
        <v>0</v>
      </c>
      <c r="AN415">
        <v>0</v>
      </c>
      <c r="AO415" t="b">
        <v>0</v>
      </c>
      <c r="AQ415">
        <v>16999500</v>
      </c>
      <c r="AR415">
        <v>16999500</v>
      </c>
      <c r="AS415">
        <v>0</v>
      </c>
      <c r="AT415" t="b">
        <v>0</v>
      </c>
      <c r="AU415" t="b">
        <v>1</v>
      </c>
      <c r="BA415" t="str">
        <f t="shared" si="12"/>
        <v>Normal</v>
      </c>
      <c r="BG415" t="str">
        <f t="shared" si="13"/>
        <v>Normal</v>
      </c>
    </row>
    <row r="416" spans="1:59" x14ac:dyDescent="0.2">
      <c r="A416" t="s">
        <v>42</v>
      </c>
      <c r="B416" t="s">
        <v>43</v>
      </c>
      <c r="C416">
        <v>20230101</v>
      </c>
      <c r="D416">
        <v>2023</v>
      </c>
      <c r="E416">
        <v>52</v>
      </c>
      <c r="F416" t="s">
        <v>311</v>
      </c>
      <c r="G416">
        <v>120</v>
      </c>
      <c r="H416" t="s">
        <v>92</v>
      </c>
      <c r="I416" t="s">
        <v>93</v>
      </c>
      <c r="J416" t="s">
        <v>47</v>
      </c>
      <c r="K416" t="s">
        <v>48</v>
      </c>
      <c r="L416">
        <v>0</v>
      </c>
      <c r="M416" t="s">
        <v>49</v>
      </c>
      <c r="N416" t="s">
        <v>50</v>
      </c>
      <c r="O416">
        <v>0</v>
      </c>
      <c r="P416" t="s">
        <v>49</v>
      </c>
      <c r="Q416" t="s">
        <v>50</v>
      </c>
      <c r="R416" t="s">
        <v>300</v>
      </c>
      <c r="S416" t="s">
        <v>52</v>
      </c>
      <c r="T416" t="b">
        <v>1</v>
      </c>
      <c r="U416" t="s">
        <v>53</v>
      </c>
      <c r="V416" t="s">
        <v>54</v>
      </c>
      <c r="W416">
        <v>4</v>
      </c>
      <c r="X416" t="b">
        <v>0</v>
      </c>
      <c r="Y416" t="s">
        <v>55</v>
      </c>
      <c r="Z416" t="s">
        <v>56</v>
      </c>
      <c r="AA416" t="s">
        <v>57</v>
      </c>
      <c r="AB416">
        <v>0</v>
      </c>
      <c r="AC416" t="s">
        <v>58</v>
      </c>
      <c r="AD416">
        <v>8</v>
      </c>
      <c r="AE416" t="s">
        <v>59</v>
      </c>
      <c r="AF416">
        <v>3083818500</v>
      </c>
      <c r="AG416" t="b">
        <v>0</v>
      </c>
      <c r="AH416">
        <v>8</v>
      </c>
      <c r="AI416" t="s">
        <v>59</v>
      </c>
      <c r="AJ416">
        <v>3083818500</v>
      </c>
      <c r="AK416" t="b">
        <v>0</v>
      </c>
      <c r="AL416">
        <v>3083818500</v>
      </c>
      <c r="AM416" t="b">
        <v>0</v>
      </c>
      <c r="AN416">
        <v>0</v>
      </c>
      <c r="AO416" t="b">
        <v>0</v>
      </c>
      <c r="AQ416">
        <v>1873394378.45</v>
      </c>
      <c r="AR416">
        <v>1873394378.45</v>
      </c>
      <c r="AS416">
        <v>0</v>
      </c>
      <c r="AT416" t="b">
        <v>0</v>
      </c>
      <c r="AU416" t="b">
        <v>1</v>
      </c>
      <c r="BA416" t="str">
        <f t="shared" si="12"/>
        <v>Normal</v>
      </c>
      <c r="BG416" t="str">
        <f t="shared" si="13"/>
        <v>Normal</v>
      </c>
    </row>
    <row r="417" spans="1:59" x14ac:dyDescent="0.2">
      <c r="A417" t="s">
        <v>42</v>
      </c>
      <c r="B417" t="s">
        <v>43</v>
      </c>
      <c r="C417">
        <v>20230101</v>
      </c>
      <c r="D417">
        <v>2023</v>
      </c>
      <c r="E417">
        <v>52</v>
      </c>
      <c r="F417" t="s">
        <v>311</v>
      </c>
      <c r="G417">
        <v>124</v>
      </c>
      <c r="H417" t="s">
        <v>94</v>
      </c>
      <c r="I417" t="s">
        <v>95</v>
      </c>
      <c r="J417" t="s">
        <v>47</v>
      </c>
      <c r="K417" t="s">
        <v>48</v>
      </c>
      <c r="L417">
        <v>0</v>
      </c>
      <c r="M417" t="s">
        <v>49</v>
      </c>
      <c r="N417" t="s">
        <v>50</v>
      </c>
      <c r="O417">
        <v>0</v>
      </c>
      <c r="P417" t="s">
        <v>49</v>
      </c>
      <c r="Q417" t="s">
        <v>50</v>
      </c>
      <c r="R417" t="s">
        <v>300</v>
      </c>
      <c r="S417" t="s">
        <v>52</v>
      </c>
      <c r="T417" t="b">
        <v>1</v>
      </c>
      <c r="U417" t="s">
        <v>53</v>
      </c>
      <c r="V417" t="s">
        <v>54</v>
      </c>
      <c r="W417">
        <v>4</v>
      </c>
      <c r="X417" t="b">
        <v>0</v>
      </c>
      <c r="Y417" t="s">
        <v>55</v>
      </c>
      <c r="Z417" t="s">
        <v>56</v>
      </c>
      <c r="AA417" t="s">
        <v>57</v>
      </c>
      <c r="AB417">
        <v>0</v>
      </c>
      <c r="AC417" t="s">
        <v>58</v>
      </c>
      <c r="AD417">
        <v>8</v>
      </c>
      <c r="AE417" t="s">
        <v>59</v>
      </c>
      <c r="AF417">
        <v>183082503238.57001</v>
      </c>
      <c r="AG417" t="b">
        <v>1</v>
      </c>
      <c r="AH417">
        <v>-1</v>
      </c>
      <c r="AI417" t="s">
        <v>73</v>
      </c>
      <c r="AJ417">
        <v>0</v>
      </c>
      <c r="AK417" t="b">
        <v>0</v>
      </c>
      <c r="AL417">
        <v>183082503238.57001</v>
      </c>
      <c r="AM417" t="b">
        <v>1</v>
      </c>
      <c r="AN417">
        <v>0</v>
      </c>
      <c r="AO417" t="b">
        <v>0</v>
      </c>
      <c r="AQ417">
        <v>99464941105.395004</v>
      </c>
      <c r="AR417">
        <v>99464941105.395004</v>
      </c>
      <c r="AS417">
        <v>6</v>
      </c>
      <c r="AT417" t="b">
        <v>0</v>
      </c>
      <c r="AU417" t="b">
        <v>1</v>
      </c>
      <c r="BA417" t="str">
        <f t="shared" si="12"/>
        <v>Normal</v>
      </c>
      <c r="BG417" t="str">
        <f t="shared" si="13"/>
        <v>Normal</v>
      </c>
    </row>
    <row r="418" spans="1:59" x14ac:dyDescent="0.2">
      <c r="A418" t="s">
        <v>42</v>
      </c>
      <c r="B418" t="s">
        <v>43</v>
      </c>
      <c r="C418">
        <v>20230101</v>
      </c>
      <c r="D418">
        <v>2023</v>
      </c>
      <c r="E418">
        <v>52</v>
      </c>
      <c r="F418" t="s">
        <v>311</v>
      </c>
      <c r="G418">
        <v>152</v>
      </c>
      <c r="H418" t="s">
        <v>272</v>
      </c>
      <c r="I418" t="s">
        <v>273</v>
      </c>
      <c r="J418" t="s">
        <v>47</v>
      </c>
      <c r="K418" t="s">
        <v>48</v>
      </c>
      <c r="L418">
        <v>0</v>
      </c>
      <c r="M418" t="s">
        <v>49</v>
      </c>
      <c r="N418" t="s">
        <v>50</v>
      </c>
      <c r="O418">
        <v>0</v>
      </c>
      <c r="P418" t="s">
        <v>49</v>
      </c>
      <c r="Q418" t="s">
        <v>50</v>
      </c>
      <c r="R418" t="s">
        <v>300</v>
      </c>
      <c r="S418" t="s">
        <v>52</v>
      </c>
      <c r="T418" t="b">
        <v>1</v>
      </c>
      <c r="U418" t="s">
        <v>53</v>
      </c>
      <c r="V418" t="s">
        <v>54</v>
      </c>
      <c r="W418">
        <v>4</v>
      </c>
      <c r="X418" t="b">
        <v>0</v>
      </c>
      <c r="Y418" t="s">
        <v>55</v>
      </c>
      <c r="Z418" t="s">
        <v>56</v>
      </c>
      <c r="AA418" t="s">
        <v>57</v>
      </c>
      <c r="AB418">
        <v>0</v>
      </c>
      <c r="AC418" t="s">
        <v>58</v>
      </c>
      <c r="AD418">
        <v>-1</v>
      </c>
      <c r="AE418" t="s">
        <v>73</v>
      </c>
      <c r="AF418">
        <v>0</v>
      </c>
      <c r="AG418" t="b">
        <v>0</v>
      </c>
      <c r="AH418">
        <v>-1</v>
      </c>
      <c r="AI418" t="s">
        <v>73</v>
      </c>
      <c r="AJ418">
        <v>0</v>
      </c>
      <c r="AK418" t="b">
        <v>0</v>
      </c>
      <c r="AM418" t="b">
        <v>0</v>
      </c>
      <c r="AN418">
        <v>0</v>
      </c>
      <c r="AO418" t="b">
        <v>0</v>
      </c>
      <c r="AQ418">
        <v>19212069.09</v>
      </c>
      <c r="AR418">
        <v>19212069.09</v>
      </c>
      <c r="AS418">
        <v>0</v>
      </c>
      <c r="AT418" t="b">
        <v>0</v>
      </c>
      <c r="AU418" t="b">
        <v>1</v>
      </c>
      <c r="BA418" t="str">
        <f t="shared" si="12"/>
        <v>Normal</v>
      </c>
      <c r="BG418" t="str">
        <f t="shared" si="13"/>
        <v>Normal</v>
      </c>
    </row>
    <row r="419" spans="1:59" x14ac:dyDescent="0.2">
      <c r="A419" t="s">
        <v>42</v>
      </c>
      <c r="B419" t="s">
        <v>43</v>
      </c>
      <c r="C419">
        <v>20230101</v>
      </c>
      <c r="D419">
        <v>2023</v>
      </c>
      <c r="E419">
        <v>52</v>
      </c>
      <c r="F419" t="s">
        <v>311</v>
      </c>
      <c r="G419">
        <v>156</v>
      </c>
      <c r="H419" t="s">
        <v>96</v>
      </c>
      <c r="I419" t="s">
        <v>97</v>
      </c>
      <c r="J419" t="s">
        <v>47</v>
      </c>
      <c r="K419" t="s">
        <v>48</v>
      </c>
      <c r="L419">
        <v>0</v>
      </c>
      <c r="M419" t="s">
        <v>49</v>
      </c>
      <c r="N419" t="s">
        <v>50</v>
      </c>
      <c r="O419">
        <v>0</v>
      </c>
      <c r="P419" t="s">
        <v>49</v>
      </c>
      <c r="Q419" t="s">
        <v>50</v>
      </c>
      <c r="R419" t="s">
        <v>300</v>
      </c>
      <c r="S419" t="s">
        <v>52</v>
      </c>
      <c r="T419" t="b">
        <v>1</v>
      </c>
      <c r="U419" t="s">
        <v>53</v>
      </c>
      <c r="V419" t="s">
        <v>54</v>
      </c>
      <c r="W419">
        <v>4</v>
      </c>
      <c r="X419" t="b">
        <v>0</v>
      </c>
      <c r="Y419" t="s">
        <v>55</v>
      </c>
      <c r="Z419" t="s">
        <v>56</v>
      </c>
      <c r="AA419" t="s">
        <v>57</v>
      </c>
      <c r="AB419">
        <v>0</v>
      </c>
      <c r="AC419" t="s">
        <v>58</v>
      </c>
      <c r="AD419">
        <v>8</v>
      </c>
      <c r="AE419" t="s">
        <v>59</v>
      </c>
      <c r="AF419">
        <v>1420845300</v>
      </c>
      <c r="AG419" t="b">
        <v>0</v>
      </c>
      <c r="AH419">
        <v>8</v>
      </c>
      <c r="AI419" t="s">
        <v>59</v>
      </c>
      <c r="AJ419">
        <v>1420845300</v>
      </c>
      <c r="AK419" t="b">
        <v>0</v>
      </c>
      <c r="AL419">
        <v>1420845300</v>
      </c>
      <c r="AM419" t="b">
        <v>0</v>
      </c>
      <c r="AN419">
        <v>0</v>
      </c>
      <c r="AO419" t="b">
        <v>0</v>
      </c>
      <c r="AQ419">
        <v>843802125</v>
      </c>
      <c r="AR419">
        <v>843802125</v>
      </c>
      <c r="AS419">
        <v>0</v>
      </c>
      <c r="AT419" t="b">
        <v>0</v>
      </c>
      <c r="AU419" t="b">
        <v>1</v>
      </c>
      <c r="BA419" t="str">
        <f t="shared" si="12"/>
        <v>Normal</v>
      </c>
      <c r="BG419" t="str">
        <f t="shared" si="13"/>
        <v>Normal</v>
      </c>
    </row>
    <row r="420" spans="1:59" x14ac:dyDescent="0.2">
      <c r="A420" t="s">
        <v>42</v>
      </c>
      <c r="B420" t="s">
        <v>43</v>
      </c>
      <c r="C420">
        <v>20230101</v>
      </c>
      <c r="D420">
        <v>2023</v>
      </c>
      <c r="E420">
        <v>52</v>
      </c>
      <c r="F420" t="s">
        <v>311</v>
      </c>
      <c r="G420">
        <v>170</v>
      </c>
      <c r="H420" t="s">
        <v>98</v>
      </c>
      <c r="I420" t="s">
        <v>99</v>
      </c>
      <c r="J420" t="s">
        <v>47</v>
      </c>
      <c r="K420" t="s">
        <v>48</v>
      </c>
      <c r="L420">
        <v>0</v>
      </c>
      <c r="M420" t="s">
        <v>49</v>
      </c>
      <c r="N420" t="s">
        <v>50</v>
      </c>
      <c r="O420">
        <v>0</v>
      </c>
      <c r="P420" t="s">
        <v>49</v>
      </c>
      <c r="Q420" t="s">
        <v>50</v>
      </c>
      <c r="R420" t="s">
        <v>300</v>
      </c>
      <c r="S420" t="s">
        <v>52</v>
      </c>
      <c r="T420" t="b">
        <v>1</v>
      </c>
      <c r="U420" t="s">
        <v>53</v>
      </c>
      <c r="V420" t="s">
        <v>54</v>
      </c>
      <c r="W420">
        <v>4</v>
      </c>
      <c r="X420" t="b">
        <v>0</v>
      </c>
      <c r="Y420" t="s">
        <v>55</v>
      </c>
      <c r="Z420" t="s">
        <v>56</v>
      </c>
      <c r="AA420" t="s">
        <v>57</v>
      </c>
      <c r="AB420">
        <v>0</v>
      </c>
      <c r="AC420" t="s">
        <v>58</v>
      </c>
      <c r="AD420">
        <v>8</v>
      </c>
      <c r="AE420" t="s">
        <v>59</v>
      </c>
      <c r="AF420">
        <v>26411720200</v>
      </c>
      <c r="AG420" t="b">
        <v>0</v>
      </c>
      <c r="AH420">
        <v>12</v>
      </c>
      <c r="AI420" t="s">
        <v>70</v>
      </c>
      <c r="AJ420">
        <v>28567776.699999999</v>
      </c>
      <c r="AK420" t="b">
        <v>0</v>
      </c>
      <c r="AL420">
        <v>26411720200</v>
      </c>
      <c r="AM420" t="b">
        <v>0</v>
      </c>
      <c r="AN420">
        <v>0</v>
      </c>
      <c r="AO420" t="b">
        <v>0</v>
      </c>
      <c r="AQ420">
        <v>12659153725.32</v>
      </c>
      <c r="AR420">
        <v>12659153725.32</v>
      </c>
      <c r="AS420">
        <v>0</v>
      </c>
      <c r="AT420" t="b">
        <v>0</v>
      </c>
      <c r="AU420" t="b">
        <v>1</v>
      </c>
      <c r="BA420" t="str">
        <f t="shared" si="12"/>
        <v>Normal</v>
      </c>
      <c r="BG420" t="str">
        <f t="shared" si="13"/>
        <v>Normal</v>
      </c>
    </row>
    <row r="421" spans="1:59" x14ac:dyDescent="0.2">
      <c r="A421" t="s">
        <v>42</v>
      </c>
      <c r="B421" t="s">
        <v>43</v>
      </c>
      <c r="C421">
        <v>20230101</v>
      </c>
      <c r="D421">
        <v>2023</v>
      </c>
      <c r="E421">
        <v>52</v>
      </c>
      <c r="F421" t="s">
        <v>311</v>
      </c>
      <c r="G421">
        <v>178</v>
      </c>
      <c r="H421" t="s">
        <v>100</v>
      </c>
      <c r="I421" t="s">
        <v>101</v>
      </c>
      <c r="J421" t="s">
        <v>47</v>
      </c>
      <c r="K421" t="s">
        <v>48</v>
      </c>
      <c r="L421">
        <v>0</v>
      </c>
      <c r="M421" t="s">
        <v>49</v>
      </c>
      <c r="N421" t="s">
        <v>50</v>
      </c>
      <c r="O421">
        <v>0</v>
      </c>
      <c r="P421" t="s">
        <v>49</v>
      </c>
      <c r="Q421" t="s">
        <v>50</v>
      </c>
      <c r="R421" t="s">
        <v>300</v>
      </c>
      <c r="S421" t="s">
        <v>52</v>
      </c>
      <c r="T421" t="b">
        <v>1</v>
      </c>
      <c r="U421" t="s">
        <v>53</v>
      </c>
      <c r="V421" t="s">
        <v>54</v>
      </c>
      <c r="W421">
        <v>4</v>
      </c>
      <c r="X421" t="b">
        <v>0</v>
      </c>
      <c r="Y421" t="s">
        <v>55</v>
      </c>
      <c r="Z421" t="s">
        <v>56</v>
      </c>
      <c r="AA421" t="s">
        <v>57</v>
      </c>
      <c r="AB421">
        <v>0</v>
      </c>
      <c r="AC421" t="s">
        <v>58</v>
      </c>
      <c r="AD421">
        <v>8</v>
      </c>
      <c r="AE421" t="s">
        <v>59</v>
      </c>
      <c r="AF421">
        <v>13951740200</v>
      </c>
      <c r="AG421" t="b">
        <v>0</v>
      </c>
      <c r="AH421">
        <v>8</v>
      </c>
      <c r="AI421" t="s">
        <v>59</v>
      </c>
      <c r="AJ421">
        <v>13951740200</v>
      </c>
      <c r="AK421" t="b">
        <v>0</v>
      </c>
      <c r="AL421">
        <v>13951740200</v>
      </c>
      <c r="AM421" t="b">
        <v>0</v>
      </c>
      <c r="AN421">
        <v>0</v>
      </c>
      <c r="AO421" t="b">
        <v>0</v>
      </c>
      <c r="AQ421">
        <v>7967679150.96</v>
      </c>
      <c r="AR421">
        <v>7967679150.96</v>
      </c>
      <c r="AS421">
        <v>0</v>
      </c>
      <c r="AT421" t="b">
        <v>0</v>
      </c>
      <c r="AU421" t="b">
        <v>1</v>
      </c>
      <c r="BA421" t="str">
        <f t="shared" si="12"/>
        <v>Normal</v>
      </c>
      <c r="BG421" t="str">
        <f t="shared" si="13"/>
        <v>Normal</v>
      </c>
    </row>
    <row r="422" spans="1:59" x14ac:dyDescent="0.2">
      <c r="A422" t="s">
        <v>42</v>
      </c>
      <c r="B422" t="s">
        <v>43</v>
      </c>
      <c r="C422">
        <v>20230101</v>
      </c>
      <c r="D422">
        <v>2023</v>
      </c>
      <c r="E422">
        <v>52</v>
      </c>
      <c r="F422" t="s">
        <v>311</v>
      </c>
      <c r="G422">
        <v>180</v>
      </c>
      <c r="H422" t="s">
        <v>102</v>
      </c>
      <c r="I422" t="s">
        <v>103</v>
      </c>
      <c r="J422" t="s">
        <v>47</v>
      </c>
      <c r="K422" t="s">
        <v>48</v>
      </c>
      <c r="L422">
        <v>0</v>
      </c>
      <c r="M422" t="s">
        <v>49</v>
      </c>
      <c r="N422" t="s">
        <v>50</v>
      </c>
      <c r="O422">
        <v>0</v>
      </c>
      <c r="P422" t="s">
        <v>49</v>
      </c>
      <c r="Q422" t="s">
        <v>50</v>
      </c>
      <c r="R422" t="s">
        <v>104</v>
      </c>
      <c r="S422" t="s">
        <v>52</v>
      </c>
      <c r="T422" t="b">
        <v>1</v>
      </c>
      <c r="U422" t="s">
        <v>53</v>
      </c>
      <c r="V422" t="s">
        <v>54</v>
      </c>
      <c r="W422">
        <v>4</v>
      </c>
      <c r="X422" t="b">
        <v>0</v>
      </c>
      <c r="Y422" t="s">
        <v>55</v>
      </c>
      <c r="Z422" t="s">
        <v>56</v>
      </c>
      <c r="AA422" t="s">
        <v>57</v>
      </c>
      <c r="AB422">
        <v>0</v>
      </c>
      <c r="AC422" t="s">
        <v>58</v>
      </c>
      <c r="AD422">
        <v>8</v>
      </c>
      <c r="AE422" t="s">
        <v>59</v>
      </c>
      <c r="AF422">
        <v>5</v>
      </c>
      <c r="AG422" t="b">
        <v>0</v>
      </c>
      <c r="AH422">
        <v>8</v>
      </c>
      <c r="AI422" t="s">
        <v>59</v>
      </c>
      <c r="AJ422">
        <v>5</v>
      </c>
      <c r="AK422" t="b">
        <v>0</v>
      </c>
      <c r="AL422">
        <v>5</v>
      </c>
      <c r="AM422" t="b">
        <v>0</v>
      </c>
      <c r="AN422">
        <v>0</v>
      </c>
      <c r="AO422" t="b">
        <v>0</v>
      </c>
      <c r="AQ422">
        <v>4.8380000000000001</v>
      </c>
      <c r="AR422">
        <v>4.8380000000000001</v>
      </c>
      <c r="AS422">
        <v>0</v>
      </c>
      <c r="AT422" t="b">
        <v>0</v>
      </c>
      <c r="AU422" t="b">
        <v>1</v>
      </c>
      <c r="BA422" t="str">
        <f t="shared" si="12"/>
        <v>Normal</v>
      </c>
      <c r="BG422" t="str">
        <f t="shared" si="13"/>
        <v>Normal</v>
      </c>
    </row>
    <row r="423" spans="1:59" x14ac:dyDescent="0.2">
      <c r="A423" t="s">
        <v>42</v>
      </c>
      <c r="B423" t="s">
        <v>43</v>
      </c>
      <c r="C423">
        <v>20230101</v>
      </c>
      <c r="D423">
        <v>2023</v>
      </c>
      <c r="E423">
        <v>52</v>
      </c>
      <c r="F423" t="s">
        <v>311</v>
      </c>
      <c r="G423">
        <v>188</v>
      </c>
      <c r="H423" t="s">
        <v>312</v>
      </c>
      <c r="I423" t="s">
        <v>313</v>
      </c>
      <c r="J423" t="s">
        <v>47</v>
      </c>
      <c r="K423" t="s">
        <v>48</v>
      </c>
      <c r="L423">
        <v>0</v>
      </c>
      <c r="M423" t="s">
        <v>49</v>
      </c>
      <c r="N423" t="s">
        <v>50</v>
      </c>
      <c r="O423">
        <v>0</v>
      </c>
      <c r="P423" t="s">
        <v>49</v>
      </c>
      <c r="Q423" t="s">
        <v>50</v>
      </c>
      <c r="R423" t="s">
        <v>300</v>
      </c>
      <c r="S423" t="s">
        <v>52</v>
      </c>
      <c r="T423" t="b">
        <v>1</v>
      </c>
      <c r="U423" t="s">
        <v>53</v>
      </c>
      <c r="V423" t="s">
        <v>54</v>
      </c>
      <c r="W423">
        <v>4</v>
      </c>
      <c r="X423" t="b">
        <v>0</v>
      </c>
      <c r="Y423" t="s">
        <v>55</v>
      </c>
      <c r="Z423" t="s">
        <v>56</v>
      </c>
      <c r="AA423" t="s">
        <v>57</v>
      </c>
      <c r="AB423">
        <v>0</v>
      </c>
      <c r="AC423" t="s">
        <v>58</v>
      </c>
      <c r="AD423">
        <v>8</v>
      </c>
      <c r="AE423" t="s">
        <v>59</v>
      </c>
      <c r="AF423">
        <v>91.552000000000007</v>
      </c>
      <c r="AG423" t="b">
        <v>0</v>
      </c>
      <c r="AH423">
        <v>8</v>
      </c>
      <c r="AI423" t="s">
        <v>59</v>
      </c>
      <c r="AJ423">
        <v>91.552000000000007</v>
      </c>
      <c r="AK423" t="b">
        <v>0</v>
      </c>
      <c r="AL423">
        <v>91.552000000000007</v>
      </c>
      <c r="AM423" t="b">
        <v>0</v>
      </c>
      <c r="AN423">
        <v>0</v>
      </c>
      <c r="AO423" t="b">
        <v>0</v>
      </c>
      <c r="AQ423">
        <v>195</v>
      </c>
      <c r="AR423">
        <v>195</v>
      </c>
      <c r="AS423">
        <v>0</v>
      </c>
      <c r="AT423" t="b">
        <v>0</v>
      </c>
      <c r="AU423" t="b">
        <v>1</v>
      </c>
      <c r="BA423" t="str">
        <f t="shared" si="12"/>
        <v>Normal</v>
      </c>
      <c r="BG423" t="str">
        <f t="shared" si="13"/>
        <v>Normal</v>
      </c>
    </row>
    <row r="424" spans="1:59" x14ac:dyDescent="0.2">
      <c r="A424" t="s">
        <v>42</v>
      </c>
      <c r="B424" t="s">
        <v>43</v>
      </c>
      <c r="C424">
        <v>20230101</v>
      </c>
      <c r="D424">
        <v>2023</v>
      </c>
      <c r="E424">
        <v>52</v>
      </c>
      <c r="F424" t="s">
        <v>311</v>
      </c>
      <c r="G424">
        <v>191</v>
      </c>
      <c r="H424" t="s">
        <v>105</v>
      </c>
      <c r="I424" t="s">
        <v>106</v>
      </c>
      <c r="J424" t="s">
        <v>47</v>
      </c>
      <c r="K424" t="s">
        <v>48</v>
      </c>
      <c r="L424">
        <v>0</v>
      </c>
      <c r="M424" t="s">
        <v>49</v>
      </c>
      <c r="N424" t="s">
        <v>50</v>
      </c>
      <c r="O424">
        <v>0</v>
      </c>
      <c r="P424" t="s">
        <v>49</v>
      </c>
      <c r="Q424" t="s">
        <v>50</v>
      </c>
      <c r="R424" t="s">
        <v>300</v>
      </c>
      <c r="S424" t="s">
        <v>52</v>
      </c>
      <c r="T424" t="b">
        <v>1</v>
      </c>
      <c r="U424" t="s">
        <v>53</v>
      </c>
      <c r="V424" t="s">
        <v>54</v>
      </c>
      <c r="W424">
        <v>4</v>
      </c>
      <c r="X424" t="b">
        <v>0</v>
      </c>
      <c r="Y424" t="s">
        <v>55</v>
      </c>
      <c r="Z424" t="s">
        <v>56</v>
      </c>
      <c r="AA424" t="s">
        <v>57</v>
      </c>
      <c r="AB424">
        <v>0</v>
      </c>
      <c r="AC424" t="s">
        <v>58</v>
      </c>
      <c r="AD424">
        <v>8</v>
      </c>
      <c r="AE424" t="s">
        <v>59</v>
      </c>
      <c r="AF424">
        <v>524839089</v>
      </c>
      <c r="AG424" t="b">
        <v>0</v>
      </c>
      <c r="AH424">
        <v>8</v>
      </c>
      <c r="AI424" t="s">
        <v>59</v>
      </c>
      <c r="AJ424">
        <v>524839089</v>
      </c>
      <c r="AK424" t="b">
        <v>0</v>
      </c>
      <c r="AL424">
        <v>524839089</v>
      </c>
      <c r="AM424" t="b">
        <v>0</v>
      </c>
      <c r="AN424">
        <v>0</v>
      </c>
      <c r="AO424" t="b">
        <v>0</v>
      </c>
      <c r="AQ424">
        <v>311326176</v>
      </c>
      <c r="AR424">
        <v>311326176</v>
      </c>
      <c r="AS424">
        <v>0</v>
      </c>
      <c r="AT424" t="b">
        <v>0</v>
      </c>
      <c r="AU424" t="b">
        <v>1</v>
      </c>
      <c r="BA424" t="str">
        <f t="shared" si="12"/>
        <v>Normal</v>
      </c>
      <c r="BG424" t="str">
        <f t="shared" si="13"/>
        <v>Normal</v>
      </c>
    </row>
    <row r="425" spans="1:59" x14ac:dyDescent="0.2">
      <c r="A425" t="s">
        <v>42</v>
      </c>
      <c r="B425" t="s">
        <v>43</v>
      </c>
      <c r="C425">
        <v>20230101</v>
      </c>
      <c r="D425">
        <v>2023</v>
      </c>
      <c r="E425">
        <v>52</v>
      </c>
      <c r="F425" t="s">
        <v>311</v>
      </c>
      <c r="G425">
        <v>203</v>
      </c>
      <c r="H425" t="s">
        <v>107</v>
      </c>
      <c r="I425" t="s">
        <v>108</v>
      </c>
      <c r="J425" t="s">
        <v>47</v>
      </c>
      <c r="K425" t="s">
        <v>48</v>
      </c>
      <c r="L425">
        <v>0</v>
      </c>
      <c r="M425" t="s">
        <v>49</v>
      </c>
      <c r="N425" t="s">
        <v>50</v>
      </c>
      <c r="O425">
        <v>0</v>
      </c>
      <c r="P425" t="s">
        <v>49</v>
      </c>
      <c r="Q425" t="s">
        <v>50</v>
      </c>
      <c r="R425" t="s">
        <v>300</v>
      </c>
      <c r="S425" t="s">
        <v>52</v>
      </c>
      <c r="T425" t="b">
        <v>1</v>
      </c>
      <c r="U425" t="s">
        <v>53</v>
      </c>
      <c r="V425" t="s">
        <v>54</v>
      </c>
      <c r="W425">
        <v>4</v>
      </c>
      <c r="X425" t="b">
        <v>0</v>
      </c>
      <c r="Y425" t="s">
        <v>55</v>
      </c>
      <c r="Z425" t="s">
        <v>56</v>
      </c>
      <c r="AA425" t="s">
        <v>57</v>
      </c>
      <c r="AB425">
        <v>0</v>
      </c>
      <c r="AC425" t="s">
        <v>58</v>
      </c>
      <c r="AD425">
        <v>8</v>
      </c>
      <c r="AE425" t="s">
        <v>59</v>
      </c>
      <c r="AF425">
        <v>814.20299999999997</v>
      </c>
      <c r="AG425" t="b">
        <v>1</v>
      </c>
      <c r="AH425">
        <v>-1</v>
      </c>
      <c r="AI425" t="s">
        <v>73</v>
      </c>
      <c r="AJ425">
        <v>0</v>
      </c>
      <c r="AK425" t="b">
        <v>0</v>
      </c>
      <c r="AL425">
        <v>814.20299999999997</v>
      </c>
      <c r="AM425" t="b">
        <v>1</v>
      </c>
      <c r="AN425">
        <v>0</v>
      </c>
      <c r="AO425" t="b">
        <v>0</v>
      </c>
      <c r="AQ425">
        <v>4697</v>
      </c>
      <c r="AR425">
        <v>4697</v>
      </c>
      <c r="AS425">
        <v>6</v>
      </c>
      <c r="AT425" t="b">
        <v>0</v>
      </c>
      <c r="AU425" t="b">
        <v>1</v>
      </c>
      <c r="BA425" t="str">
        <f t="shared" si="12"/>
        <v>Normal</v>
      </c>
      <c r="BG425" t="str">
        <f t="shared" si="13"/>
        <v>Normal</v>
      </c>
    </row>
    <row r="426" spans="1:59" x14ac:dyDescent="0.2">
      <c r="A426" t="s">
        <v>42</v>
      </c>
      <c r="B426" t="s">
        <v>43</v>
      </c>
      <c r="C426">
        <v>20230101</v>
      </c>
      <c r="D426">
        <v>2023</v>
      </c>
      <c r="E426">
        <v>52</v>
      </c>
      <c r="F426" t="s">
        <v>311</v>
      </c>
      <c r="G426">
        <v>208</v>
      </c>
      <c r="H426" t="s">
        <v>109</v>
      </c>
      <c r="I426" t="s">
        <v>110</v>
      </c>
      <c r="J426" t="s">
        <v>47</v>
      </c>
      <c r="K426" t="s">
        <v>48</v>
      </c>
      <c r="L426">
        <v>0</v>
      </c>
      <c r="M426" t="s">
        <v>49</v>
      </c>
      <c r="N426" t="s">
        <v>50</v>
      </c>
      <c r="O426">
        <v>0</v>
      </c>
      <c r="P426" t="s">
        <v>49</v>
      </c>
      <c r="Q426" t="s">
        <v>50</v>
      </c>
      <c r="R426" t="s">
        <v>300</v>
      </c>
      <c r="S426" t="s">
        <v>52</v>
      </c>
      <c r="T426" t="b">
        <v>1</v>
      </c>
      <c r="U426" t="s">
        <v>53</v>
      </c>
      <c r="V426" t="s">
        <v>54</v>
      </c>
      <c r="W426">
        <v>4</v>
      </c>
      <c r="X426" t="b">
        <v>0</v>
      </c>
      <c r="Y426" t="s">
        <v>55</v>
      </c>
      <c r="Z426" t="s">
        <v>56</v>
      </c>
      <c r="AA426" t="s">
        <v>57</v>
      </c>
      <c r="AB426">
        <v>0</v>
      </c>
      <c r="AC426" t="s">
        <v>58</v>
      </c>
      <c r="AD426">
        <v>-1</v>
      </c>
      <c r="AE426" t="s">
        <v>73</v>
      </c>
      <c r="AF426">
        <v>0</v>
      </c>
      <c r="AG426" t="b">
        <v>0</v>
      </c>
      <c r="AH426">
        <v>-1</v>
      </c>
      <c r="AI426" t="s">
        <v>73</v>
      </c>
      <c r="AJ426">
        <v>0</v>
      </c>
      <c r="AK426" t="b">
        <v>0</v>
      </c>
      <c r="AM426" t="b">
        <v>0</v>
      </c>
      <c r="AN426">
        <v>0</v>
      </c>
      <c r="AO426" t="b">
        <v>0</v>
      </c>
      <c r="AQ426">
        <v>125073807.45900001</v>
      </c>
      <c r="AR426">
        <v>125073807.45900001</v>
      </c>
      <c r="AS426">
        <v>0</v>
      </c>
      <c r="AT426" t="b">
        <v>0</v>
      </c>
      <c r="AU426" t="b">
        <v>1</v>
      </c>
      <c r="BA426" t="str">
        <f t="shared" si="12"/>
        <v>Normal</v>
      </c>
      <c r="BG426" t="str">
        <f t="shared" si="13"/>
        <v>Normal</v>
      </c>
    </row>
    <row r="427" spans="1:59" x14ac:dyDescent="0.2">
      <c r="A427" t="s">
        <v>42</v>
      </c>
      <c r="B427" t="s">
        <v>43</v>
      </c>
      <c r="C427">
        <v>20230101</v>
      </c>
      <c r="D427">
        <v>2023</v>
      </c>
      <c r="E427">
        <v>52</v>
      </c>
      <c r="F427" t="s">
        <v>311</v>
      </c>
      <c r="G427">
        <v>214</v>
      </c>
      <c r="H427" t="s">
        <v>111</v>
      </c>
      <c r="I427" t="s">
        <v>112</v>
      </c>
      <c r="J427" t="s">
        <v>47</v>
      </c>
      <c r="K427" t="s">
        <v>48</v>
      </c>
      <c r="L427">
        <v>0</v>
      </c>
      <c r="M427" t="s">
        <v>49</v>
      </c>
      <c r="N427" t="s">
        <v>50</v>
      </c>
      <c r="O427">
        <v>0</v>
      </c>
      <c r="P427" t="s">
        <v>49</v>
      </c>
      <c r="Q427" t="s">
        <v>50</v>
      </c>
      <c r="R427" t="s">
        <v>300</v>
      </c>
      <c r="S427" t="s">
        <v>52</v>
      </c>
      <c r="T427" t="b">
        <v>1</v>
      </c>
      <c r="U427" t="s">
        <v>53</v>
      </c>
      <c r="V427" t="s">
        <v>54</v>
      </c>
      <c r="W427">
        <v>4</v>
      </c>
      <c r="X427" t="b">
        <v>0</v>
      </c>
      <c r="Y427" t="s">
        <v>55</v>
      </c>
      <c r="Z427" t="s">
        <v>56</v>
      </c>
      <c r="AA427" t="s">
        <v>57</v>
      </c>
      <c r="AB427">
        <v>0</v>
      </c>
      <c r="AC427" t="s">
        <v>58</v>
      </c>
      <c r="AD427">
        <v>-1</v>
      </c>
      <c r="AE427" t="s">
        <v>73</v>
      </c>
      <c r="AF427">
        <v>0</v>
      </c>
      <c r="AG427" t="b">
        <v>0</v>
      </c>
      <c r="AH427">
        <v>-1</v>
      </c>
      <c r="AI427" t="s">
        <v>73</v>
      </c>
      <c r="AJ427">
        <v>0</v>
      </c>
      <c r="AK427" t="b">
        <v>0</v>
      </c>
      <c r="AM427" t="b">
        <v>0</v>
      </c>
      <c r="AN427">
        <v>0</v>
      </c>
      <c r="AO427" t="b">
        <v>0</v>
      </c>
      <c r="AQ427">
        <v>2811</v>
      </c>
      <c r="AR427">
        <v>2811</v>
      </c>
      <c r="AS427">
        <v>0</v>
      </c>
      <c r="AT427" t="b">
        <v>0</v>
      </c>
      <c r="AU427" t="b">
        <v>1</v>
      </c>
      <c r="BA427" t="str">
        <f t="shared" si="12"/>
        <v>Normal</v>
      </c>
      <c r="BG427" t="str">
        <f t="shared" si="13"/>
        <v>Normal</v>
      </c>
    </row>
    <row r="428" spans="1:59" x14ac:dyDescent="0.2">
      <c r="A428" t="s">
        <v>42</v>
      </c>
      <c r="B428" t="s">
        <v>43</v>
      </c>
      <c r="C428">
        <v>20230101</v>
      </c>
      <c r="D428">
        <v>2023</v>
      </c>
      <c r="E428">
        <v>52</v>
      </c>
      <c r="F428" t="s">
        <v>311</v>
      </c>
      <c r="G428">
        <v>218</v>
      </c>
      <c r="H428" t="s">
        <v>113</v>
      </c>
      <c r="I428" t="s">
        <v>114</v>
      </c>
      <c r="J428" t="s">
        <v>47</v>
      </c>
      <c r="K428" t="s">
        <v>48</v>
      </c>
      <c r="L428">
        <v>0</v>
      </c>
      <c r="M428" t="s">
        <v>49</v>
      </c>
      <c r="N428" t="s">
        <v>50</v>
      </c>
      <c r="O428">
        <v>0</v>
      </c>
      <c r="P428" t="s">
        <v>49</v>
      </c>
      <c r="Q428" t="s">
        <v>50</v>
      </c>
      <c r="R428" t="s">
        <v>300</v>
      </c>
      <c r="S428" t="s">
        <v>52</v>
      </c>
      <c r="T428" t="b">
        <v>1</v>
      </c>
      <c r="U428" t="s">
        <v>53</v>
      </c>
      <c r="V428" t="s">
        <v>54</v>
      </c>
      <c r="W428">
        <v>4</v>
      </c>
      <c r="X428" t="b">
        <v>0</v>
      </c>
      <c r="Y428" t="s">
        <v>55</v>
      </c>
      <c r="Z428" t="s">
        <v>56</v>
      </c>
      <c r="AA428" t="s">
        <v>57</v>
      </c>
      <c r="AB428">
        <v>0</v>
      </c>
      <c r="AC428" t="s">
        <v>58</v>
      </c>
      <c r="AD428">
        <v>-1</v>
      </c>
      <c r="AE428" t="s">
        <v>73</v>
      </c>
      <c r="AF428">
        <v>0</v>
      </c>
      <c r="AG428" t="b">
        <v>0</v>
      </c>
      <c r="AH428">
        <v>-1</v>
      </c>
      <c r="AI428" t="s">
        <v>73</v>
      </c>
      <c r="AJ428">
        <v>0</v>
      </c>
      <c r="AK428" t="b">
        <v>0</v>
      </c>
      <c r="AM428" t="b">
        <v>0</v>
      </c>
      <c r="AN428">
        <v>0</v>
      </c>
      <c r="AO428" t="b">
        <v>0</v>
      </c>
      <c r="AQ428">
        <v>7823367067.3999996</v>
      </c>
      <c r="AR428">
        <v>7823367067.3999996</v>
      </c>
      <c r="AS428">
        <v>0</v>
      </c>
      <c r="AT428" t="b">
        <v>0</v>
      </c>
      <c r="AU428" t="b">
        <v>1</v>
      </c>
      <c r="BA428" t="str">
        <f t="shared" si="12"/>
        <v>Normal</v>
      </c>
      <c r="BG428" t="str">
        <f t="shared" si="13"/>
        <v>Normal</v>
      </c>
    </row>
    <row r="429" spans="1:59" x14ac:dyDescent="0.2">
      <c r="A429" t="s">
        <v>42</v>
      </c>
      <c r="B429" t="s">
        <v>43</v>
      </c>
      <c r="C429">
        <v>20230101</v>
      </c>
      <c r="D429">
        <v>2023</v>
      </c>
      <c r="E429">
        <v>52</v>
      </c>
      <c r="F429" t="s">
        <v>311</v>
      </c>
      <c r="G429">
        <v>222</v>
      </c>
      <c r="H429" t="s">
        <v>115</v>
      </c>
      <c r="I429" t="s">
        <v>116</v>
      </c>
      <c r="J429" t="s">
        <v>47</v>
      </c>
      <c r="K429" t="s">
        <v>48</v>
      </c>
      <c r="L429">
        <v>0</v>
      </c>
      <c r="M429" t="s">
        <v>49</v>
      </c>
      <c r="N429" t="s">
        <v>50</v>
      </c>
      <c r="O429">
        <v>0</v>
      </c>
      <c r="P429" t="s">
        <v>49</v>
      </c>
      <c r="Q429" t="s">
        <v>50</v>
      </c>
      <c r="R429" t="s">
        <v>300</v>
      </c>
      <c r="S429" t="s">
        <v>52</v>
      </c>
      <c r="T429" t="b">
        <v>1</v>
      </c>
      <c r="U429" t="s">
        <v>53</v>
      </c>
      <c r="V429" t="s">
        <v>54</v>
      </c>
      <c r="W429">
        <v>4</v>
      </c>
      <c r="X429" t="b">
        <v>0</v>
      </c>
      <c r="Y429" t="s">
        <v>55</v>
      </c>
      <c r="Z429" t="s">
        <v>56</v>
      </c>
      <c r="AA429" t="s">
        <v>57</v>
      </c>
      <c r="AB429">
        <v>0</v>
      </c>
      <c r="AC429" t="s">
        <v>58</v>
      </c>
      <c r="AD429">
        <v>8</v>
      </c>
      <c r="AE429" t="s">
        <v>59</v>
      </c>
      <c r="AF429">
        <v>5900.5</v>
      </c>
      <c r="AG429" t="b">
        <v>0</v>
      </c>
      <c r="AH429">
        <v>8</v>
      </c>
      <c r="AI429" t="s">
        <v>59</v>
      </c>
      <c r="AJ429">
        <v>5900.5</v>
      </c>
      <c r="AK429" t="b">
        <v>0</v>
      </c>
      <c r="AL429">
        <v>5900.5</v>
      </c>
      <c r="AM429" t="b">
        <v>0</v>
      </c>
      <c r="AN429">
        <v>0</v>
      </c>
      <c r="AO429" t="b">
        <v>0</v>
      </c>
      <c r="AQ429">
        <v>6534</v>
      </c>
      <c r="AR429">
        <v>6534</v>
      </c>
      <c r="AS429">
        <v>0</v>
      </c>
      <c r="AT429" t="b">
        <v>0</v>
      </c>
      <c r="AU429" t="b">
        <v>1</v>
      </c>
      <c r="BA429" t="str">
        <f t="shared" si="12"/>
        <v>Normal</v>
      </c>
      <c r="BG429" t="str">
        <f t="shared" si="13"/>
        <v>Normal</v>
      </c>
    </row>
    <row r="430" spans="1:59" x14ac:dyDescent="0.2">
      <c r="A430" t="s">
        <v>42</v>
      </c>
      <c r="B430" t="s">
        <v>43</v>
      </c>
      <c r="C430">
        <v>20230101</v>
      </c>
      <c r="D430">
        <v>2023</v>
      </c>
      <c r="E430">
        <v>52</v>
      </c>
      <c r="F430" t="s">
        <v>311</v>
      </c>
      <c r="G430">
        <v>246</v>
      </c>
      <c r="H430" t="s">
        <v>121</v>
      </c>
      <c r="I430" t="s">
        <v>122</v>
      </c>
      <c r="J430" t="s">
        <v>47</v>
      </c>
      <c r="K430" t="s">
        <v>48</v>
      </c>
      <c r="L430">
        <v>0</v>
      </c>
      <c r="M430" t="s">
        <v>49</v>
      </c>
      <c r="N430" t="s">
        <v>50</v>
      </c>
      <c r="O430">
        <v>0</v>
      </c>
      <c r="P430" t="s">
        <v>49</v>
      </c>
      <c r="Q430" t="s">
        <v>50</v>
      </c>
      <c r="R430" t="s">
        <v>300</v>
      </c>
      <c r="S430" t="s">
        <v>52</v>
      </c>
      <c r="T430" t="b">
        <v>1</v>
      </c>
      <c r="U430" t="s">
        <v>53</v>
      </c>
      <c r="V430" t="s">
        <v>54</v>
      </c>
      <c r="W430">
        <v>4</v>
      </c>
      <c r="X430" t="b">
        <v>0</v>
      </c>
      <c r="Y430" t="s">
        <v>55</v>
      </c>
      <c r="Z430" t="s">
        <v>56</v>
      </c>
      <c r="AA430" t="s">
        <v>57</v>
      </c>
      <c r="AB430">
        <v>0</v>
      </c>
      <c r="AC430" t="s">
        <v>58</v>
      </c>
      <c r="AD430">
        <v>8</v>
      </c>
      <c r="AE430" t="s">
        <v>59</v>
      </c>
      <c r="AF430">
        <v>6</v>
      </c>
      <c r="AG430" t="b">
        <v>0</v>
      </c>
      <c r="AH430">
        <v>8</v>
      </c>
      <c r="AI430" t="s">
        <v>59</v>
      </c>
      <c r="AJ430">
        <v>6</v>
      </c>
      <c r="AK430" t="b">
        <v>0</v>
      </c>
      <c r="AL430">
        <v>6</v>
      </c>
      <c r="AM430" t="b">
        <v>0</v>
      </c>
      <c r="AN430">
        <v>0</v>
      </c>
      <c r="AO430" t="b">
        <v>0</v>
      </c>
      <c r="AQ430">
        <v>5.4059999999999997</v>
      </c>
      <c r="AR430">
        <v>5.4059999999999997</v>
      </c>
      <c r="AS430">
        <v>0</v>
      </c>
      <c r="AT430" t="b">
        <v>0</v>
      </c>
      <c r="AU430" t="b">
        <v>1</v>
      </c>
      <c r="BA430" t="str">
        <f t="shared" si="12"/>
        <v>Normal</v>
      </c>
      <c r="BG430" t="str">
        <f t="shared" si="13"/>
        <v>Normal</v>
      </c>
    </row>
    <row r="431" spans="1:59" x14ac:dyDescent="0.2">
      <c r="A431" t="s">
        <v>42</v>
      </c>
      <c r="B431" t="s">
        <v>43</v>
      </c>
      <c r="C431">
        <v>20230101</v>
      </c>
      <c r="D431">
        <v>2023</v>
      </c>
      <c r="E431">
        <v>52</v>
      </c>
      <c r="F431" t="s">
        <v>311</v>
      </c>
      <c r="G431">
        <v>251</v>
      </c>
      <c r="H431" t="s">
        <v>123</v>
      </c>
      <c r="I431" t="s">
        <v>124</v>
      </c>
      <c r="J431" t="s">
        <v>47</v>
      </c>
      <c r="K431" t="s">
        <v>48</v>
      </c>
      <c r="L431">
        <v>0</v>
      </c>
      <c r="M431" t="s">
        <v>49</v>
      </c>
      <c r="N431" t="s">
        <v>50</v>
      </c>
      <c r="O431">
        <v>0</v>
      </c>
      <c r="P431" t="s">
        <v>49</v>
      </c>
      <c r="Q431" t="s">
        <v>50</v>
      </c>
      <c r="R431" t="s">
        <v>300</v>
      </c>
      <c r="S431" t="s">
        <v>52</v>
      </c>
      <c r="T431" t="b">
        <v>1</v>
      </c>
      <c r="U431" t="s">
        <v>53</v>
      </c>
      <c r="V431" t="s">
        <v>54</v>
      </c>
      <c r="W431">
        <v>4</v>
      </c>
      <c r="X431" t="b">
        <v>0</v>
      </c>
      <c r="Y431" t="s">
        <v>55</v>
      </c>
      <c r="Z431" t="s">
        <v>56</v>
      </c>
      <c r="AA431" t="s">
        <v>57</v>
      </c>
      <c r="AB431">
        <v>0</v>
      </c>
      <c r="AC431" t="s">
        <v>58</v>
      </c>
      <c r="AD431">
        <v>-1</v>
      </c>
      <c r="AE431" t="s">
        <v>73</v>
      </c>
      <c r="AF431">
        <v>0</v>
      </c>
      <c r="AG431" t="b">
        <v>0</v>
      </c>
      <c r="AH431">
        <v>-1</v>
      </c>
      <c r="AI431" t="s">
        <v>73</v>
      </c>
      <c r="AJ431">
        <v>0</v>
      </c>
      <c r="AK431" t="b">
        <v>0</v>
      </c>
      <c r="AM431" t="b">
        <v>0</v>
      </c>
      <c r="AN431">
        <v>0</v>
      </c>
      <c r="AO431" t="b">
        <v>0</v>
      </c>
      <c r="AQ431">
        <v>43219393.039999999</v>
      </c>
      <c r="AR431">
        <v>43219393.039999999</v>
      </c>
      <c r="AS431">
        <v>0</v>
      </c>
      <c r="AT431" t="b">
        <v>0</v>
      </c>
      <c r="AU431" t="b">
        <v>1</v>
      </c>
      <c r="BA431" t="str">
        <f t="shared" si="12"/>
        <v>Normal</v>
      </c>
      <c r="BG431" t="str">
        <f t="shared" si="13"/>
        <v>Normal</v>
      </c>
    </row>
    <row r="432" spans="1:59" x14ac:dyDescent="0.2">
      <c r="A432" t="s">
        <v>42</v>
      </c>
      <c r="B432" t="s">
        <v>43</v>
      </c>
      <c r="C432">
        <v>20230101</v>
      </c>
      <c r="D432">
        <v>2023</v>
      </c>
      <c r="E432">
        <v>52</v>
      </c>
      <c r="F432" t="s">
        <v>311</v>
      </c>
      <c r="G432">
        <v>266</v>
      </c>
      <c r="H432" t="s">
        <v>125</v>
      </c>
      <c r="I432" t="s">
        <v>126</v>
      </c>
      <c r="J432" t="s">
        <v>47</v>
      </c>
      <c r="K432" t="s">
        <v>48</v>
      </c>
      <c r="L432">
        <v>0</v>
      </c>
      <c r="M432" t="s">
        <v>49</v>
      </c>
      <c r="N432" t="s">
        <v>50</v>
      </c>
      <c r="O432">
        <v>0</v>
      </c>
      <c r="P432" t="s">
        <v>49</v>
      </c>
      <c r="Q432" t="s">
        <v>50</v>
      </c>
      <c r="R432" t="s">
        <v>300</v>
      </c>
      <c r="S432" t="s">
        <v>52</v>
      </c>
      <c r="T432" t="b">
        <v>1</v>
      </c>
      <c r="U432" t="s">
        <v>53</v>
      </c>
      <c r="V432" t="s">
        <v>54</v>
      </c>
      <c r="W432">
        <v>4</v>
      </c>
      <c r="X432" t="b">
        <v>0</v>
      </c>
      <c r="Y432" t="s">
        <v>55</v>
      </c>
      <c r="Z432" t="s">
        <v>56</v>
      </c>
      <c r="AA432" t="s">
        <v>57</v>
      </c>
      <c r="AB432">
        <v>0</v>
      </c>
      <c r="AC432" t="s">
        <v>58</v>
      </c>
      <c r="AD432">
        <v>8</v>
      </c>
      <c r="AE432" t="s">
        <v>59</v>
      </c>
      <c r="AF432">
        <v>10663185967</v>
      </c>
      <c r="AG432" t="b">
        <v>0</v>
      </c>
      <c r="AH432">
        <v>19</v>
      </c>
      <c r="AI432" t="s">
        <v>60</v>
      </c>
      <c r="AJ432">
        <v>249566455</v>
      </c>
      <c r="AK432" t="b">
        <v>0</v>
      </c>
      <c r="AL432">
        <v>10663185967</v>
      </c>
      <c r="AM432" t="b">
        <v>0</v>
      </c>
      <c r="AN432">
        <v>0</v>
      </c>
      <c r="AO432" t="b">
        <v>0</v>
      </c>
      <c r="AQ432">
        <v>6579531639.8319998</v>
      </c>
      <c r="AR432">
        <v>6579531639.8319998</v>
      </c>
      <c r="AS432">
        <v>0</v>
      </c>
      <c r="AT432" t="b">
        <v>0</v>
      </c>
      <c r="AU432" t="b">
        <v>1</v>
      </c>
      <c r="BA432" t="str">
        <f t="shared" si="12"/>
        <v>Normal</v>
      </c>
      <c r="BG432" t="str">
        <f t="shared" si="13"/>
        <v>Normal</v>
      </c>
    </row>
    <row r="433" spans="1:59" x14ac:dyDescent="0.2">
      <c r="A433" t="s">
        <v>42</v>
      </c>
      <c r="B433" t="s">
        <v>43</v>
      </c>
      <c r="C433">
        <v>20230101</v>
      </c>
      <c r="D433">
        <v>2023</v>
      </c>
      <c r="E433">
        <v>52</v>
      </c>
      <c r="F433" t="s">
        <v>311</v>
      </c>
      <c r="G433">
        <v>276</v>
      </c>
      <c r="H433" t="s">
        <v>130</v>
      </c>
      <c r="I433" t="s">
        <v>131</v>
      </c>
      <c r="J433" t="s">
        <v>47</v>
      </c>
      <c r="K433" t="s">
        <v>48</v>
      </c>
      <c r="L433">
        <v>0</v>
      </c>
      <c r="M433" t="s">
        <v>49</v>
      </c>
      <c r="N433" t="s">
        <v>50</v>
      </c>
      <c r="O433">
        <v>0</v>
      </c>
      <c r="P433" t="s">
        <v>49</v>
      </c>
      <c r="Q433" t="s">
        <v>50</v>
      </c>
      <c r="R433" t="s">
        <v>300</v>
      </c>
      <c r="S433" t="s">
        <v>52</v>
      </c>
      <c r="T433" t="b">
        <v>1</v>
      </c>
      <c r="U433" t="s">
        <v>53</v>
      </c>
      <c r="V433" t="s">
        <v>54</v>
      </c>
      <c r="W433">
        <v>4</v>
      </c>
      <c r="X433" t="b">
        <v>0</v>
      </c>
      <c r="Y433" t="s">
        <v>55</v>
      </c>
      <c r="Z433" t="s">
        <v>56</v>
      </c>
      <c r="AA433" t="s">
        <v>57</v>
      </c>
      <c r="AB433">
        <v>0</v>
      </c>
      <c r="AC433" t="s">
        <v>58</v>
      </c>
      <c r="AD433">
        <v>8</v>
      </c>
      <c r="AE433" t="s">
        <v>59</v>
      </c>
      <c r="AF433">
        <v>2640400</v>
      </c>
      <c r="AG433" t="b">
        <v>0</v>
      </c>
      <c r="AH433">
        <v>8</v>
      </c>
      <c r="AI433" t="s">
        <v>59</v>
      </c>
      <c r="AJ433">
        <v>2640400</v>
      </c>
      <c r="AK433" t="b">
        <v>0</v>
      </c>
      <c r="AL433">
        <v>2640400</v>
      </c>
      <c r="AM433" t="b">
        <v>0</v>
      </c>
      <c r="AN433">
        <v>0</v>
      </c>
      <c r="AO433" t="b">
        <v>0</v>
      </c>
      <c r="AQ433">
        <v>1238852.81</v>
      </c>
      <c r="AR433">
        <v>1238852.81</v>
      </c>
      <c r="AS433">
        <v>0</v>
      </c>
      <c r="AT433" t="b">
        <v>0</v>
      </c>
      <c r="AU433" t="b">
        <v>1</v>
      </c>
      <c r="BA433" t="str">
        <f t="shared" si="12"/>
        <v>Normal</v>
      </c>
      <c r="BG433" t="str">
        <f t="shared" si="13"/>
        <v>Normal</v>
      </c>
    </row>
    <row r="434" spans="1:59" x14ac:dyDescent="0.2">
      <c r="A434" t="s">
        <v>42</v>
      </c>
      <c r="B434" t="s">
        <v>43</v>
      </c>
      <c r="C434">
        <v>20230101</v>
      </c>
      <c r="D434">
        <v>2023</v>
      </c>
      <c r="E434">
        <v>52</v>
      </c>
      <c r="F434" t="s">
        <v>311</v>
      </c>
      <c r="G434">
        <v>288</v>
      </c>
      <c r="H434" t="s">
        <v>132</v>
      </c>
      <c r="I434" t="s">
        <v>133</v>
      </c>
      <c r="J434" t="s">
        <v>47</v>
      </c>
      <c r="K434" t="s">
        <v>48</v>
      </c>
      <c r="L434">
        <v>0</v>
      </c>
      <c r="M434" t="s">
        <v>49</v>
      </c>
      <c r="N434" t="s">
        <v>50</v>
      </c>
      <c r="O434">
        <v>0</v>
      </c>
      <c r="P434" t="s">
        <v>49</v>
      </c>
      <c r="Q434" t="s">
        <v>50</v>
      </c>
      <c r="R434" t="s">
        <v>51</v>
      </c>
      <c r="S434" t="s">
        <v>52</v>
      </c>
      <c r="T434" t="b">
        <v>1</v>
      </c>
      <c r="U434" t="s">
        <v>53</v>
      </c>
      <c r="V434" t="s">
        <v>54</v>
      </c>
      <c r="W434">
        <v>4</v>
      </c>
      <c r="X434" t="b">
        <v>0</v>
      </c>
      <c r="Y434" t="s">
        <v>55</v>
      </c>
      <c r="Z434" t="s">
        <v>56</v>
      </c>
      <c r="AA434" t="s">
        <v>57</v>
      </c>
      <c r="AB434">
        <v>0</v>
      </c>
      <c r="AC434" t="s">
        <v>58</v>
      </c>
      <c r="AD434">
        <v>8</v>
      </c>
      <c r="AE434" t="s">
        <v>59</v>
      </c>
      <c r="AF434">
        <v>6365810000</v>
      </c>
      <c r="AG434" t="b">
        <v>0</v>
      </c>
      <c r="AH434">
        <v>8</v>
      </c>
      <c r="AI434" t="s">
        <v>59</v>
      </c>
      <c r="AJ434">
        <v>6365810000</v>
      </c>
      <c r="AK434" t="b">
        <v>0</v>
      </c>
      <c r="AL434">
        <v>6365810000</v>
      </c>
      <c r="AM434" t="b">
        <v>0</v>
      </c>
      <c r="AN434">
        <v>0</v>
      </c>
      <c r="AO434" t="b">
        <v>0</v>
      </c>
      <c r="AQ434">
        <v>3984854966.1360002</v>
      </c>
      <c r="AR434">
        <v>3984854966.1360002</v>
      </c>
      <c r="AS434">
        <v>0</v>
      </c>
      <c r="AT434" t="b">
        <v>0</v>
      </c>
      <c r="AU434" t="b">
        <v>1</v>
      </c>
      <c r="BA434" t="str">
        <f t="shared" si="12"/>
        <v>Normal</v>
      </c>
      <c r="BG434" t="str">
        <f t="shared" si="13"/>
        <v>Normal</v>
      </c>
    </row>
    <row r="435" spans="1:59" x14ac:dyDescent="0.2">
      <c r="A435" t="s">
        <v>42</v>
      </c>
      <c r="B435" t="s">
        <v>43</v>
      </c>
      <c r="C435">
        <v>20230101</v>
      </c>
      <c r="D435">
        <v>2023</v>
      </c>
      <c r="E435">
        <v>52</v>
      </c>
      <c r="F435" t="s">
        <v>311</v>
      </c>
      <c r="G435">
        <v>300</v>
      </c>
      <c r="H435" t="s">
        <v>134</v>
      </c>
      <c r="I435" t="s">
        <v>135</v>
      </c>
      <c r="J435" t="s">
        <v>47</v>
      </c>
      <c r="K435" t="s">
        <v>48</v>
      </c>
      <c r="L435">
        <v>0</v>
      </c>
      <c r="M435" t="s">
        <v>49</v>
      </c>
      <c r="N435" t="s">
        <v>50</v>
      </c>
      <c r="O435">
        <v>0</v>
      </c>
      <c r="P435" t="s">
        <v>49</v>
      </c>
      <c r="Q435" t="s">
        <v>50</v>
      </c>
      <c r="R435" t="s">
        <v>300</v>
      </c>
      <c r="S435" t="s">
        <v>52</v>
      </c>
      <c r="T435" t="b">
        <v>1</v>
      </c>
      <c r="U435" t="s">
        <v>53</v>
      </c>
      <c r="V435" t="s">
        <v>54</v>
      </c>
      <c r="W435">
        <v>4</v>
      </c>
      <c r="X435" t="b">
        <v>0</v>
      </c>
      <c r="Y435" t="s">
        <v>55</v>
      </c>
      <c r="Z435" t="s">
        <v>56</v>
      </c>
      <c r="AA435" t="s">
        <v>57</v>
      </c>
      <c r="AB435">
        <v>0</v>
      </c>
      <c r="AC435" t="s">
        <v>58</v>
      </c>
      <c r="AD435">
        <v>8</v>
      </c>
      <c r="AE435" t="s">
        <v>59</v>
      </c>
      <c r="AF435">
        <v>125839000</v>
      </c>
      <c r="AG435" t="b">
        <v>0</v>
      </c>
      <c r="AH435">
        <v>8</v>
      </c>
      <c r="AI435" t="s">
        <v>59</v>
      </c>
      <c r="AJ435">
        <v>125839000</v>
      </c>
      <c r="AK435" t="b">
        <v>0</v>
      </c>
      <c r="AL435">
        <v>125839000</v>
      </c>
      <c r="AM435" t="b">
        <v>0</v>
      </c>
      <c r="AN435">
        <v>0</v>
      </c>
      <c r="AO435" t="b">
        <v>0</v>
      </c>
      <c r="AQ435">
        <v>64441299.081</v>
      </c>
      <c r="AR435">
        <v>64441299.081</v>
      </c>
      <c r="AS435">
        <v>0</v>
      </c>
      <c r="AT435" t="b">
        <v>0</v>
      </c>
      <c r="AU435" t="b">
        <v>1</v>
      </c>
      <c r="BA435" t="str">
        <f t="shared" si="12"/>
        <v>Normal</v>
      </c>
      <c r="BG435" t="str">
        <f t="shared" si="13"/>
        <v>Normal</v>
      </c>
    </row>
    <row r="436" spans="1:59" x14ac:dyDescent="0.2">
      <c r="A436" t="s">
        <v>42</v>
      </c>
      <c r="B436" t="s">
        <v>43</v>
      </c>
      <c r="C436">
        <v>20230101</v>
      </c>
      <c r="D436">
        <v>2023</v>
      </c>
      <c r="E436">
        <v>52</v>
      </c>
      <c r="F436" t="s">
        <v>311</v>
      </c>
      <c r="G436">
        <v>320</v>
      </c>
      <c r="H436" t="s">
        <v>136</v>
      </c>
      <c r="I436" t="s">
        <v>137</v>
      </c>
      <c r="J436" t="s">
        <v>47</v>
      </c>
      <c r="K436" t="s">
        <v>48</v>
      </c>
      <c r="L436">
        <v>0</v>
      </c>
      <c r="M436" t="s">
        <v>49</v>
      </c>
      <c r="N436" t="s">
        <v>50</v>
      </c>
      <c r="O436">
        <v>0</v>
      </c>
      <c r="P436" t="s">
        <v>49</v>
      </c>
      <c r="Q436" t="s">
        <v>50</v>
      </c>
      <c r="R436" t="s">
        <v>300</v>
      </c>
      <c r="S436" t="s">
        <v>52</v>
      </c>
      <c r="T436" t="b">
        <v>1</v>
      </c>
      <c r="U436" t="s">
        <v>53</v>
      </c>
      <c r="V436" t="s">
        <v>54</v>
      </c>
      <c r="W436">
        <v>4</v>
      </c>
      <c r="X436" t="b">
        <v>0</v>
      </c>
      <c r="Y436" t="s">
        <v>55</v>
      </c>
      <c r="Z436" t="s">
        <v>56</v>
      </c>
      <c r="AA436" t="s">
        <v>57</v>
      </c>
      <c r="AB436">
        <v>0</v>
      </c>
      <c r="AC436" t="s">
        <v>58</v>
      </c>
      <c r="AD436">
        <v>8</v>
      </c>
      <c r="AE436" t="s">
        <v>59</v>
      </c>
      <c r="AF436">
        <v>87758700</v>
      </c>
      <c r="AG436" t="b">
        <v>0</v>
      </c>
      <c r="AH436">
        <v>8</v>
      </c>
      <c r="AI436" t="s">
        <v>59</v>
      </c>
      <c r="AJ436">
        <v>87758700</v>
      </c>
      <c r="AK436" t="b">
        <v>0</v>
      </c>
      <c r="AL436">
        <v>87758700</v>
      </c>
      <c r="AM436" t="b">
        <v>0</v>
      </c>
      <c r="AN436">
        <v>0</v>
      </c>
      <c r="AO436" t="b">
        <v>0</v>
      </c>
      <c r="AQ436">
        <v>43584000</v>
      </c>
      <c r="AR436">
        <v>43584000</v>
      </c>
      <c r="AS436">
        <v>0</v>
      </c>
      <c r="AT436" t="b">
        <v>0</v>
      </c>
      <c r="AU436" t="b">
        <v>1</v>
      </c>
      <c r="BA436" t="str">
        <f t="shared" si="12"/>
        <v>Normal</v>
      </c>
      <c r="BG436" t="str">
        <f t="shared" si="13"/>
        <v>Normal</v>
      </c>
    </row>
    <row r="437" spans="1:59" x14ac:dyDescent="0.2">
      <c r="A437" t="s">
        <v>42</v>
      </c>
      <c r="B437" t="s">
        <v>43</v>
      </c>
      <c r="C437">
        <v>20230101</v>
      </c>
      <c r="D437">
        <v>2023</v>
      </c>
      <c r="E437">
        <v>52</v>
      </c>
      <c r="F437" t="s">
        <v>311</v>
      </c>
      <c r="G437">
        <v>328</v>
      </c>
      <c r="H437" t="s">
        <v>276</v>
      </c>
      <c r="I437" t="s">
        <v>277</v>
      </c>
      <c r="J437" t="s">
        <v>47</v>
      </c>
      <c r="K437" t="s">
        <v>48</v>
      </c>
      <c r="L437">
        <v>0</v>
      </c>
      <c r="M437" t="s">
        <v>49</v>
      </c>
      <c r="N437" t="s">
        <v>50</v>
      </c>
      <c r="O437">
        <v>0</v>
      </c>
      <c r="P437" t="s">
        <v>49</v>
      </c>
      <c r="Q437" t="s">
        <v>50</v>
      </c>
      <c r="R437" t="s">
        <v>51</v>
      </c>
      <c r="S437" t="s">
        <v>52</v>
      </c>
      <c r="T437" t="b">
        <v>1</v>
      </c>
      <c r="U437" t="s">
        <v>53</v>
      </c>
      <c r="V437" t="s">
        <v>54</v>
      </c>
      <c r="W437">
        <v>4</v>
      </c>
      <c r="X437" t="b">
        <v>0</v>
      </c>
      <c r="Y437" t="s">
        <v>55</v>
      </c>
      <c r="Z437" t="s">
        <v>56</v>
      </c>
      <c r="AA437" t="s">
        <v>57</v>
      </c>
      <c r="AB437">
        <v>0</v>
      </c>
      <c r="AC437" t="s">
        <v>58</v>
      </c>
      <c r="AD437">
        <v>-1</v>
      </c>
      <c r="AE437" t="s">
        <v>73</v>
      </c>
      <c r="AF437">
        <v>0</v>
      </c>
      <c r="AG437" t="b">
        <v>0</v>
      </c>
      <c r="AH437">
        <v>-1</v>
      </c>
      <c r="AI437" t="s">
        <v>73</v>
      </c>
      <c r="AJ437">
        <v>0</v>
      </c>
      <c r="AK437" t="b">
        <v>0</v>
      </c>
      <c r="AM437" t="b">
        <v>0</v>
      </c>
      <c r="AN437">
        <v>0</v>
      </c>
      <c r="AO437" t="b">
        <v>0</v>
      </c>
      <c r="AQ437">
        <v>7170113162.2519999</v>
      </c>
      <c r="AR437">
        <v>7170113162.2519999</v>
      </c>
      <c r="AS437">
        <v>0</v>
      </c>
      <c r="AT437" t="b">
        <v>0</v>
      </c>
      <c r="AU437" t="b">
        <v>1</v>
      </c>
      <c r="BA437" t="str">
        <f t="shared" si="12"/>
        <v>Normal</v>
      </c>
      <c r="BG437" t="str">
        <f t="shared" si="13"/>
        <v>Normal</v>
      </c>
    </row>
    <row r="438" spans="1:59" x14ac:dyDescent="0.2">
      <c r="A438" t="s">
        <v>42</v>
      </c>
      <c r="B438" t="s">
        <v>43</v>
      </c>
      <c r="C438">
        <v>20230101</v>
      </c>
      <c r="D438">
        <v>2023</v>
      </c>
      <c r="E438">
        <v>52</v>
      </c>
      <c r="F438" t="s">
        <v>311</v>
      </c>
      <c r="G438">
        <v>348</v>
      </c>
      <c r="H438" t="s">
        <v>138</v>
      </c>
      <c r="I438" t="s">
        <v>139</v>
      </c>
      <c r="J438" t="s">
        <v>47</v>
      </c>
      <c r="K438" t="s">
        <v>48</v>
      </c>
      <c r="L438">
        <v>0</v>
      </c>
      <c r="M438" t="s">
        <v>49</v>
      </c>
      <c r="N438" t="s">
        <v>50</v>
      </c>
      <c r="O438">
        <v>0</v>
      </c>
      <c r="P438" t="s">
        <v>49</v>
      </c>
      <c r="Q438" t="s">
        <v>50</v>
      </c>
      <c r="R438" t="s">
        <v>300</v>
      </c>
      <c r="S438" t="s">
        <v>52</v>
      </c>
      <c r="T438" t="b">
        <v>1</v>
      </c>
      <c r="U438" t="s">
        <v>53</v>
      </c>
      <c r="V438" t="s">
        <v>54</v>
      </c>
      <c r="W438">
        <v>4</v>
      </c>
      <c r="X438" t="b">
        <v>0</v>
      </c>
      <c r="Y438" t="s">
        <v>55</v>
      </c>
      <c r="Z438" t="s">
        <v>56</v>
      </c>
      <c r="AA438" t="s">
        <v>57</v>
      </c>
      <c r="AB438">
        <v>0</v>
      </c>
      <c r="AC438" t="s">
        <v>58</v>
      </c>
      <c r="AD438">
        <v>8</v>
      </c>
      <c r="AE438" t="s">
        <v>59</v>
      </c>
      <c r="AF438">
        <v>271429367</v>
      </c>
      <c r="AG438" t="b">
        <v>0</v>
      </c>
      <c r="AH438">
        <v>8</v>
      </c>
      <c r="AI438" t="s">
        <v>59</v>
      </c>
      <c r="AJ438">
        <v>271429367</v>
      </c>
      <c r="AK438" t="b">
        <v>0</v>
      </c>
      <c r="AL438">
        <v>271429367</v>
      </c>
      <c r="AM438" t="b">
        <v>0</v>
      </c>
      <c r="AN438">
        <v>0</v>
      </c>
      <c r="AO438" t="b">
        <v>0</v>
      </c>
      <c r="AQ438">
        <v>162736523</v>
      </c>
      <c r="AR438">
        <v>162736523</v>
      </c>
      <c r="AS438">
        <v>0</v>
      </c>
      <c r="AT438" t="b">
        <v>0</v>
      </c>
      <c r="AU438" t="b">
        <v>1</v>
      </c>
      <c r="BA438" t="str">
        <f t="shared" si="12"/>
        <v>Normal</v>
      </c>
      <c r="BG438" t="str">
        <f t="shared" si="13"/>
        <v>Normal</v>
      </c>
    </row>
    <row r="439" spans="1:59" x14ac:dyDescent="0.2">
      <c r="A439" t="s">
        <v>42</v>
      </c>
      <c r="B439" t="s">
        <v>43</v>
      </c>
      <c r="C439">
        <v>20230101</v>
      </c>
      <c r="D439">
        <v>2023</v>
      </c>
      <c r="E439">
        <v>52</v>
      </c>
      <c r="F439" t="s">
        <v>311</v>
      </c>
      <c r="G439">
        <v>360</v>
      </c>
      <c r="H439" t="s">
        <v>140</v>
      </c>
      <c r="I439" t="s">
        <v>141</v>
      </c>
      <c r="J439" t="s">
        <v>47</v>
      </c>
      <c r="K439" t="s">
        <v>48</v>
      </c>
      <c r="L439">
        <v>0</v>
      </c>
      <c r="M439" t="s">
        <v>49</v>
      </c>
      <c r="N439" t="s">
        <v>50</v>
      </c>
      <c r="O439">
        <v>0</v>
      </c>
      <c r="P439" t="s">
        <v>49</v>
      </c>
      <c r="Q439" t="s">
        <v>50</v>
      </c>
      <c r="R439" t="s">
        <v>300</v>
      </c>
      <c r="S439" t="s">
        <v>52</v>
      </c>
      <c r="T439" t="b">
        <v>1</v>
      </c>
      <c r="U439" t="s">
        <v>53</v>
      </c>
      <c r="V439" t="s">
        <v>54</v>
      </c>
      <c r="W439">
        <v>4</v>
      </c>
      <c r="X439" t="b">
        <v>0</v>
      </c>
      <c r="Y439" t="s">
        <v>55</v>
      </c>
      <c r="Z439" t="s">
        <v>56</v>
      </c>
      <c r="AA439" t="s">
        <v>57</v>
      </c>
      <c r="AB439">
        <v>0</v>
      </c>
      <c r="AC439" t="s">
        <v>58</v>
      </c>
      <c r="AD439">
        <v>8</v>
      </c>
      <c r="AE439" t="s">
        <v>59</v>
      </c>
      <c r="AF439">
        <v>2844781592.4000001</v>
      </c>
      <c r="AG439" t="b">
        <v>0</v>
      </c>
      <c r="AH439">
        <v>8</v>
      </c>
      <c r="AI439" t="s">
        <v>59</v>
      </c>
      <c r="AJ439">
        <v>2844781592.4000001</v>
      </c>
      <c r="AK439" t="b">
        <v>0</v>
      </c>
      <c r="AL439">
        <v>2844781592.4000001</v>
      </c>
      <c r="AM439" t="b">
        <v>0</v>
      </c>
      <c r="AN439">
        <v>0</v>
      </c>
      <c r="AO439" t="b">
        <v>0</v>
      </c>
      <c r="AQ439">
        <v>1749296021.3469999</v>
      </c>
      <c r="AR439">
        <v>1749296021.3469999</v>
      </c>
      <c r="AS439">
        <v>0</v>
      </c>
      <c r="AT439" t="b">
        <v>0</v>
      </c>
      <c r="AU439" t="b">
        <v>1</v>
      </c>
      <c r="BA439" t="str">
        <f t="shared" si="12"/>
        <v>Normal</v>
      </c>
      <c r="BG439" t="str">
        <f t="shared" si="13"/>
        <v>Normal</v>
      </c>
    </row>
    <row r="440" spans="1:59" x14ac:dyDescent="0.2">
      <c r="A440" t="s">
        <v>42</v>
      </c>
      <c r="B440" t="s">
        <v>43</v>
      </c>
      <c r="C440">
        <v>20230101</v>
      </c>
      <c r="D440">
        <v>2023</v>
      </c>
      <c r="E440">
        <v>52</v>
      </c>
      <c r="F440" t="s">
        <v>311</v>
      </c>
      <c r="G440">
        <v>372</v>
      </c>
      <c r="H440" t="s">
        <v>144</v>
      </c>
      <c r="I440" t="s">
        <v>145</v>
      </c>
      <c r="J440" t="s">
        <v>47</v>
      </c>
      <c r="K440" t="s">
        <v>48</v>
      </c>
      <c r="L440">
        <v>0</v>
      </c>
      <c r="M440" t="s">
        <v>49</v>
      </c>
      <c r="N440" t="s">
        <v>50</v>
      </c>
      <c r="O440">
        <v>0</v>
      </c>
      <c r="P440" t="s">
        <v>49</v>
      </c>
      <c r="Q440" t="s">
        <v>50</v>
      </c>
      <c r="R440" t="s">
        <v>300</v>
      </c>
      <c r="S440" t="s">
        <v>52</v>
      </c>
      <c r="T440" t="b">
        <v>1</v>
      </c>
      <c r="U440" t="s">
        <v>53</v>
      </c>
      <c r="V440" t="s">
        <v>54</v>
      </c>
      <c r="W440">
        <v>4</v>
      </c>
      <c r="X440" t="b">
        <v>0</v>
      </c>
      <c r="Y440" t="s">
        <v>55</v>
      </c>
      <c r="Z440" t="s">
        <v>56</v>
      </c>
      <c r="AA440" t="s">
        <v>57</v>
      </c>
      <c r="AB440">
        <v>0</v>
      </c>
      <c r="AC440" t="s">
        <v>58</v>
      </c>
      <c r="AD440">
        <v>8</v>
      </c>
      <c r="AE440" t="s">
        <v>59</v>
      </c>
      <c r="AF440">
        <v>146321911</v>
      </c>
      <c r="AG440" t="b">
        <v>0</v>
      </c>
      <c r="AH440">
        <v>8</v>
      </c>
      <c r="AI440" t="s">
        <v>59</v>
      </c>
      <c r="AJ440">
        <v>146321911</v>
      </c>
      <c r="AK440" t="b">
        <v>0</v>
      </c>
      <c r="AL440">
        <v>146321911</v>
      </c>
      <c r="AM440" t="b">
        <v>0</v>
      </c>
      <c r="AN440">
        <v>0</v>
      </c>
      <c r="AO440" t="b">
        <v>0</v>
      </c>
      <c r="AQ440">
        <v>90392363.364999995</v>
      </c>
      <c r="AR440">
        <v>90392363.364999995</v>
      </c>
      <c r="AS440">
        <v>0</v>
      </c>
      <c r="AT440" t="b">
        <v>0</v>
      </c>
      <c r="AU440" t="b">
        <v>1</v>
      </c>
      <c r="BA440" t="str">
        <f t="shared" si="12"/>
        <v>Normal</v>
      </c>
      <c r="BG440" t="str">
        <f t="shared" si="13"/>
        <v>Normal</v>
      </c>
    </row>
    <row r="441" spans="1:59" x14ac:dyDescent="0.2">
      <c r="A441" t="s">
        <v>42</v>
      </c>
      <c r="B441" t="s">
        <v>43</v>
      </c>
      <c r="C441">
        <v>20230101</v>
      </c>
      <c r="D441">
        <v>2023</v>
      </c>
      <c r="E441">
        <v>52</v>
      </c>
      <c r="F441" t="s">
        <v>311</v>
      </c>
      <c r="G441">
        <v>380</v>
      </c>
      <c r="H441" t="s">
        <v>148</v>
      </c>
      <c r="I441" t="s">
        <v>149</v>
      </c>
      <c r="J441" t="s">
        <v>47</v>
      </c>
      <c r="K441" t="s">
        <v>48</v>
      </c>
      <c r="L441">
        <v>0</v>
      </c>
      <c r="M441" t="s">
        <v>49</v>
      </c>
      <c r="N441" t="s">
        <v>50</v>
      </c>
      <c r="O441">
        <v>0</v>
      </c>
      <c r="P441" t="s">
        <v>49</v>
      </c>
      <c r="Q441" t="s">
        <v>50</v>
      </c>
      <c r="R441" t="s">
        <v>300</v>
      </c>
      <c r="S441" t="s">
        <v>52</v>
      </c>
      <c r="T441" t="b">
        <v>1</v>
      </c>
      <c r="U441" t="s">
        <v>53</v>
      </c>
      <c r="V441" t="s">
        <v>54</v>
      </c>
      <c r="W441">
        <v>4</v>
      </c>
      <c r="X441" t="b">
        <v>0</v>
      </c>
      <c r="Y441" t="s">
        <v>55</v>
      </c>
      <c r="Z441" t="s">
        <v>56</v>
      </c>
      <c r="AA441" t="s">
        <v>57</v>
      </c>
      <c r="AB441">
        <v>0</v>
      </c>
      <c r="AC441" t="s">
        <v>58</v>
      </c>
      <c r="AD441">
        <v>-1</v>
      </c>
      <c r="AE441" t="s">
        <v>73</v>
      </c>
      <c r="AF441">
        <v>0</v>
      </c>
      <c r="AG441" t="b">
        <v>0</v>
      </c>
      <c r="AH441">
        <v>-1</v>
      </c>
      <c r="AI441" t="s">
        <v>73</v>
      </c>
      <c r="AJ441">
        <v>0</v>
      </c>
      <c r="AK441" t="b">
        <v>0</v>
      </c>
      <c r="AM441" t="b">
        <v>0</v>
      </c>
      <c r="AN441">
        <v>0</v>
      </c>
      <c r="AO441" t="b">
        <v>0</v>
      </c>
      <c r="AQ441">
        <v>721964602.70700002</v>
      </c>
      <c r="AR441">
        <v>721964602.70700002</v>
      </c>
      <c r="AS441">
        <v>0</v>
      </c>
      <c r="AT441" t="b">
        <v>0</v>
      </c>
      <c r="AU441" t="b">
        <v>1</v>
      </c>
      <c r="BA441" t="str">
        <f t="shared" si="12"/>
        <v>Normal</v>
      </c>
      <c r="BG441" t="str">
        <f t="shared" si="13"/>
        <v>Normal</v>
      </c>
    </row>
    <row r="442" spans="1:59" x14ac:dyDescent="0.2">
      <c r="A442" t="s">
        <v>42</v>
      </c>
      <c r="B442" t="s">
        <v>43</v>
      </c>
      <c r="C442">
        <v>20230101</v>
      </c>
      <c r="D442">
        <v>2023</v>
      </c>
      <c r="E442">
        <v>52</v>
      </c>
      <c r="F442" t="s">
        <v>311</v>
      </c>
      <c r="G442">
        <v>384</v>
      </c>
      <c r="H442" t="s">
        <v>150</v>
      </c>
      <c r="I442" t="s">
        <v>151</v>
      </c>
      <c r="J442" t="s">
        <v>47</v>
      </c>
      <c r="K442" t="s">
        <v>48</v>
      </c>
      <c r="L442">
        <v>0</v>
      </c>
      <c r="M442" t="s">
        <v>49</v>
      </c>
      <c r="N442" t="s">
        <v>50</v>
      </c>
      <c r="O442">
        <v>0</v>
      </c>
      <c r="P442" t="s">
        <v>49</v>
      </c>
      <c r="Q442" t="s">
        <v>50</v>
      </c>
      <c r="R442" t="s">
        <v>300</v>
      </c>
      <c r="S442" t="s">
        <v>52</v>
      </c>
      <c r="T442" t="b">
        <v>1</v>
      </c>
      <c r="U442" t="s">
        <v>53</v>
      </c>
      <c r="V442" t="s">
        <v>54</v>
      </c>
      <c r="W442">
        <v>4</v>
      </c>
      <c r="X442" t="b">
        <v>0</v>
      </c>
      <c r="Y442" t="s">
        <v>55</v>
      </c>
      <c r="Z442" t="s">
        <v>56</v>
      </c>
      <c r="AA442" t="s">
        <v>57</v>
      </c>
      <c r="AB442">
        <v>0</v>
      </c>
      <c r="AC442" t="s">
        <v>58</v>
      </c>
      <c r="AD442">
        <v>8</v>
      </c>
      <c r="AE442" t="s">
        <v>59</v>
      </c>
      <c r="AF442">
        <v>1115941190</v>
      </c>
      <c r="AG442" t="b">
        <v>0</v>
      </c>
      <c r="AH442">
        <v>8</v>
      </c>
      <c r="AI442" t="s">
        <v>59</v>
      </c>
      <c r="AJ442">
        <v>1115941190</v>
      </c>
      <c r="AK442" t="b">
        <v>0</v>
      </c>
      <c r="AL442">
        <v>1115941190</v>
      </c>
      <c r="AM442" t="b">
        <v>0</v>
      </c>
      <c r="AN442">
        <v>0</v>
      </c>
      <c r="AO442" t="b">
        <v>0</v>
      </c>
      <c r="AQ442">
        <v>647116778.71500003</v>
      </c>
      <c r="AR442">
        <v>647116778.71500003</v>
      </c>
      <c r="AS442">
        <v>0</v>
      </c>
      <c r="AT442" t="b">
        <v>0</v>
      </c>
      <c r="AU442" t="b">
        <v>1</v>
      </c>
      <c r="BA442" t="str">
        <f t="shared" si="12"/>
        <v>Normal</v>
      </c>
      <c r="BG442" t="str">
        <f t="shared" si="13"/>
        <v>Normal</v>
      </c>
    </row>
    <row r="443" spans="1:59" x14ac:dyDescent="0.2">
      <c r="A443" t="s">
        <v>42</v>
      </c>
      <c r="B443" t="s">
        <v>43</v>
      </c>
      <c r="C443">
        <v>20230101</v>
      </c>
      <c r="D443">
        <v>2023</v>
      </c>
      <c r="E443">
        <v>52</v>
      </c>
      <c r="F443" t="s">
        <v>311</v>
      </c>
      <c r="G443">
        <v>398</v>
      </c>
      <c r="H443" t="s">
        <v>152</v>
      </c>
      <c r="I443" t="s">
        <v>153</v>
      </c>
      <c r="J443" t="s">
        <v>47</v>
      </c>
      <c r="K443" t="s">
        <v>48</v>
      </c>
      <c r="L443">
        <v>0</v>
      </c>
      <c r="M443" t="s">
        <v>49</v>
      </c>
      <c r="N443" t="s">
        <v>50</v>
      </c>
      <c r="O443">
        <v>0</v>
      </c>
      <c r="P443" t="s">
        <v>49</v>
      </c>
      <c r="Q443" t="s">
        <v>50</v>
      </c>
      <c r="R443" t="s">
        <v>300</v>
      </c>
      <c r="S443" t="s">
        <v>52</v>
      </c>
      <c r="T443" t="b">
        <v>1</v>
      </c>
      <c r="U443" t="s">
        <v>53</v>
      </c>
      <c r="V443" t="s">
        <v>54</v>
      </c>
      <c r="W443">
        <v>4</v>
      </c>
      <c r="X443" t="b">
        <v>0</v>
      </c>
      <c r="Y443" t="s">
        <v>55</v>
      </c>
      <c r="Z443" t="s">
        <v>56</v>
      </c>
      <c r="AA443" t="s">
        <v>57</v>
      </c>
      <c r="AB443">
        <v>0</v>
      </c>
      <c r="AC443" t="s">
        <v>58</v>
      </c>
      <c r="AD443">
        <v>8</v>
      </c>
      <c r="AE443" t="s">
        <v>59</v>
      </c>
      <c r="AF443">
        <v>70665926869</v>
      </c>
      <c r="AG443" t="b">
        <v>0</v>
      </c>
      <c r="AH443">
        <v>8</v>
      </c>
      <c r="AI443" t="s">
        <v>59</v>
      </c>
      <c r="AJ443">
        <v>70665926869</v>
      </c>
      <c r="AK443" t="b">
        <v>0</v>
      </c>
      <c r="AL443">
        <v>70665926869</v>
      </c>
      <c r="AM443" t="b">
        <v>0</v>
      </c>
      <c r="AN443">
        <v>0</v>
      </c>
      <c r="AO443" t="b">
        <v>0</v>
      </c>
      <c r="AQ443">
        <v>42314945072.75</v>
      </c>
      <c r="AR443">
        <v>42314945072.75</v>
      </c>
      <c r="AS443">
        <v>0</v>
      </c>
      <c r="AT443" t="b">
        <v>0</v>
      </c>
      <c r="AU443" t="b">
        <v>1</v>
      </c>
      <c r="BA443" t="str">
        <f t="shared" si="12"/>
        <v>Normal</v>
      </c>
      <c r="BG443" t="str">
        <f t="shared" si="13"/>
        <v>Normal</v>
      </c>
    </row>
    <row r="444" spans="1:59" x14ac:dyDescent="0.2">
      <c r="A444" t="s">
        <v>42</v>
      </c>
      <c r="B444" t="s">
        <v>43</v>
      </c>
      <c r="C444">
        <v>20230101</v>
      </c>
      <c r="D444">
        <v>2023</v>
      </c>
      <c r="E444">
        <v>52</v>
      </c>
      <c r="F444" t="s">
        <v>311</v>
      </c>
      <c r="G444">
        <v>400</v>
      </c>
      <c r="H444" t="s">
        <v>314</v>
      </c>
      <c r="I444" t="s">
        <v>315</v>
      </c>
      <c r="J444" t="s">
        <v>47</v>
      </c>
      <c r="K444" t="s">
        <v>48</v>
      </c>
      <c r="L444">
        <v>0</v>
      </c>
      <c r="M444" t="s">
        <v>49</v>
      </c>
      <c r="N444" t="s">
        <v>50</v>
      </c>
      <c r="O444">
        <v>0</v>
      </c>
      <c r="P444" t="s">
        <v>49</v>
      </c>
      <c r="Q444" t="s">
        <v>50</v>
      </c>
      <c r="R444" t="s">
        <v>300</v>
      </c>
      <c r="S444" t="s">
        <v>52</v>
      </c>
      <c r="T444" t="b">
        <v>1</v>
      </c>
      <c r="U444" t="s">
        <v>53</v>
      </c>
      <c r="V444" t="s">
        <v>54</v>
      </c>
      <c r="W444">
        <v>4</v>
      </c>
      <c r="X444" t="b">
        <v>0</v>
      </c>
      <c r="Y444" t="s">
        <v>55</v>
      </c>
      <c r="Z444" t="s">
        <v>56</v>
      </c>
      <c r="AA444" t="s">
        <v>57</v>
      </c>
      <c r="AB444">
        <v>0</v>
      </c>
      <c r="AC444" t="s">
        <v>58</v>
      </c>
      <c r="AD444">
        <v>8</v>
      </c>
      <c r="AE444" t="s">
        <v>59</v>
      </c>
      <c r="AF444">
        <v>141396.41099999999</v>
      </c>
      <c r="AG444" t="b">
        <v>1</v>
      </c>
      <c r="AH444">
        <v>-1</v>
      </c>
      <c r="AI444" t="s">
        <v>73</v>
      </c>
      <c r="AJ444">
        <v>0</v>
      </c>
      <c r="AK444" t="b">
        <v>0</v>
      </c>
      <c r="AL444">
        <v>141396.41099999999</v>
      </c>
      <c r="AM444" t="b">
        <v>1</v>
      </c>
      <c r="AN444">
        <v>0</v>
      </c>
      <c r="AO444" t="b">
        <v>0</v>
      </c>
      <c r="AQ444">
        <v>76159.154999999999</v>
      </c>
      <c r="AR444">
        <v>76159.154999999999</v>
      </c>
      <c r="AS444">
        <v>6</v>
      </c>
      <c r="AT444" t="b">
        <v>0</v>
      </c>
      <c r="AU444" t="b">
        <v>1</v>
      </c>
      <c r="BA444" t="str">
        <f t="shared" si="12"/>
        <v>Normal</v>
      </c>
      <c r="BG444" t="str">
        <f t="shared" si="13"/>
        <v>Normal</v>
      </c>
    </row>
    <row r="445" spans="1:59" x14ac:dyDescent="0.2">
      <c r="A445" t="s">
        <v>42</v>
      </c>
      <c r="B445" t="s">
        <v>43</v>
      </c>
      <c r="C445">
        <v>20230101</v>
      </c>
      <c r="D445">
        <v>2023</v>
      </c>
      <c r="E445">
        <v>52</v>
      </c>
      <c r="F445" t="s">
        <v>311</v>
      </c>
      <c r="G445">
        <v>404</v>
      </c>
      <c r="H445" t="s">
        <v>154</v>
      </c>
      <c r="I445" t="s">
        <v>155</v>
      </c>
      <c r="J445" t="s">
        <v>47</v>
      </c>
      <c r="K445" t="s">
        <v>48</v>
      </c>
      <c r="L445">
        <v>0</v>
      </c>
      <c r="M445" t="s">
        <v>49</v>
      </c>
      <c r="N445" t="s">
        <v>50</v>
      </c>
      <c r="O445">
        <v>0</v>
      </c>
      <c r="P445" t="s">
        <v>49</v>
      </c>
      <c r="Q445" t="s">
        <v>50</v>
      </c>
      <c r="R445" t="s">
        <v>300</v>
      </c>
      <c r="S445" t="s">
        <v>52</v>
      </c>
      <c r="T445" t="b">
        <v>1</v>
      </c>
      <c r="U445" t="s">
        <v>53</v>
      </c>
      <c r="V445" t="s">
        <v>54</v>
      </c>
      <c r="W445">
        <v>4</v>
      </c>
      <c r="X445" t="b">
        <v>0</v>
      </c>
      <c r="Y445" t="s">
        <v>55</v>
      </c>
      <c r="Z445" t="s">
        <v>56</v>
      </c>
      <c r="AA445" t="s">
        <v>57</v>
      </c>
      <c r="AB445">
        <v>0</v>
      </c>
      <c r="AC445" t="s">
        <v>58</v>
      </c>
      <c r="AD445">
        <v>8</v>
      </c>
      <c r="AE445" t="s">
        <v>59</v>
      </c>
      <c r="AF445">
        <v>2970</v>
      </c>
      <c r="AG445" t="b">
        <v>0</v>
      </c>
      <c r="AH445">
        <v>8</v>
      </c>
      <c r="AI445" t="s">
        <v>59</v>
      </c>
      <c r="AJ445">
        <v>2970</v>
      </c>
      <c r="AK445" t="b">
        <v>0</v>
      </c>
      <c r="AL445">
        <v>2970</v>
      </c>
      <c r="AM445" t="b">
        <v>0</v>
      </c>
      <c r="AN445">
        <v>0</v>
      </c>
      <c r="AO445" t="b">
        <v>0</v>
      </c>
      <c r="AQ445">
        <v>4429.1000000000004</v>
      </c>
      <c r="AR445">
        <v>4429.1000000000004</v>
      </c>
      <c r="AS445">
        <v>0</v>
      </c>
      <c r="AT445" t="b">
        <v>0</v>
      </c>
      <c r="AU445" t="b">
        <v>1</v>
      </c>
      <c r="BA445" t="str">
        <f t="shared" si="12"/>
        <v>Normal</v>
      </c>
      <c r="BG445" t="str">
        <f t="shared" si="13"/>
        <v>Normal</v>
      </c>
    </row>
    <row r="446" spans="1:59" x14ac:dyDescent="0.2">
      <c r="A446" t="s">
        <v>42</v>
      </c>
      <c r="B446" t="s">
        <v>43</v>
      </c>
      <c r="C446">
        <v>20230101</v>
      </c>
      <c r="D446">
        <v>2023</v>
      </c>
      <c r="E446">
        <v>52</v>
      </c>
      <c r="F446" t="s">
        <v>311</v>
      </c>
      <c r="G446">
        <v>410</v>
      </c>
      <c r="H446" t="s">
        <v>156</v>
      </c>
      <c r="I446" t="s">
        <v>157</v>
      </c>
      <c r="J446" t="s">
        <v>47</v>
      </c>
      <c r="K446" t="s">
        <v>48</v>
      </c>
      <c r="L446">
        <v>0</v>
      </c>
      <c r="M446" t="s">
        <v>49</v>
      </c>
      <c r="N446" t="s">
        <v>50</v>
      </c>
      <c r="O446">
        <v>0</v>
      </c>
      <c r="P446" t="s">
        <v>49</v>
      </c>
      <c r="Q446" t="s">
        <v>50</v>
      </c>
      <c r="R446" t="s">
        <v>300</v>
      </c>
      <c r="S446" t="s">
        <v>52</v>
      </c>
      <c r="T446" t="b">
        <v>1</v>
      </c>
      <c r="U446" t="s">
        <v>53</v>
      </c>
      <c r="V446" t="s">
        <v>54</v>
      </c>
      <c r="W446">
        <v>4</v>
      </c>
      <c r="X446" t="b">
        <v>0</v>
      </c>
      <c r="Y446" t="s">
        <v>55</v>
      </c>
      <c r="Z446" t="s">
        <v>56</v>
      </c>
      <c r="AA446" t="s">
        <v>57</v>
      </c>
      <c r="AB446">
        <v>0</v>
      </c>
      <c r="AC446" t="s">
        <v>58</v>
      </c>
      <c r="AD446">
        <v>8</v>
      </c>
      <c r="AE446" t="s">
        <v>59</v>
      </c>
      <c r="AF446">
        <v>368.9</v>
      </c>
      <c r="AG446" t="b">
        <v>0</v>
      </c>
      <c r="AH446">
        <v>8</v>
      </c>
      <c r="AI446" t="s">
        <v>59</v>
      </c>
      <c r="AJ446">
        <v>368.9</v>
      </c>
      <c r="AK446" t="b">
        <v>0</v>
      </c>
      <c r="AL446">
        <v>368.9</v>
      </c>
      <c r="AM446" t="b">
        <v>0</v>
      </c>
      <c r="AN446">
        <v>0</v>
      </c>
      <c r="AO446" t="b">
        <v>0</v>
      </c>
      <c r="AQ446">
        <v>7078</v>
      </c>
      <c r="AR446">
        <v>7078</v>
      </c>
      <c r="AS446">
        <v>0</v>
      </c>
      <c r="AT446" t="b">
        <v>0</v>
      </c>
      <c r="AU446" t="b">
        <v>1</v>
      </c>
      <c r="BA446" t="str">
        <f t="shared" si="12"/>
        <v>Normal</v>
      </c>
      <c r="BG446" t="str">
        <f t="shared" si="13"/>
        <v>Normal</v>
      </c>
    </row>
    <row r="447" spans="1:59" x14ac:dyDescent="0.2">
      <c r="A447" t="s">
        <v>42</v>
      </c>
      <c r="B447" t="s">
        <v>43</v>
      </c>
      <c r="C447">
        <v>20230101</v>
      </c>
      <c r="D447">
        <v>2023</v>
      </c>
      <c r="E447">
        <v>52</v>
      </c>
      <c r="F447" t="s">
        <v>311</v>
      </c>
      <c r="G447">
        <v>414</v>
      </c>
      <c r="H447" t="s">
        <v>158</v>
      </c>
      <c r="I447" t="s">
        <v>159</v>
      </c>
      <c r="J447" t="s">
        <v>47</v>
      </c>
      <c r="K447" t="s">
        <v>48</v>
      </c>
      <c r="L447">
        <v>0</v>
      </c>
      <c r="M447" t="s">
        <v>49</v>
      </c>
      <c r="N447" t="s">
        <v>50</v>
      </c>
      <c r="O447">
        <v>0</v>
      </c>
      <c r="P447" t="s">
        <v>49</v>
      </c>
      <c r="Q447" t="s">
        <v>50</v>
      </c>
      <c r="R447" t="s">
        <v>300</v>
      </c>
      <c r="S447" t="s">
        <v>52</v>
      </c>
      <c r="T447" t="b">
        <v>1</v>
      </c>
      <c r="U447" t="s">
        <v>53</v>
      </c>
      <c r="V447" t="s">
        <v>54</v>
      </c>
      <c r="W447">
        <v>4</v>
      </c>
      <c r="X447" t="b">
        <v>0</v>
      </c>
      <c r="Y447" t="s">
        <v>55</v>
      </c>
      <c r="Z447" t="s">
        <v>56</v>
      </c>
      <c r="AA447" t="s">
        <v>57</v>
      </c>
      <c r="AB447">
        <v>0</v>
      </c>
      <c r="AC447" t="s">
        <v>58</v>
      </c>
      <c r="AD447">
        <v>8</v>
      </c>
      <c r="AE447" t="s">
        <v>59</v>
      </c>
      <c r="AF447">
        <v>82006660000</v>
      </c>
      <c r="AG447" t="b">
        <v>0</v>
      </c>
      <c r="AH447">
        <v>8</v>
      </c>
      <c r="AI447" t="s">
        <v>59</v>
      </c>
      <c r="AJ447">
        <v>82006660000</v>
      </c>
      <c r="AK447" t="b">
        <v>0</v>
      </c>
      <c r="AL447">
        <v>82006660000</v>
      </c>
      <c r="AM447" t="b">
        <v>0</v>
      </c>
      <c r="AN447">
        <v>0</v>
      </c>
      <c r="AO447" t="b">
        <v>0</v>
      </c>
      <c r="AQ447">
        <v>49827754836.683998</v>
      </c>
      <c r="AR447">
        <v>49827754836.683998</v>
      </c>
      <c r="AS447">
        <v>0</v>
      </c>
      <c r="AT447" t="b">
        <v>0</v>
      </c>
      <c r="AU447" t="b">
        <v>1</v>
      </c>
      <c r="BA447" t="str">
        <f t="shared" si="12"/>
        <v>Normal</v>
      </c>
      <c r="BG447" t="str">
        <f t="shared" si="13"/>
        <v>Normal</v>
      </c>
    </row>
    <row r="448" spans="1:59" x14ac:dyDescent="0.2">
      <c r="A448" t="s">
        <v>42</v>
      </c>
      <c r="B448" t="s">
        <v>43</v>
      </c>
      <c r="C448">
        <v>20230101</v>
      </c>
      <c r="D448">
        <v>2023</v>
      </c>
      <c r="E448">
        <v>52</v>
      </c>
      <c r="F448" t="s">
        <v>311</v>
      </c>
      <c r="G448">
        <v>418</v>
      </c>
      <c r="H448" t="s">
        <v>162</v>
      </c>
      <c r="I448" t="s">
        <v>163</v>
      </c>
      <c r="J448" t="s">
        <v>47</v>
      </c>
      <c r="K448" t="s">
        <v>48</v>
      </c>
      <c r="L448">
        <v>0</v>
      </c>
      <c r="M448" t="s">
        <v>49</v>
      </c>
      <c r="N448" t="s">
        <v>50</v>
      </c>
      <c r="O448">
        <v>0</v>
      </c>
      <c r="P448" t="s">
        <v>49</v>
      </c>
      <c r="Q448" t="s">
        <v>50</v>
      </c>
      <c r="R448" t="s">
        <v>300</v>
      </c>
      <c r="S448" t="s">
        <v>52</v>
      </c>
      <c r="T448" t="b">
        <v>1</v>
      </c>
      <c r="U448" t="s">
        <v>53</v>
      </c>
      <c r="V448" t="s">
        <v>54</v>
      </c>
      <c r="W448">
        <v>4</v>
      </c>
      <c r="X448" t="b">
        <v>0</v>
      </c>
      <c r="Y448" t="s">
        <v>55</v>
      </c>
      <c r="Z448" t="s">
        <v>56</v>
      </c>
      <c r="AA448" t="s">
        <v>57</v>
      </c>
      <c r="AB448">
        <v>0</v>
      </c>
      <c r="AC448" t="s">
        <v>58</v>
      </c>
      <c r="AD448">
        <v>8</v>
      </c>
      <c r="AE448" t="s">
        <v>59</v>
      </c>
      <c r="AF448">
        <v>8895</v>
      </c>
      <c r="AG448" t="b">
        <v>0</v>
      </c>
      <c r="AH448">
        <v>8</v>
      </c>
      <c r="AI448" t="s">
        <v>59</v>
      </c>
      <c r="AJ448">
        <v>8895</v>
      </c>
      <c r="AK448" t="b">
        <v>0</v>
      </c>
      <c r="AL448">
        <v>8895</v>
      </c>
      <c r="AM448" t="b">
        <v>0</v>
      </c>
      <c r="AN448">
        <v>0</v>
      </c>
      <c r="AO448" t="b">
        <v>0</v>
      </c>
      <c r="AQ448">
        <v>1260</v>
      </c>
      <c r="AR448">
        <v>1260</v>
      </c>
      <c r="AS448">
        <v>0</v>
      </c>
      <c r="AT448" t="b">
        <v>0</v>
      </c>
      <c r="AU448" t="b">
        <v>1</v>
      </c>
      <c r="BA448" t="str">
        <f t="shared" si="12"/>
        <v>Normal</v>
      </c>
      <c r="BG448" t="str">
        <f t="shared" si="13"/>
        <v>Normal</v>
      </c>
    </row>
    <row r="449" spans="1:59" x14ac:dyDescent="0.2">
      <c r="A449" t="s">
        <v>42</v>
      </c>
      <c r="B449" t="s">
        <v>43</v>
      </c>
      <c r="C449">
        <v>20230101</v>
      </c>
      <c r="D449">
        <v>2023</v>
      </c>
      <c r="E449">
        <v>52</v>
      </c>
      <c r="F449" t="s">
        <v>311</v>
      </c>
      <c r="G449">
        <v>422</v>
      </c>
      <c r="H449" t="s">
        <v>164</v>
      </c>
      <c r="I449" t="s">
        <v>165</v>
      </c>
      <c r="J449" t="s">
        <v>47</v>
      </c>
      <c r="K449" t="s">
        <v>48</v>
      </c>
      <c r="L449">
        <v>0</v>
      </c>
      <c r="M449" t="s">
        <v>49</v>
      </c>
      <c r="N449" t="s">
        <v>50</v>
      </c>
      <c r="O449">
        <v>0</v>
      </c>
      <c r="P449" t="s">
        <v>49</v>
      </c>
      <c r="Q449" t="s">
        <v>50</v>
      </c>
      <c r="R449" t="s">
        <v>51</v>
      </c>
      <c r="S449" t="s">
        <v>52</v>
      </c>
      <c r="T449" t="b">
        <v>1</v>
      </c>
      <c r="U449" t="s">
        <v>53</v>
      </c>
      <c r="V449" t="s">
        <v>54</v>
      </c>
      <c r="W449">
        <v>4</v>
      </c>
      <c r="X449" t="b">
        <v>0</v>
      </c>
      <c r="Y449" t="s">
        <v>55</v>
      </c>
      <c r="Z449" t="s">
        <v>56</v>
      </c>
      <c r="AA449" t="s">
        <v>57</v>
      </c>
      <c r="AB449">
        <v>0</v>
      </c>
      <c r="AC449" t="s">
        <v>58</v>
      </c>
      <c r="AD449">
        <v>8</v>
      </c>
      <c r="AE449" t="s">
        <v>59</v>
      </c>
      <c r="AF449">
        <v>4530.0820000000003</v>
      </c>
      <c r="AG449" t="b">
        <v>1</v>
      </c>
      <c r="AH449">
        <v>-1</v>
      </c>
      <c r="AI449" t="s">
        <v>73</v>
      </c>
      <c r="AJ449">
        <v>0</v>
      </c>
      <c r="AK449" t="b">
        <v>0</v>
      </c>
      <c r="AL449">
        <v>4530.0820000000003</v>
      </c>
      <c r="AM449" t="b">
        <v>1</v>
      </c>
      <c r="AN449">
        <v>0</v>
      </c>
      <c r="AO449" t="b">
        <v>0</v>
      </c>
      <c r="AQ449">
        <v>2440</v>
      </c>
      <c r="AR449">
        <v>2440</v>
      </c>
      <c r="AS449">
        <v>6</v>
      </c>
      <c r="AT449" t="b">
        <v>0</v>
      </c>
      <c r="AU449" t="b">
        <v>1</v>
      </c>
      <c r="BA449" t="str">
        <f t="shared" si="12"/>
        <v>Normal</v>
      </c>
      <c r="BG449" t="str">
        <f t="shared" si="13"/>
        <v>Normal</v>
      </c>
    </row>
    <row r="450" spans="1:59" x14ac:dyDescent="0.2">
      <c r="A450" t="s">
        <v>42</v>
      </c>
      <c r="B450" t="s">
        <v>43</v>
      </c>
      <c r="C450">
        <v>20230101</v>
      </c>
      <c r="D450">
        <v>2023</v>
      </c>
      <c r="E450">
        <v>52</v>
      </c>
      <c r="F450" t="s">
        <v>311</v>
      </c>
      <c r="G450">
        <v>428</v>
      </c>
      <c r="H450" t="s">
        <v>166</v>
      </c>
      <c r="I450" t="s">
        <v>167</v>
      </c>
      <c r="J450" t="s">
        <v>47</v>
      </c>
      <c r="K450" t="s">
        <v>48</v>
      </c>
      <c r="L450">
        <v>0</v>
      </c>
      <c r="M450" t="s">
        <v>49</v>
      </c>
      <c r="N450" t="s">
        <v>50</v>
      </c>
      <c r="O450">
        <v>0</v>
      </c>
      <c r="P450" t="s">
        <v>49</v>
      </c>
      <c r="Q450" t="s">
        <v>50</v>
      </c>
      <c r="R450" t="s">
        <v>300</v>
      </c>
      <c r="S450" t="s">
        <v>52</v>
      </c>
      <c r="T450" t="b">
        <v>1</v>
      </c>
      <c r="U450" t="s">
        <v>53</v>
      </c>
      <c r="V450" t="s">
        <v>54</v>
      </c>
      <c r="W450">
        <v>4</v>
      </c>
      <c r="X450" t="b">
        <v>0</v>
      </c>
      <c r="Y450" t="s">
        <v>55</v>
      </c>
      <c r="Z450" t="s">
        <v>56</v>
      </c>
      <c r="AA450" t="s">
        <v>57</v>
      </c>
      <c r="AB450">
        <v>0</v>
      </c>
      <c r="AC450" t="s">
        <v>58</v>
      </c>
      <c r="AD450">
        <v>8</v>
      </c>
      <c r="AE450" t="s">
        <v>59</v>
      </c>
      <c r="AF450">
        <v>3688726</v>
      </c>
      <c r="AG450" t="b">
        <v>0</v>
      </c>
      <c r="AH450">
        <v>8</v>
      </c>
      <c r="AI450" t="s">
        <v>59</v>
      </c>
      <c r="AJ450">
        <v>3688726</v>
      </c>
      <c r="AK450" t="b">
        <v>0</v>
      </c>
      <c r="AL450">
        <v>3688726</v>
      </c>
      <c r="AM450" t="b">
        <v>0</v>
      </c>
      <c r="AN450">
        <v>0</v>
      </c>
      <c r="AO450" t="b">
        <v>0</v>
      </c>
      <c r="AQ450">
        <v>1052722.047</v>
      </c>
      <c r="AR450">
        <v>1052722.047</v>
      </c>
      <c r="AS450">
        <v>0</v>
      </c>
      <c r="AT450" t="b">
        <v>0</v>
      </c>
      <c r="AU450" t="b">
        <v>1</v>
      </c>
      <c r="BA450" t="str">
        <f t="shared" si="12"/>
        <v>Normal</v>
      </c>
      <c r="BG450" t="str">
        <f t="shared" si="13"/>
        <v>Normal</v>
      </c>
    </row>
    <row r="451" spans="1:59" x14ac:dyDescent="0.2">
      <c r="A451" t="s">
        <v>42</v>
      </c>
      <c r="B451" t="s">
        <v>43</v>
      </c>
      <c r="C451">
        <v>20230101</v>
      </c>
      <c r="D451">
        <v>2023</v>
      </c>
      <c r="E451">
        <v>52</v>
      </c>
      <c r="F451" t="s">
        <v>311</v>
      </c>
      <c r="G451">
        <v>430</v>
      </c>
      <c r="H451" t="s">
        <v>297</v>
      </c>
      <c r="I451" t="s">
        <v>298</v>
      </c>
      <c r="J451" t="s">
        <v>47</v>
      </c>
      <c r="K451" t="s">
        <v>48</v>
      </c>
      <c r="L451">
        <v>0</v>
      </c>
      <c r="M451" t="s">
        <v>49</v>
      </c>
      <c r="N451" t="s">
        <v>50</v>
      </c>
      <c r="O451">
        <v>0</v>
      </c>
      <c r="P451" t="s">
        <v>49</v>
      </c>
      <c r="Q451" t="s">
        <v>50</v>
      </c>
      <c r="R451" t="s">
        <v>300</v>
      </c>
      <c r="S451" t="s">
        <v>52</v>
      </c>
      <c r="T451" t="b">
        <v>1</v>
      </c>
      <c r="U451" t="s">
        <v>53</v>
      </c>
      <c r="V451" t="s">
        <v>54</v>
      </c>
      <c r="W451">
        <v>4</v>
      </c>
      <c r="X451" t="b">
        <v>0</v>
      </c>
      <c r="Y451" t="s">
        <v>55</v>
      </c>
      <c r="Z451" t="s">
        <v>56</v>
      </c>
      <c r="AA451" t="s">
        <v>57</v>
      </c>
      <c r="AB451">
        <v>0</v>
      </c>
      <c r="AC451" t="s">
        <v>58</v>
      </c>
      <c r="AD451">
        <v>-1</v>
      </c>
      <c r="AE451" t="s">
        <v>73</v>
      </c>
      <c r="AF451">
        <v>0</v>
      </c>
      <c r="AG451" t="b">
        <v>0</v>
      </c>
      <c r="AH451">
        <v>-1</v>
      </c>
      <c r="AI451" t="s">
        <v>73</v>
      </c>
      <c r="AJ451">
        <v>0</v>
      </c>
      <c r="AK451" t="b">
        <v>0</v>
      </c>
      <c r="AM451" t="b">
        <v>0</v>
      </c>
      <c r="AN451">
        <v>0</v>
      </c>
      <c r="AO451" t="b">
        <v>0</v>
      </c>
      <c r="AQ451">
        <v>2830364</v>
      </c>
      <c r="AR451">
        <v>2830364</v>
      </c>
      <c r="AS451">
        <v>0</v>
      </c>
      <c r="AT451" t="b">
        <v>0</v>
      </c>
      <c r="AU451" t="b">
        <v>1</v>
      </c>
      <c r="BA451" t="str">
        <f t="shared" ref="BA451:BA514" si="14">IF(OR(AJ451&lt;AY451,AJ1025&gt;AZ451),"Outlier","Normal")</f>
        <v>Normal</v>
      </c>
      <c r="BG451" t="str">
        <f t="shared" ref="BG451:BG514" si="15">IF(OR(AQ451&lt;BE451,AQ1025&gt;BF451),"Outlier","Normal")</f>
        <v>Normal</v>
      </c>
    </row>
    <row r="452" spans="1:59" x14ac:dyDescent="0.2">
      <c r="A452" t="s">
        <v>42</v>
      </c>
      <c r="B452" t="s">
        <v>43</v>
      </c>
      <c r="C452">
        <v>20230101</v>
      </c>
      <c r="D452">
        <v>2023</v>
      </c>
      <c r="E452">
        <v>52</v>
      </c>
      <c r="F452" t="s">
        <v>311</v>
      </c>
      <c r="G452">
        <v>440</v>
      </c>
      <c r="H452" t="s">
        <v>171</v>
      </c>
      <c r="I452" t="s">
        <v>172</v>
      </c>
      <c r="J452" t="s">
        <v>47</v>
      </c>
      <c r="K452" t="s">
        <v>48</v>
      </c>
      <c r="L452">
        <v>0</v>
      </c>
      <c r="M452" t="s">
        <v>49</v>
      </c>
      <c r="N452" t="s">
        <v>50</v>
      </c>
      <c r="O452">
        <v>0</v>
      </c>
      <c r="P452" t="s">
        <v>49</v>
      </c>
      <c r="Q452" t="s">
        <v>50</v>
      </c>
      <c r="R452" t="s">
        <v>300</v>
      </c>
      <c r="S452" t="s">
        <v>52</v>
      </c>
      <c r="T452" t="b">
        <v>1</v>
      </c>
      <c r="U452" t="s">
        <v>53</v>
      </c>
      <c r="V452" t="s">
        <v>54</v>
      </c>
      <c r="W452">
        <v>4</v>
      </c>
      <c r="X452" t="b">
        <v>0</v>
      </c>
      <c r="Y452" t="s">
        <v>55</v>
      </c>
      <c r="Z452" t="s">
        <v>56</v>
      </c>
      <c r="AA452" t="s">
        <v>57</v>
      </c>
      <c r="AB452">
        <v>0</v>
      </c>
      <c r="AC452" t="s">
        <v>58</v>
      </c>
      <c r="AD452">
        <v>8</v>
      </c>
      <c r="AE452" t="s">
        <v>59</v>
      </c>
      <c r="AF452">
        <v>32491976</v>
      </c>
      <c r="AG452" t="b">
        <v>0</v>
      </c>
      <c r="AH452">
        <v>8</v>
      </c>
      <c r="AI452" t="s">
        <v>59</v>
      </c>
      <c r="AJ452">
        <v>32491976</v>
      </c>
      <c r="AK452" t="b">
        <v>0</v>
      </c>
      <c r="AL452">
        <v>32491976</v>
      </c>
      <c r="AM452" t="b">
        <v>0</v>
      </c>
      <c r="AN452">
        <v>0</v>
      </c>
      <c r="AO452" t="b">
        <v>0</v>
      </c>
      <c r="AQ452">
        <v>19534149</v>
      </c>
      <c r="AR452">
        <v>19534149</v>
      </c>
      <c r="AS452">
        <v>0</v>
      </c>
      <c r="AT452" t="b">
        <v>0</v>
      </c>
      <c r="AU452" t="b">
        <v>1</v>
      </c>
      <c r="BA452" t="str">
        <f t="shared" si="14"/>
        <v>Normal</v>
      </c>
      <c r="BG452" t="str">
        <f t="shared" si="15"/>
        <v>Normal</v>
      </c>
    </row>
    <row r="453" spans="1:59" x14ac:dyDescent="0.2">
      <c r="A453" t="s">
        <v>42</v>
      </c>
      <c r="B453" t="s">
        <v>43</v>
      </c>
      <c r="C453">
        <v>20230101</v>
      </c>
      <c r="D453">
        <v>2023</v>
      </c>
      <c r="E453">
        <v>52</v>
      </c>
      <c r="F453" t="s">
        <v>311</v>
      </c>
      <c r="G453">
        <v>442</v>
      </c>
      <c r="H453" t="s">
        <v>173</v>
      </c>
      <c r="I453" t="s">
        <v>174</v>
      </c>
      <c r="J453" t="s">
        <v>47</v>
      </c>
      <c r="K453" t="s">
        <v>48</v>
      </c>
      <c r="L453">
        <v>0</v>
      </c>
      <c r="M453" t="s">
        <v>49</v>
      </c>
      <c r="N453" t="s">
        <v>50</v>
      </c>
      <c r="O453">
        <v>0</v>
      </c>
      <c r="P453" t="s">
        <v>49</v>
      </c>
      <c r="Q453" t="s">
        <v>50</v>
      </c>
      <c r="R453" t="s">
        <v>300</v>
      </c>
      <c r="S453" t="s">
        <v>52</v>
      </c>
      <c r="T453" t="b">
        <v>1</v>
      </c>
      <c r="U453" t="s">
        <v>53</v>
      </c>
      <c r="V453" t="s">
        <v>54</v>
      </c>
      <c r="W453">
        <v>4</v>
      </c>
      <c r="X453" t="b">
        <v>0</v>
      </c>
      <c r="Y453" t="s">
        <v>55</v>
      </c>
      <c r="Z453" t="s">
        <v>56</v>
      </c>
      <c r="AA453" t="s">
        <v>57</v>
      </c>
      <c r="AB453">
        <v>0</v>
      </c>
      <c r="AC453" t="s">
        <v>58</v>
      </c>
      <c r="AD453">
        <v>8</v>
      </c>
      <c r="AE453" t="s">
        <v>59</v>
      </c>
      <c r="AF453">
        <v>3.3</v>
      </c>
      <c r="AG453" t="b">
        <v>0</v>
      </c>
      <c r="AH453">
        <v>8</v>
      </c>
      <c r="AI453" t="s">
        <v>59</v>
      </c>
      <c r="AJ453">
        <v>3.3</v>
      </c>
      <c r="AK453" t="b">
        <v>0</v>
      </c>
      <c r="AL453">
        <v>3.3</v>
      </c>
      <c r="AM453" t="b">
        <v>0</v>
      </c>
      <c r="AN453">
        <v>0</v>
      </c>
      <c r="AO453" t="b">
        <v>0</v>
      </c>
      <c r="AQ453">
        <v>139.25700000000001</v>
      </c>
      <c r="AR453">
        <v>139.25700000000001</v>
      </c>
      <c r="AS453">
        <v>0</v>
      </c>
      <c r="AT453" t="b">
        <v>0</v>
      </c>
      <c r="AU453" t="b">
        <v>1</v>
      </c>
      <c r="BA453" t="str">
        <f t="shared" si="14"/>
        <v>Normal</v>
      </c>
      <c r="BG453" t="str">
        <f t="shared" si="15"/>
        <v>Normal</v>
      </c>
    </row>
    <row r="454" spans="1:59" x14ac:dyDescent="0.2">
      <c r="A454" t="s">
        <v>42</v>
      </c>
      <c r="B454" t="s">
        <v>43</v>
      </c>
      <c r="C454">
        <v>20230101</v>
      </c>
      <c r="D454">
        <v>2023</v>
      </c>
      <c r="E454">
        <v>52</v>
      </c>
      <c r="F454" t="s">
        <v>311</v>
      </c>
      <c r="G454">
        <v>454</v>
      </c>
      <c r="H454" t="s">
        <v>175</v>
      </c>
      <c r="I454" t="s">
        <v>176</v>
      </c>
      <c r="J454" t="s">
        <v>47</v>
      </c>
      <c r="K454" t="s">
        <v>48</v>
      </c>
      <c r="L454">
        <v>0</v>
      </c>
      <c r="M454" t="s">
        <v>49</v>
      </c>
      <c r="N454" t="s">
        <v>50</v>
      </c>
      <c r="O454">
        <v>0</v>
      </c>
      <c r="P454" t="s">
        <v>49</v>
      </c>
      <c r="Q454" t="s">
        <v>50</v>
      </c>
      <c r="R454" t="s">
        <v>300</v>
      </c>
      <c r="S454" t="s">
        <v>52</v>
      </c>
      <c r="T454" t="b">
        <v>1</v>
      </c>
      <c r="U454" t="s">
        <v>53</v>
      </c>
      <c r="V454" t="s">
        <v>54</v>
      </c>
      <c r="W454">
        <v>4</v>
      </c>
      <c r="X454" t="b">
        <v>0</v>
      </c>
      <c r="Y454" t="s">
        <v>55</v>
      </c>
      <c r="Z454" t="s">
        <v>56</v>
      </c>
      <c r="AA454" t="s">
        <v>57</v>
      </c>
      <c r="AB454">
        <v>0</v>
      </c>
      <c r="AC454" t="s">
        <v>58</v>
      </c>
      <c r="AD454">
        <v>8</v>
      </c>
      <c r="AE454" t="s">
        <v>59</v>
      </c>
      <c r="AF454">
        <v>5</v>
      </c>
      <c r="AG454" t="b">
        <v>0</v>
      </c>
      <c r="AH454">
        <v>40</v>
      </c>
      <c r="AI454" t="s">
        <v>316</v>
      </c>
      <c r="AJ454">
        <v>6</v>
      </c>
      <c r="AK454" t="b">
        <v>0</v>
      </c>
      <c r="AL454">
        <v>5</v>
      </c>
      <c r="AM454" t="b">
        <v>0</v>
      </c>
      <c r="AN454">
        <v>0</v>
      </c>
      <c r="AO454" t="b">
        <v>0</v>
      </c>
      <c r="AQ454">
        <v>4.83</v>
      </c>
      <c r="AR454">
        <v>4.83</v>
      </c>
      <c r="AS454">
        <v>0</v>
      </c>
      <c r="AT454" t="b">
        <v>0</v>
      </c>
      <c r="AU454" t="b">
        <v>1</v>
      </c>
      <c r="BA454" t="str">
        <f t="shared" si="14"/>
        <v>Normal</v>
      </c>
      <c r="BG454" t="str">
        <f t="shared" si="15"/>
        <v>Normal</v>
      </c>
    </row>
    <row r="455" spans="1:59" x14ac:dyDescent="0.2">
      <c r="A455" t="s">
        <v>42</v>
      </c>
      <c r="B455" t="s">
        <v>43</v>
      </c>
      <c r="C455">
        <v>20230101</v>
      </c>
      <c r="D455">
        <v>2023</v>
      </c>
      <c r="E455">
        <v>52</v>
      </c>
      <c r="F455" t="s">
        <v>311</v>
      </c>
      <c r="G455">
        <v>458</v>
      </c>
      <c r="H455" t="s">
        <v>177</v>
      </c>
      <c r="I455" t="s">
        <v>178</v>
      </c>
      <c r="J455" t="s">
        <v>47</v>
      </c>
      <c r="K455" t="s">
        <v>48</v>
      </c>
      <c r="L455">
        <v>0</v>
      </c>
      <c r="M455" t="s">
        <v>49</v>
      </c>
      <c r="N455" t="s">
        <v>50</v>
      </c>
      <c r="O455">
        <v>0</v>
      </c>
      <c r="P455" t="s">
        <v>49</v>
      </c>
      <c r="Q455" t="s">
        <v>50</v>
      </c>
      <c r="R455" t="s">
        <v>300</v>
      </c>
      <c r="S455" t="s">
        <v>52</v>
      </c>
      <c r="T455" t="b">
        <v>1</v>
      </c>
      <c r="U455" t="s">
        <v>53</v>
      </c>
      <c r="V455" t="s">
        <v>54</v>
      </c>
      <c r="W455">
        <v>4</v>
      </c>
      <c r="X455" t="b">
        <v>0</v>
      </c>
      <c r="Y455" t="s">
        <v>55</v>
      </c>
      <c r="Z455" t="s">
        <v>56</v>
      </c>
      <c r="AA455" t="s">
        <v>57</v>
      </c>
      <c r="AB455">
        <v>0</v>
      </c>
      <c r="AC455" t="s">
        <v>58</v>
      </c>
      <c r="AD455">
        <v>8</v>
      </c>
      <c r="AE455" t="s">
        <v>59</v>
      </c>
      <c r="AF455">
        <v>10367873490</v>
      </c>
      <c r="AG455" t="b">
        <v>0</v>
      </c>
      <c r="AH455">
        <v>8</v>
      </c>
      <c r="AI455" t="s">
        <v>59</v>
      </c>
      <c r="AJ455">
        <v>10367873490</v>
      </c>
      <c r="AK455" t="b">
        <v>0</v>
      </c>
      <c r="AL455">
        <v>10367873490</v>
      </c>
      <c r="AM455" t="b">
        <v>0</v>
      </c>
      <c r="AN455">
        <v>0</v>
      </c>
      <c r="AO455" t="b">
        <v>0</v>
      </c>
      <c r="AQ455">
        <v>7004160187.46</v>
      </c>
      <c r="AR455">
        <v>7004160187.46</v>
      </c>
      <c r="AS455">
        <v>0</v>
      </c>
      <c r="AT455" t="b">
        <v>0</v>
      </c>
      <c r="AU455" t="b">
        <v>1</v>
      </c>
      <c r="BA455" t="str">
        <f t="shared" si="14"/>
        <v>Normal</v>
      </c>
      <c r="BG455" t="str">
        <f t="shared" si="15"/>
        <v>Normal</v>
      </c>
    </row>
    <row r="456" spans="1:59" x14ac:dyDescent="0.2">
      <c r="A456" t="s">
        <v>42</v>
      </c>
      <c r="B456" t="s">
        <v>43</v>
      </c>
      <c r="C456">
        <v>20230101</v>
      </c>
      <c r="D456">
        <v>2023</v>
      </c>
      <c r="E456">
        <v>52</v>
      </c>
      <c r="F456" t="s">
        <v>311</v>
      </c>
      <c r="G456">
        <v>478</v>
      </c>
      <c r="H456" t="s">
        <v>317</v>
      </c>
      <c r="I456" t="s">
        <v>318</v>
      </c>
      <c r="J456" t="s">
        <v>47</v>
      </c>
      <c r="K456" t="s">
        <v>48</v>
      </c>
      <c r="L456">
        <v>0</v>
      </c>
      <c r="M456" t="s">
        <v>49</v>
      </c>
      <c r="N456" t="s">
        <v>50</v>
      </c>
      <c r="O456">
        <v>0</v>
      </c>
      <c r="P456" t="s">
        <v>49</v>
      </c>
      <c r="Q456" t="s">
        <v>50</v>
      </c>
      <c r="R456" t="s">
        <v>51</v>
      </c>
      <c r="S456" t="s">
        <v>52</v>
      </c>
      <c r="T456" t="b">
        <v>1</v>
      </c>
      <c r="U456" t="s">
        <v>53</v>
      </c>
      <c r="V456" t="s">
        <v>54</v>
      </c>
      <c r="W456">
        <v>4</v>
      </c>
      <c r="X456" t="b">
        <v>0</v>
      </c>
      <c r="Y456" t="s">
        <v>55</v>
      </c>
      <c r="Z456" t="s">
        <v>56</v>
      </c>
      <c r="AA456" t="s">
        <v>57</v>
      </c>
      <c r="AB456">
        <v>0</v>
      </c>
      <c r="AC456" t="s">
        <v>58</v>
      </c>
      <c r="AD456">
        <v>8</v>
      </c>
      <c r="AE456" t="s">
        <v>59</v>
      </c>
      <c r="AF456">
        <v>7.55</v>
      </c>
      <c r="AG456" t="b">
        <v>0</v>
      </c>
      <c r="AH456">
        <v>8</v>
      </c>
      <c r="AI456" t="s">
        <v>59</v>
      </c>
      <c r="AJ456">
        <v>7.55</v>
      </c>
      <c r="AK456" t="b">
        <v>0</v>
      </c>
      <c r="AL456">
        <v>7.55</v>
      </c>
      <c r="AM456" t="b">
        <v>0</v>
      </c>
      <c r="AN456">
        <v>0</v>
      </c>
      <c r="AO456" t="b">
        <v>0</v>
      </c>
      <c r="AQ456">
        <v>394.20699999999999</v>
      </c>
      <c r="AR456">
        <v>394.20699999999999</v>
      </c>
      <c r="AS456">
        <v>0</v>
      </c>
      <c r="AT456" t="b">
        <v>0</v>
      </c>
      <c r="AU456" t="b">
        <v>1</v>
      </c>
      <c r="BA456" t="str">
        <f t="shared" si="14"/>
        <v>Normal</v>
      </c>
      <c r="BG456" t="str">
        <f t="shared" si="15"/>
        <v>Normal</v>
      </c>
    </row>
    <row r="457" spans="1:59" x14ac:dyDescent="0.2">
      <c r="A457" t="s">
        <v>42</v>
      </c>
      <c r="B457" t="s">
        <v>43</v>
      </c>
      <c r="C457">
        <v>20230101</v>
      </c>
      <c r="D457">
        <v>2023</v>
      </c>
      <c r="E457">
        <v>52</v>
      </c>
      <c r="F457" t="s">
        <v>311</v>
      </c>
      <c r="G457">
        <v>484</v>
      </c>
      <c r="H457" t="s">
        <v>181</v>
      </c>
      <c r="I457" t="s">
        <v>182</v>
      </c>
      <c r="J457" t="s">
        <v>47</v>
      </c>
      <c r="K457" t="s">
        <v>48</v>
      </c>
      <c r="L457">
        <v>0</v>
      </c>
      <c r="M457" t="s">
        <v>49</v>
      </c>
      <c r="N457" t="s">
        <v>50</v>
      </c>
      <c r="O457">
        <v>0</v>
      </c>
      <c r="P457" t="s">
        <v>49</v>
      </c>
      <c r="Q457" t="s">
        <v>50</v>
      </c>
      <c r="R457" t="s">
        <v>300</v>
      </c>
      <c r="S457" t="s">
        <v>52</v>
      </c>
      <c r="T457" t="b">
        <v>1</v>
      </c>
      <c r="U457" t="s">
        <v>53</v>
      </c>
      <c r="V457" t="s">
        <v>54</v>
      </c>
      <c r="W457">
        <v>4</v>
      </c>
      <c r="X457" t="b">
        <v>0</v>
      </c>
      <c r="Y457" t="s">
        <v>55</v>
      </c>
      <c r="Z457" t="s">
        <v>56</v>
      </c>
      <c r="AA457" t="s">
        <v>57</v>
      </c>
      <c r="AB457">
        <v>0</v>
      </c>
      <c r="AC457" t="s">
        <v>58</v>
      </c>
      <c r="AD457">
        <v>8</v>
      </c>
      <c r="AE457" t="s">
        <v>59</v>
      </c>
      <c r="AF457">
        <v>50765602469.529999</v>
      </c>
      <c r="AG457" t="b">
        <v>1</v>
      </c>
      <c r="AH457">
        <v>-1</v>
      </c>
      <c r="AI457" t="s">
        <v>73</v>
      </c>
      <c r="AJ457">
        <v>0</v>
      </c>
      <c r="AK457" t="b">
        <v>0</v>
      </c>
      <c r="AL457">
        <v>50765602469.529999</v>
      </c>
      <c r="AM457" t="b">
        <v>1</v>
      </c>
      <c r="AN457">
        <v>0</v>
      </c>
      <c r="AO457" t="b">
        <v>0</v>
      </c>
      <c r="AQ457">
        <v>27579902888</v>
      </c>
      <c r="AR457">
        <v>27579902888</v>
      </c>
      <c r="AS457">
        <v>6</v>
      </c>
      <c r="AT457" t="b">
        <v>0</v>
      </c>
      <c r="AU457" t="b">
        <v>1</v>
      </c>
      <c r="BA457" t="str">
        <f t="shared" si="14"/>
        <v>Normal</v>
      </c>
      <c r="BG457" t="str">
        <f t="shared" si="15"/>
        <v>Normal</v>
      </c>
    </row>
    <row r="458" spans="1:59" x14ac:dyDescent="0.2">
      <c r="A458" t="s">
        <v>42</v>
      </c>
      <c r="B458" t="s">
        <v>43</v>
      </c>
      <c r="C458">
        <v>20230101</v>
      </c>
      <c r="D458">
        <v>2023</v>
      </c>
      <c r="E458">
        <v>52</v>
      </c>
      <c r="F458" t="s">
        <v>311</v>
      </c>
      <c r="G458">
        <v>496</v>
      </c>
      <c r="H458" t="s">
        <v>183</v>
      </c>
      <c r="I458" t="s">
        <v>184</v>
      </c>
      <c r="J458" t="s">
        <v>47</v>
      </c>
      <c r="K458" t="s">
        <v>48</v>
      </c>
      <c r="L458">
        <v>0</v>
      </c>
      <c r="M458" t="s">
        <v>49</v>
      </c>
      <c r="N458" t="s">
        <v>50</v>
      </c>
      <c r="O458">
        <v>0</v>
      </c>
      <c r="P458" t="s">
        <v>49</v>
      </c>
      <c r="Q458" t="s">
        <v>50</v>
      </c>
      <c r="R458" t="s">
        <v>300</v>
      </c>
      <c r="S458" t="s">
        <v>52</v>
      </c>
      <c r="T458" t="b">
        <v>1</v>
      </c>
      <c r="U458" t="s">
        <v>53</v>
      </c>
      <c r="V458" t="s">
        <v>54</v>
      </c>
      <c r="W458">
        <v>4</v>
      </c>
      <c r="X458" t="b">
        <v>0</v>
      </c>
      <c r="Y458" t="s">
        <v>55</v>
      </c>
      <c r="Z458" t="s">
        <v>56</v>
      </c>
      <c r="AA458" t="s">
        <v>57</v>
      </c>
      <c r="AB458">
        <v>0</v>
      </c>
      <c r="AC458" t="s">
        <v>58</v>
      </c>
      <c r="AD458">
        <v>8</v>
      </c>
      <c r="AE458" t="s">
        <v>59</v>
      </c>
      <c r="AF458">
        <v>643079000</v>
      </c>
      <c r="AG458" t="b">
        <v>0</v>
      </c>
      <c r="AH458">
        <v>19</v>
      </c>
      <c r="AI458" t="s">
        <v>60</v>
      </c>
      <c r="AJ458">
        <v>4730370</v>
      </c>
      <c r="AK458" t="b">
        <v>0</v>
      </c>
      <c r="AL458">
        <v>643079000</v>
      </c>
      <c r="AM458" t="b">
        <v>0</v>
      </c>
      <c r="AN458">
        <v>0</v>
      </c>
      <c r="AO458" t="b">
        <v>0</v>
      </c>
      <c r="AQ458">
        <v>364741781.56999999</v>
      </c>
      <c r="AR458">
        <v>364741781.56999999</v>
      </c>
      <c r="AS458">
        <v>0</v>
      </c>
      <c r="AT458" t="b">
        <v>0</v>
      </c>
      <c r="AU458" t="b">
        <v>1</v>
      </c>
      <c r="BA458" t="str">
        <f t="shared" si="14"/>
        <v>Normal</v>
      </c>
      <c r="BG458" t="str">
        <f t="shared" si="15"/>
        <v>Normal</v>
      </c>
    </row>
    <row r="459" spans="1:59" x14ac:dyDescent="0.2">
      <c r="A459" t="s">
        <v>42</v>
      </c>
      <c r="B459" t="s">
        <v>43</v>
      </c>
      <c r="C459">
        <v>20230101</v>
      </c>
      <c r="D459">
        <v>2023</v>
      </c>
      <c r="E459">
        <v>52</v>
      </c>
      <c r="F459" t="s">
        <v>311</v>
      </c>
      <c r="G459">
        <v>498</v>
      </c>
      <c r="H459" t="s">
        <v>185</v>
      </c>
      <c r="I459" t="s">
        <v>186</v>
      </c>
      <c r="J459" t="s">
        <v>47</v>
      </c>
      <c r="K459" t="s">
        <v>48</v>
      </c>
      <c r="L459">
        <v>0</v>
      </c>
      <c r="M459" t="s">
        <v>49</v>
      </c>
      <c r="N459" t="s">
        <v>50</v>
      </c>
      <c r="O459">
        <v>0</v>
      </c>
      <c r="P459" t="s">
        <v>49</v>
      </c>
      <c r="Q459" t="s">
        <v>50</v>
      </c>
      <c r="R459" t="s">
        <v>300</v>
      </c>
      <c r="S459" t="s">
        <v>52</v>
      </c>
      <c r="T459" t="b">
        <v>1</v>
      </c>
      <c r="U459" t="s">
        <v>53</v>
      </c>
      <c r="V459" t="s">
        <v>54</v>
      </c>
      <c r="W459">
        <v>4</v>
      </c>
      <c r="X459" t="b">
        <v>0</v>
      </c>
      <c r="Y459" t="s">
        <v>55</v>
      </c>
      <c r="Z459" t="s">
        <v>56</v>
      </c>
      <c r="AA459" t="s">
        <v>57</v>
      </c>
      <c r="AB459">
        <v>0</v>
      </c>
      <c r="AC459" t="s">
        <v>58</v>
      </c>
      <c r="AD459">
        <v>8</v>
      </c>
      <c r="AE459" t="s">
        <v>59</v>
      </c>
      <c r="AF459">
        <v>2414205</v>
      </c>
      <c r="AG459" t="b">
        <v>0</v>
      </c>
      <c r="AH459">
        <v>8</v>
      </c>
      <c r="AI459" t="s">
        <v>59</v>
      </c>
      <c r="AJ459">
        <v>2414205</v>
      </c>
      <c r="AK459" t="b">
        <v>0</v>
      </c>
      <c r="AL459">
        <v>2414205</v>
      </c>
      <c r="AM459" t="b">
        <v>0</v>
      </c>
      <c r="AN459">
        <v>0</v>
      </c>
      <c r="AO459" t="b">
        <v>0</v>
      </c>
      <c r="AQ459">
        <v>1054491</v>
      </c>
      <c r="AR459">
        <v>1054491</v>
      </c>
      <c r="AS459">
        <v>0</v>
      </c>
      <c r="AT459" t="b">
        <v>0</v>
      </c>
      <c r="AU459" t="b">
        <v>1</v>
      </c>
      <c r="BA459" t="str">
        <f t="shared" si="14"/>
        <v>Normal</v>
      </c>
      <c r="BG459" t="str">
        <f t="shared" si="15"/>
        <v>Normal</v>
      </c>
    </row>
    <row r="460" spans="1:59" x14ac:dyDescent="0.2">
      <c r="A460" t="s">
        <v>42</v>
      </c>
      <c r="B460" t="s">
        <v>43</v>
      </c>
      <c r="C460">
        <v>20230101</v>
      </c>
      <c r="D460">
        <v>2023</v>
      </c>
      <c r="E460">
        <v>52</v>
      </c>
      <c r="F460" t="s">
        <v>311</v>
      </c>
      <c r="G460">
        <v>508</v>
      </c>
      <c r="H460" t="s">
        <v>319</v>
      </c>
      <c r="I460" t="s">
        <v>320</v>
      </c>
      <c r="J460" t="s">
        <v>47</v>
      </c>
      <c r="K460" t="s">
        <v>48</v>
      </c>
      <c r="L460">
        <v>0</v>
      </c>
      <c r="M460" t="s">
        <v>49</v>
      </c>
      <c r="N460" t="s">
        <v>50</v>
      </c>
      <c r="O460">
        <v>0</v>
      </c>
      <c r="P460" t="s">
        <v>49</v>
      </c>
      <c r="Q460" t="s">
        <v>50</v>
      </c>
      <c r="R460" t="s">
        <v>300</v>
      </c>
      <c r="S460" t="s">
        <v>52</v>
      </c>
      <c r="T460" t="b">
        <v>1</v>
      </c>
      <c r="U460" t="s">
        <v>53</v>
      </c>
      <c r="V460" t="s">
        <v>54</v>
      </c>
      <c r="W460">
        <v>4</v>
      </c>
      <c r="X460" t="b">
        <v>0</v>
      </c>
      <c r="Y460" t="s">
        <v>55</v>
      </c>
      <c r="Z460" t="s">
        <v>56</v>
      </c>
      <c r="AA460" t="s">
        <v>57</v>
      </c>
      <c r="AB460">
        <v>0</v>
      </c>
      <c r="AC460" t="s">
        <v>58</v>
      </c>
      <c r="AD460">
        <v>-1</v>
      </c>
      <c r="AE460" t="s">
        <v>73</v>
      </c>
      <c r="AF460">
        <v>0</v>
      </c>
      <c r="AG460" t="b">
        <v>0</v>
      </c>
      <c r="AH460">
        <v>-1</v>
      </c>
      <c r="AI460" t="s">
        <v>73</v>
      </c>
      <c r="AJ460">
        <v>0</v>
      </c>
      <c r="AK460" t="b">
        <v>0</v>
      </c>
      <c r="AM460" t="b">
        <v>0</v>
      </c>
      <c r="AN460">
        <v>0</v>
      </c>
      <c r="AO460" t="b">
        <v>0</v>
      </c>
      <c r="AQ460">
        <v>104457000</v>
      </c>
      <c r="AR460">
        <v>104457000</v>
      </c>
      <c r="AS460">
        <v>0</v>
      </c>
      <c r="AT460" t="b">
        <v>0</v>
      </c>
      <c r="AU460" t="b">
        <v>1</v>
      </c>
      <c r="BA460" t="str">
        <f t="shared" si="14"/>
        <v>Normal</v>
      </c>
      <c r="BG460" t="str">
        <f t="shared" si="15"/>
        <v>Normal</v>
      </c>
    </row>
    <row r="461" spans="1:59" x14ac:dyDescent="0.2">
      <c r="A461" t="s">
        <v>42</v>
      </c>
      <c r="B461" t="s">
        <v>43</v>
      </c>
      <c r="C461">
        <v>20230101</v>
      </c>
      <c r="D461">
        <v>2023</v>
      </c>
      <c r="E461">
        <v>52</v>
      </c>
      <c r="F461" t="s">
        <v>311</v>
      </c>
      <c r="G461">
        <v>512</v>
      </c>
      <c r="H461" t="s">
        <v>187</v>
      </c>
      <c r="I461" t="s">
        <v>188</v>
      </c>
      <c r="J461" t="s">
        <v>47</v>
      </c>
      <c r="K461" t="s">
        <v>48</v>
      </c>
      <c r="L461">
        <v>0</v>
      </c>
      <c r="M461" t="s">
        <v>49</v>
      </c>
      <c r="N461" t="s">
        <v>50</v>
      </c>
      <c r="O461">
        <v>0</v>
      </c>
      <c r="P461" t="s">
        <v>49</v>
      </c>
      <c r="Q461" t="s">
        <v>50</v>
      </c>
      <c r="R461" t="s">
        <v>300</v>
      </c>
      <c r="S461" t="s">
        <v>52</v>
      </c>
      <c r="T461" t="b">
        <v>1</v>
      </c>
      <c r="U461" t="s">
        <v>53</v>
      </c>
      <c r="V461" t="s">
        <v>54</v>
      </c>
      <c r="W461">
        <v>4</v>
      </c>
      <c r="X461" t="b">
        <v>0</v>
      </c>
      <c r="Y461" t="s">
        <v>55</v>
      </c>
      <c r="Z461" t="s">
        <v>56</v>
      </c>
      <c r="AA461" t="s">
        <v>57</v>
      </c>
      <c r="AB461">
        <v>0</v>
      </c>
      <c r="AC461" t="s">
        <v>58</v>
      </c>
      <c r="AD461">
        <v>8</v>
      </c>
      <c r="AE461" t="s">
        <v>59</v>
      </c>
      <c r="AF461">
        <v>47483152156.144997</v>
      </c>
      <c r="AG461" t="b">
        <v>1</v>
      </c>
      <c r="AH461">
        <v>-1</v>
      </c>
      <c r="AI461" t="s">
        <v>73</v>
      </c>
      <c r="AJ461">
        <v>0</v>
      </c>
      <c r="AK461" t="b">
        <v>0</v>
      </c>
      <c r="AL461">
        <v>47483152156.144997</v>
      </c>
      <c r="AM461" t="b">
        <v>1</v>
      </c>
      <c r="AN461">
        <v>0</v>
      </c>
      <c r="AO461" t="b">
        <v>0</v>
      </c>
      <c r="AQ461">
        <v>25575449143.328999</v>
      </c>
      <c r="AR461">
        <v>25575449143.328999</v>
      </c>
      <c r="AS461">
        <v>6</v>
      </c>
      <c r="AT461" t="b">
        <v>0</v>
      </c>
      <c r="AU461" t="b">
        <v>1</v>
      </c>
      <c r="BA461" t="str">
        <f t="shared" si="14"/>
        <v>Normal</v>
      </c>
      <c r="BG461" t="str">
        <f t="shared" si="15"/>
        <v>Normal</v>
      </c>
    </row>
    <row r="462" spans="1:59" x14ac:dyDescent="0.2">
      <c r="A462" t="s">
        <v>42</v>
      </c>
      <c r="B462" t="s">
        <v>43</v>
      </c>
      <c r="C462">
        <v>20230101</v>
      </c>
      <c r="D462">
        <v>2023</v>
      </c>
      <c r="E462">
        <v>52</v>
      </c>
      <c r="F462" t="s">
        <v>311</v>
      </c>
      <c r="G462">
        <v>516</v>
      </c>
      <c r="H462" t="s">
        <v>189</v>
      </c>
      <c r="I462" t="s">
        <v>190</v>
      </c>
      <c r="J462" t="s">
        <v>47</v>
      </c>
      <c r="K462" t="s">
        <v>48</v>
      </c>
      <c r="L462">
        <v>0</v>
      </c>
      <c r="M462" t="s">
        <v>49</v>
      </c>
      <c r="N462" t="s">
        <v>50</v>
      </c>
      <c r="O462">
        <v>0</v>
      </c>
      <c r="P462" t="s">
        <v>49</v>
      </c>
      <c r="Q462" t="s">
        <v>50</v>
      </c>
      <c r="R462" t="s">
        <v>300</v>
      </c>
      <c r="S462" t="s">
        <v>52</v>
      </c>
      <c r="T462" t="b">
        <v>1</v>
      </c>
      <c r="U462" t="s">
        <v>53</v>
      </c>
      <c r="V462" t="s">
        <v>54</v>
      </c>
      <c r="W462">
        <v>4</v>
      </c>
      <c r="X462" t="b">
        <v>0</v>
      </c>
      <c r="Y462" t="s">
        <v>55</v>
      </c>
      <c r="Z462" t="s">
        <v>56</v>
      </c>
      <c r="AA462" t="s">
        <v>57</v>
      </c>
      <c r="AB462">
        <v>0</v>
      </c>
      <c r="AC462" t="s">
        <v>58</v>
      </c>
      <c r="AD462">
        <v>8</v>
      </c>
      <c r="AE462" t="s">
        <v>59</v>
      </c>
      <c r="AF462">
        <v>6721.69</v>
      </c>
      <c r="AG462" t="b">
        <v>0</v>
      </c>
      <c r="AH462">
        <v>8</v>
      </c>
      <c r="AI462" t="s">
        <v>59</v>
      </c>
      <c r="AJ462">
        <v>6721.69</v>
      </c>
      <c r="AK462" t="b">
        <v>0</v>
      </c>
      <c r="AL462">
        <v>6721.69</v>
      </c>
      <c r="AM462" t="b">
        <v>0</v>
      </c>
      <c r="AN462">
        <v>0</v>
      </c>
      <c r="AO462" t="b">
        <v>0</v>
      </c>
      <c r="AQ462">
        <v>44574.034</v>
      </c>
      <c r="AR462">
        <v>44574.034</v>
      </c>
      <c r="AS462">
        <v>0</v>
      </c>
      <c r="AT462" t="b">
        <v>0</v>
      </c>
      <c r="AU462" t="b">
        <v>1</v>
      </c>
      <c r="BA462" t="str">
        <f t="shared" si="14"/>
        <v>Normal</v>
      </c>
      <c r="BG462" t="str">
        <f t="shared" si="15"/>
        <v>Normal</v>
      </c>
    </row>
    <row r="463" spans="1:59" x14ac:dyDescent="0.2">
      <c r="A463" t="s">
        <v>42</v>
      </c>
      <c r="B463" t="s">
        <v>43</v>
      </c>
      <c r="C463">
        <v>20230101</v>
      </c>
      <c r="D463">
        <v>2023</v>
      </c>
      <c r="E463">
        <v>52</v>
      </c>
      <c r="F463" t="s">
        <v>311</v>
      </c>
      <c r="G463">
        <v>528</v>
      </c>
      <c r="H463" t="s">
        <v>191</v>
      </c>
      <c r="I463" t="s">
        <v>192</v>
      </c>
      <c r="J463" t="s">
        <v>47</v>
      </c>
      <c r="K463" t="s">
        <v>48</v>
      </c>
      <c r="L463">
        <v>0</v>
      </c>
      <c r="M463" t="s">
        <v>49</v>
      </c>
      <c r="N463" t="s">
        <v>50</v>
      </c>
      <c r="O463">
        <v>0</v>
      </c>
      <c r="P463" t="s">
        <v>49</v>
      </c>
      <c r="Q463" t="s">
        <v>50</v>
      </c>
      <c r="R463" t="s">
        <v>300</v>
      </c>
      <c r="S463" t="s">
        <v>52</v>
      </c>
      <c r="T463" t="b">
        <v>1</v>
      </c>
      <c r="U463" t="s">
        <v>53</v>
      </c>
      <c r="V463" t="s">
        <v>54</v>
      </c>
      <c r="W463">
        <v>4</v>
      </c>
      <c r="X463" t="b">
        <v>0</v>
      </c>
      <c r="Y463" t="s">
        <v>55</v>
      </c>
      <c r="Z463" t="s">
        <v>56</v>
      </c>
      <c r="AA463" t="s">
        <v>57</v>
      </c>
      <c r="AB463">
        <v>0</v>
      </c>
      <c r="AC463" t="s">
        <v>58</v>
      </c>
      <c r="AD463">
        <v>-1</v>
      </c>
      <c r="AE463" t="s">
        <v>73</v>
      </c>
      <c r="AF463">
        <v>0</v>
      </c>
      <c r="AG463" t="b">
        <v>0</v>
      </c>
      <c r="AH463">
        <v>-1</v>
      </c>
      <c r="AI463" t="s">
        <v>73</v>
      </c>
      <c r="AJ463">
        <v>0</v>
      </c>
      <c r="AK463" t="b">
        <v>0</v>
      </c>
      <c r="AM463" t="b">
        <v>0</v>
      </c>
      <c r="AN463">
        <v>0</v>
      </c>
      <c r="AO463" t="b">
        <v>0</v>
      </c>
      <c r="AQ463">
        <v>17016724091.663</v>
      </c>
      <c r="AR463">
        <v>17016724091.663</v>
      </c>
      <c r="AS463">
        <v>0</v>
      </c>
      <c r="AT463" t="b">
        <v>0</v>
      </c>
      <c r="AU463" t="b">
        <v>1</v>
      </c>
      <c r="BA463" t="str">
        <f t="shared" si="14"/>
        <v>Normal</v>
      </c>
      <c r="BG463" t="str">
        <f t="shared" si="15"/>
        <v>Normal</v>
      </c>
    </row>
    <row r="464" spans="1:59" x14ac:dyDescent="0.2">
      <c r="A464" t="s">
        <v>42</v>
      </c>
      <c r="B464" t="s">
        <v>43</v>
      </c>
      <c r="C464">
        <v>20230101</v>
      </c>
      <c r="D464">
        <v>2023</v>
      </c>
      <c r="E464">
        <v>52</v>
      </c>
      <c r="F464" t="s">
        <v>311</v>
      </c>
      <c r="G464">
        <v>554</v>
      </c>
      <c r="H464" t="s">
        <v>195</v>
      </c>
      <c r="I464" t="s">
        <v>196</v>
      </c>
      <c r="J464" t="s">
        <v>47</v>
      </c>
      <c r="K464" t="s">
        <v>48</v>
      </c>
      <c r="L464">
        <v>0</v>
      </c>
      <c r="M464" t="s">
        <v>49</v>
      </c>
      <c r="N464" t="s">
        <v>50</v>
      </c>
      <c r="O464">
        <v>0</v>
      </c>
      <c r="P464" t="s">
        <v>49</v>
      </c>
      <c r="Q464" t="s">
        <v>50</v>
      </c>
      <c r="R464" t="s">
        <v>300</v>
      </c>
      <c r="S464" t="s">
        <v>52</v>
      </c>
      <c r="T464" t="b">
        <v>1</v>
      </c>
      <c r="U464" t="s">
        <v>53</v>
      </c>
      <c r="V464" t="s">
        <v>54</v>
      </c>
      <c r="W464">
        <v>4</v>
      </c>
      <c r="X464" t="b">
        <v>0</v>
      </c>
      <c r="Y464" t="s">
        <v>55</v>
      </c>
      <c r="Z464" t="s">
        <v>56</v>
      </c>
      <c r="AA464" t="s">
        <v>57</v>
      </c>
      <c r="AB464">
        <v>0</v>
      </c>
      <c r="AC464" t="s">
        <v>58</v>
      </c>
      <c r="AD464">
        <v>8</v>
      </c>
      <c r="AE464" t="s">
        <v>59</v>
      </c>
      <c r="AF464">
        <v>786721843.30400002</v>
      </c>
      <c r="AG464" t="b">
        <v>1</v>
      </c>
      <c r="AH464">
        <v>-1</v>
      </c>
      <c r="AI464" t="s">
        <v>73</v>
      </c>
      <c r="AJ464">
        <v>0</v>
      </c>
      <c r="AK464" t="b">
        <v>0</v>
      </c>
      <c r="AL464">
        <v>786721843.30400002</v>
      </c>
      <c r="AM464" t="b">
        <v>1</v>
      </c>
      <c r="AN464">
        <v>799540862</v>
      </c>
      <c r="AO464" t="b">
        <v>0</v>
      </c>
      <c r="AQ464">
        <v>492749167.708</v>
      </c>
      <c r="AR464">
        <v>492749167.708</v>
      </c>
      <c r="AS464">
        <v>6</v>
      </c>
      <c r="AT464" t="b">
        <v>0</v>
      </c>
      <c r="AU464" t="b">
        <v>1</v>
      </c>
      <c r="BA464" t="str">
        <f t="shared" si="14"/>
        <v>Normal</v>
      </c>
      <c r="BG464" t="str">
        <f t="shared" si="15"/>
        <v>Normal</v>
      </c>
    </row>
    <row r="465" spans="1:59" x14ac:dyDescent="0.2">
      <c r="A465" t="s">
        <v>42</v>
      </c>
      <c r="B465" t="s">
        <v>43</v>
      </c>
      <c r="C465">
        <v>20230101</v>
      </c>
      <c r="D465">
        <v>2023</v>
      </c>
      <c r="E465">
        <v>52</v>
      </c>
      <c r="F465" t="s">
        <v>311</v>
      </c>
      <c r="G465">
        <v>562</v>
      </c>
      <c r="H465" t="s">
        <v>321</v>
      </c>
      <c r="I465" t="s">
        <v>322</v>
      </c>
      <c r="J465" t="s">
        <v>47</v>
      </c>
      <c r="K465" t="s">
        <v>48</v>
      </c>
      <c r="L465">
        <v>0</v>
      </c>
      <c r="M465" t="s">
        <v>49</v>
      </c>
      <c r="N465" t="s">
        <v>50</v>
      </c>
      <c r="O465">
        <v>0</v>
      </c>
      <c r="P465" t="s">
        <v>49</v>
      </c>
      <c r="Q465" t="s">
        <v>50</v>
      </c>
      <c r="R465" t="s">
        <v>300</v>
      </c>
      <c r="S465" t="s">
        <v>52</v>
      </c>
      <c r="T465" t="b">
        <v>1</v>
      </c>
      <c r="U465" t="s">
        <v>53</v>
      </c>
      <c r="V465" t="s">
        <v>54</v>
      </c>
      <c r="W465">
        <v>4</v>
      </c>
      <c r="X465" t="b">
        <v>0</v>
      </c>
      <c r="Y465" t="s">
        <v>55</v>
      </c>
      <c r="Z465" t="s">
        <v>56</v>
      </c>
      <c r="AA465" t="s">
        <v>57</v>
      </c>
      <c r="AB465">
        <v>0</v>
      </c>
      <c r="AC465" t="s">
        <v>58</v>
      </c>
      <c r="AD465">
        <v>8</v>
      </c>
      <c r="AE465" t="s">
        <v>59</v>
      </c>
      <c r="AF465">
        <v>98</v>
      </c>
      <c r="AG465" t="b">
        <v>0</v>
      </c>
      <c r="AH465">
        <v>8</v>
      </c>
      <c r="AI465" t="s">
        <v>59</v>
      </c>
      <c r="AJ465">
        <v>98</v>
      </c>
      <c r="AK465" t="b">
        <v>0</v>
      </c>
      <c r="AL465">
        <v>98</v>
      </c>
      <c r="AM465" t="b">
        <v>0</v>
      </c>
      <c r="AN465">
        <v>0</v>
      </c>
      <c r="AO465" t="b">
        <v>0</v>
      </c>
      <c r="AQ465">
        <v>51.15</v>
      </c>
      <c r="AR465">
        <v>51.15</v>
      </c>
      <c r="AS465">
        <v>0</v>
      </c>
      <c r="AT465" t="b">
        <v>0</v>
      </c>
      <c r="AU465" t="b">
        <v>1</v>
      </c>
      <c r="BA465" t="str">
        <f t="shared" si="14"/>
        <v>Normal</v>
      </c>
      <c r="BG465" t="str">
        <f t="shared" si="15"/>
        <v>Normal</v>
      </c>
    </row>
    <row r="466" spans="1:59" x14ac:dyDescent="0.2">
      <c r="A466" t="s">
        <v>42</v>
      </c>
      <c r="B466" t="s">
        <v>43</v>
      </c>
      <c r="C466">
        <v>20230101</v>
      </c>
      <c r="D466">
        <v>2023</v>
      </c>
      <c r="E466">
        <v>52</v>
      </c>
      <c r="F466" t="s">
        <v>311</v>
      </c>
      <c r="G466">
        <v>566</v>
      </c>
      <c r="H466" t="s">
        <v>197</v>
      </c>
      <c r="I466" t="s">
        <v>198</v>
      </c>
      <c r="J466" t="s">
        <v>47</v>
      </c>
      <c r="K466" t="s">
        <v>48</v>
      </c>
      <c r="L466">
        <v>0</v>
      </c>
      <c r="M466" t="s">
        <v>49</v>
      </c>
      <c r="N466" t="s">
        <v>50</v>
      </c>
      <c r="O466">
        <v>0</v>
      </c>
      <c r="P466" t="s">
        <v>49</v>
      </c>
      <c r="Q466" t="s">
        <v>50</v>
      </c>
      <c r="R466" t="s">
        <v>300</v>
      </c>
      <c r="S466" t="s">
        <v>52</v>
      </c>
      <c r="T466" t="b">
        <v>1</v>
      </c>
      <c r="U466" t="s">
        <v>53</v>
      </c>
      <c r="V466" t="s">
        <v>54</v>
      </c>
      <c r="W466">
        <v>4</v>
      </c>
      <c r="X466" t="b">
        <v>0</v>
      </c>
      <c r="Y466" t="s">
        <v>55</v>
      </c>
      <c r="Z466" t="s">
        <v>56</v>
      </c>
      <c r="AA466" t="s">
        <v>57</v>
      </c>
      <c r="AB466">
        <v>0</v>
      </c>
      <c r="AC466" t="s">
        <v>58</v>
      </c>
      <c r="AD466">
        <v>-1</v>
      </c>
      <c r="AE466" t="s">
        <v>73</v>
      </c>
      <c r="AF466">
        <v>0</v>
      </c>
      <c r="AG466" t="b">
        <v>0</v>
      </c>
      <c r="AH466">
        <v>-1</v>
      </c>
      <c r="AI466" t="s">
        <v>73</v>
      </c>
      <c r="AJ466">
        <v>0</v>
      </c>
      <c r="AK466" t="b">
        <v>0</v>
      </c>
      <c r="AM466" t="b">
        <v>0</v>
      </c>
      <c r="AN466">
        <v>0</v>
      </c>
      <c r="AO466" t="b">
        <v>0</v>
      </c>
      <c r="AQ466">
        <v>52520992084.760002</v>
      </c>
      <c r="AR466">
        <v>52520992084.760002</v>
      </c>
      <c r="AS466">
        <v>0</v>
      </c>
      <c r="AT466" t="b">
        <v>0</v>
      </c>
      <c r="AU466" t="b">
        <v>1</v>
      </c>
      <c r="BA466" t="str">
        <f t="shared" si="14"/>
        <v>Normal</v>
      </c>
      <c r="BG466" t="str">
        <f t="shared" si="15"/>
        <v>Normal</v>
      </c>
    </row>
    <row r="467" spans="1:59" x14ac:dyDescent="0.2">
      <c r="A467" t="s">
        <v>42</v>
      </c>
      <c r="B467" t="s">
        <v>43</v>
      </c>
      <c r="C467">
        <v>20230101</v>
      </c>
      <c r="D467">
        <v>2023</v>
      </c>
      <c r="E467">
        <v>52</v>
      </c>
      <c r="F467" t="s">
        <v>311</v>
      </c>
      <c r="G467">
        <v>579</v>
      </c>
      <c r="H467" t="s">
        <v>199</v>
      </c>
      <c r="I467" t="s">
        <v>200</v>
      </c>
      <c r="J467" t="s">
        <v>47</v>
      </c>
      <c r="K467" t="s">
        <v>48</v>
      </c>
      <c r="L467">
        <v>0</v>
      </c>
      <c r="M467" t="s">
        <v>49</v>
      </c>
      <c r="N467" t="s">
        <v>50</v>
      </c>
      <c r="O467">
        <v>0</v>
      </c>
      <c r="P467" t="s">
        <v>49</v>
      </c>
      <c r="Q467" t="s">
        <v>50</v>
      </c>
      <c r="R467" t="s">
        <v>300</v>
      </c>
      <c r="S467" t="s">
        <v>52</v>
      </c>
      <c r="T467" t="b">
        <v>1</v>
      </c>
      <c r="U467" t="s">
        <v>53</v>
      </c>
      <c r="V467" t="s">
        <v>54</v>
      </c>
      <c r="W467">
        <v>4</v>
      </c>
      <c r="X467" t="b">
        <v>0</v>
      </c>
      <c r="Y467" t="s">
        <v>55</v>
      </c>
      <c r="Z467" t="s">
        <v>56</v>
      </c>
      <c r="AA467" t="s">
        <v>57</v>
      </c>
      <c r="AB467">
        <v>0</v>
      </c>
      <c r="AC467" t="s">
        <v>58</v>
      </c>
      <c r="AD467">
        <v>8</v>
      </c>
      <c r="AE467" t="s">
        <v>59</v>
      </c>
      <c r="AF467">
        <v>84567982500</v>
      </c>
      <c r="AG467" t="b">
        <v>0</v>
      </c>
      <c r="AH467">
        <v>-1</v>
      </c>
      <c r="AI467" t="s">
        <v>73</v>
      </c>
      <c r="AJ467">
        <v>0</v>
      </c>
      <c r="AK467" t="b">
        <v>0</v>
      </c>
      <c r="AL467">
        <v>84567982500</v>
      </c>
      <c r="AM467" t="b">
        <v>0</v>
      </c>
      <c r="AN467">
        <v>0</v>
      </c>
      <c r="AO467" t="b">
        <v>0</v>
      </c>
      <c r="AQ467">
        <v>50212905016.023003</v>
      </c>
      <c r="AR467">
        <v>50212905016.023003</v>
      </c>
      <c r="AS467">
        <v>0</v>
      </c>
      <c r="AT467" t="b">
        <v>0</v>
      </c>
      <c r="AU467" t="b">
        <v>1</v>
      </c>
      <c r="BA467" t="str">
        <f t="shared" si="14"/>
        <v>Normal</v>
      </c>
      <c r="BG467" t="str">
        <f t="shared" si="15"/>
        <v>Normal</v>
      </c>
    </row>
    <row r="468" spans="1:59" x14ac:dyDescent="0.2">
      <c r="A468" t="s">
        <v>42</v>
      </c>
      <c r="B468" t="s">
        <v>43</v>
      </c>
      <c r="C468">
        <v>20230101</v>
      </c>
      <c r="D468">
        <v>2023</v>
      </c>
      <c r="E468">
        <v>52</v>
      </c>
      <c r="F468" t="s">
        <v>311</v>
      </c>
      <c r="G468">
        <v>586</v>
      </c>
      <c r="H468" t="s">
        <v>201</v>
      </c>
      <c r="I468" t="s">
        <v>202</v>
      </c>
      <c r="J468" t="s">
        <v>47</v>
      </c>
      <c r="K468" t="s">
        <v>48</v>
      </c>
      <c r="L468">
        <v>0</v>
      </c>
      <c r="M468" t="s">
        <v>49</v>
      </c>
      <c r="N468" t="s">
        <v>50</v>
      </c>
      <c r="O468">
        <v>0</v>
      </c>
      <c r="P468" t="s">
        <v>49</v>
      </c>
      <c r="Q468" t="s">
        <v>50</v>
      </c>
      <c r="R468" t="s">
        <v>300</v>
      </c>
      <c r="S468" t="s">
        <v>52</v>
      </c>
      <c r="T468" t="b">
        <v>1</v>
      </c>
      <c r="U468" t="s">
        <v>53</v>
      </c>
      <c r="V468" t="s">
        <v>54</v>
      </c>
      <c r="W468">
        <v>4</v>
      </c>
      <c r="X468" t="b">
        <v>0</v>
      </c>
      <c r="Y468" t="s">
        <v>55</v>
      </c>
      <c r="Z468" t="s">
        <v>56</v>
      </c>
      <c r="AA468" t="s">
        <v>57</v>
      </c>
      <c r="AB468">
        <v>0</v>
      </c>
      <c r="AC468" t="s">
        <v>58</v>
      </c>
      <c r="AD468">
        <v>8</v>
      </c>
      <c r="AE468" t="s">
        <v>59</v>
      </c>
      <c r="AF468">
        <v>43640000</v>
      </c>
      <c r="AG468" t="b">
        <v>0</v>
      </c>
      <c r="AH468">
        <v>21</v>
      </c>
      <c r="AI468" t="s">
        <v>170</v>
      </c>
      <c r="AJ468">
        <v>43640</v>
      </c>
      <c r="AK468" t="b">
        <v>0</v>
      </c>
      <c r="AL468">
        <v>43640000</v>
      </c>
      <c r="AM468" t="b">
        <v>0</v>
      </c>
      <c r="AN468">
        <v>0</v>
      </c>
      <c r="AO468" t="b">
        <v>0</v>
      </c>
      <c r="AQ468">
        <v>26822987.186000001</v>
      </c>
      <c r="AR468">
        <v>26822987.186000001</v>
      </c>
      <c r="AS468">
        <v>0</v>
      </c>
      <c r="AT468" t="b">
        <v>0</v>
      </c>
      <c r="AU468" t="b">
        <v>1</v>
      </c>
      <c r="BA468" t="str">
        <f t="shared" si="14"/>
        <v>Normal</v>
      </c>
      <c r="BG468" t="str">
        <f t="shared" si="15"/>
        <v>Normal</v>
      </c>
    </row>
    <row r="469" spans="1:59" x14ac:dyDescent="0.2">
      <c r="A469" t="s">
        <v>42</v>
      </c>
      <c r="B469" t="s">
        <v>43</v>
      </c>
      <c r="C469">
        <v>20230101</v>
      </c>
      <c r="D469">
        <v>2023</v>
      </c>
      <c r="E469">
        <v>52</v>
      </c>
      <c r="F469" t="s">
        <v>311</v>
      </c>
      <c r="G469">
        <v>598</v>
      </c>
      <c r="H469" t="s">
        <v>203</v>
      </c>
      <c r="I469" t="s">
        <v>204</v>
      </c>
      <c r="J469" t="s">
        <v>47</v>
      </c>
      <c r="K469" t="s">
        <v>48</v>
      </c>
      <c r="L469">
        <v>0</v>
      </c>
      <c r="M469" t="s">
        <v>49</v>
      </c>
      <c r="N469" t="s">
        <v>50</v>
      </c>
      <c r="O469">
        <v>0</v>
      </c>
      <c r="P469" t="s">
        <v>49</v>
      </c>
      <c r="Q469" t="s">
        <v>50</v>
      </c>
      <c r="R469" t="s">
        <v>300</v>
      </c>
      <c r="S469" t="s">
        <v>52</v>
      </c>
      <c r="T469" t="b">
        <v>1</v>
      </c>
      <c r="U469" t="s">
        <v>53</v>
      </c>
      <c r="V469" t="s">
        <v>54</v>
      </c>
      <c r="W469">
        <v>4</v>
      </c>
      <c r="X469" t="b">
        <v>0</v>
      </c>
      <c r="Y469" t="s">
        <v>55</v>
      </c>
      <c r="Z469" t="s">
        <v>56</v>
      </c>
      <c r="AA469" t="s">
        <v>57</v>
      </c>
      <c r="AB469">
        <v>0</v>
      </c>
      <c r="AC469" t="s">
        <v>58</v>
      </c>
      <c r="AD469">
        <v>8</v>
      </c>
      <c r="AE469" t="s">
        <v>59</v>
      </c>
      <c r="AF469">
        <v>45838450</v>
      </c>
      <c r="AG469" t="b">
        <v>0</v>
      </c>
      <c r="AH469">
        <v>7</v>
      </c>
      <c r="AI469" t="s">
        <v>67</v>
      </c>
      <c r="AJ469">
        <v>45838450</v>
      </c>
      <c r="AK469" t="b">
        <v>0</v>
      </c>
      <c r="AL469">
        <v>45838450</v>
      </c>
      <c r="AM469" t="b">
        <v>0</v>
      </c>
      <c r="AN469">
        <v>0</v>
      </c>
      <c r="AO469" t="b">
        <v>0</v>
      </c>
      <c r="AQ469">
        <v>493795936.59200001</v>
      </c>
      <c r="AR469">
        <v>493795936.59200001</v>
      </c>
      <c r="AS469">
        <v>0</v>
      </c>
      <c r="AT469" t="b">
        <v>0</v>
      </c>
      <c r="AU469" t="b">
        <v>1</v>
      </c>
      <c r="BA469" t="str">
        <f t="shared" si="14"/>
        <v>Normal</v>
      </c>
      <c r="BG469" t="str">
        <f t="shared" si="15"/>
        <v>Normal</v>
      </c>
    </row>
    <row r="470" spans="1:59" x14ac:dyDescent="0.2">
      <c r="A470" t="s">
        <v>42</v>
      </c>
      <c r="B470" t="s">
        <v>43</v>
      </c>
      <c r="C470">
        <v>20230101</v>
      </c>
      <c r="D470">
        <v>2023</v>
      </c>
      <c r="E470">
        <v>52</v>
      </c>
      <c r="F470" t="s">
        <v>311</v>
      </c>
      <c r="G470">
        <v>604</v>
      </c>
      <c r="H470" t="s">
        <v>205</v>
      </c>
      <c r="I470" t="s">
        <v>206</v>
      </c>
      <c r="J470" t="s">
        <v>47</v>
      </c>
      <c r="K470" t="s">
        <v>48</v>
      </c>
      <c r="L470">
        <v>0</v>
      </c>
      <c r="M470" t="s">
        <v>49</v>
      </c>
      <c r="N470" t="s">
        <v>50</v>
      </c>
      <c r="O470">
        <v>0</v>
      </c>
      <c r="P470" t="s">
        <v>49</v>
      </c>
      <c r="Q470" t="s">
        <v>50</v>
      </c>
      <c r="R470" t="s">
        <v>300</v>
      </c>
      <c r="S470" t="s">
        <v>52</v>
      </c>
      <c r="T470" t="b">
        <v>1</v>
      </c>
      <c r="U470" t="s">
        <v>53</v>
      </c>
      <c r="V470" t="s">
        <v>54</v>
      </c>
      <c r="W470">
        <v>4</v>
      </c>
      <c r="X470" t="b">
        <v>0</v>
      </c>
      <c r="Y470" t="s">
        <v>55</v>
      </c>
      <c r="Z470" t="s">
        <v>56</v>
      </c>
      <c r="AA470" t="s">
        <v>57</v>
      </c>
      <c r="AB470">
        <v>0</v>
      </c>
      <c r="AC470" t="s">
        <v>58</v>
      </c>
      <c r="AD470">
        <v>8</v>
      </c>
      <c r="AE470" t="s">
        <v>59</v>
      </c>
      <c r="AF470">
        <v>660429776.36000001</v>
      </c>
      <c r="AG470" t="b">
        <v>0</v>
      </c>
      <c r="AH470">
        <v>12</v>
      </c>
      <c r="AI470" t="s">
        <v>70</v>
      </c>
      <c r="AJ470">
        <v>702376.91</v>
      </c>
      <c r="AK470" t="b">
        <v>0</v>
      </c>
      <c r="AL470">
        <v>660429776.36000001</v>
      </c>
      <c r="AM470" t="b">
        <v>0</v>
      </c>
      <c r="AN470">
        <v>0</v>
      </c>
      <c r="AO470" t="b">
        <v>0</v>
      </c>
      <c r="AQ470">
        <v>221631764.68000001</v>
      </c>
      <c r="AR470">
        <v>221631764.68000001</v>
      </c>
      <c r="AS470">
        <v>0</v>
      </c>
      <c r="AT470" t="b">
        <v>0</v>
      </c>
      <c r="AU470" t="b">
        <v>1</v>
      </c>
      <c r="BA470" t="str">
        <f t="shared" si="14"/>
        <v>Normal</v>
      </c>
      <c r="BG470" t="str">
        <f t="shared" si="15"/>
        <v>Normal</v>
      </c>
    </row>
    <row r="471" spans="1:59" x14ac:dyDescent="0.2">
      <c r="A471" t="s">
        <v>42</v>
      </c>
      <c r="B471" t="s">
        <v>43</v>
      </c>
      <c r="C471">
        <v>20230101</v>
      </c>
      <c r="D471">
        <v>2023</v>
      </c>
      <c r="E471">
        <v>52</v>
      </c>
      <c r="F471" t="s">
        <v>311</v>
      </c>
      <c r="G471">
        <v>608</v>
      </c>
      <c r="H471" t="s">
        <v>207</v>
      </c>
      <c r="I471" t="s">
        <v>208</v>
      </c>
      <c r="J471" t="s">
        <v>47</v>
      </c>
      <c r="K471" t="s">
        <v>48</v>
      </c>
      <c r="L471">
        <v>0</v>
      </c>
      <c r="M471" t="s">
        <v>49</v>
      </c>
      <c r="N471" t="s">
        <v>50</v>
      </c>
      <c r="O471">
        <v>0</v>
      </c>
      <c r="P471" t="s">
        <v>49</v>
      </c>
      <c r="Q471" t="s">
        <v>50</v>
      </c>
      <c r="R471" t="s">
        <v>51</v>
      </c>
      <c r="S471" t="s">
        <v>52</v>
      </c>
      <c r="T471" t="b">
        <v>1</v>
      </c>
      <c r="U471" t="s">
        <v>53</v>
      </c>
      <c r="V471" t="s">
        <v>54</v>
      </c>
      <c r="W471">
        <v>4</v>
      </c>
      <c r="X471" t="b">
        <v>0</v>
      </c>
      <c r="Y471" t="s">
        <v>55</v>
      </c>
      <c r="Z471" t="s">
        <v>56</v>
      </c>
      <c r="AA471" t="s">
        <v>57</v>
      </c>
      <c r="AB471">
        <v>0</v>
      </c>
      <c r="AC471" t="s">
        <v>58</v>
      </c>
      <c r="AD471">
        <v>8</v>
      </c>
      <c r="AE471" t="s">
        <v>59</v>
      </c>
      <c r="AF471">
        <v>4017782200</v>
      </c>
      <c r="AG471" t="b">
        <v>0</v>
      </c>
      <c r="AH471">
        <v>7</v>
      </c>
      <c r="AI471" t="s">
        <v>67</v>
      </c>
      <c r="AJ471">
        <v>4017782200</v>
      </c>
      <c r="AK471" t="b">
        <v>0</v>
      </c>
      <c r="AL471">
        <v>4017782200</v>
      </c>
      <c r="AM471" t="b">
        <v>0</v>
      </c>
      <c r="AN471">
        <v>289273900</v>
      </c>
      <c r="AO471" t="b">
        <v>0</v>
      </c>
      <c r="AQ471">
        <v>169108970</v>
      </c>
      <c r="AR471">
        <v>169108970</v>
      </c>
      <c r="AS471">
        <v>0</v>
      </c>
      <c r="AT471" t="b">
        <v>0</v>
      </c>
      <c r="AU471" t="b">
        <v>1</v>
      </c>
      <c r="BA471" t="str">
        <f t="shared" si="14"/>
        <v>Normal</v>
      </c>
      <c r="BG471" t="str">
        <f t="shared" si="15"/>
        <v>Normal</v>
      </c>
    </row>
    <row r="472" spans="1:59" x14ac:dyDescent="0.2">
      <c r="A472" t="s">
        <v>42</v>
      </c>
      <c r="B472" t="s">
        <v>43</v>
      </c>
      <c r="C472">
        <v>20230101</v>
      </c>
      <c r="D472">
        <v>2023</v>
      </c>
      <c r="E472">
        <v>52</v>
      </c>
      <c r="F472" t="s">
        <v>311</v>
      </c>
      <c r="G472">
        <v>616</v>
      </c>
      <c r="H472" t="s">
        <v>209</v>
      </c>
      <c r="I472" t="s">
        <v>210</v>
      </c>
      <c r="J472" t="s">
        <v>47</v>
      </c>
      <c r="K472" t="s">
        <v>48</v>
      </c>
      <c r="L472">
        <v>0</v>
      </c>
      <c r="M472" t="s">
        <v>49</v>
      </c>
      <c r="N472" t="s">
        <v>50</v>
      </c>
      <c r="O472">
        <v>0</v>
      </c>
      <c r="P472" t="s">
        <v>49</v>
      </c>
      <c r="Q472" t="s">
        <v>50</v>
      </c>
      <c r="R472" t="s">
        <v>300</v>
      </c>
      <c r="S472" t="s">
        <v>52</v>
      </c>
      <c r="T472" t="b">
        <v>1</v>
      </c>
      <c r="U472" t="s">
        <v>53</v>
      </c>
      <c r="V472" t="s">
        <v>54</v>
      </c>
      <c r="W472">
        <v>4</v>
      </c>
      <c r="X472" t="b">
        <v>0</v>
      </c>
      <c r="Y472" t="s">
        <v>55</v>
      </c>
      <c r="Z472" t="s">
        <v>56</v>
      </c>
      <c r="AA472" t="s">
        <v>57</v>
      </c>
      <c r="AB472">
        <v>0</v>
      </c>
      <c r="AC472" t="s">
        <v>58</v>
      </c>
      <c r="AD472">
        <v>8</v>
      </c>
      <c r="AE472" t="s">
        <v>59</v>
      </c>
      <c r="AF472">
        <v>180618081.51499999</v>
      </c>
      <c r="AG472" t="b">
        <v>1</v>
      </c>
      <c r="AH472">
        <v>-1</v>
      </c>
      <c r="AI472" t="s">
        <v>73</v>
      </c>
      <c r="AJ472">
        <v>0</v>
      </c>
      <c r="AK472" t="b">
        <v>0</v>
      </c>
      <c r="AL472">
        <v>180618081.51499999</v>
      </c>
      <c r="AM472" t="b">
        <v>1</v>
      </c>
      <c r="AN472">
        <v>0</v>
      </c>
      <c r="AO472" t="b">
        <v>0</v>
      </c>
      <c r="AQ472">
        <v>103485908</v>
      </c>
      <c r="AR472">
        <v>103485908</v>
      </c>
      <c r="AS472">
        <v>6</v>
      </c>
      <c r="AT472" t="b">
        <v>0</v>
      </c>
      <c r="AU472" t="b">
        <v>1</v>
      </c>
      <c r="BA472" t="str">
        <f t="shared" si="14"/>
        <v>Normal</v>
      </c>
      <c r="BG472" t="str">
        <f t="shared" si="15"/>
        <v>Normal</v>
      </c>
    </row>
    <row r="473" spans="1:59" x14ac:dyDescent="0.2">
      <c r="A473" t="s">
        <v>42</v>
      </c>
      <c r="B473" t="s">
        <v>43</v>
      </c>
      <c r="C473">
        <v>20230101</v>
      </c>
      <c r="D473">
        <v>2023</v>
      </c>
      <c r="E473">
        <v>52</v>
      </c>
      <c r="F473" t="s">
        <v>311</v>
      </c>
      <c r="G473">
        <v>626</v>
      </c>
      <c r="H473" t="s">
        <v>213</v>
      </c>
      <c r="I473" t="s">
        <v>214</v>
      </c>
      <c r="J473" t="s">
        <v>47</v>
      </c>
      <c r="K473" t="s">
        <v>48</v>
      </c>
      <c r="L473">
        <v>0</v>
      </c>
      <c r="M473" t="s">
        <v>49</v>
      </c>
      <c r="N473" t="s">
        <v>50</v>
      </c>
      <c r="O473">
        <v>0</v>
      </c>
      <c r="P473" t="s">
        <v>49</v>
      </c>
      <c r="Q473" t="s">
        <v>50</v>
      </c>
      <c r="R473" t="s">
        <v>51</v>
      </c>
      <c r="S473" t="s">
        <v>52</v>
      </c>
      <c r="T473" t="b">
        <v>1</v>
      </c>
      <c r="U473" t="s">
        <v>53</v>
      </c>
      <c r="V473" t="s">
        <v>54</v>
      </c>
      <c r="W473">
        <v>4</v>
      </c>
      <c r="X473" t="b">
        <v>0</v>
      </c>
      <c r="Y473" t="s">
        <v>55</v>
      </c>
      <c r="Z473" t="s">
        <v>56</v>
      </c>
      <c r="AA473" t="s">
        <v>57</v>
      </c>
      <c r="AB473">
        <v>0</v>
      </c>
      <c r="AC473" t="s">
        <v>58</v>
      </c>
      <c r="AD473">
        <v>8</v>
      </c>
      <c r="AE473" t="s">
        <v>59</v>
      </c>
      <c r="AF473">
        <v>182843600</v>
      </c>
      <c r="AG473" t="b">
        <v>0</v>
      </c>
      <c r="AH473">
        <v>8</v>
      </c>
      <c r="AI473" t="s">
        <v>59</v>
      </c>
      <c r="AJ473">
        <v>182843600</v>
      </c>
      <c r="AK473" t="b">
        <v>0</v>
      </c>
      <c r="AL473">
        <v>182843600</v>
      </c>
      <c r="AM473" t="b">
        <v>0</v>
      </c>
      <c r="AN473">
        <v>0</v>
      </c>
      <c r="AO473" t="b">
        <v>0</v>
      </c>
      <c r="AQ473">
        <v>106440435.52</v>
      </c>
      <c r="AR473">
        <v>106440435.52</v>
      </c>
      <c r="AS473">
        <v>0</v>
      </c>
      <c r="AT473" t="b">
        <v>0</v>
      </c>
      <c r="AU473" t="b">
        <v>1</v>
      </c>
      <c r="BA473" t="str">
        <f t="shared" si="14"/>
        <v>Normal</v>
      </c>
      <c r="BG473" t="str">
        <f t="shared" si="15"/>
        <v>Normal</v>
      </c>
    </row>
    <row r="474" spans="1:59" x14ac:dyDescent="0.2">
      <c r="A474" t="s">
        <v>42</v>
      </c>
      <c r="B474" t="s">
        <v>43</v>
      </c>
      <c r="C474">
        <v>20230101</v>
      </c>
      <c r="D474">
        <v>2023</v>
      </c>
      <c r="E474">
        <v>52</v>
      </c>
      <c r="F474" t="s">
        <v>311</v>
      </c>
      <c r="G474">
        <v>634</v>
      </c>
      <c r="H474" t="s">
        <v>216</v>
      </c>
      <c r="I474" t="s">
        <v>217</v>
      </c>
      <c r="J474" t="s">
        <v>47</v>
      </c>
      <c r="K474" t="s">
        <v>48</v>
      </c>
      <c r="L474">
        <v>0</v>
      </c>
      <c r="M474" t="s">
        <v>49</v>
      </c>
      <c r="N474" t="s">
        <v>50</v>
      </c>
      <c r="O474">
        <v>0</v>
      </c>
      <c r="P474" t="s">
        <v>49</v>
      </c>
      <c r="Q474" t="s">
        <v>50</v>
      </c>
      <c r="R474" t="s">
        <v>300</v>
      </c>
      <c r="S474" t="s">
        <v>52</v>
      </c>
      <c r="T474" t="b">
        <v>1</v>
      </c>
      <c r="U474" t="s">
        <v>53</v>
      </c>
      <c r="V474" t="s">
        <v>54</v>
      </c>
      <c r="W474">
        <v>4</v>
      </c>
      <c r="X474" t="b">
        <v>0</v>
      </c>
      <c r="Y474" t="s">
        <v>55</v>
      </c>
      <c r="Z474" t="s">
        <v>56</v>
      </c>
      <c r="AA474" t="s">
        <v>57</v>
      </c>
      <c r="AB474">
        <v>0</v>
      </c>
      <c r="AC474" t="s">
        <v>58</v>
      </c>
      <c r="AD474">
        <v>8</v>
      </c>
      <c r="AE474" t="s">
        <v>59</v>
      </c>
      <c r="AF474">
        <v>31303861376.476002</v>
      </c>
      <c r="AG474" t="b">
        <v>1</v>
      </c>
      <c r="AH474">
        <v>-1</v>
      </c>
      <c r="AI474" t="s">
        <v>73</v>
      </c>
      <c r="AJ474">
        <v>0</v>
      </c>
      <c r="AK474" t="b">
        <v>0</v>
      </c>
      <c r="AL474">
        <v>31303861376.476002</v>
      </c>
      <c r="AM474" t="b">
        <v>1</v>
      </c>
      <c r="AN474">
        <v>0</v>
      </c>
      <c r="AO474" t="b">
        <v>0</v>
      </c>
      <c r="AQ474">
        <v>16860934421.353001</v>
      </c>
      <c r="AR474">
        <v>16860934421.353001</v>
      </c>
      <c r="AS474">
        <v>6</v>
      </c>
      <c r="AT474" t="b">
        <v>0</v>
      </c>
      <c r="AU474" t="b">
        <v>1</v>
      </c>
      <c r="BA474" t="str">
        <f t="shared" si="14"/>
        <v>Normal</v>
      </c>
      <c r="BG474" t="str">
        <f t="shared" si="15"/>
        <v>Normal</v>
      </c>
    </row>
    <row r="475" spans="1:59" x14ac:dyDescent="0.2">
      <c r="A475" t="s">
        <v>42</v>
      </c>
      <c r="B475" t="s">
        <v>43</v>
      </c>
      <c r="C475">
        <v>20230101</v>
      </c>
      <c r="D475">
        <v>2023</v>
      </c>
      <c r="E475">
        <v>52</v>
      </c>
      <c r="F475" t="s">
        <v>311</v>
      </c>
      <c r="G475">
        <v>642</v>
      </c>
      <c r="H475" t="s">
        <v>218</v>
      </c>
      <c r="I475" t="s">
        <v>219</v>
      </c>
      <c r="J475" t="s">
        <v>47</v>
      </c>
      <c r="K475" t="s">
        <v>48</v>
      </c>
      <c r="L475">
        <v>0</v>
      </c>
      <c r="M475" t="s">
        <v>49</v>
      </c>
      <c r="N475" t="s">
        <v>50</v>
      </c>
      <c r="O475">
        <v>0</v>
      </c>
      <c r="P475" t="s">
        <v>49</v>
      </c>
      <c r="Q475" t="s">
        <v>50</v>
      </c>
      <c r="R475" t="s">
        <v>300</v>
      </c>
      <c r="S475" t="s">
        <v>52</v>
      </c>
      <c r="T475" t="b">
        <v>1</v>
      </c>
      <c r="U475" t="s">
        <v>53</v>
      </c>
      <c r="V475" t="s">
        <v>54</v>
      </c>
      <c r="W475">
        <v>4</v>
      </c>
      <c r="X475" t="b">
        <v>0</v>
      </c>
      <c r="Y475" t="s">
        <v>55</v>
      </c>
      <c r="Z475" t="s">
        <v>56</v>
      </c>
      <c r="AA475" t="s">
        <v>57</v>
      </c>
      <c r="AB475">
        <v>0</v>
      </c>
      <c r="AC475" t="s">
        <v>58</v>
      </c>
      <c r="AD475">
        <v>8</v>
      </c>
      <c r="AE475" t="s">
        <v>59</v>
      </c>
      <c r="AF475">
        <v>33984209.600000001</v>
      </c>
      <c r="AG475" t="b">
        <v>0</v>
      </c>
      <c r="AH475">
        <v>8</v>
      </c>
      <c r="AI475" t="s">
        <v>59</v>
      </c>
      <c r="AJ475">
        <v>33984209.600000001</v>
      </c>
      <c r="AK475" t="b">
        <v>0</v>
      </c>
      <c r="AL475">
        <v>33984209.600000001</v>
      </c>
      <c r="AM475" t="b">
        <v>0</v>
      </c>
      <c r="AN475">
        <v>0</v>
      </c>
      <c r="AO475" t="b">
        <v>0</v>
      </c>
      <c r="AQ475">
        <v>18718904.039999999</v>
      </c>
      <c r="AR475">
        <v>18718904.039999999</v>
      </c>
      <c r="AS475">
        <v>0</v>
      </c>
      <c r="AT475" t="b">
        <v>0</v>
      </c>
      <c r="AU475" t="b">
        <v>1</v>
      </c>
      <c r="BA475" t="str">
        <f t="shared" si="14"/>
        <v>Normal</v>
      </c>
      <c r="BG475" t="str">
        <f t="shared" si="15"/>
        <v>Normal</v>
      </c>
    </row>
    <row r="476" spans="1:59" x14ac:dyDescent="0.2">
      <c r="A476" t="s">
        <v>42</v>
      </c>
      <c r="B476" t="s">
        <v>43</v>
      </c>
      <c r="C476">
        <v>20230101</v>
      </c>
      <c r="D476">
        <v>2023</v>
      </c>
      <c r="E476">
        <v>52</v>
      </c>
      <c r="F476" t="s">
        <v>311</v>
      </c>
      <c r="G476">
        <v>682</v>
      </c>
      <c r="H476" t="s">
        <v>224</v>
      </c>
      <c r="I476" t="s">
        <v>225</v>
      </c>
      <c r="J476" t="s">
        <v>47</v>
      </c>
      <c r="K476" t="s">
        <v>48</v>
      </c>
      <c r="L476">
        <v>0</v>
      </c>
      <c r="M476" t="s">
        <v>49</v>
      </c>
      <c r="N476" t="s">
        <v>50</v>
      </c>
      <c r="O476">
        <v>0</v>
      </c>
      <c r="P476" t="s">
        <v>49</v>
      </c>
      <c r="Q476" t="s">
        <v>50</v>
      </c>
      <c r="R476" t="s">
        <v>300</v>
      </c>
      <c r="S476" t="s">
        <v>52</v>
      </c>
      <c r="T476" t="b">
        <v>1</v>
      </c>
      <c r="U476" t="s">
        <v>53</v>
      </c>
      <c r="V476" t="s">
        <v>54</v>
      </c>
      <c r="W476">
        <v>4</v>
      </c>
      <c r="X476" t="b">
        <v>0</v>
      </c>
      <c r="Y476" t="s">
        <v>55</v>
      </c>
      <c r="Z476" t="s">
        <v>56</v>
      </c>
      <c r="AA476" t="s">
        <v>57</v>
      </c>
      <c r="AB476">
        <v>0</v>
      </c>
      <c r="AC476" t="s">
        <v>58</v>
      </c>
      <c r="AD476">
        <v>8</v>
      </c>
      <c r="AE476" t="s">
        <v>59</v>
      </c>
      <c r="AF476">
        <v>323946156311.474</v>
      </c>
      <c r="AG476" t="b">
        <v>1</v>
      </c>
      <c r="AH476">
        <v>-1</v>
      </c>
      <c r="AI476" t="s">
        <v>73</v>
      </c>
      <c r="AJ476">
        <v>0</v>
      </c>
      <c r="AK476" t="b">
        <v>0</v>
      </c>
      <c r="AL476">
        <v>323946156311.474</v>
      </c>
      <c r="AM476" t="b">
        <v>1</v>
      </c>
      <c r="AN476">
        <v>0</v>
      </c>
      <c r="AO476" t="b">
        <v>0</v>
      </c>
      <c r="AQ476">
        <v>175993253253.98901</v>
      </c>
      <c r="AR476">
        <v>175993253253.98901</v>
      </c>
      <c r="AS476">
        <v>6</v>
      </c>
      <c r="AT476" t="b">
        <v>0</v>
      </c>
      <c r="AU476" t="b">
        <v>1</v>
      </c>
      <c r="BA476" t="str">
        <f t="shared" si="14"/>
        <v>Normal</v>
      </c>
      <c r="BG476" t="str">
        <f t="shared" si="15"/>
        <v>Normal</v>
      </c>
    </row>
    <row r="477" spans="1:59" x14ac:dyDescent="0.2">
      <c r="A477" t="s">
        <v>42</v>
      </c>
      <c r="B477" t="s">
        <v>43</v>
      </c>
      <c r="C477">
        <v>20230101</v>
      </c>
      <c r="D477">
        <v>2023</v>
      </c>
      <c r="E477">
        <v>52</v>
      </c>
      <c r="F477" t="s">
        <v>311</v>
      </c>
      <c r="G477">
        <v>686</v>
      </c>
      <c r="H477" t="s">
        <v>226</v>
      </c>
      <c r="I477" t="s">
        <v>227</v>
      </c>
      <c r="J477" t="s">
        <v>47</v>
      </c>
      <c r="K477" t="s">
        <v>48</v>
      </c>
      <c r="L477">
        <v>0</v>
      </c>
      <c r="M477" t="s">
        <v>49</v>
      </c>
      <c r="N477" t="s">
        <v>50</v>
      </c>
      <c r="O477">
        <v>0</v>
      </c>
      <c r="P477" t="s">
        <v>49</v>
      </c>
      <c r="Q477" t="s">
        <v>50</v>
      </c>
      <c r="R477" t="s">
        <v>300</v>
      </c>
      <c r="S477" t="s">
        <v>52</v>
      </c>
      <c r="T477" t="b">
        <v>1</v>
      </c>
      <c r="U477" t="s">
        <v>53</v>
      </c>
      <c r="V477" t="s">
        <v>54</v>
      </c>
      <c r="W477">
        <v>4</v>
      </c>
      <c r="X477" t="b">
        <v>0</v>
      </c>
      <c r="Y477" t="s">
        <v>55</v>
      </c>
      <c r="Z477" t="s">
        <v>56</v>
      </c>
      <c r="AA477" t="s">
        <v>57</v>
      </c>
      <c r="AB477">
        <v>0</v>
      </c>
      <c r="AC477" t="s">
        <v>58</v>
      </c>
      <c r="AD477">
        <v>8</v>
      </c>
      <c r="AE477" t="s">
        <v>59</v>
      </c>
      <c r="AF477">
        <v>63690165</v>
      </c>
      <c r="AG477" t="b">
        <v>0</v>
      </c>
      <c r="AH477">
        <v>8</v>
      </c>
      <c r="AI477" t="s">
        <v>59</v>
      </c>
      <c r="AJ477">
        <v>63690165</v>
      </c>
      <c r="AK477" t="b">
        <v>0</v>
      </c>
      <c r="AL477">
        <v>63690165</v>
      </c>
      <c r="AM477" t="b">
        <v>0</v>
      </c>
      <c r="AN477">
        <v>0</v>
      </c>
      <c r="AO477" t="b">
        <v>0</v>
      </c>
      <c r="AQ477">
        <v>26320322.943</v>
      </c>
      <c r="AR477">
        <v>26320322.943</v>
      </c>
      <c r="AS477">
        <v>0</v>
      </c>
      <c r="AT477" t="b">
        <v>0</v>
      </c>
      <c r="AU477" t="b">
        <v>1</v>
      </c>
      <c r="BA477" t="str">
        <f t="shared" si="14"/>
        <v>Normal</v>
      </c>
      <c r="BG477" t="str">
        <f t="shared" si="15"/>
        <v>Normal</v>
      </c>
    </row>
    <row r="478" spans="1:59" x14ac:dyDescent="0.2">
      <c r="A478" t="s">
        <v>42</v>
      </c>
      <c r="B478" t="s">
        <v>43</v>
      </c>
      <c r="C478">
        <v>20230101</v>
      </c>
      <c r="D478">
        <v>2023</v>
      </c>
      <c r="E478">
        <v>52</v>
      </c>
      <c r="F478" t="s">
        <v>311</v>
      </c>
      <c r="G478">
        <v>688</v>
      </c>
      <c r="H478" t="s">
        <v>228</v>
      </c>
      <c r="I478" t="s">
        <v>229</v>
      </c>
      <c r="J478" t="s">
        <v>47</v>
      </c>
      <c r="K478" t="s">
        <v>48</v>
      </c>
      <c r="L478">
        <v>0</v>
      </c>
      <c r="M478" t="s">
        <v>49</v>
      </c>
      <c r="N478" t="s">
        <v>50</v>
      </c>
      <c r="O478">
        <v>0</v>
      </c>
      <c r="P478" t="s">
        <v>49</v>
      </c>
      <c r="Q478" t="s">
        <v>50</v>
      </c>
      <c r="R478" t="s">
        <v>300</v>
      </c>
      <c r="S478" t="s">
        <v>52</v>
      </c>
      <c r="T478" t="b">
        <v>1</v>
      </c>
      <c r="U478" t="s">
        <v>53</v>
      </c>
      <c r="V478" t="s">
        <v>54</v>
      </c>
      <c r="W478">
        <v>4</v>
      </c>
      <c r="X478" t="b">
        <v>0</v>
      </c>
      <c r="Y478" t="s">
        <v>55</v>
      </c>
      <c r="Z478" t="s">
        <v>56</v>
      </c>
      <c r="AA478" t="s">
        <v>57</v>
      </c>
      <c r="AB478">
        <v>0</v>
      </c>
      <c r="AC478" t="s">
        <v>58</v>
      </c>
      <c r="AD478">
        <v>8</v>
      </c>
      <c r="AE478" t="s">
        <v>59</v>
      </c>
      <c r="AF478">
        <v>25</v>
      </c>
      <c r="AG478" t="b">
        <v>0</v>
      </c>
      <c r="AH478">
        <v>8</v>
      </c>
      <c r="AI478" t="s">
        <v>59</v>
      </c>
      <c r="AJ478">
        <v>25</v>
      </c>
      <c r="AK478" t="b">
        <v>0</v>
      </c>
      <c r="AL478">
        <v>25</v>
      </c>
      <c r="AM478" t="b">
        <v>0</v>
      </c>
      <c r="AN478">
        <v>0</v>
      </c>
      <c r="AO478" t="b">
        <v>0</v>
      </c>
      <c r="AQ478">
        <v>32</v>
      </c>
      <c r="AR478">
        <v>32</v>
      </c>
      <c r="AS478">
        <v>0</v>
      </c>
      <c r="AT478" t="b">
        <v>0</v>
      </c>
      <c r="AU478" t="b">
        <v>1</v>
      </c>
      <c r="BA478" t="str">
        <f t="shared" si="14"/>
        <v>Normal</v>
      </c>
      <c r="BG478" t="str">
        <f t="shared" si="15"/>
        <v>Normal</v>
      </c>
    </row>
    <row r="479" spans="1:59" x14ac:dyDescent="0.2">
      <c r="A479" t="s">
        <v>42</v>
      </c>
      <c r="B479" t="s">
        <v>43</v>
      </c>
      <c r="C479">
        <v>20230101</v>
      </c>
      <c r="D479">
        <v>2023</v>
      </c>
      <c r="E479">
        <v>52</v>
      </c>
      <c r="F479" t="s">
        <v>311</v>
      </c>
      <c r="G479">
        <v>702</v>
      </c>
      <c r="H479" t="s">
        <v>230</v>
      </c>
      <c r="I479" t="s">
        <v>231</v>
      </c>
      <c r="J479" t="s">
        <v>47</v>
      </c>
      <c r="K479" t="s">
        <v>48</v>
      </c>
      <c r="L479">
        <v>0</v>
      </c>
      <c r="M479" t="s">
        <v>49</v>
      </c>
      <c r="N479" t="s">
        <v>50</v>
      </c>
      <c r="O479">
        <v>0</v>
      </c>
      <c r="P479" t="s">
        <v>49</v>
      </c>
      <c r="Q479" t="s">
        <v>50</v>
      </c>
      <c r="R479" t="s">
        <v>300</v>
      </c>
      <c r="S479" t="s">
        <v>52</v>
      </c>
      <c r="T479" t="b">
        <v>1</v>
      </c>
      <c r="U479" t="s">
        <v>53</v>
      </c>
      <c r="V479" t="s">
        <v>54</v>
      </c>
      <c r="W479">
        <v>4</v>
      </c>
      <c r="X479" t="b">
        <v>0</v>
      </c>
      <c r="Y479" t="s">
        <v>55</v>
      </c>
      <c r="Z479" t="s">
        <v>56</v>
      </c>
      <c r="AA479" t="s">
        <v>57</v>
      </c>
      <c r="AB479">
        <v>0</v>
      </c>
      <c r="AC479" t="s">
        <v>58</v>
      </c>
      <c r="AD479">
        <v>-1</v>
      </c>
      <c r="AE479" t="s">
        <v>73</v>
      </c>
      <c r="AF479">
        <v>0</v>
      </c>
      <c r="AG479" t="b">
        <v>0</v>
      </c>
      <c r="AH479">
        <v>-1</v>
      </c>
      <c r="AI479" t="s">
        <v>73</v>
      </c>
      <c r="AJ479">
        <v>0</v>
      </c>
      <c r="AK479" t="b">
        <v>0</v>
      </c>
      <c r="AM479" t="b">
        <v>0</v>
      </c>
      <c r="AN479">
        <v>0</v>
      </c>
      <c r="AO479" t="b">
        <v>0</v>
      </c>
      <c r="AQ479">
        <v>3929750.585</v>
      </c>
      <c r="AR479">
        <v>3929750.585</v>
      </c>
      <c r="AS479">
        <v>0</v>
      </c>
      <c r="AT479" t="b">
        <v>0</v>
      </c>
      <c r="AU479" t="b">
        <v>1</v>
      </c>
      <c r="BA479" t="str">
        <f t="shared" si="14"/>
        <v>Normal</v>
      </c>
      <c r="BG479" t="str">
        <f t="shared" si="15"/>
        <v>Normal</v>
      </c>
    </row>
    <row r="480" spans="1:59" x14ac:dyDescent="0.2">
      <c r="A480" t="s">
        <v>42</v>
      </c>
      <c r="B480" t="s">
        <v>43</v>
      </c>
      <c r="C480">
        <v>20230101</v>
      </c>
      <c r="D480">
        <v>2023</v>
      </c>
      <c r="E480">
        <v>52</v>
      </c>
      <c r="F480" t="s">
        <v>311</v>
      </c>
      <c r="G480">
        <v>703</v>
      </c>
      <c r="H480" t="s">
        <v>232</v>
      </c>
      <c r="I480" t="s">
        <v>233</v>
      </c>
      <c r="J480" t="s">
        <v>47</v>
      </c>
      <c r="K480" t="s">
        <v>48</v>
      </c>
      <c r="L480">
        <v>0</v>
      </c>
      <c r="M480" t="s">
        <v>49</v>
      </c>
      <c r="N480" t="s">
        <v>50</v>
      </c>
      <c r="O480">
        <v>0</v>
      </c>
      <c r="P480" t="s">
        <v>49</v>
      </c>
      <c r="Q480" t="s">
        <v>50</v>
      </c>
      <c r="R480" t="s">
        <v>300</v>
      </c>
      <c r="S480" t="s">
        <v>52</v>
      </c>
      <c r="T480" t="b">
        <v>1</v>
      </c>
      <c r="U480" t="s">
        <v>53</v>
      </c>
      <c r="V480" t="s">
        <v>54</v>
      </c>
      <c r="W480">
        <v>4</v>
      </c>
      <c r="X480" t="b">
        <v>0</v>
      </c>
      <c r="Y480" t="s">
        <v>55</v>
      </c>
      <c r="Z480" t="s">
        <v>56</v>
      </c>
      <c r="AA480" t="s">
        <v>57</v>
      </c>
      <c r="AB480">
        <v>0</v>
      </c>
      <c r="AC480" t="s">
        <v>58</v>
      </c>
      <c r="AD480">
        <v>8</v>
      </c>
      <c r="AE480" t="s">
        <v>59</v>
      </c>
      <c r="AF480">
        <v>1503530</v>
      </c>
      <c r="AG480" t="b">
        <v>0</v>
      </c>
      <c r="AH480">
        <v>8</v>
      </c>
      <c r="AI480" t="s">
        <v>59</v>
      </c>
      <c r="AJ480">
        <v>1503530</v>
      </c>
      <c r="AK480" t="b">
        <v>0</v>
      </c>
      <c r="AL480">
        <v>1503530</v>
      </c>
      <c r="AM480" t="b">
        <v>0</v>
      </c>
      <c r="AN480">
        <v>0</v>
      </c>
      <c r="AO480" t="b">
        <v>0</v>
      </c>
      <c r="AQ480">
        <v>945941.36499999999</v>
      </c>
      <c r="AR480">
        <v>945941.36499999999</v>
      </c>
      <c r="AS480">
        <v>0</v>
      </c>
      <c r="AT480" t="b">
        <v>0</v>
      </c>
      <c r="AU480" t="b">
        <v>1</v>
      </c>
      <c r="BA480" t="str">
        <f t="shared" si="14"/>
        <v>Normal</v>
      </c>
      <c r="BG480" t="str">
        <f t="shared" si="15"/>
        <v>Normal</v>
      </c>
    </row>
    <row r="481" spans="1:59" x14ac:dyDescent="0.2">
      <c r="A481" t="s">
        <v>42</v>
      </c>
      <c r="B481" t="s">
        <v>43</v>
      </c>
      <c r="C481">
        <v>20230101</v>
      </c>
      <c r="D481">
        <v>2023</v>
      </c>
      <c r="E481">
        <v>52</v>
      </c>
      <c r="F481" t="s">
        <v>311</v>
      </c>
      <c r="G481">
        <v>704</v>
      </c>
      <c r="H481" t="s">
        <v>234</v>
      </c>
      <c r="I481" t="s">
        <v>235</v>
      </c>
      <c r="J481" t="s">
        <v>47</v>
      </c>
      <c r="K481" t="s">
        <v>48</v>
      </c>
      <c r="L481">
        <v>0</v>
      </c>
      <c r="M481" t="s">
        <v>49</v>
      </c>
      <c r="N481" t="s">
        <v>50</v>
      </c>
      <c r="O481">
        <v>0</v>
      </c>
      <c r="P481" t="s">
        <v>49</v>
      </c>
      <c r="Q481" t="s">
        <v>50</v>
      </c>
      <c r="R481" t="s">
        <v>300</v>
      </c>
      <c r="S481" t="s">
        <v>52</v>
      </c>
      <c r="T481" t="b">
        <v>1</v>
      </c>
      <c r="U481" t="s">
        <v>53</v>
      </c>
      <c r="V481" t="s">
        <v>54</v>
      </c>
      <c r="W481">
        <v>4</v>
      </c>
      <c r="X481" t="b">
        <v>0</v>
      </c>
      <c r="Y481" t="s">
        <v>55</v>
      </c>
      <c r="Z481" t="s">
        <v>56</v>
      </c>
      <c r="AA481" t="s">
        <v>57</v>
      </c>
      <c r="AB481">
        <v>0</v>
      </c>
      <c r="AC481" t="s">
        <v>58</v>
      </c>
      <c r="AD481">
        <v>8</v>
      </c>
      <c r="AE481" t="s">
        <v>59</v>
      </c>
      <c r="AF481">
        <v>2572804842.5419998</v>
      </c>
      <c r="AG481" t="b">
        <v>1</v>
      </c>
      <c r="AH481">
        <v>-1</v>
      </c>
      <c r="AI481" t="s">
        <v>73</v>
      </c>
      <c r="AJ481">
        <v>0</v>
      </c>
      <c r="AK481" t="b">
        <v>0</v>
      </c>
      <c r="AL481">
        <v>2572804842.5419998</v>
      </c>
      <c r="AM481" t="b">
        <v>1</v>
      </c>
      <c r="AN481">
        <v>0</v>
      </c>
      <c r="AO481" t="b">
        <v>0</v>
      </c>
      <c r="AQ481">
        <v>1552801697.22</v>
      </c>
      <c r="AR481">
        <v>1552801697.22</v>
      </c>
      <c r="AS481">
        <v>6</v>
      </c>
      <c r="AT481" t="b">
        <v>0</v>
      </c>
      <c r="AU481" t="b">
        <v>1</v>
      </c>
      <c r="BA481" t="str">
        <f t="shared" si="14"/>
        <v>Normal</v>
      </c>
      <c r="BG481" t="str">
        <f t="shared" si="15"/>
        <v>Normal</v>
      </c>
    </row>
    <row r="482" spans="1:59" x14ac:dyDescent="0.2">
      <c r="A482" t="s">
        <v>42</v>
      </c>
      <c r="B482" t="s">
        <v>43</v>
      </c>
      <c r="C482">
        <v>20230101</v>
      </c>
      <c r="D482">
        <v>2023</v>
      </c>
      <c r="E482">
        <v>52</v>
      </c>
      <c r="F482" t="s">
        <v>311</v>
      </c>
      <c r="G482">
        <v>705</v>
      </c>
      <c r="H482" t="s">
        <v>236</v>
      </c>
      <c r="I482" t="s">
        <v>237</v>
      </c>
      <c r="J482" t="s">
        <v>47</v>
      </c>
      <c r="K482" t="s">
        <v>48</v>
      </c>
      <c r="L482">
        <v>0</v>
      </c>
      <c r="M482" t="s">
        <v>49</v>
      </c>
      <c r="N482" t="s">
        <v>50</v>
      </c>
      <c r="O482">
        <v>0</v>
      </c>
      <c r="P482" t="s">
        <v>49</v>
      </c>
      <c r="Q482" t="s">
        <v>50</v>
      </c>
      <c r="R482" t="s">
        <v>300</v>
      </c>
      <c r="S482" t="s">
        <v>52</v>
      </c>
      <c r="T482" t="b">
        <v>1</v>
      </c>
      <c r="U482" t="s">
        <v>53</v>
      </c>
      <c r="V482" t="s">
        <v>54</v>
      </c>
      <c r="W482">
        <v>4</v>
      </c>
      <c r="X482" t="b">
        <v>0</v>
      </c>
      <c r="Y482" t="s">
        <v>55</v>
      </c>
      <c r="Z482" t="s">
        <v>56</v>
      </c>
      <c r="AA482" t="s">
        <v>57</v>
      </c>
      <c r="AB482">
        <v>0</v>
      </c>
      <c r="AC482" t="s">
        <v>58</v>
      </c>
      <c r="AD482">
        <v>8</v>
      </c>
      <c r="AE482" t="s">
        <v>59</v>
      </c>
      <c r="AF482">
        <v>1046.83</v>
      </c>
      <c r="AG482" t="b">
        <v>0</v>
      </c>
      <c r="AH482">
        <v>8</v>
      </c>
      <c r="AI482" t="s">
        <v>59</v>
      </c>
      <c r="AJ482">
        <v>1046.83</v>
      </c>
      <c r="AK482" t="b">
        <v>0</v>
      </c>
      <c r="AL482">
        <v>1046.83</v>
      </c>
      <c r="AM482" t="b">
        <v>0</v>
      </c>
      <c r="AN482">
        <v>0</v>
      </c>
      <c r="AO482" t="b">
        <v>0</v>
      </c>
      <c r="AQ482">
        <v>32047.382000000001</v>
      </c>
      <c r="AR482">
        <v>32047.382000000001</v>
      </c>
      <c r="AS482">
        <v>0</v>
      </c>
      <c r="AT482" t="b">
        <v>0</v>
      </c>
      <c r="AU482" t="b">
        <v>1</v>
      </c>
      <c r="BA482" t="str">
        <f t="shared" si="14"/>
        <v>Normal</v>
      </c>
      <c r="BG482" t="str">
        <f t="shared" si="15"/>
        <v>Normal</v>
      </c>
    </row>
    <row r="483" spans="1:59" x14ac:dyDescent="0.2">
      <c r="A483" t="s">
        <v>42</v>
      </c>
      <c r="B483" t="s">
        <v>43</v>
      </c>
      <c r="C483">
        <v>20230101</v>
      </c>
      <c r="D483">
        <v>2023</v>
      </c>
      <c r="E483">
        <v>52</v>
      </c>
      <c r="F483" t="s">
        <v>311</v>
      </c>
      <c r="G483">
        <v>710</v>
      </c>
      <c r="H483" t="s">
        <v>238</v>
      </c>
      <c r="I483" t="s">
        <v>239</v>
      </c>
      <c r="J483" t="s">
        <v>47</v>
      </c>
      <c r="K483" t="s">
        <v>48</v>
      </c>
      <c r="L483">
        <v>0</v>
      </c>
      <c r="M483" t="s">
        <v>49</v>
      </c>
      <c r="N483" t="s">
        <v>50</v>
      </c>
      <c r="O483">
        <v>0</v>
      </c>
      <c r="P483" t="s">
        <v>49</v>
      </c>
      <c r="Q483" t="s">
        <v>50</v>
      </c>
      <c r="R483" t="s">
        <v>300</v>
      </c>
      <c r="S483" t="s">
        <v>52</v>
      </c>
      <c r="T483" t="b">
        <v>1</v>
      </c>
      <c r="U483" t="s">
        <v>53</v>
      </c>
      <c r="V483" t="s">
        <v>54</v>
      </c>
      <c r="W483">
        <v>4</v>
      </c>
      <c r="X483" t="b">
        <v>0</v>
      </c>
      <c r="Y483" t="s">
        <v>55</v>
      </c>
      <c r="Z483" t="s">
        <v>56</v>
      </c>
      <c r="AA483" t="s">
        <v>57</v>
      </c>
      <c r="AB483">
        <v>0</v>
      </c>
      <c r="AC483" t="s">
        <v>58</v>
      </c>
      <c r="AD483">
        <v>-1</v>
      </c>
      <c r="AE483" t="s">
        <v>73</v>
      </c>
      <c r="AF483">
        <v>0</v>
      </c>
      <c r="AG483" t="b">
        <v>0</v>
      </c>
      <c r="AH483">
        <v>-1</v>
      </c>
      <c r="AI483" t="s">
        <v>73</v>
      </c>
      <c r="AJ483">
        <v>0</v>
      </c>
      <c r="AK483" t="b">
        <v>0</v>
      </c>
      <c r="AM483" t="b">
        <v>0</v>
      </c>
      <c r="AN483">
        <v>0</v>
      </c>
      <c r="AO483" t="b">
        <v>0</v>
      </c>
      <c r="AQ483">
        <v>286163.90899999999</v>
      </c>
      <c r="AR483">
        <v>286163.90899999999</v>
      </c>
      <c r="AS483">
        <v>0</v>
      </c>
      <c r="AT483" t="b">
        <v>0</v>
      </c>
      <c r="AU483" t="b">
        <v>1</v>
      </c>
      <c r="BA483" t="str">
        <f t="shared" si="14"/>
        <v>Normal</v>
      </c>
      <c r="BG483" t="str">
        <f t="shared" si="15"/>
        <v>Normal</v>
      </c>
    </row>
    <row r="484" spans="1:59" x14ac:dyDescent="0.2">
      <c r="A484" t="s">
        <v>42</v>
      </c>
      <c r="B484" t="s">
        <v>43</v>
      </c>
      <c r="C484">
        <v>20230101</v>
      </c>
      <c r="D484">
        <v>2023</v>
      </c>
      <c r="E484">
        <v>52</v>
      </c>
      <c r="F484" t="s">
        <v>311</v>
      </c>
      <c r="G484">
        <v>724</v>
      </c>
      <c r="H484" t="s">
        <v>240</v>
      </c>
      <c r="I484" t="s">
        <v>241</v>
      </c>
      <c r="J484" t="s">
        <v>47</v>
      </c>
      <c r="K484" t="s">
        <v>48</v>
      </c>
      <c r="L484">
        <v>0</v>
      </c>
      <c r="M484" t="s">
        <v>49</v>
      </c>
      <c r="N484" t="s">
        <v>50</v>
      </c>
      <c r="O484">
        <v>0</v>
      </c>
      <c r="P484" t="s">
        <v>49</v>
      </c>
      <c r="Q484" t="s">
        <v>50</v>
      </c>
      <c r="R484" t="s">
        <v>300</v>
      </c>
      <c r="S484" t="s">
        <v>52</v>
      </c>
      <c r="T484" t="b">
        <v>1</v>
      </c>
      <c r="U484" t="s">
        <v>53</v>
      </c>
      <c r="V484" t="s">
        <v>54</v>
      </c>
      <c r="W484">
        <v>4</v>
      </c>
      <c r="X484" t="b">
        <v>0</v>
      </c>
      <c r="Y484" t="s">
        <v>55</v>
      </c>
      <c r="Z484" t="s">
        <v>56</v>
      </c>
      <c r="AA484" t="s">
        <v>57</v>
      </c>
      <c r="AB484">
        <v>0</v>
      </c>
      <c r="AC484" t="s">
        <v>58</v>
      </c>
      <c r="AD484">
        <v>-1</v>
      </c>
      <c r="AE484" t="s">
        <v>73</v>
      </c>
      <c r="AF484">
        <v>0</v>
      </c>
      <c r="AG484" t="b">
        <v>0</v>
      </c>
      <c r="AH484">
        <v>-1</v>
      </c>
      <c r="AI484" t="s">
        <v>73</v>
      </c>
      <c r="AJ484">
        <v>0</v>
      </c>
      <c r="AK484" t="b">
        <v>0</v>
      </c>
      <c r="AM484" t="b">
        <v>0</v>
      </c>
      <c r="AN484">
        <v>0</v>
      </c>
      <c r="AO484" t="b">
        <v>0</v>
      </c>
      <c r="AQ484">
        <v>1493815319.9070001</v>
      </c>
      <c r="AR484">
        <v>1493815319.9070001</v>
      </c>
      <c r="AS484">
        <v>0</v>
      </c>
      <c r="AT484" t="b">
        <v>0</v>
      </c>
      <c r="AU484" t="b">
        <v>1</v>
      </c>
      <c r="BA484" t="str">
        <f t="shared" si="14"/>
        <v>Normal</v>
      </c>
      <c r="BG484" t="str">
        <f t="shared" si="15"/>
        <v>Normal</v>
      </c>
    </row>
    <row r="485" spans="1:59" x14ac:dyDescent="0.2">
      <c r="A485" t="s">
        <v>42</v>
      </c>
      <c r="B485" t="s">
        <v>43</v>
      </c>
      <c r="C485">
        <v>20230101</v>
      </c>
      <c r="D485">
        <v>2023</v>
      </c>
      <c r="E485">
        <v>52</v>
      </c>
      <c r="F485" t="s">
        <v>311</v>
      </c>
      <c r="G485">
        <v>740</v>
      </c>
      <c r="H485" t="s">
        <v>281</v>
      </c>
      <c r="I485" t="s">
        <v>282</v>
      </c>
      <c r="J485" t="s">
        <v>47</v>
      </c>
      <c r="K485" t="s">
        <v>48</v>
      </c>
      <c r="L485">
        <v>0</v>
      </c>
      <c r="M485" t="s">
        <v>49</v>
      </c>
      <c r="N485" t="s">
        <v>50</v>
      </c>
      <c r="O485">
        <v>0</v>
      </c>
      <c r="P485" t="s">
        <v>49</v>
      </c>
      <c r="Q485" t="s">
        <v>50</v>
      </c>
      <c r="R485" t="s">
        <v>127</v>
      </c>
      <c r="S485" t="s">
        <v>52</v>
      </c>
      <c r="T485" t="b">
        <v>1</v>
      </c>
      <c r="U485" t="s">
        <v>53</v>
      </c>
      <c r="V485" t="s">
        <v>54</v>
      </c>
      <c r="W485">
        <v>4</v>
      </c>
      <c r="X485" t="b">
        <v>0</v>
      </c>
      <c r="Y485" t="s">
        <v>55</v>
      </c>
      <c r="Z485" t="s">
        <v>56</v>
      </c>
      <c r="AA485" t="s">
        <v>57</v>
      </c>
      <c r="AB485">
        <v>0</v>
      </c>
      <c r="AC485" t="s">
        <v>58</v>
      </c>
      <c r="AD485">
        <v>8</v>
      </c>
      <c r="AE485" t="s">
        <v>59</v>
      </c>
      <c r="AF485">
        <v>5593.5</v>
      </c>
      <c r="AG485" t="b">
        <v>0</v>
      </c>
      <c r="AH485">
        <v>7</v>
      </c>
      <c r="AI485" t="s">
        <v>67</v>
      </c>
      <c r="AJ485">
        <v>90</v>
      </c>
      <c r="AK485" t="b">
        <v>0</v>
      </c>
      <c r="AM485" t="b">
        <v>0</v>
      </c>
      <c r="AN485">
        <v>5586</v>
      </c>
      <c r="AO485" t="b">
        <v>0</v>
      </c>
      <c r="AQ485">
        <v>34601.67</v>
      </c>
      <c r="AR485">
        <v>34601.67</v>
      </c>
      <c r="AS485">
        <v>0</v>
      </c>
      <c r="AT485" t="b">
        <v>0</v>
      </c>
      <c r="AU485" t="b">
        <v>1</v>
      </c>
      <c r="BA485" t="str">
        <f t="shared" si="14"/>
        <v>Normal</v>
      </c>
      <c r="BG485" t="str">
        <f t="shared" si="15"/>
        <v>Normal</v>
      </c>
    </row>
    <row r="486" spans="1:59" x14ac:dyDescent="0.2">
      <c r="A486" t="s">
        <v>42</v>
      </c>
      <c r="B486" t="s">
        <v>43</v>
      </c>
      <c r="C486">
        <v>20230101</v>
      </c>
      <c r="D486">
        <v>2023</v>
      </c>
      <c r="E486">
        <v>52</v>
      </c>
      <c r="F486" t="s">
        <v>311</v>
      </c>
      <c r="G486">
        <v>752</v>
      </c>
      <c r="H486" t="s">
        <v>244</v>
      </c>
      <c r="I486" t="s">
        <v>245</v>
      </c>
      <c r="J486" t="s">
        <v>47</v>
      </c>
      <c r="K486" t="s">
        <v>48</v>
      </c>
      <c r="L486">
        <v>0</v>
      </c>
      <c r="M486" t="s">
        <v>49</v>
      </c>
      <c r="N486" t="s">
        <v>50</v>
      </c>
      <c r="O486">
        <v>0</v>
      </c>
      <c r="P486" t="s">
        <v>49</v>
      </c>
      <c r="Q486" t="s">
        <v>50</v>
      </c>
      <c r="R486" t="s">
        <v>300</v>
      </c>
      <c r="S486" t="s">
        <v>52</v>
      </c>
      <c r="T486" t="b">
        <v>1</v>
      </c>
      <c r="U486" t="s">
        <v>53</v>
      </c>
      <c r="V486" t="s">
        <v>54</v>
      </c>
      <c r="W486">
        <v>4</v>
      </c>
      <c r="X486" t="b">
        <v>0</v>
      </c>
      <c r="Y486" t="s">
        <v>55</v>
      </c>
      <c r="Z486" t="s">
        <v>56</v>
      </c>
      <c r="AA486" t="s">
        <v>57</v>
      </c>
      <c r="AB486">
        <v>0</v>
      </c>
      <c r="AC486" t="s">
        <v>58</v>
      </c>
      <c r="AD486">
        <v>8</v>
      </c>
      <c r="AE486" t="s">
        <v>59</v>
      </c>
      <c r="AF486">
        <v>11467.123</v>
      </c>
      <c r="AG486" t="b">
        <v>1</v>
      </c>
      <c r="AH486">
        <v>-1</v>
      </c>
      <c r="AI486" t="s">
        <v>73</v>
      </c>
      <c r="AJ486">
        <v>0</v>
      </c>
      <c r="AK486" t="b">
        <v>0</v>
      </c>
      <c r="AL486">
        <v>11467.123</v>
      </c>
      <c r="AM486" t="b">
        <v>1</v>
      </c>
      <c r="AN486">
        <v>0</v>
      </c>
      <c r="AO486" t="b">
        <v>0</v>
      </c>
      <c r="AQ486">
        <v>71723.694000000003</v>
      </c>
      <c r="AR486">
        <v>71723.694000000003</v>
      </c>
      <c r="AS486">
        <v>6</v>
      </c>
      <c r="AT486" t="b">
        <v>0</v>
      </c>
      <c r="AU486" t="b">
        <v>1</v>
      </c>
      <c r="BA486" t="str">
        <f t="shared" si="14"/>
        <v>Normal</v>
      </c>
      <c r="BG486" t="str">
        <f t="shared" si="15"/>
        <v>Normal</v>
      </c>
    </row>
    <row r="487" spans="1:59" x14ac:dyDescent="0.2">
      <c r="A487" t="s">
        <v>42</v>
      </c>
      <c r="B487" t="s">
        <v>43</v>
      </c>
      <c r="C487">
        <v>20230101</v>
      </c>
      <c r="D487">
        <v>2023</v>
      </c>
      <c r="E487">
        <v>52</v>
      </c>
      <c r="F487" t="s">
        <v>311</v>
      </c>
      <c r="G487">
        <v>757</v>
      </c>
      <c r="H487" t="s">
        <v>246</v>
      </c>
      <c r="I487" t="s">
        <v>247</v>
      </c>
      <c r="J487" t="s">
        <v>47</v>
      </c>
      <c r="K487" t="s">
        <v>48</v>
      </c>
      <c r="L487">
        <v>0</v>
      </c>
      <c r="M487" t="s">
        <v>49</v>
      </c>
      <c r="N487" t="s">
        <v>50</v>
      </c>
      <c r="O487">
        <v>0</v>
      </c>
      <c r="P487" t="s">
        <v>49</v>
      </c>
      <c r="Q487" t="s">
        <v>50</v>
      </c>
      <c r="R487" t="s">
        <v>300</v>
      </c>
      <c r="S487" t="s">
        <v>52</v>
      </c>
      <c r="T487" t="b">
        <v>1</v>
      </c>
      <c r="U487" t="s">
        <v>53</v>
      </c>
      <c r="V487" t="s">
        <v>54</v>
      </c>
      <c r="W487">
        <v>4</v>
      </c>
      <c r="X487" t="b">
        <v>0</v>
      </c>
      <c r="Y487" t="s">
        <v>55</v>
      </c>
      <c r="Z487" t="s">
        <v>56</v>
      </c>
      <c r="AA487" t="s">
        <v>57</v>
      </c>
      <c r="AB487">
        <v>0</v>
      </c>
      <c r="AC487" t="s">
        <v>58</v>
      </c>
      <c r="AD487">
        <v>8</v>
      </c>
      <c r="AE487" t="s">
        <v>59</v>
      </c>
      <c r="AF487">
        <v>270</v>
      </c>
      <c r="AG487" t="b">
        <v>0</v>
      </c>
      <c r="AH487">
        <v>7</v>
      </c>
      <c r="AI487" t="s">
        <v>67</v>
      </c>
      <c r="AJ487">
        <v>301</v>
      </c>
      <c r="AK487" t="b">
        <v>0</v>
      </c>
      <c r="AL487">
        <v>270</v>
      </c>
      <c r="AM487" t="b">
        <v>0</v>
      </c>
      <c r="AN487">
        <v>0</v>
      </c>
      <c r="AO487" t="b">
        <v>0</v>
      </c>
      <c r="AQ487">
        <v>3345.4769999999999</v>
      </c>
      <c r="AR487">
        <v>3345.4769999999999</v>
      </c>
      <c r="AS487">
        <v>0</v>
      </c>
      <c r="AT487" t="b">
        <v>0</v>
      </c>
      <c r="AU487" t="b">
        <v>1</v>
      </c>
      <c r="BA487" t="str">
        <f t="shared" si="14"/>
        <v>Normal</v>
      </c>
      <c r="BG487" t="str">
        <f t="shared" si="15"/>
        <v>Normal</v>
      </c>
    </row>
    <row r="488" spans="1:59" x14ac:dyDescent="0.2">
      <c r="A488" t="s">
        <v>42</v>
      </c>
      <c r="B488" t="s">
        <v>43</v>
      </c>
      <c r="C488">
        <v>20230101</v>
      </c>
      <c r="D488">
        <v>2023</v>
      </c>
      <c r="E488">
        <v>52</v>
      </c>
      <c r="F488" t="s">
        <v>311</v>
      </c>
      <c r="G488">
        <v>764</v>
      </c>
      <c r="H488" t="s">
        <v>248</v>
      </c>
      <c r="I488" t="s">
        <v>249</v>
      </c>
      <c r="J488" t="s">
        <v>47</v>
      </c>
      <c r="K488" t="s">
        <v>48</v>
      </c>
      <c r="L488">
        <v>0</v>
      </c>
      <c r="M488" t="s">
        <v>49</v>
      </c>
      <c r="N488" t="s">
        <v>50</v>
      </c>
      <c r="O488">
        <v>0</v>
      </c>
      <c r="P488" t="s">
        <v>49</v>
      </c>
      <c r="Q488" t="s">
        <v>50</v>
      </c>
      <c r="R488" t="s">
        <v>300</v>
      </c>
      <c r="S488" t="s">
        <v>52</v>
      </c>
      <c r="T488" t="b">
        <v>1</v>
      </c>
      <c r="U488" t="s">
        <v>53</v>
      </c>
      <c r="V488" t="s">
        <v>54</v>
      </c>
      <c r="W488">
        <v>4</v>
      </c>
      <c r="X488" t="b">
        <v>0</v>
      </c>
      <c r="Y488" t="s">
        <v>55</v>
      </c>
      <c r="Z488" t="s">
        <v>56</v>
      </c>
      <c r="AA488" t="s">
        <v>57</v>
      </c>
      <c r="AB488">
        <v>0</v>
      </c>
      <c r="AC488" t="s">
        <v>58</v>
      </c>
      <c r="AD488">
        <v>8</v>
      </c>
      <c r="AE488" t="s">
        <v>59</v>
      </c>
      <c r="AF488">
        <v>593044283.67400002</v>
      </c>
      <c r="AG488" t="b">
        <v>1</v>
      </c>
      <c r="AH488">
        <v>-1</v>
      </c>
      <c r="AI488" t="s">
        <v>73</v>
      </c>
      <c r="AJ488">
        <v>0</v>
      </c>
      <c r="AK488" t="b">
        <v>0</v>
      </c>
      <c r="AL488">
        <v>593044283.67400002</v>
      </c>
      <c r="AM488" t="b">
        <v>1</v>
      </c>
      <c r="AN488">
        <v>0</v>
      </c>
      <c r="AO488" t="b">
        <v>0</v>
      </c>
      <c r="AQ488">
        <v>357486570.611</v>
      </c>
      <c r="AR488">
        <v>357486570.611</v>
      </c>
      <c r="AS488">
        <v>6</v>
      </c>
      <c r="AT488" t="b">
        <v>0</v>
      </c>
      <c r="AU488" t="b">
        <v>1</v>
      </c>
      <c r="BA488" t="str">
        <f t="shared" si="14"/>
        <v>Normal</v>
      </c>
      <c r="BG488" t="str">
        <f t="shared" si="15"/>
        <v>Normal</v>
      </c>
    </row>
    <row r="489" spans="1:59" x14ac:dyDescent="0.2">
      <c r="A489" t="s">
        <v>42</v>
      </c>
      <c r="B489" t="s">
        <v>43</v>
      </c>
      <c r="C489">
        <v>20230101</v>
      </c>
      <c r="D489">
        <v>2023</v>
      </c>
      <c r="E489">
        <v>52</v>
      </c>
      <c r="F489" t="s">
        <v>311</v>
      </c>
      <c r="G489">
        <v>768</v>
      </c>
      <c r="H489" t="s">
        <v>323</v>
      </c>
      <c r="I489" t="s">
        <v>324</v>
      </c>
      <c r="J489" t="s">
        <v>47</v>
      </c>
      <c r="K489" t="s">
        <v>48</v>
      </c>
      <c r="L489">
        <v>0</v>
      </c>
      <c r="M489" t="s">
        <v>49</v>
      </c>
      <c r="N489" t="s">
        <v>50</v>
      </c>
      <c r="O489">
        <v>0</v>
      </c>
      <c r="P489" t="s">
        <v>49</v>
      </c>
      <c r="Q489" t="s">
        <v>50</v>
      </c>
      <c r="R489" t="s">
        <v>51</v>
      </c>
      <c r="S489" t="s">
        <v>52</v>
      </c>
      <c r="T489" t="b">
        <v>1</v>
      </c>
      <c r="U489" t="s">
        <v>53</v>
      </c>
      <c r="V489" t="s">
        <v>54</v>
      </c>
      <c r="W489">
        <v>4</v>
      </c>
      <c r="X489" t="b">
        <v>0</v>
      </c>
      <c r="Y489" t="s">
        <v>55</v>
      </c>
      <c r="Z489" t="s">
        <v>56</v>
      </c>
      <c r="AA489" t="s">
        <v>57</v>
      </c>
      <c r="AB489">
        <v>0</v>
      </c>
      <c r="AC489" t="s">
        <v>58</v>
      </c>
      <c r="AD489">
        <v>8</v>
      </c>
      <c r="AE489" t="s">
        <v>59</v>
      </c>
      <c r="AF489">
        <v>26</v>
      </c>
      <c r="AG489" t="b">
        <v>0</v>
      </c>
      <c r="AH489">
        <v>8</v>
      </c>
      <c r="AI489" t="s">
        <v>59</v>
      </c>
      <c r="AJ489">
        <v>26</v>
      </c>
      <c r="AK489" t="b">
        <v>0</v>
      </c>
      <c r="AL489">
        <v>26</v>
      </c>
      <c r="AM489" t="b">
        <v>0</v>
      </c>
      <c r="AN489">
        <v>0</v>
      </c>
      <c r="AO489" t="b">
        <v>0</v>
      </c>
      <c r="AQ489">
        <v>790.20500000000004</v>
      </c>
      <c r="AR489">
        <v>790.20500000000004</v>
      </c>
      <c r="AS489">
        <v>0</v>
      </c>
      <c r="AT489" t="b">
        <v>0</v>
      </c>
      <c r="AU489" t="b">
        <v>1</v>
      </c>
      <c r="BA489" t="str">
        <f t="shared" si="14"/>
        <v>Normal</v>
      </c>
      <c r="BG489" t="str">
        <f t="shared" si="15"/>
        <v>Normal</v>
      </c>
    </row>
    <row r="490" spans="1:59" x14ac:dyDescent="0.2">
      <c r="A490" t="s">
        <v>42</v>
      </c>
      <c r="B490" t="s">
        <v>43</v>
      </c>
      <c r="C490">
        <v>20230101</v>
      </c>
      <c r="D490">
        <v>2023</v>
      </c>
      <c r="E490">
        <v>52</v>
      </c>
      <c r="F490" t="s">
        <v>311</v>
      </c>
      <c r="G490">
        <v>780</v>
      </c>
      <c r="H490" t="s">
        <v>252</v>
      </c>
      <c r="I490" t="s">
        <v>253</v>
      </c>
      <c r="J490" t="s">
        <v>47</v>
      </c>
      <c r="K490" t="s">
        <v>48</v>
      </c>
      <c r="L490">
        <v>0</v>
      </c>
      <c r="M490" t="s">
        <v>49</v>
      </c>
      <c r="N490" t="s">
        <v>50</v>
      </c>
      <c r="O490">
        <v>0</v>
      </c>
      <c r="P490" t="s">
        <v>49</v>
      </c>
      <c r="Q490" t="s">
        <v>50</v>
      </c>
      <c r="R490" t="s">
        <v>104</v>
      </c>
      <c r="S490" t="s">
        <v>52</v>
      </c>
      <c r="T490" t="b">
        <v>1</v>
      </c>
      <c r="U490" t="s">
        <v>53</v>
      </c>
      <c r="V490" t="s">
        <v>54</v>
      </c>
      <c r="W490">
        <v>4</v>
      </c>
      <c r="X490" t="b">
        <v>0</v>
      </c>
      <c r="Y490" t="s">
        <v>55</v>
      </c>
      <c r="Z490" t="s">
        <v>56</v>
      </c>
      <c r="AA490" t="s">
        <v>57</v>
      </c>
      <c r="AB490">
        <v>0</v>
      </c>
      <c r="AC490" t="s">
        <v>58</v>
      </c>
      <c r="AD490">
        <v>-1</v>
      </c>
      <c r="AE490" t="s">
        <v>73</v>
      </c>
      <c r="AF490">
        <v>0</v>
      </c>
      <c r="AG490" t="b">
        <v>0</v>
      </c>
      <c r="AH490">
        <v>-1</v>
      </c>
      <c r="AI490" t="s">
        <v>73</v>
      </c>
      <c r="AJ490">
        <v>0</v>
      </c>
      <c r="AK490" t="b">
        <v>0</v>
      </c>
      <c r="AM490" t="b">
        <v>0</v>
      </c>
      <c r="AN490">
        <v>0</v>
      </c>
      <c r="AO490" t="b">
        <v>0</v>
      </c>
      <c r="AQ490">
        <v>1149385610</v>
      </c>
      <c r="AR490">
        <v>1149385610</v>
      </c>
      <c r="AS490">
        <v>0</v>
      </c>
      <c r="AT490" t="b">
        <v>0</v>
      </c>
      <c r="AU490" t="b">
        <v>1</v>
      </c>
      <c r="BA490" t="str">
        <f t="shared" si="14"/>
        <v>Normal</v>
      </c>
      <c r="BG490" t="str">
        <f t="shared" si="15"/>
        <v>Normal</v>
      </c>
    </row>
    <row r="491" spans="1:59" x14ac:dyDescent="0.2">
      <c r="A491" t="s">
        <v>42</v>
      </c>
      <c r="B491" t="s">
        <v>43</v>
      </c>
      <c r="C491">
        <v>20230101</v>
      </c>
      <c r="D491">
        <v>2023</v>
      </c>
      <c r="E491">
        <v>52</v>
      </c>
      <c r="F491" t="s">
        <v>311</v>
      </c>
      <c r="G491">
        <v>784</v>
      </c>
      <c r="H491" t="s">
        <v>254</v>
      </c>
      <c r="I491" t="s">
        <v>255</v>
      </c>
      <c r="J491" t="s">
        <v>47</v>
      </c>
      <c r="K491" t="s">
        <v>48</v>
      </c>
      <c r="L491">
        <v>0</v>
      </c>
      <c r="M491" t="s">
        <v>49</v>
      </c>
      <c r="N491" t="s">
        <v>50</v>
      </c>
      <c r="O491">
        <v>0</v>
      </c>
      <c r="P491" t="s">
        <v>49</v>
      </c>
      <c r="Q491" t="s">
        <v>50</v>
      </c>
      <c r="R491" t="s">
        <v>300</v>
      </c>
      <c r="S491" t="s">
        <v>52</v>
      </c>
      <c r="T491" t="b">
        <v>1</v>
      </c>
      <c r="U491" t="s">
        <v>53</v>
      </c>
      <c r="V491" t="s">
        <v>54</v>
      </c>
      <c r="W491">
        <v>4</v>
      </c>
      <c r="X491" t="b">
        <v>0</v>
      </c>
      <c r="Y491" t="s">
        <v>55</v>
      </c>
      <c r="Z491" t="s">
        <v>56</v>
      </c>
      <c r="AA491" t="s">
        <v>57</v>
      </c>
      <c r="AB491">
        <v>0</v>
      </c>
      <c r="AC491" t="s">
        <v>58</v>
      </c>
      <c r="AD491">
        <v>-1</v>
      </c>
      <c r="AE491" t="s">
        <v>73</v>
      </c>
      <c r="AF491">
        <v>0</v>
      </c>
      <c r="AG491" t="b">
        <v>0</v>
      </c>
      <c r="AH491">
        <v>-1</v>
      </c>
      <c r="AI491" t="s">
        <v>73</v>
      </c>
      <c r="AJ491">
        <v>0</v>
      </c>
      <c r="AK491" t="b">
        <v>0</v>
      </c>
      <c r="AM491" t="b">
        <v>0</v>
      </c>
      <c r="AN491">
        <v>0</v>
      </c>
      <c r="AO491" t="b">
        <v>0</v>
      </c>
      <c r="AQ491">
        <v>162767463924.95099</v>
      </c>
      <c r="AR491">
        <v>162767463924.95099</v>
      </c>
      <c r="AS491">
        <v>0</v>
      </c>
      <c r="AT491" t="b">
        <v>0</v>
      </c>
      <c r="AU491" t="b">
        <v>1</v>
      </c>
      <c r="BA491" t="str">
        <f t="shared" si="14"/>
        <v>Normal</v>
      </c>
      <c r="BG491" t="str">
        <f t="shared" si="15"/>
        <v>Normal</v>
      </c>
    </row>
    <row r="492" spans="1:59" x14ac:dyDescent="0.2">
      <c r="A492" t="s">
        <v>42</v>
      </c>
      <c r="B492" t="s">
        <v>43</v>
      </c>
      <c r="C492">
        <v>20230101</v>
      </c>
      <c r="D492">
        <v>2023</v>
      </c>
      <c r="E492">
        <v>52</v>
      </c>
      <c r="F492" t="s">
        <v>311</v>
      </c>
      <c r="G492">
        <v>788</v>
      </c>
      <c r="H492" t="s">
        <v>256</v>
      </c>
      <c r="I492" t="s">
        <v>257</v>
      </c>
      <c r="J492" t="s">
        <v>47</v>
      </c>
      <c r="K492" t="s">
        <v>48</v>
      </c>
      <c r="L492">
        <v>0</v>
      </c>
      <c r="M492" t="s">
        <v>49</v>
      </c>
      <c r="N492" t="s">
        <v>50</v>
      </c>
      <c r="O492">
        <v>0</v>
      </c>
      <c r="P492" t="s">
        <v>49</v>
      </c>
      <c r="Q492" t="s">
        <v>50</v>
      </c>
      <c r="R492" t="s">
        <v>300</v>
      </c>
      <c r="S492" t="s">
        <v>52</v>
      </c>
      <c r="T492" t="b">
        <v>1</v>
      </c>
      <c r="U492" t="s">
        <v>53</v>
      </c>
      <c r="V492" t="s">
        <v>54</v>
      </c>
      <c r="W492">
        <v>4</v>
      </c>
      <c r="X492" t="b">
        <v>0</v>
      </c>
      <c r="Y492" t="s">
        <v>55</v>
      </c>
      <c r="Z492" t="s">
        <v>56</v>
      </c>
      <c r="AA492" t="s">
        <v>57</v>
      </c>
      <c r="AB492">
        <v>0</v>
      </c>
      <c r="AC492" t="s">
        <v>58</v>
      </c>
      <c r="AD492">
        <v>8</v>
      </c>
      <c r="AE492" t="s">
        <v>59</v>
      </c>
      <c r="AF492">
        <v>1312046520</v>
      </c>
      <c r="AG492" t="b">
        <v>0</v>
      </c>
      <c r="AH492">
        <v>8</v>
      </c>
      <c r="AI492" t="s">
        <v>59</v>
      </c>
      <c r="AJ492">
        <v>1312046520</v>
      </c>
      <c r="AK492" t="b">
        <v>0</v>
      </c>
      <c r="AL492">
        <v>1312046520</v>
      </c>
      <c r="AM492" t="b">
        <v>0</v>
      </c>
      <c r="AN492">
        <v>0</v>
      </c>
      <c r="AO492" t="b">
        <v>0</v>
      </c>
      <c r="AQ492">
        <v>793987189.16900003</v>
      </c>
      <c r="AR492">
        <v>793987189.16900003</v>
      </c>
      <c r="AS492">
        <v>0</v>
      </c>
      <c r="AT492" t="b">
        <v>0</v>
      </c>
      <c r="AU492" t="b">
        <v>1</v>
      </c>
      <c r="BA492" t="str">
        <f t="shared" si="14"/>
        <v>Normal</v>
      </c>
      <c r="BG492" t="str">
        <f t="shared" si="15"/>
        <v>Normal</v>
      </c>
    </row>
    <row r="493" spans="1:59" x14ac:dyDescent="0.2">
      <c r="A493" t="s">
        <v>42</v>
      </c>
      <c r="B493" t="s">
        <v>43</v>
      </c>
      <c r="C493">
        <v>20230101</v>
      </c>
      <c r="D493">
        <v>2023</v>
      </c>
      <c r="E493">
        <v>52</v>
      </c>
      <c r="F493" t="s">
        <v>311</v>
      </c>
      <c r="G493">
        <v>800</v>
      </c>
      <c r="H493" t="s">
        <v>258</v>
      </c>
      <c r="I493" t="s">
        <v>259</v>
      </c>
      <c r="J493" t="s">
        <v>47</v>
      </c>
      <c r="K493" t="s">
        <v>48</v>
      </c>
      <c r="L493">
        <v>0</v>
      </c>
      <c r="M493" t="s">
        <v>49</v>
      </c>
      <c r="N493" t="s">
        <v>50</v>
      </c>
      <c r="O493">
        <v>0</v>
      </c>
      <c r="P493" t="s">
        <v>49</v>
      </c>
      <c r="Q493" t="s">
        <v>50</v>
      </c>
      <c r="R493" t="s">
        <v>300</v>
      </c>
      <c r="S493" t="s">
        <v>52</v>
      </c>
      <c r="T493" t="b">
        <v>1</v>
      </c>
      <c r="U493" t="s">
        <v>53</v>
      </c>
      <c r="V493" t="s">
        <v>54</v>
      </c>
      <c r="W493">
        <v>4</v>
      </c>
      <c r="X493" t="b">
        <v>0</v>
      </c>
      <c r="Y493" t="s">
        <v>55</v>
      </c>
      <c r="Z493" t="s">
        <v>56</v>
      </c>
      <c r="AA493" t="s">
        <v>57</v>
      </c>
      <c r="AB493">
        <v>0</v>
      </c>
      <c r="AC493" t="s">
        <v>58</v>
      </c>
      <c r="AD493">
        <v>8</v>
      </c>
      <c r="AE493" t="s">
        <v>59</v>
      </c>
      <c r="AF493">
        <v>8500</v>
      </c>
      <c r="AG493" t="b">
        <v>0</v>
      </c>
      <c r="AH493">
        <v>8</v>
      </c>
      <c r="AI493" t="s">
        <v>59</v>
      </c>
      <c r="AJ493">
        <v>8500</v>
      </c>
      <c r="AK493" t="b">
        <v>0</v>
      </c>
      <c r="AL493">
        <v>8500</v>
      </c>
      <c r="AM493" t="b">
        <v>0</v>
      </c>
      <c r="AN493">
        <v>0</v>
      </c>
      <c r="AO493" t="b">
        <v>0</v>
      </c>
      <c r="AQ493">
        <v>4746.9399999999996</v>
      </c>
      <c r="AR493">
        <v>4746.9399999999996</v>
      </c>
      <c r="AS493">
        <v>0</v>
      </c>
      <c r="AT493" t="b">
        <v>0</v>
      </c>
      <c r="AU493" t="b">
        <v>1</v>
      </c>
      <c r="BA493" t="str">
        <f t="shared" si="14"/>
        <v>Normal</v>
      </c>
      <c r="BG493" t="str">
        <f t="shared" si="15"/>
        <v>Normal</v>
      </c>
    </row>
    <row r="494" spans="1:59" x14ac:dyDescent="0.2">
      <c r="A494" t="s">
        <v>42</v>
      </c>
      <c r="B494" t="s">
        <v>43</v>
      </c>
      <c r="C494">
        <v>20230101</v>
      </c>
      <c r="D494">
        <v>2023</v>
      </c>
      <c r="E494">
        <v>52</v>
      </c>
      <c r="F494" t="s">
        <v>311</v>
      </c>
      <c r="G494">
        <v>804</v>
      </c>
      <c r="H494" t="s">
        <v>260</v>
      </c>
      <c r="I494" t="s">
        <v>261</v>
      </c>
      <c r="J494" t="s">
        <v>47</v>
      </c>
      <c r="K494" t="s">
        <v>48</v>
      </c>
      <c r="L494">
        <v>0</v>
      </c>
      <c r="M494" t="s">
        <v>49</v>
      </c>
      <c r="N494" t="s">
        <v>50</v>
      </c>
      <c r="O494">
        <v>0</v>
      </c>
      <c r="P494" t="s">
        <v>49</v>
      </c>
      <c r="Q494" t="s">
        <v>50</v>
      </c>
      <c r="R494" t="s">
        <v>300</v>
      </c>
      <c r="S494" t="s">
        <v>52</v>
      </c>
      <c r="T494" t="b">
        <v>1</v>
      </c>
      <c r="U494" t="s">
        <v>53</v>
      </c>
      <c r="V494" t="s">
        <v>54</v>
      </c>
      <c r="W494">
        <v>4</v>
      </c>
      <c r="X494" t="b">
        <v>0</v>
      </c>
      <c r="Y494" t="s">
        <v>55</v>
      </c>
      <c r="Z494" t="s">
        <v>56</v>
      </c>
      <c r="AA494" t="s">
        <v>57</v>
      </c>
      <c r="AB494">
        <v>0</v>
      </c>
      <c r="AC494" t="s">
        <v>58</v>
      </c>
      <c r="AD494">
        <v>8</v>
      </c>
      <c r="AE494" t="s">
        <v>59</v>
      </c>
      <c r="AF494">
        <v>16321050</v>
      </c>
      <c r="AG494" t="b">
        <v>0</v>
      </c>
      <c r="AH494">
        <v>8</v>
      </c>
      <c r="AI494" t="s">
        <v>59</v>
      </c>
      <c r="AJ494">
        <v>16321050</v>
      </c>
      <c r="AK494" t="b">
        <v>0</v>
      </c>
      <c r="AL494">
        <v>16321050</v>
      </c>
      <c r="AM494" t="b">
        <v>0</v>
      </c>
      <c r="AN494">
        <v>0</v>
      </c>
      <c r="AO494" t="b">
        <v>0</v>
      </c>
      <c r="AQ494">
        <v>9624330.6300000008</v>
      </c>
      <c r="AR494">
        <v>9624330.6300000008</v>
      </c>
      <c r="AS494">
        <v>0</v>
      </c>
      <c r="AT494" t="b">
        <v>0</v>
      </c>
      <c r="AU494" t="b">
        <v>1</v>
      </c>
      <c r="BA494" t="str">
        <f t="shared" si="14"/>
        <v>Normal</v>
      </c>
      <c r="BG494" t="str">
        <f t="shared" si="15"/>
        <v>Normal</v>
      </c>
    </row>
    <row r="495" spans="1:59" x14ac:dyDescent="0.2">
      <c r="A495" t="s">
        <v>42</v>
      </c>
      <c r="B495" t="s">
        <v>43</v>
      </c>
      <c r="C495">
        <v>20230101</v>
      </c>
      <c r="D495">
        <v>2023</v>
      </c>
      <c r="E495">
        <v>52</v>
      </c>
      <c r="F495" t="s">
        <v>311</v>
      </c>
      <c r="G495">
        <v>818</v>
      </c>
      <c r="H495" t="s">
        <v>262</v>
      </c>
      <c r="I495" t="s">
        <v>263</v>
      </c>
      <c r="J495" t="s">
        <v>47</v>
      </c>
      <c r="K495" t="s">
        <v>48</v>
      </c>
      <c r="L495">
        <v>0</v>
      </c>
      <c r="M495" t="s">
        <v>49</v>
      </c>
      <c r="N495" t="s">
        <v>50</v>
      </c>
      <c r="O495">
        <v>0</v>
      </c>
      <c r="P495" t="s">
        <v>49</v>
      </c>
      <c r="Q495" t="s">
        <v>50</v>
      </c>
      <c r="R495" t="s">
        <v>300</v>
      </c>
      <c r="S495" t="s">
        <v>52</v>
      </c>
      <c r="T495" t="b">
        <v>1</v>
      </c>
      <c r="U495" t="s">
        <v>53</v>
      </c>
      <c r="V495" t="s">
        <v>54</v>
      </c>
      <c r="W495">
        <v>4</v>
      </c>
      <c r="X495" t="b">
        <v>0</v>
      </c>
      <c r="Y495" t="s">
        <v>55</v>
      </c>
      <c r="Z495" t="s">
        <v>56</v>
      </c>
      <c r="AA495" t="s">
        <v>57</v>
      </c>
      <c r="AB495">
        <v>0</v>
      </c>
      <c r="AC495" t="s">
        <v>58</v>
      </c>
      <c r="AD495">
        <v>8</v>
      </c>
      <c r="AE495" t="s">
        <v>59</v>
      </c>
      <c r="AF495">
        <v>4856420660.3739996</v>
      </c>
      <c r="AG495" t="b">
        <v>1</v>
      </c>
      <c r="AH495">
        <v>-1</v>
      </c>
      <c r="AI495" t="s">
        <v>73</v>
      </c>
      <c r="AJ495">
        <v>0</v>
      </c>
      <c r="AK495" t="b">
        <v>0</v>
      </c>
      <c r="AL495">
        <v>4856420660.3739996</v>
      </c>
      <c r="AM495" t="b">
        <v>1</v>
      </c>
      <c r="AN495">
        <v>0</v>
      </c>
      <c r="AO495" t="b">
        <v>0</v>
      </c>
      <c r="AQ495">
        <v>2638393000</v>
      </c>
      <c r="AR495">
        <v>2638393000</v>
      </c>
      <c r="AS495">
        <v>6</v>
      </c>
      <c r="AT495" t="b">
        <v>0</v>
      </c>
      <c r="AU495" t="b">
        <v>1</v>
      </c>
      <c r="BA495" t="str">
        <f t="shared" si="14"/>
        <v>Normal</v>
      </c>
      <c r="BG495" t="str">
        <f t="shared" si="15"/>
        <v>Normal</v>
      </c>
    </row>
    <row r="496" spans="1:59" x14ac:dyDescent="0.2">
      <c r="A496" t="s">
        <v>42</v>
      </c>
      <c r="B496" t="s">
        <v>43</v>
      </c>
      <c r="C496">
        <v>20230101</v>
      </c>
      <c r="D496">
        <v>2023</v>
      </c>
      <c r="E496">
        <v>52</v>
      </c>
      <c r="F496" t="s">
        <v>311</v>
      </c>
      <c r="G496">
        <v>826</v>
      </c>
      <c r="H496" t="s">
        <v>264</v>
      </c>
      <c r="I496" t="s">
        <v>265</v>
      </c>
      <c r="J496" t="s">
        <v>47</v>
      </c>
      <c r="K496" t="s">
        <v>48</v>
      </c>
      <c r="L496">
        <v>0</v>
      </c>
      <c r="M496" t="s">
        <v>49</v>
      </c>
      <c r="N496" t="s">
        <v>50</v>
      </c>
      <c r="O496">
        <v>0</v>
      </c>
      <c r="P496" t="s">
        <v>49</v>
      </c>
      <c r="Q496" t="s">
        <v>50</v>
      </c>
      <c r="R496" t="s">
        <v>300</v>
      </c>
      <c r="S496" t="s">
        <v>52</v>
      </c>
      <c r="T496" t="b">
        <v>1</v>
      </c>
      <c r="U496" t="s">
        <v>53</v>
      </c>
      <c r="V496" t="s">
        <v>54</v>
      </c>
      <c r="W496">
        <v>4</v>
      </c>
      <c r="X496" t="b">
        <v>0</v>
      </c>
      <c r="Y496" t="s">
        <v>55</v>
      </c>
      <c r="Z496" t="s">
        <v>56</v>
      </c>
      <c r="AA496" t="s">
        <v>57</v>
      </c>
      <c r="AB496">
        <v>0</v>
      </c>
      <c r="AC496" t="s">
        <v>58</v>
      </c>
      <c r="AD496">
        <v>-1</v>
      </c>
      <c r="AE496" t="s">
        <v>73</v>
      </c>
      <c r="AF496">
        <v>0</v>
      </c>
      <c r="AG496" t="b">
        <v>0</v>
      </c>
      <c r="AH496">
        <v>-1</v>
      </c>
      <c r="AI496" t="s">
        <v>73</v>
      </c>
      <c r="AJ496">
        <v>0</v>
      </c>
      <c r="AK496" t="b">
        <v>0</v>
      </c>
      <c r="AM496" t="b">
        <v>0</v>
      </c>
      <c r="AN496">
        <v>0</v>
      </c>
      <c r="AO496" t="b">
        <v>0</v>
      </c>
      <c r="AQ496">
        <v>21100693176.915001</v>
      </c>
      <c r="AR496">
        <v>21100693176.915001</v>
      </c>
      <c r="AS496">
        <v>0</v>
      </c>
      <c r="AT496" t="b">
        <v>0</v>
      </c>
      <c r="AU496" t="b">
        <v>1</v>
      </c>
      <c r="BA496" t="str">
        <f t="shared" si="14"/>
        <v>Normal</v>
      </c>
      <c r="BG496" t="str">
        <f t="shared" si="15"/>
        <v>Normal</v>
      </c>
    </row>
    <row r="497" spans="1:59" x14ac:dyDescent="0.2">
      <c r="A497" t="s">
        <v>42</v>
      </c>
      <c r="B497" t="s">
        <v>43</v>
      </c>
      <c r="C497">
        <v>20230101</v>
      </c>
      <c r="D497">
        <v>2023</v>
      </c>
      <c r="E497">
        <v>52</v>
      </c>
      <c r="F497" t="s">
        <v>311</v>
      </c>
      <c r="G497">
        <v>834</v>
      </c>
      <c r="H497" t="s">
        <v>266</v>
      </c>
      <c r="I497" t="s">
        <v>267</v>
      </c>
      <c r="J497" t="s">
        <v>47</v>
      </c>
      <c r="K497" t="s">
        <v>48</v>
      </c>
      <c r="L497">
        <v>0</v>
      </c>
      <c r="M497" t="s">
        <v>49</v>
      </c>
      <c r="N497" t="s">
        <v>50</v>
      </c>
      <c r="O497">
        <v>0</v>
      </c>
      <c r="P497" t="s">
        <v>49</v>
      </c>
      <c r="Q497" t="s">
        <v>50</v>
      </c>
      <c r="R497" t="s">
        <v>300</v>
      </c>
      <c r="S497" t="s">
        <v>52</v>
      </c>
      <c r="T497" t="b">
        <v>1</v>
      </c>
      <c r="U497" t="s">
        <v>53</v>
      </c>
      <c r="V497" t="s">
        <v>54</v>
      </c>
      <c r="W497">
        <v>4</v>
      </c>
      <c r="X497" t="b">
        <v>0</v>
      </c>
      <c r="Y497" t="s">
        <v>55</v>
      </c>
      <c r="Z497" t="s">
        <v>56</v>
      </c>
      <c r="AA497" t="s">
        <v>57</v>
      </c>
      <c r="AB497">
        <v>0</v>
      </c>
      <c r="AC497" t="s">
        <v>58</v>
      </c>
      <c r="AD497">
        <v>8</v>
      </c>
      <c r="AE497" t="s">
        <v>59</v>
      </c>
      <c r="AF497">
        <v>1090843</v>
      </c>
      <c r="AG497" t="b">
        <v>0</v>
      </c>
      <c r="AH497">
        <v>8</v>
      </c>
      <c r="AI497" t="s">
        <v>59</v>
      </c>
      <c r="AJ497">
        <v>1090843</v>
      </c>
      <c r="AK497" t="b">
        <v>0</v>
      </c>
      <c r="AL497">
        <v>1090843</v>
      </c>
      <c r="AM497" t="b">
        <v>0</v>
      </c>
      <c r="AN497">
        <v>0</v>
      </c>
      <c r="AO497" t="b">
        <v>0</v>
      </c>
      <c r="AQ497">
        <v>683260.39</v>
      </c>
      <c r="AR497">
        <v>683260.39</v>
      </c>
      <c r="AS497">
        <v>0</v>
      </c>
      <c r="AT497" t="b">
        <v>0</v>
      </c>
      <c r="AU497" t="b">
        <v>1</v>
      </c>
      <c r="BA497" t="str">
        <f t="shared" si="14"/>
        <v>Normal</v>
      </c>
      <c r="BG497" t="str">
        <f t="shared" si="15"/>
        <v>Normal</v>
      </c>
    </row>
    <row r="498" spans="1:59" x14ac:dyDescent="0.2">
      <c r="A498" t="s">
        <v>42</v>
      </c>
      <c r="B498" t="s">
        <v>43</v>
      </c>
      <c r="C498">
        <v>20230101</v>
      </c>
      <c r="D498">
        <v>2023</v>
      </c>
      <c r="E498">
        <v>52</v>
      </c>
      <c r="F498" t="s">
        <v>311</v>
      </c>
      <c r="G498">
        <v>842</v>
      </c>
      <c r="H498" t="s">
        <v>268</v>
      </c>
      <c r="I498" t="s">
        <v>268</v>
      </c>
      <c r="J498" t="s">
        <v>47</v>
      </c>
      <c r="K498" t="s">
        <v>48</v>
      </c>
      <c r="L498">
        <v>0</v>
      </c>
      <c r="M498" t="s">
        <v>49</v>
      </c>
      <c r="N498" t="s">
        <v>50</v>
      </c>
      <c r="O498">
        <v>0</v>
      </c>
      <c r="P498" t="s">
        <v>49</v>
      </c>
      <c r="Q498" t="s">
        <v>50</v>
      </c>
      <c r="R498" t="s">
        <v>300</v>
      </c>
      <c r="S498" t="s">
        <v>52</v>
      </c>
      <c r="T498" t="b">
        <v>1</v>
      </c>
      <c r="U498" t="s">
        <v>53</v>
      </c>
      <c r="V498" t="s">
        <v>54</v>
      </c>
      <c r="W498">
        <v>4</v>
      </c>
      <c r="X498" t="b">
        <v>0</v>
      </c>
      <c r="Y498" t="s">
        <v>55</v>
      </c>
      <c r="Z498" t="s">
        <v>56</v>
      </c>
      <c r="AA498" t="s">
        <v>57</v>
      </c>
      <c r="AB498">
        <v>0</v>
      </c>
      <c r="AC498" t="s">
        <v>58</v>
      </c>
      <c r="AD498">
        <v>8</v>
      </c>
      <c r="AE498" t="s">
        <v>59</v>
      </c>
      <c r="AF498">
        <v>235677354408</v>
      </c>
      <c r="AG498" t="b">
        <v>0</v>
      </c>
      <c r="AH498">
        <v>19</v>
      </c>
      <c r="AI498" t="s">
        <v>60</v>
      </c>
      <c r="AJ498">
        <v>1482247512</v>
      </c>
      <c r="AK498" t="b">
        <v>0</v>
      </c>
      <c r="AL498">
        <v>235677354408</v>
      </c>
      <c r="AM498" t="b">
        <v>0</v>
      </c>
      <c r="AN498">
        <v>0</v>
      </c>
      <c r="AO498" t="b">
        <v>0</v>
      </c>
      <c r="AQ498">
        <v>117160520564</v>
      </c>
      <c r="AR498">
        <v>117160520564</v>
      </c>
      <c r="AS498">
        <v>0</v>
      </c>
      <c r="AT498" t="b">
        <v>0</v>
      </c>
      <c r="AU498" t="b">
        <v>1</v>
      </c>
      <c r="BA498" t="str">
        <f t="shared" si="14"/>
        <v>Normal</v>
      </c>
      <c r="BG498" t="str">
        <f t="shared" si="15"/>
        <v>Normal</v>
      </c>
    </row>
    <row r="499" spans="1:59" x14ac:dyDescent="0.2">
      <c r="A499" t="s">
        <v>42</v>
      </c>
      <c r="B499" t="s">
        <v>43</v>
      </c>
      <c r="C499">
        <v>20230101</v>
      </c>
      <c r="D499">
        <v>2023</v>
      </c>
      <c r="E499">
        <v>52</v>
      </c>
      <c r="F499" t="s">
        <v>311</v>
      </c>
      <c r="G499">
        <v>882</v>
      </c>
      <c r="H499" t="s">
        <v>269</v>
      </c>
      <c r="I499" t="s">
        <v>270</v>
      </c>
      <c r="J499" t="s">
        <v>47</v>
      </c>
      <c r="K499" t="s">
        <v>48</v>
      </c>
      <c r="L499">
        <v>0</v>
      </c>
      <c r="M499" t="s">
        <v>49</v>
      </c>
      <c r="N499" t="s">
        <v>50</v>
      </c>
      <c r="O499">
        <v>0</v>
      </c>
      <c r="P499" t="s">
        <v>49</v>
      </c>
      <c r="Q499" t="s">
        <v>50</v>
      </c>
      <c r="R499" t="s">
        <v>51</v>
      </c>
      <c r="S499" t="s">
        <v>52</v>
      </c>
      <c r="T499" t="b">
        <v>1</v>
      </c>
      <c r="U499" t="s">
        <v>53</v>
      </c>
      <c r="V499" t="s">
        <v>54</v>
      </c>
      <c r="W499">
        <v>4</v>
      </c>
      <c r="X499" t="b">
        <v>0</v>
      </c>
      <c r="Y499" t="s">
        <v>55</v>
      </c>
      <c r="Z499" t="s">
        <v>56</v>
      </c>
      <c r="AA499" t="s">
        <v>57</v>
      </c>
      <c r="AB499">
        <v>0</v>
      </c>
      <c r="AC499" t="s">
        <v>58</v>
      </c>
      <c r="AD499">
        <v>8</v>
      </c>
      <c r="AE499" t="s">
        <v>59</v>
      </c>
      <c r="AF499">
        <v>14400</v>
      </c>
      <c r="AG499" t="b">
        <v>0</v>
      </c>
      <c r="AH499">
        <v>7</v>
      </c>
      <c r="AI499" t="s">
        <v>67</v>
      </c>
      <c r="AJ499">
        <v>14400</v>
      </c>
      <c r="AK499" t="b">
        <v>0</v>
      </c>
      <c r="AL499">
        <v>14400</v>
      </c>
      <c r="AM499" t="b">
        <v>0</v>
      </c>
      <c r="AN499">
        <v>0</v>
      </c>
      <c r="AO499" t="b">
        <v>0</v>
      </c>
      <c r="AQ499">
        <v>11746.793</v>
      </c>
      <c r="AR499">
        <v>11746.793</v>
      </c>
      <c r="AS499">
        <v>0</v>
      </c>
      <c r="AT499" t="b">
        <v>0</v>
      </c>
      <c r="AU499" t="b">
        <v>1</v>
      </c>
      <c r="BA499" t="str">
        <f t="shared" si="14"/>
        <v>Normal</v>
      </c>
      <c r="BG499" t="str">
        <f t="shared" si="15"/>
        <v>Normal</v>
      </c>
    </row>
    <row r="500" spans="1:59" x14ac:dyDescent="0.2">
      <c r="A500" t="s">
        <v>42</v>
      </c>
      <c r="B500" t="s">
        <v>43</v>
      </c>
      <c r="C500">
        <v>20230101</v>
      </c>
      <c r="D500">
        <v>2023</v>
      </c>
      <c r="E500">
        <v>52</v>
      </c>
      <c r="F500" t="s">
        <v>311</v>
      </c>
      <c r="G500">
        <v>894</v>
      </c>
      <c r="H500" t="s">
        <v>285</v>
      </c>
      <c r="I500" t="s">
        <v>286</v>
      </c>
      <c r="J500" t="s">
        <v>47</v>
      </c>
      <c r="K500" t="s">
        <v>48</v>
      </c>
      <c r="L500">
        <v>0</v>
      </c>
      <c r="M500" t="s">
        <v>49</v>
      </c>
      <c r="N500" t="s">
        <v>50</v>
      </c>
      <c r="O500">
        <v>0</v>
      </c>
      <c r="P500" t="s">
        <v>49</v>
      </c>
      <c r="Q500" t="s">
        <v>50</v>
      </c>
      <c r="R500" t="s">
        <v>300</v>
      </c>
      <c r="S500" t="s">
        <v>52</v>
      </c>
      <c r="T500" t="b">
        <v>1</v>
      </c>
      <c r="U500" t="s">
        <v>53</v>
      </c>
      <c r="V500" t="s">
        <v>54</v>
      </c>
      <c r="W500">
        <v>4</v>
      </c>
      <c r="X500" t="b">
        <v>0</v>
      </c>
      <c r="Y500" t="s">
        <v>55</v>
      </c>
      <c r="Z500" t="s">
        <v>56</v>
      </c>
      <c r="AA500" t="s">
        <v>57</v>
      </c>
      <c r="AB500">
        <v>0</v>
      </c>
      <c r="AC500" t="s">
        <v>58</v>
      </c>
      <c r="AD500">
        <v>8</v>
      </c>
      <c r="AE500" t="s">
        <v>59</v>
      </c>
      <c r="AF500">
        <v>1530</v>
      </c>
      <c r="AG500" t="b">
        <v>0</v>
      </c>
      <c r="AH500">
        <v>7</v>
      </c>
      <c r="AI500" t="s">
        <v>67</v>
      </c>
      <c r="AJ500">
        <v>663</v>
      </c>
      <c r="AK500" t="b">
        <v>0</v>
      </c>
      <c r="AL500">
        <v>1530</v>
      </c>
      <c r="AM500" t="b">
        <v>0</v>
      </c>
      <c r="AN500">
        <v>0</v>
      </c>
      <c r="AO500" t="b">
        <v>0</v>
      </c>
      <c r="AQ500">
        <v>11364.210999999999</v>
      </c>
      <c r="AR500">
        <v>11364.210999999999</v>
      </c>
      <c r="AS500">
        <v>0</v>
      </c>
      <c r="AT500" t="b">
        <v>0</v>
      </c>
      <c r="AU500" t="b">
        <v>1</v>
      </c>
      <c r="BA500" t="str">
        <f t="shared" si="14"/>
        <v>Normal</v>
      </c>
      <c r="BG500" t="str">
        <f t="shared" si="15"/>
        <v>Normal</v>
      </c>
    </row>
    <row r="501" spans="1:59" x14ac:dyDescent="0.2">
      <c r="A501" t="s">
        <v>42</v>
      </c>
      <c r="B501" t="s">
        <v>43</v>
      </c>
      <c r="C501">
        <v>20240101</v>
      </c>
      <c r="D501">
        <v>2024</v>
      </c>
      <c r="E501">
        <v>52</v>
      </c>
      <c r="F501" t="s">
        <v>325</v>
      </c>
      <c r="G501">
        <v>24</v>
      </c>
      <c r="H501" t="s">
        <v>45</v>
      </c>
      <c r="I501" t="s">
        <v>46</v>
      </c>
      <c r="J501" t="s">
        <v>47</v>
      </c>
      <c r="K501" t="s">
        <v>48</v>
      </c>
      <c r="L501">
        <v>0</v>
      </c>
      <c r="M501" t="s">
        <v>49</v>
      </c>
      <c r="N501" t="s">
        <v>50</v>
      </c>
      <c r="O501">
        <v>0</v>
      </c>
      <c r="P501" t="s">
        <v>49</v>
      </c>
      <c r="Q501" t="s">
        <v>50</v>
      </c>
      <c r="R501" t="s">
        <v>300</v>
      </c>
      <c r="S501" t="s">
        <v>52</v>
      </c>
      <c r="T501" t="b">
        <v>1</v>
      </c>
      <c r="U501" t="s">
        <v>53</v>
      </c>
      <c r="V501" t="s">
        <v>54</v>
      </c>
      <c r="W501">
        <v>4</v>
      </c>
      <c r="X501" t="b">
        <v>0</v>
      </c>
      <c r="Y501" t="s">
        <v>55</v>
      </c>
      <c r="Z501" t="s">
        <v>56</v>
      </c>
      <c r="AA501" t="s">
        <v>57</v>
      </c>
      <c r="AB501">
        <v>0</v>
      </c>
      <c r="AC501" t="s">
        <v>58</v>
      </c>
      <c r="AD501">
        <v>8</v>
      </c>
      <c r="AE501" t="s">
        <v>59</v>
      </c>
      <c r="AF501">
        <v>391760460</v>
      </c>
      <c r="AG501" t="b">
        <v>0</v>
      </c>
      <c r="AH501">
        <v>8</v>
      </c>
      <c r="AI501" t="s">
        <v>59</v>
      </c>
      <c r="AJ501">
        <v>391760460</v>
      </c>
      <c r="AK501" t="b">
        <v>0</v>
      </c>
      <c r="AL501">
        <v>391760460</v>
      </c>
      <c r="AM501" t="b">
        <v>0</v>
      </c>
      <c r="AN501">
        <v>0</v>
      </c>
      <c r="AO501" t="b">
        <v>0</v>
      </c>
      <c r="AQ501">
        <v>31257304278.029999</v>
      </c>
      <c r="AR501">
        <v>31257304278.029999</v>
      </c>
      <c r="AS501">
        <v>0</v>
      </c>
      <c r="AT501" t="b">
        <v>0</v>
      </c>
      <c r="AU501" t="b">
        <v>1</v>
      </c>
      <c r="BA501" t="str">
        <f t="shared" si="14"/>
        <v>Normal</v>
      </c>
      <c r="BG501" t="str">
        <f t="shared" si="15"/>
        <v>Normal</v>
      </c>
    </row>
    <row r="502" spans="1:59" x14ac:dyDescent="0.2">
      <c r="A502" t="s">
        <v>42</v>
      </c>
      <c r="B502" t="s">
        <v>43</v>
      </c>
      <c r="C502">
        <v>20240101</v>
      </c>
      <c r="D502">
        <v>2024</v>
      </c>
      <c r="E502">
        <v>52</v>
      </c>
      <c r="F502" t="s">
        <v>325</v>
      </c>
      <c r="G502">
        <v>31</v>
      </c>
      <c r="H502" t="s">
        <v>61</v>
      </c>
      <c r="I502" t="s">
        <v>62</v>
      </c>
      <c r="J502" t="s">
        <v>47</v>
      </c>
      <c r="K502" t="s">
        <v>48</v>
      </c>
      <c r="L502">
        <v>0</v>
      </c>
      <c r="M502" t="s">
        <v>49</v>
      </c>
      <c r="N502" t="s">
        <v>50</v>
      </c>
      <c r="O502">
        <v>0</v>
      </c>
      <c r="P502" t="s">
        <v>49</v>
      </c>
      <c r="Q502" t="s">
        <v>50</v>
      </c>
      <c r="R502" t="s">
        <v>300</v>
      </c>
      <c r="S502" t="s">
        <v>52</v>
      </c>
      <c r="T502" t="b">
        <v>1</v>
      </c>
      <c r="U502" t="s">
        <v>53</v>
      </c>
      <c r="V502" t="s">
        <v>54</v>
      </c>
      <c r="W502">
        <v>4</v>
      </c>
      <c r="X502" t="b">
        <v>0</v>
      </c>
      <c r="Y502" t="s">
        <v>55</v>
      </c>
      <c r="Z502" t="s">
        <v>56</v>
      </c>
      <c r="AA502" t="s">
        <v>57</v>
      </c>
      <c r="AB502">
        <v>0</v>
      </c>
      <c r="AC502" t="s">
        <v>58</v>
      </c>
      <c r="AD502">
        <v>8</v>
      </c>
      <c r="AE502" t="s">
        <v>59</v>
      </c>
      <c r="AF502">
        <v>23596170696</v>
      </c>
      <c r="AG502" t="b">
        <v>0</v>
      </c>
      <c r="AH502">
        <v>8</v>
      </c>
      <c r="AI502" t="s">
        <v>59</v>
      </c>
      <c r="AJ502">
        <v>23596170696</v>
      </c>
      <c r="AK502" t="b">
        <v>0</v>
      </c>
      <c r="AL502">
        <v>23596170696</v>
      </c>
      <c r="AM502" t="b">
        <v>0</v>
      </c>
      <c r="AN502">
        <v>0</v>
      </c>
      <c r="AO502" t="b">
        <v>0</v>
      </c>
      <c r="AQ502">
        <v>14437355994.08</v>
      </c>
      <c r="AR502">
        <v>14437355994.08</v>
      </c>
      <c r="AS502">
        <v>0</v>
      </c>
      <c r="AT502" t="b">
        <v>0</v>
      </c>
      <c r="AU502" t="b">
        <v>1</v>
      </c>
      <c r="BA502" t="str">
        <f t="shared" si="14"/>
        <v>Normal</v>
      </c>
      <c r="BG502" t="str">
        <f t="shared" si="15"/>
        <v>Normal</v>
      </c>
    </row>
    <row r="503" spans="1:59" x14ac:dyDescent="0.2">
      <c r="A503" t="s">
        <v>42</v>
      </c>
      <c r="B503" t="s">
        <v>43</v>
      </c>
      <c r="C503">
        <v>20240101</v>
      </c>
      <c r="D503">
        <v>2024</v>
      </c>
      <c r="E503">
        <v>52</v>
      </c>
      <c r="F503" t="s">
        <v>325</v>
      </c>
      <c r="G503">
        <v>32</v>
      </c>
      <c r="H503" t="s">
        <v>63</v>
      </c>
      <c r="I503" t="s">
        <v>64</v>
      </c>
      <c r="J503" t="s">
        <v>47</v>
      </c>
      <c r="K503" t="s">
        <v>48</v>
      </c>
      <c r="L503">
        <v>0</v>
      </c>
      <c r="M503" t="s">
        <v>49</v>
      </c>
      <c r="N503" t="s">
        <v>50</v>
      </c>
      <c r="O503">
        <v>0</v>
      </c>
      <c r="P503" t="s">
        <v>49</v>
      </c>
      <c r="Q503" t="s">
        <v>50</v>
      </c>
      <c r="R503" t="s">
        <v>300</v>
      </c>
      <c r="S503" t="s">
        <v>52</v>
      </c>
      <c r="T503" t="b">
        <v>1</v>
      </c>
      <c r="U503" t="s">
        <v>53</v>
      </c>
      <c r="V503" t="s">
        <v>54</v>
      </c>
      <c r="W503">
        <v>4</v>
      </c>
      <c r="X503" t="b">
        <v>0</v>
      </c>
      <c r="Y503" t="s">
        <v>55</v>
      </c>
      <c r="Z503" t="s">
        <v>56</v>
      </c>
      <c r="AA503" t="s">
        <v>57</v>
      </c>
      <c r="AB503">
        <v>0</v>
      </c>
      <c r="AC503" t="s">
        <v>58</v>
      </c>
      <c r="AD503">
        <v>8</v>
      </c>
      <c r="AE503" t="s">
        <v>59</v>
      </c>
      <c r="AF503">
        <v>8686507120</v>
      </c>
      <c r="AG503" t="b">
        <v>0</v>
      </c>
      <c r="AH503">
        <v>8</v>
      </c>
      <c r="AI503" t="s">
        <v>59</v>
      </c>
      <c r="AJ503">
        <v>8686507120</v>
      </c>
      <c r="AK503" t="b">
        <v>0</v>
      </c>
      <c r="AL503">
        <v>8686507120</v>
      </c>
      <c r="AM503" t="b">
        <v>0</v>
      </c>
      <c r="AN503">
        <v>0</v>
      </c>
      <c r="AO503" t="b">
        <v>0</v>
      </c>
      <c r="AQ503">
        <v>4931109474.6599998</v>
      </c>
      <c r="AR503">
        <v>4931109474.6599998</v>
      </c>
      <c r="AS503">
        <v>0</v>
      </c>
      <c r="AT503" t="b">
        <v>0</v>
      </c>
      <c r="AU503" t="b">
        <v>1</v>
      </c>
      <c r="BA503" t="str">
        <f t="shared" si="14"/>
        <v>Normal</v>
      </c>
      <c r="BG503" t="str">
        <f t="shared" si="15"/>
        <v>Normal</v>
      </c>
    </row>
    <row r="504" spans="1:59" x14ac:dyDescent="0.2">
      <c r="A504" t="s">
        <v>42</v>
      </c>
      <c r="B504" t="s">
        <v>43</v>
      </c>
      <c r="C504">
        <v>20240101</v>
      </c>
      <c r="D504">
        <v>2024</v>
      </c>
      <c r="E504">
        <v>52</v>
      </c>
      <c r="F504" t="s">
        <v>325</v>
      </c>
      <c r="G504">
        <v>36</v>
      </c>
      <c r="H504" t="s">
        <v>65</v>
      </c>
      <c r="I504" t="s">
        <v>66</v>
      </c>
      <c r="J504" t="s">
        <v>47</v>
      </c>
      <c r="K504" t="s">
        <v>48</v>
      </c>
      <c r="L504">
        <v>0</v>
      </c>
      <c r="M504" t="s">
        <v>49</v>
      </c>
      <c r="N504" t="s">
        <v>50</v>
      </c>
      <c r="O504">
        <v>0</v>
      </c>
      <c r="P504" t="s">
        <v>49</v>
      </c>
      <c r="Q504" t="s">
        <v>50</v>
      </c>
      <c r="R504" t="s">
        <v>300</v>
      </c>
      <c r="S504" t="s">
        <v>52</v>
      </c>
      <c r="T504" t="b">
        <v>1</v>
      </c>
      <c r="U504" t="s">
        <v>53</v>
      </c>
      <c r="V504" t="s">
        <v>54</v>
      </c>
      <c r="W504">
        <v>4</v>
      </c>
      <c r="X504" t="b">
        <v>0</v>
      </c>
      <c r="Y504" t="s">
        <v>55</v>
      </c>
      <c r="Z504" t="s">
        <v>56</v>
      </c>
      <c r="AA504" t="s">
        <v>57</v>
      </c>
      <c r="AB504">
        <v>0</v>
      </c>
      <c r="AC504" t="s">
        <v>58</v>
      </c>
      <c r="AD504">
        <v>8</v>
      </c>
      <c r="AE504" t="s">
        <v>59</v>
      </c>
      <c r="AF504">
        <v>13791172716</v>
      </c>
      <c r="AG504" t="b">
        <v>0</v>
      </c>
      <c r="AH504">
        <v>7</v>
      </c>
      <c r="AI504" t="s">
        <v>67</v>
      </c>
      <c r="AJ504">
        <v>13791172716</v>
      </c>
      <c r="AK504" t="b">
        <v>0</v>
      </c>
      <c r="AM504" t="b">
        <v>0</v>
      </c>
      <c r="AN504">
        <v>11062078.973999999</v>
      </c>
      <c r="AO504" t="b">
        <v>0</v>
      </c>
      <c r="AQ504">
        <v>7064711970.2510004</v>
      </c>
      <c r="AR504">
        <v>7064711970.2510004</v>
      </c>
      <c r="AS504">
        <v>0</v>
      </c>
      <c r="AT504" t="b">
        <v>0</v>
      </c>
      <c r="AU504" t="b">
        <v>1</v>
      </c>
      <c r="BA504" t="str">
        <f t="shared" si="14"/>
        <v>Normal</v>
      </c>
      <c r="BG504" t="str">
        <f t="shared" si="15"/>
        <v>Normal</v>
      </c>
    </row>
    <row r="505" spans="1:59" x14ac:dyDescent="0.2">
      <c r="A505" t="s">
        <v>42</v>
      </c>
      <c r="B505" t="s">
        <v>43</v>
      </c>
      <c r="C505">
        <v>20240101</v>
      </c>
      <c r="D505">
        <v>2024</v>
      </c>
      <c r="E505">
        <v>52</v>
      </c>
      <c r="F505" t="s">
        <v>325</v>
      </c>
      <c r="G505">
        <v>52</v>
      </c>
      <c r="H505" t="s">
        <v>68</v>
      </c>
      <c r="I505" t="s">
        <v>69</v>
      </c>
      <c r="J505" t="s">
        <v>47</v>
      </c>
      <c r="K505" t="s">
        <v>48</v>
      </c>
      <c r="L505">
        <v>0</v>
      </c>
      <c r="M505" t="s">
        <v>49</v>
      </c>
      <c r="N505" t="s">
        <v>50</v>
      </c>
      <c r="O505">
        <v>0</v>
      </c>
      <c r="P505" t="s">
        <v>49</v>
      </c>
      <c r="Q505" t="s">
        <v>50</v>
      </c>
      <c r="R505" t="s">
        <v>300</v>
      </c>
      <c r="S505" t="s">
        <v>52</v>
      </c>
      <c r="T505" t="b">
        <v>1</v>
      </c>
      <c r="U505" t="s">
        <v>53</v>
      </c>
      <c r="V505" t="s">
        <v>54</v>
      </c>
      <c r="W505">
        <v>4</v>
      </c>
      <c r="X505" t="b">
        <v>0</v>
      </c>
      <c r="Y505" t="s">
        <v>55</v>
      </c>
      <c r="Z505" t="s">
        <v>56</v>
      </c>
      <c r="AA505" t="s">
        <v>57</v>
      </c>
      <c r="AB505">
        <v>0</v>
      </c>
      <c r="AC505" t="s">
        <v>58</v>
      </c>
      <c r="AD505">
        <v>8</v>
      </c>
      <c r="AE505" t="s">
        <v>59</v>
      </c>
      <c r="AF505">
        <v>24238000</v>
      </c>
      <c r="AG505" t="b">
        <v>0</v>
      </c>
      <c r="AH505">
        <v>8</v>
      </c>
      <c r="AI505" t="s">
        <v>59</v>
      </c>
      <c r="AJ505">
        <v>24238000</v>
      </c>
      <c r="AK505" t="b">
        <v>0</v>
      </c>
      <c r="AL505">
        <v>24238000</v>
      </c>
      <c r="AM505" t="b">
        <v>0</v>
      </c>
      <c r="AN505">
        <v>0</v>
      </c>
      <c r="AO505" t="b">
        <v>0</v>
      </c>
      <c r="AQ505">
        <v>13633480</v>
      </c>
      <c r="AR505">
        <v>13633480</v>
      </c>
      <c r="AS505">
        <v>0</v>
      </c>
      <c r="AT505" t="b">
        <v>0</v>
      </c>
      <c r="AU505" t="b">
        <v>1</v>
      </c>
      <c r="BA505" t="str">
        <f t="shared" si="14"/>
        <v>Normal</v>
      </c>
      <c r="BG505" t="str">
        <f t="shared" si="15"/>
        <v>Normal</v>
      </c>
    </row>
    <row r="506" spans="1:59" x14ac:dyDescent="0.2">
      <c r="A506" t="s">
        <v>42</v>
      </c>
      <c r="B506" t="s">
        <v>43</v>
      </c>
      <c r="C506">
        <v>20240101</v>
      </c>
      <c r="D506">
        <v>2024</v>
      </c>
      <c r="E506">
        <v>52</v>
      </c>
      <c r="F506" t="s">
        <v>325</v>
      </c>
      <c r="G506">
        <v>56</v>
      </c>
      <c r="H506" t="s">
        <v>71</v>
      </c>
      <c r="I506" t="s">
        <v>72</v>
      </c>
      <c r="J506" t="s">
        <v>47</v>
      </c>
      <c r="K506" t="s">
        <v>48</v>
      </c>
      <c r="L506">
        <v>0</v>
      </c>
      <c r="M506" t="s">
        <v>49</v>
      </c>
      <c r="N506" t="s">
        <v>50</v>
      </c>
      <c r="O506">
        <v>0</v>
      </c>
      <c r="P506" t="s">
        <v>49</v>
      </c>
      <c r="Q506" t="s">
        <v>50</v>
      </c>
      <c r="R506" t="s">
        <v>300</v>
      </c>
      <c r="S506" t="s">
        <v>52</v>
      </c>
      <c r="T506" t="b">
        <v>1</v>
      </c>
      <c r="U506" t="s">
        <v>53</v>
      </c>
      <c r="V506" t="s">
        <v>54</v>
      </c>
      <c r="W506">
        <v>4</v>
      </c>
      <c r="X506" t="b">
        <v>0</v>
      </c>
      <c r="Y506" t="s">
        <v>55</v>
      </c>
      <c r="Z506" t="s">
        <v>56</v>
      </c>
      <c r="AA506" t="s">
        <v>57</v>
      </c>
      <c r="AB506">
        <v>0</v>
      </c>
      <c r="AC506" t="s">
        <v>58</v>
      </c>
      <c r="AD506">
        <v>-1</v>
      </c>
      <c r="AE506" t="s">
        <v>73</v>
      </c>
      <c r="AF506">
        <v>0</v>
      </c>
      <c r="AG506" t="b">
        <v>0</v>
      </c>
      <c r="AH506">
        <v>-1</v>
      </c>
      <c r="AI506" t="s">
        <v>73</v>
      </c>
      <c r="AJ506">
        <v>0</v>
      </c>
      <c r="AK506" t="b">
        <v>0</v>
      </c>
      <c r="AM506" t="b">
        <v>0</v>
      </c>
      <c r="AN506">
        <v>0</v>
      </c>
      <c r="AO506" t="b">
        <v>0</v>
      </c>
      <c r="AQ506">
        <v>51327789.243000001</v>
      </c>
      <c r="AR506">
        <v>51327789.243000001</v>
      </c>
      <c r="AS506">
        <v>0</v>
      </c>
      <c r="AT506" t="b">
        <v>0</v>
      </c>
      <c r="AU506" t="b">
        <v>1</v>
      </c>
      <c r="BA506" t="str">
        <f t="shared" si="14"/>
        <v>Normal</v>
      </c>
      <c r="BG506" t="str">
        <f t="shared" si="15"/>
        <v>Normal</v>
      </c>
    </row>
    <row r="507" spans="1:59" x14ac:dyDescent="0.2">
      <c r="A507" t="s">
        <v>42</v>
      </c>
      <c r="B507" t="s">
        <v>43</v>
      </c>
      <c r="C507">
        <v>20240101</v>
      </c>
      <c r="D507">
        <v>2024</v>
      </c>
      <c r="E507">
        <v>52</v>
      </c>
      <c r="F507" t="s">
        <v>325</v>
      </c>
      <c r="G507">
        <v>68</v>
      </c>
      <c r="H507" t="s">
        <v>74</v>
      </c>
      <c r="I507" t="s">
        <v>75</v>
      </c>
      <c r="J507" t="s">
        <v>47</v>
      </c>
      <c r="K507" t="s">
        <v>48</v>
      </c>
      <c r="L507">
        <v>0</v>
      </c>
      <c r="M507" t="s">
        <v>49</v>
      </c>
      <c r="N507" t="s">
        <v>50</v>
      </c>
      <c r="O507">
        <v>0</v>
      </c>
      <c r="P507" t="s">
        <v>49</v>
      </c>
      <c r="Q507" t="s">
        <v>50</v>
      </c>
      <c r="R507" t="s">
        <v>300</v>
      </c>
      <c r="S507" t="s">
        <v>52</v>
      </c>
      <c r="T507" t="b">
        <v>1</v>
      </c>
      <c r="U507" t="s">
        <v>53</v>
      </c>
      <c r="V507" t="s">
        <v>54</v>
      </c>
      <c r="W507">
        <v>4</v>
      </c>
      <c r="X507" t="b">
        <v>0</v>
      </c>
      <c r="Y507" t="s">
        <v>55</v>
      </c>
      <c r="Z507" t="s">
        <v>56</v>
      </c>
      <c r="AA507" t="s">
        <v>57</v>
      </c>
      <c r="AB507">
        <v>0</v>
      </c>
      <c r="AC507" t="s">
        <v>58</v>
      </c>
      <c r="AD507">
        <v>8</v>
      </c>
      <c r="AE507" t="s">
        <v>59</v>
      </c>
      <c r="AF507">
        <v>3036654</v>
      </c>
      <c r="AG507" t="b">
        <v>0</v>
      </c>
      <c r="AH507">
        <v>8</v>
      </c>
      <c r="AI507" t="s">
        <v>59</v>
      </c>
      <c r="AJ507">
        <v>3036654</v>
      </c>
      <c r="AK507" t="b">
        <v>0</v>
      </c>
      <c r="AL507">
        <v>3036654</v>
      </c>
      <c r="AM507" t="b">
        <v>0</v>
      </c>
      <c r="AN507">
        <v>3036654</v>
      </c>
      <c r="AO507" t="b">
        <v>0</v>
      </c>
      <c r="AQ507">
        <v>1419208.15</v>
      </c>
      <c r="AR507">
        <v>1419208.15</v>
      </c>
      <c r="AS507">
        <v>0</v>
      </c>
      <c r="AT507" t="b">
        <v>0</v>
      </c>
      <c r="AU507" t="b">
        <v>1</v>
      </c>
      <c r="BA507" t="str">
        <f t="shared" si="14"/>
        <v>Normal</v>
      </c>
      <c r="BG507" t="str">
        <f t="shared" si="15"/>
        <v>Normal</v>
      </c>
    </row>
    <row r="508" spans="1:59" x14ac:dyDescent="0.2">
      <c r="A508" t="s">
        <v>42</v>
      </c>
      <c r="B508" t="s">
        <v>43</v>
      </c>
      <c r="C508">
        <v>20240101</v>
      </c>
      <c r="D508">
        <v>2024</v>
      </c>
      <c r="E508">
        <v>52</v>
      </c>
      <c r="F508" t="s">
        <v>325</v>
      </c>
      <c r="G508">
        <v>70</v>
      </c>
      <c r="H508" t="s">
        <v>76</v>
      </c>
      <c r="I508" t="s">
        <v>77</v>
      </c>
      <c r="J508" t="s">
        <v>47</v>
      </c>
      <c r="K508" t="s">
        <v>48</v>
      </c>
      <c r="L508">
        <v>0</v>
      </c>
      <c r="M508" t="s">
        <v>49</v>
      </c>
      <c r="N508" t="s">
        <v>50</v>
      </c>
      <c r="O508">
        <v>0</v>
      </c>
      <c r="P508" t="s">
        <v>49</v>
      </c>
      <c r="Q508" t="s">
        <v>50</v>
      </c>
      <c r="R508" t="s">
        <v>300</v>
      </c>
      <c r="S508" t="s">
        <v>52</v>
      </c>
      <c r="T508" t="b">
        <v>1</v>
      </c>
      <c r="U508" t="s">
        <v>53</v>
      </c>
      <c r="V508" t="s">
        <v>54</v>
      </c>
      <c r="W508">
        <v>4</v>
      </c>
      <c r="X508" t="b">
        <v>0</v>
      </c>
      <c r="Y508" t="s">
        <v>55</v>
      </c>
      <c r="Z508" t="s">
        <v>56</v>
      </c>
      <c r="AA508" t="s">
        <v>57</v>
      </c>
      <c r="AB508">
        <v>0</v>
      </c>
      <c r="AC508" t="s">
        <v>58</v>
      </c>
      <c r="AD508">
        <v>8</v>
      </c>
      <c r="AE508" t="s">
        <v>59</v>
      </c>
      <c r="AF508">
        <v>7881026.7999999998</v>
      </c>
      <c r="AG508" t="b">
        <v>0</v>
      </c>
      <c r="AH508">
        <v>8</v>
      </c>
      <c r="AI508" t="s">
        <v>59</v>
      </c>
      <c r="AJ508">
        <v>7881026.7999999998</v>
      </c>
      <c r="AK508" t="b">
        <v>0</v>
      </c>
      <c r="AL508">
        <v>7881026.7999999998</v>
      </c>
      <c r="AM508" t="b">
        <v>0</v>
      </c>
      <c r="AN508">
        <v>0</v>
      </c>
      <c r="AO508" t="b">
        <v>0</v>
      </c>
      <c r="AQ508">
        <v>4664390.3049999997</v>
      </c>
      <c r="AR508">
        <v>4664390.3049999997</v>
      </c>
      <c r="AS508">
        <v>0</v>
      </c>
      <c r="AT508" t="b">
        <v>0</v>
      </c>
      <c r="AU508" t="b">
        <v>1</v>
      </c>
      <c r="BA508" t="str">
        <f t="shared" si="14"/>
        <v>Normal</v>
      </c>
      <c r="BG508" t="str">
        <f t="shared" si="15"/>
        <v>Normal</v>
      </c>
    </row>
    <row r="509" spans="1:59" x14ac:dyDescent="0.2">
      <c r="A509" t="s">
        <v>42</v>
      </c>
      <c r="B509" t="s">
        <v>43</v>
      </c>
      <c r="C509">
        <v>20240101</v>
      </c>
      <c r="D509">
        <v>2024</v>
      </c>
      <c r="E509">
        <v>52</v>
      </c>
      <c r="F509" t="s">
        <v>325</v>
      </c>
      <c r="G509">
        <v>76</v>
      </c>
      <c r="H509" t="s">
        <v>80</v>
      </c>
      <c r="I509" t="s">
        <v>81</v>
      </c>
      <c r="J509" t="s">
        <v>47</v>
      </c>
      <c r="K509" t="s">
        <v>48</v>
      </c>
      <c r="L509">
        <v>0</v>
      </c>
      <c r="M509" t="s">
        <v>49</v>
      </c>
      <c r="N509" t="s">
        <v>50</v>
      </c>
      <c r="O509">
        <v>0</v>
      </c>
      <c r="P509" t="s">
        <v>49</v>
      </c>
      <c r="Q509" t="s">
        <v>50</v>
      </c>
      <c r="R509" t="s">
        <v>300</v>
      </c>
      <c r="S509" t="s">
        <v>52</v>
      </c>
      <c r="T509" t="b">
        <v>1</v>
      </c>
      <c r="U509" t="s">
        <v>53</v>
      </c>
      <c r="V509" t="s">
        <v>54</v>
      </c>
      <c r="W509">
        <v>4</v>
      </c>
      <c r="X509" t="b">
        <v>0</v>
      </c>
      <c r="Y509" t="s">
        <v>55</v>
      </c>
      <c r="Z509" t="s">
        <v>56</v>
      </c>
      <c r="AA509" t="s">
        <v>57</v>
      </c>
      <c r="AB509">
        <v>0</v>
      </c>
      <c r="AC509" t="s">
        <v>58</v>
      </c>
      <c r="AD509">
        <v>8</v>
      </c>
      <c r="AE509" t="s">
        <v>59</v>
      </c>
      <c r="AF509">
        <v>89660869085.669998</v>
      </c>
      <c r="AG509" t="b">
        <v>1</v>
      </c>
      <c r="AH509">
        <v>-1</v>
      </c>
      <c r="AI509" t="s">
        <v>73</v>
      </c>
      <c r="AJ509">
        <v>0</v>
      </c>
      <c r="AK509" t="b">
        <v>0</v>
      </c>
      <c r="AL509">
        <v>89660869085.669998</v>
      </c>
      <c r="AM509" t="b">
        <v>1</v>
      </c>
      <c r="AN509">
        <v>0</v>
      </c>
      <c r="AO509" t="b">
        <v>0</v>
      </c>
      <c r="AQ509">
        <v>44842761197</v>
      </c>
      <c r="AR509">
        <v>44842761197</v>
      </c>
      <c r="AS509">
        <v>6</v>
      </c>
      <c r="AT509" t="b">
        <v>0</v>
      </c>
      <c r="AU509" t="b">
        <v>1</v>
      </c>
      <c r="BA509" t="str">
        <f t="shared" si="14"/>
        <v>Normal</v>
      </c>
      <c r="BG509" t="str">
        <f t="shared" si="15"/>
        <v>Normal</v>
      </c>
    </row>
    <row r="510" spans="1:59" x14ac:dyDescent="0.2">
      <c r="A510" t="s">
        <v>42</v>
      </c>
      <c r="B510" t="s">
        <v>43</v>
      </c>
      <c r="C510">
        <v>20240101</v>
      </c>
      <c r="D510">
        <v>2024</v>
      </c>
      <c r="E510">
        <v>52</v>
      </c>
      <c r="F510" t="s">
        <v>325</v>
      </c>
      <c r="G510">
        <v>96</v>
      </c>
      <c r="H510" t="s">
        <v>84</v>
      </c>
      <c r="I510" t="s">
        <v>85</v>
      </c>
      <c r="J510" t="s">
        <v>47</v>
      </c>
      <c r="K510" t="s">
        <v>48</v>
      </c>
      <c r="L510">
        <v>0</v>
      </c>
      <c r="M510" t="s">
        <v>49</v>
      </c>
      <c r="N510" t="s">
        <v>50</v>
      </c>
      <c r="O510">
        <v>0</v>
      </c>
      <c r="P510" t="s">
        <v>49</v>
      </c>
      <c r="Q510" t="s">
        <v>50</v>
      </c>
      <c r="R510" t="s">
        <v>300</v>
      </c>
      <c r="S510" t="s">
        <v>52</v>
      </c>
      <c r="T510" t="b">
        <v>1</v>
      </c>
      <c r="U510" t="s">
        <v>53</v>
      </c>
      <c r="V510" t="s">
        <v>54</v>
      </c>
      <c r="W510">
        <v>4</v>
      </c>
      <c r="X510" t="b">
        <v>0</v>
      </c>
      <c r="Y510" t="s">
        <v>55</v>
      </c>
      <c r="Z510" t="s">
        <v>56</v>
      </c>
      <c r="AA510" t="s">
        <v>57</v>
      </c>
      <c r="AB510">
        <v>0</v>
      </c>
      <c r="AC510" t="s">
        <v>58</v>
      </c>
      <c r="AD510">
        <v>8</v>
      </c>
      <c r="AE510" t="s">
        <v>59</v>
      </c>
      <c r="AF510">
        <v>3341658000</v>
      </c>
      <c r="AG510" t="b">
        <v>0</v>
      </c>
      <c r="AH510">
        <v>8</v>
      </c>
      <c r="AI510" t="s">
        <v>59</v>
      </c>
      <c r="AJ510">
        <v>3341658000</v>
      </c>
      <c r="AK510" t="b">
        <v>0</v>
      </c>
      <c r="AL510">
        <v>3341658000</v>
      </c>
      <c r="AM510" t="b">
        <v>0</v>
      </c>
      <c r="AN510">
        <v>0</v>
      </c>
      <c r="AO510" t="b">
        <v>0</v>
      </c>
      <c r="AQ510">
        <v>2100528154.694</v>
      </c>
      <c r="AR510">
        <v>2100528154.694</v>
      </c>
      <c r="AS510">
        <v>0</v>
      </c>
      <c r="AT510" t="b">
        <v>0</v>
      </c>
      <c r="AU510" t="b">
        <v>1</v>
      </c>
      <c r="BA510" t="str">
        <f t="shared" si="14"/>
        <v>Normal</v>
      </c>
      <c r="BG510" t="str">
        <f t="shared" si="15"/>
        <v>Normal</v>
      </c>
    </row>
    <row r="511" spans="1:59" x14ac:dyDescent="0.2">
      <c r="A511" t="s">
        <v>42</v>
      </c>
      <c r="B511" t="s">
        <v>43</v>
      </c>
      <c r="C511">
        <v>20240101</v>
      </c>
      <c r="D511">
        <v>2024</v>
      </c>
      <c r="E511">
        <v>52</v>
      </c>
      <c r="F511" t="s">
        <v>325</v>
      </c>
      <c r="G511">
        <v>124</v>
      </c>
      <c r="H511" t="s">
        <v>94</v>
      </c>
      <c r="I511" t="s">
        <v>95</v>
      </c>
      <c r="J511" t="s">
        <v>47</v>
      </c>
      <c r="K511" t="s">
        <v>48</v>
      </c>
      <c r="L511">
        <v>0</v>
      </c>
      <c r="M511" t="s">
        <v>49</v>
      </c>
      <c r="N511" t="s">
        <v>50</v>
      </c>
      <c r="O511">
        <v>0</v>
      </c>
      <c r="P511" t="s">
        <v>49</v>
      </c>
      <c r="Q511" t="s">
        <v>50</v>
      </c>
      <c r="R511" t="s">
        <v>300</v>
      </c>
      <c r="S511" t="s">
        <v>52</v>
      </c>
      <c r="T511" t="b">
        <v>1</v>
      </c>
      <c r="U511" t="s">
        <v>53</v>
      </c>
      <c r="V511" t="s">
        <v>54</v>
      </c>
      <c r="W511">
        <v>4</v>
      </c>
      <c r="X511" t="b">
        <v>0</v>
      </c>
      <c r="Y511" t="s">
        <v>55</v>
      </c>
      <c r="Z511" t="s">
        <v>56</v>
      </c>
      <c r="AA511" t="s">
        <v>57</v>
      </c>
      <c r="AB511">
        <v>0</v>
      </c>
      <c r="AC511" t="s">
        <v>58</v>
      </c>
      <c r="AD511">
        <v>8</v>
      </c>
      <c r="AE511" t="s">
        <v>59</v>
      </c>
      <c r="AF511">
        <v>187181071024.32599</v>
      </c>
      <c r="AG511" t="b">
        <v>1</v>
      </c>
      <c r="AH511">
        <v>-1</v>
      </c>
      <c r="AI511" t="s">
        <v>73</v>
      </c>
      <c r="AJ511">
        <v>0</v>
      </c>
      <c r="AK511" t="b">
        <v>0</v>
      </c>
      <c r="AL511">
        <v>187181071024.32599</v>
      </c>
      <c r="AM511" t="b">
        <v>1</v>
      </c>
      <c r="AN511">
        <v>0</v>
      </c>
      <c r="AO511" t="b">
        <v>0</v>
      </c>
      <c r="AQ511">
        <v>103880264107.119</v>
      </c>
      <c r="AR511">
        <v>103880264107.119</v>
      </c>
      <c r="AS511">
        <v>6</v>
      </c>
      <c r="AT511" t="b">
        <v>0</v>
      </c>
      <c r="AU511" t="b">
        <v>1</v>
      </c>
      <c r="BA511" t="str">
        <f t="shared" si="14"/>
        <v>Normal</v>
      </c>
      <c r="BG511" t="str">
        <f t="shared" si="15"/>
        <v>Normal</v>
      </c>
    </row>
    <row r="512" spans="1:59" x14ac:dyDescent="0.2">
      <c r="A512" t="s">
        <v>42</v>
      </c>
      <c r="B512" t="s">
        <v>43</v>
      </c>
      <c r="C512">
        <v>20240101</v>
      </c>
      <c r="D512">
        <v>2024</v>
      </c>
      <c r="E512">
        <v>52</v>
      </c>
      <c r="F512" t="s">
        <v>325</v>
      </c>
      <c r="G512">
        <v>144</v>
      </c>
      <c r="H512" t="s">
        <v>326</v>
      </c>
      <c r="I512" t="s">
        <v>327</v>
      </c>
      <c r="J512" t="s">
        <v>47</v>
      </c>
      <c r="K512" t="s">
        <v>48</v>
      </c>
      <c r="L512">
        <v>0</v>
      </c>
      <c r="M512" t="s">
        <v>49</v>
      </c>
      <c r="N512" t="s">
        <v>50</v>
      </c>
      <c r="O512">
        <v>0</v>
      </c>
      <c r="P512" t="s">
        <v>49</v>
      </c>
      <c r="Q512" t="s">
        <v>50</v>
      </c>
      <c r="R512" t="s">
        <v>300</v>
      </c>
      <c r="S512" t="s">
        <v>52</v>
      </c>
      <c r="T512" t="b">
        <v>1</v>
      </c>
      <c r="U512" t="s">
        <v>53</v>
      </c>
      <c r="V512" t="s">
        <v>54</v>
      </c>
      <c r="W512">
        <v>4</v>
      </c>
      <c r="X512" t="b">
        <v>0</v>
      </c>
      <c r="Y512" t="s">
        <v>55</v>
      </c>
      <c r="Z512" t="s">
        <v>56</v>
      </c>
      <c r="AA512" t="s">
        <v>57</v>
      </c>
      <c r="AB512">
        <v>0</v>
      </c>
      <c r="AC512" t="s">
        <v>58</v>
      </c>
      <c r="AD512">
        <v>8</v>
      </c>
      <c r="AE512" t="s">
        <v>59</v>
      </c>
      <c r="AF512">
        <v>120</v>
      </c>
      <c r="AG512" t="b">
        <v>0</v>
      </c>
      <c r="AH512">
        <v>8</v>
      </c>
      <c r="AI512" t="s">
        <v>59</v>
      </c>
      <c r="AJ512">
        <v>120</v>
      </c>
      <c r="AK512" t="b">
        <v>0</v>
      </c>
      <c r="AL512">
        <v>120</v>
      </c>
      <c r="AM512" t="b">
        <v>0</v>
      </c>
      <c r="AN512">
        <v>0</v>
      </c>
      <c r="AO512" t="b">
        <v>0</v>
      </c>
      <c r="AQ512">
        <v>3431.74</v>
      </c>
      <c r="AR512">
        <v>3431.74</v>
      </c>
      <c r="AS512">
        <v>0</v>
      </c>
      <c r="AT512" t="b">
        <v>0</v>
      </c>
      <c r="AU512" t="b">
        <v>1</v>
      </c>
      <c r="BA512" t="str">
        <f t="shared" si="14"/>
        <v>Normal</v>
      </c>
      <c r="BG512" t="str">
        <f t="shared" si="15"/>
        <v>Normal</v>
      </c>
    </row>
    <row r="513" spans="1:59" x14ac:dyDescent="0.2">
      <c r="A513" t="s">
        <v>42</v>
      </c>
      <c r="B513" t="s">
        <v>43</v>
      </c>
      <c r="C513">
        <v>20240101</v>
      </c>
      <c r="D513">
        <v>2024</v>
      </c>
      <c r="E513">
        <v>52</v>
      </c>
      <c r="F513" t="s">
        <v>325</v>
      </c>
      <c r="G513">
        <v>152</v>
      </c>
      <c r="H513" t="s">
        <v>272</v>
      </c>
      <c r="I513" t="s">
        <v>273</v>
      </c>
      <c r="J513" t="s">
        <v>47</v>
      </c>
      <c r="K513" t="s">
        <v>48</v>
      </c>
      <c r="L513">
        <v>0</v>
      </c>
      <c r="M513" t="s">
        <v>49</v>
      </c>
      <c r="N513" t="s">
        <v>50</v>
      </c>
      <c r="O513">
        <v>0</v>
      </c>
      <c r="P513" t="s">
        <v>49</v>
      </c>
      <c r="Q513" t="s">
        <v>50</v>
      </c>
      <c r="R513" t="s">
        <v>300</v>
      </c>
      <c r="S513" t="s">
        <v>52</v>
      </c>
      <c r="T513" t="b">
        <v>1</v>
      </c>
      <c r="U513" t="s">
        <v>53</v>
      </c>
      <c r="V513" t="s">
        <v>54</v>
      </c>
      <c r="W513">
        <v>4</v>
      </c>
      <c r="X513" t="b">
        <v>0</v>
      </c>
      <c r="Y513" t="s">
        <v>55</v>
      </c>
      <c r="Z513" t="s">
        <v>56</v>
      </c>
      <c r="AA513" t="s">
        <v>57</v>
      </c>
      <c r="AB513">
        <v>0</v>
      </c>
      <c r="AC513" t="s">
        <v>58</v>
      </c>
      <c r="AD513">
        <v>8</v>
      </c>
      <c r="AE513" t="s">
        <v>59</v>
      </c>
      <c r="AF513">
        <v>24610200</v>
      </c>
      <c r="AG513" t="b">
        <v>0</v>
      </c>
      <c r="AH513">
        <v>8</v>
      </c>
      <c r="AI513" t="s">
        <v>59</v>
      </c>
      <c r="AJ513">
        <v>24610200</v>
      </c>
      <c r="AK513" t="b">
        <v>0</v>
      </c>
      <c r="AL513">
        <v>24610200</v>
      </c>
      <c r="AM513" t="b">
        <v>0</v>
      </c>
      <c r="AN513">
        <v>0</v>
      </c>
      <c r="AO513" t="b">
        <v>0</v>
      </c>
      <c r="AQ513">
        <v>10113086.01</v>
      </c>
      <c r="AR513">
        <v>10113086.01</v>
      </c>
      <c r="AS513">
        <v>0</v>
      </c>
      <c r="AT513" t="b">
        <v>0</v>
      </c>
      <c r="AU513" t="b">
        <v>1</v>
      </c>
      <c r="BA513" t="str">
        <f t="shared" si="14"/>
        <v>Normal</v>
      </c>
      <c r="BG513" t="str">
        <f t="shared" si="15"/>
        <v>Normal</v>
      </c>
    </row>
    <row r="514" spans="1:59" x14ac:dyDescent="0.2">
      <c r="A514" t="s">
        <v>42</v>
      </c>
      <c r="B514" t="s">
        <v>43</v>
      </c>
      <c r="C514">
        <v>20240101</v>
      </c>
      <c r="D514">
        <v>2024</v>
      </c>
      <c r="E514">
        <v>52</v>
      </c>
      <c r="F514" t="s">
        <v>325</v>
      </c>
      <c r="G514">
        <v>156</v>
      </c>
      <c r="H514" t="s">
        <v>96</v>
      </c>
      <c r="I514" t="s">
        <v>97</v>
      </c>
      <c r="J514" t="s">
        <v>47</v>
      </c>
      <c r="K514" t="s">
        <v>48</v>
      </c>
      <c r="L514">
        <v>0</v>
      </c>
      <c r="M514" t="s">
        <v>49</v>
      </c>
      <c r="N514" t="s">
        <v>50</v>
      </c>
      <c r="O514">
        <v>0</v>
      </c>
      <c r="P514" t="s">
        <v>49</v>
      </c>
      <c r="Q514" t="s">
        <v>50</v>
      </c>
      <c r="R514" t="s">
        <v>300</v>
      </c>
      <c r="S514" t="s">
        <v>52</v>
      </c>
      <c r="T514" t="b">
        <v>1</v>
      </c>
      <c r="U514" t="s">
        <v>53</v>
      </c>
      <c r="V514" t="s">
        <v>54</v>
      </c>
      <c r="W514">
        <v>4</v>
      </c>
      <c r="X514" t="b">
        <v>0</v>
      </c>
      <c r="Y514" t="s">
        <v>55</v>
      </c>
      <c r="Z514" t="s">
        <v>56</v>
      </c>
      <c r="AA514" t="s">
        <v>57</v>
      </c>
      <c r="AB514">
        <v>0</v>
      </c>
      <c r="AC514" t="s">
        <v>58</v>
      </c>
      <c r="AD514">
        <v>8</v>
      </c>
      <c r="AE514" t="s">
        <v>59</v>
      </c>
      <c r="AF514">
        <v>2089129800</v>
      </c>
      <c r="AG514" t="b">
        <v>0</v>
      </c>
      <c r="AH514">
        <v>19</v>
      </c>
      <c r="AI514" t="s">
        <v>60</v>
      </c>
      <c r="AJ514">
        <v>15230715</v>
      </c>
      <c r="AK514" t="b">
        <v>0</v>
      </c>
      <c r="AL514">
        <v>2089129800</v>
      </c>
      <c r="AM514" t="b">
        <v>0</v>
      </c>
      <c r="AN514">
        <v>0</v>
      </c>
      <c r="AO514" t="b">
        <v>0</v>
      </c>
      <c r="AQ514">
        <v>1178947474</v>
      </c>
      <c r="AR514">
        <v>1178947474</v>
      </c>
      <c r="AS514">
        <v>0</v>
      </c>
      <c r="AT514" t="b">
        <v>0</v>
      </c>
      <c r="AU514" t="b">
        <v>1</v>
      </c>
      <c r="BA514" t="str">
        <f t="shared" si="14"/>
        <v>Normal</v>
      </c>
      <c r="BG514" t="str">
        <f t="shared" si="15"/>
        <v>Normal</v>
      </c>
    </row>
    <row r="515" spans="1:59" x14ac:dyDescent="0.2">
      <c r="A515" t="s">
        <v>42</v>
      </c>
      <c r="B515" t="s">
        <v>43</v>
      </c>
      <c r="C515">
        <v>20240101</v>
      </c>
      <c r="D515">
        <v>2024</v>
      </c>
      <c r="E515">
        <v>52</v>
      </c>
      <c r="F515" t="s">
        <v>325</v>
      </c>
      <c r="G515">
        <v>170</v>
      </c>
      <c r="H515" t="s">
        <v>98</v>
      </c>
      <c r="I515" t="s">
        <v>99</v>
      </c>
      <c r="J515" t="s">
        <v>47</v>
      </c>
      <c r="K515" t="s">
        <v>48</v>
      </c>
      <c r="L515">
        <v>0</v>
      </c>
      <c r="M515" t="s">
        <v>49</v>
      </c>
      <c r="N515" t="s">
        <v>50</v>
      </c>
      <c r="O515">
        <v>0</v>
      </c>
      <c r="P515" t="s">
        <v>49</v>
      </c>
      <c r="Q515" t="s">
        <v>50</v>
      </c>
      <c r="R515" t="s">
        <v>300</v>
      </c>
      <c r="S515" t="s">
        <v>52</v>
      </c>
      <c r="T515" t="b">
        <v>1</v>
      </c>
      <c r="U515" t="s">
        <v>53</v>
      </c>
      <c r="V515" t="s">
        <v>54</v>
      </c>
      <c r="W515">
        <v>4</v>
      </c>
      <c r="X515" t="b">
        <v>0</v>
      </c>
      <c r="Y515" t="s">
        <v>55</v>
      </c>
      <c r="Z515" t="s">
        <v>56</v>
      </c>
      <c r="AA515" t="s">
        <v>57</v>
      </c>
      <c r="AB515">
        <v>0</v>
      </c>
      <c r="AC515" t="s">
        <v>58</v>
      </c>
      <c r="AD515">
        <v>8</v>
      </c>
      <c r="AE515" t="s">
        <v>59</v>
      </c>
      <c r="AF515">
        <v>25433273400</v>
      </c>
      <c r="AG515" t="b">
        <v>0</v>
      </c>
      <c r="AH515">
        <v>12</v>
      </c>
      <c r="AI515" t="s">
        <v>70</v>
      </c>
      <c r="AJ515">
        <v>27509485.800000001</v>
      </c>
      <c r="AK515" t="b">
        <v>0</v>
      </c>
      <c r="AL515">
        <v>25433273400</v>
      </c>
      <c r="AM515" t="b">
        <v>0</v>
      </c>
      <c r="AN515">
        <v>0</v>
      </c>
      <c r="AO515" t="b">
        <v>0</v>
      </c>
      <c r="AQ515">
        <v>12062242730.01</v>
      </c>
      <c r="AR515">
        <v>12062242730.01</v>
      </c>
      <c r="AS515">
        <v>0</v>
      </c>
      <c r="AT515" t="b">
        <v>0</v>
      </c>
      <c r="AU515" t="b">
        <v>1</v>
      </c>
      <c r="BA515" t="str">
        <f t="shared" ref="BA515:BA578" si="16">IF(OR(AJ515&lt;AY515,AJ1089&gt;AZ515),"Outlier","Normal")</f>
        <v>Normal</v>
      </c>
      <c r="BG515" t="str">
        <f t="shared" ref="BG515:BG576" si="17">IF(OR(AQ515&lt;BE515,AQ1089&gt;BF515),"Outlier","Normal")</f>
        <v>Normal</v>
      </c>
    </row>
    <row r="516" spans="1:59" x14ac:dyDescent="0.2">
      <c r="A516" t="s">
        <v>42</v>
      </c>
      <c r="B516" t="s">
        <v>43</v>
      </c>
      <c r="C516">
        <v>20240101</v>
      </c>
      <c r="D516">
        <v>2024</v>
      </c>
      <c r="E516">
        <v>52</v>
      </c>
      <c r="F516" t="s">
        <v>325</v>
      </c>
      <c r="G516">
        <v>191</v>
      </c>
      <c r="H516" t="s">
        <v>105</v>
      </c>
      <c r="I516" t="s">
        <v>106</v>
      </c>
      <c r="J516" t="s">
        <v>47</v>
      </c>
      <c r="K516" t="s">
        <v>48</v>
      </c>
      <c r="L516">
        <v>0</v>
      </c>
      <c r="M516" t="s">
        <v>49</v>
      </c>
      <c r="N516" t="s">
        <v>50</v>
      </c>
      <c r="O516">
        <v>0</v>
      </c>
      <c r="P516" t="s">
        <v>49</v>
      </c>
      <c r="Q516" t="s">
        <v>50</v>
      </c>
      <c r="R516" t="s">
        <v>300</v>
      </c>
      <c r="S516" t="s">
        <v>52</v>
      </c>
      <c r="T516" t="b">
        <v>1</v>
      </c>
      <c r="U516" t="s">
        <v>53</v>
      </c>
      <c r="V516" t="s">
        <v>54</v>
      </c>
      <c r="W516">
        <v>4</v>
      </c>
      <c r="X516" t="b">
        <v>0</v>
      </c>
      <c r="Y516" t="s">
        <v>55</v>
      </c>
      <c r="Z516" t="s">
        <v>56</v>
      </c>
      <c r="AA516" t="s">
        <v>57</v>
      </c>
      <c r="AB516">
        <v>0</v>
      </c>
      <c r="AC516" t="s">
        <v>58</v>
      </c>
      <c r="AD516">
        <v>8</v>
      </c>
      <c r="AE516" t="s">
        <v>59</v>
      </c>
      <c r="AF516">
        <v>1267246500.0999999</v>
      </c>
      <c r="AG516" t="b">
        <v>0</v>
      </c>
      <c r="AH516">
        <v>8</v>
      </c>
      <c r="AI516" t="s">
        <v>59</v>
      </c>
      <c r="AJ516">
        <v>1267246500.0999999</v>
      </c>
      <c r="AK516" t="b">
        <v>0</v>
      </c>
      <c r="AL516">
        <v>1267246500.0999999</v>
      </c>
      <c r="AM516" t="b">
        <v>0</v>
      </c>
      <c r="AN516">
        <v>0</v>
      </c>
      <c r="AO516" t="b">
        <v>0</v>
      </c>
      <c r="AQ516">
        <v>773594230</v>
      </c>
      <c r="AR516">
        <v>773594230</v>
      </c>
      <c r="AS516">
        <v>0</v>
      </c>
      <c r="AT516" t="b">
        <v>0</v>
      </c>
      <c r="AU516" t="b">
        <v>1</v>
      </c>
      <c r="BA516" t="str">
        <f t="shared" si="16"/>
        <v>Normal</v>
      </c>
      <c r="BG516" t="str">
        <f t="shared" si="17"/>
        <v>Normal</v>
      </c>
    </row>
    <row r="517" spans="1:59" x14ac:dyDescent="0.2">
      <c r="A517" t="s">
        <v>42</v>
      </c>
      <c r="B517" t="s">
        <v>43</v>
      </c>
      <c r="C517">
        <v>20240101</v>
      </c>
      <c r="D517">
        <v>2024</v>
      </c>
      <c r="E517">
        <v>52</v>
      </c>
      <c r="F517" t="s">
        <v>325</v>
      </c>
      <c r="G517">
        <v>203</v>
      </c>
      <c r="H517" t="s">
        <v>107</v>
      </c>
      <c r="I517" t="s">
        <v>108</v>
      </c>
      <c r="J517" t="s">
        <v>47</v>
      </c>
      <c r="K517" t="s">
        <v>48</v>
      </c>
      <c r="L517">
        <v>0</v>
      </c>
      <c r="M517" t="s">
        <v>49</v>
      </c>
      <c r="N517" t="s">
        <v>50</v>
      </c>
      <c r="O517">
        <v>0</v>
      </c>
      <c r="P517" t="s">
        <v>49</v>
      </c>
      <c r="Q517" t="s">
        <v>50</v>
      </c>
      <c r="R517" t="s">
        <v>300</v>
      </c>
      <c r="S517" t="s">
        <v>52</v>
      </c>
      <c r="T517" t="b">
        <v>1</v>
      </c>
      <c r="U517" t="s">
        <v>53</v>
      </c>
      <c r="V517" t="s">
        <v>54</v>
      </c>
      <c r="W517">
        <v>4</v>
      </c>
      <c r="X517" t="b">
        <v>0</v>
      </c>
      <c r="Y517" t="s">
        <v>55</v>
      </c>
      <c r="Z517" t="s">
        <v>56</v>
      </c>
      <c r="AA517" t="s">
        <v>57</v>
      </c>
      <c r="AB517">
        <v>0</v>
      </c>
      <c r="AC517" t="s">
        <v>58</v>
      </c>
      <c r="AD517">
        <v>-1</v>
      </c>
      <c r="AE517" t="s">
        <v>73</v>
      </c>
      <c r="AF517">
        <v>0</v>
      </c>
      <c r="AG517" t="b">
        <v>0</v>
      </c>
      <c r="AH517">
        <v>-1</v>
      </c>
      <c r="AI517" t="s">
        <v>73</v>
      </c>
      <c r="AJ517">
        <v>0</v>
      </c>
      <c r="AK517" t="b">
        <v>0</v>
      </c>
      <c r="AM517" t="b">
        <v>0</v>
      </c>
      <c r="AN517">
        <v>0</v>
      </c>
      <c r="AO517" t="b">
        <v>0</v>
      </c>
      <c r="AQ517">
        <v>12120</v>
      </c>
      <c r="AR517">
        <v>12120</v>
      </c>
      <c r="AS517">
        <v>0</v>
      </c>
      <c r="AT517" t="b">
        <v>0</v>
      </c>
      <c r="AU517" t="b">
        <v>1</v>
      </c>
      <c r="BA517" t="str">
        <f t="shared" si="16"/>
        <v>Normal</v>
      </c>
      <c r="BG517" t="str">
        <f t="shared" si="17"/>
        <v>Normal</v>
      </c>
    </row>
    <row r="518" spans="1:59" x14ac:dyDescent="0.2">
      <c r="A518" t="s">
        <v>42</v>
      </c>
      <c r="B518" t="s">
        <v>43</v>
      </c>
      <c r="C518">
        <v>20240101</v>
      </c>
      <c r="D518">
        <v>2024</v>
      </c>
      <c r="E518">
        <v>52</v>
      </c>
      <c r="F518" t="s">
        <v>325</v>
      </c>
      <c r="G518">
        <v>208</v>
      </c>
      <c r="H518" t="s">
        <v>109</v>
      </c>
      <c r="I518" t="s">
        <v>110</v>
      </c>
      <c r="J518" t="s">
        <v>47</v>
      </c>
      <c r="K518" t="s">
        <v>48</v>
      </c>
      <c r="L518">
        <v>0</v>
      </c>
      <c r="M518" t="s">
        <v>49</v>
      </c>
      <c r="N518" t="s">
        <v>50</v>
      </c>
      <c r="O518">
        <v>0</v>
      </c>
      <c r="P518" t="s">
        <v>49</v>
      </c>
      <c r="Q518" t="s">
        <v>50</v>
      </c>
      <c r="R518" t="s">
        <v>300</v>
      </c>
      <c r="S518" t="s">
        <v>52</v>
      </c>
      <c r="T518" t="b">
        <v>1</v>
      </c>
      <c r="U518" t="s">
        <v>53</v>
      </c>
      <c r="V518" t="s">
        <v>54</v>
      </c>
      <c r="W518">
        <v>4</v>
      </c>
      <c r="X518" t="b">
        <v>0</v>
      </c>
      <c r="Y518" t="s">
        <v>55</v>
      </c>
      <c r="Z518" t="s">
        <v>56</v>
      </c>
      <c r="AA518" t="s">
        <v>57</v>
      </c>
      <c r="AB518">
        <v>0</v>
      </c>
      <c r="AC518" t="s">
        <v>58</v>
      </c>
      <c r="AD518">
        <v>-1</v>
      </c>
      <c r="AE518" t="s">
        <v>73</v>
      </c>
      <c r="AF518">
        <v>0</v>
      </c>
      <c r="AG518" t="b">
        <v>0</v>
      </c>
      <c r="AH518">
        <v>-1</v>
      </c>
      <c r="AI518" t="s">
        <v>73</v>
      </c>
      <c r="AJ518">
        <v>0</v>
      </c>
      <c r="AK518" t="b">
        <v>0</v>
      </c>
      <c r="AM518" t="b">
        <v>0</v>
      </c>
      <c r="AN518">
        <v>0</v>
      </c>
      <c r="AO518" t="b">
        <v>0</v>
      </c>
      <c r="AQ518">
        <v>396230751.76999998</v>
      </c>
      <c r="AR518">
        <v>396230751.76999998</v>
      </c>
      <c r="AS518">
        <v>0</v>
      </c>
      <c r="AT518" t="b">
        <v>0</v>
      </c>
      <c r="AU518" t="b">
        <v>1</v>
      </c>
      <c r="BA518" t="str">
        <f t="shared" si="16"/>
        <v>Normal</v>
      </c>
      <c r="BG518" t="str">
        <f t="shared" si="17"/>
        <v>Normal</v>
      </c>
    </row>
    <row r="519" spans="1:59" x14ac:dyDescent="0.2">
      <c r="A519" t="s">
        <v>42</v>
      </c>
      <c r="B519" t="s">
        <v>43</v>
      </c>
      <c r="C519">
        <v>20240101</v>
      </c>
      <c r="D519">
        <v>2024</v>
      </c>
      <c r="E519">
        <v>52</v>
      </c>
      <c r="F519" t="s">
        <v>325</v>
      </c>
      <c r="G519">
        <v>214</v>
      </c>
      <c r="H519" t="s">
        <v>111</v>
      </c>
      <c r="I519" t="s">
        <v>112</v>
      </c>
      <c r="J519" t="s">
        <v>47</v>
      </c>
      <c r="K519" t="s">
        <v>48</v>
      </c>
      <c r="L519">
        <v>0</v>
      </c>
      <c r="M519" t="s">
        <v>49</v>
      </c>
      <c r="N519" t="s">
        <v>50</v>
      </c>
      <c r="O519">
        <v>0</v>
      </c>
      <c r="P519" t="s">
        <v>49</v>
      </c>
      <c r="Q519" t="s">
        <v>50</v>
      </c>
      <c r="R519" t="s">
        <v>300</v>
      </c>
      <c r="S519" t="s">
        <v>52</v>
      </c>
      <c r="T519" t="b">
        <v>1</v>
      </c>
      <c r="U519" t="s">
        <v>53</v>
      </c>
      <c r="V519" t="s">
        <v>54</v>
      </c>
      <c r="W519">
        <v>4</v>
      </c>
      <c r="X519" t="b">
        <v>0</v>
      </c>
      <c r="Y519" t="s">
        <v>55</v>
      </c>
      <c r="Z519" t="s">
        <v>56</v>
      </c>
      <c r="AA519" t="s">
        <v>57</v>
      </c>
      <c r="AB519">
        <v>0</v>
      </c>
      <c r="AC519" t="s">
        <v>58</v>
      </c>
      <c r="AD519">
        <v>8</v>
      </c>
      <c r="AE519" t="s">
        <v>59</v>
      </c>
      <c r="AF519">
        <v>54</v>
      </c>
      <c r="AG519" t="b">
        <v>0</v>
      </c>
      <c r="AH519">
        <v>5</v>
      </c>
      <c r="AI519" t="s">
        <v>292</v>
      </c>
      <c r="AJ519">
        <v>250</v>
      </c>
      <c r="AK519" t="b">
        <v>0</v>
      </c>
      <c r="AL519">
        <v>54</v>
      </c>
      <c r="AM519" t="b">
        <v>0</v>
      </c>
      <c r="AN519">
        <v>0</v>
      </c>
      <c r="AO519" t="b">
        <v>0</v>
      </c>
      <c r="AQ519">
        <v>3365</v>
      </c>
      <c r="AR519">
        <v>3365</v>
      </c>
      <c r="AS519">
        <v>0</v>
      </c>
      <c r="AT519" t="b">
        <v>0</v>
      </c>
      <c r="AU519" t="b">
        <v>1</v>
      </c>
      <c r="BA519" t="str">
        <f t="shared" si="16"/>
        <v>Normal</v>
      </c>
      <c r="BG519" t="str">
        <f t="shared" si="17"/>
        <v>Normal</v>
      </c>
    </row>
    <row r="520" spans="1:59" x14ac:dyDescent="0.2">
      <c r="A520" t="s">
        <v>42</v>
      </c>
      <c r="B520" t="s">
        <v>43</v>
      </c>
      <c r="C520">
        <v>20240101</v>
      </c>
      <c r="D520">
        <v>2024</v>
      </c>
      <c r="E520">
        <v>52</v>
      </c>
      <c r="F520" t="s">
        <v>325</v>
      </c>
      <c r="G520">
        <v>218</v>
      </c>
      <c r="H520" t="s">
        <v>113</v>
      </c>
      <c r="I520" t="s">
        <v>114</v>
      </c>
      <c r="J520" t="s">
        <v>47</v>
      </c>
      <c r="K520" t="s">
        <v>48</v>
      </c>
      <c r="L520">
        <v>0</v>
      </c>
      <c r="M520" t="s">
        <v>49</v>
      </c>
      <c r="N520" t="s">
        <v>50</v>
      </c>
      <c r="O520">
        <v>0</v>
      </c>
      <c r="P520" t="s">
        <v>49</v>
      </c>
      <c r="Q520" t="s">
        <v>50</v>
      </c>
      <c r="R520" t="s">
        <v>300</v>
      </c>
      <c r="S520" t="s">
        <v>52</v>
      </c>
      <c r="T520" t="b">
        <v>1</v>
      </c>
      <c r="U520" t="s">
        <v>53</v>
      </c>
      <c r="V520" t="s">
        <v>54</v>
      </c>
      <c r="W520">
        <v>4</v>
      </c>
      <c r="X520" t="b">
        <v>0</v>
      </c>
      <c r="Y520" t="s">
        <v>55</v>
      </c>
      <c r="Z520" t="s">
        <v>56</v>
      </c>
      <c r="AA520" t="s">
        <v>57</v>
      </c>
      <c r="AB520">
        <v>0</v>
      </c>
      <c r="AC520" t="s">
        <v>58</v>
      </c>
      <c r="AD520">
        <v>8</v>
      </c>
      <c r="AE520" t="s">
        <v>59</v>
      </c>
      <c r="AF520">
        <v>17091526369</v>
      </c>
      <c r="AG520" t="b">
        <v>0</v>
      </c>
      <c r="AH520">
        <v>-1</v>
      </c>
      <c r="AI520" t="s">
        <v>73</v>
      </c>
      <c r="AJ520">
        <v>0</v>
      </c>
      <c r="AK520" t="b">
        <v>0</v>
      </c>
      <c r="AL520">
        <v>17091526369</v>
      </c>
      <c r="AM520" t="b">
        <v>0</v>
      </c>
      <c r="AN520">
        <v>0</v>
      </c>
      <c r="AO520" t="b">
        <v>0</v>
      </c>
      <c r="AQ520">
        <v>7834790006.3999996</v>
      </c>
      <c r="AR520">
        <v>7834790006.3999996</v>
      </c>
      <c r="AS520">
        <v>0</v>
      </c>
      <c r="AT520" t="b">
        <v>0</v>
      </c>
      <c r="AU520" t="b">
        <v>1</v>
      </c>
      <c r="BA520" t="str">
        <f t="shared" si="16"/>
        <v>Normal</v>
      </c>
      <c r="BG520" t="str">
        <f t="shared" si="17"/>
        <v>Normal</v>
      </c>
    </row>
    <row r="521" spans="1:59" x14ac:dyDescent="0.2">
      <c r="A521" t="s">
        <v>42</v>
      </c>
      <c r="B521" t="s">
        <v>43</v>
      </c>
      <c r="C521">
        <v>20240101</v>
      </c>
      <c r="D521">
        <v>2024</v>
      </c>
      <c r="E521">
        <v>52</v>
      </c>
      <c r="F521" t="s">
        <v>325</v>
      </c>
      <c r="G521">
        <v>233</v>
      </c>
      <c r="H521" t="s">
        <v>117</v>
      </c>
      <c r="I521" t="s">
        <v>118</v>
      </c>
      <c r="J521" t="s">
        <v>47</v>
      </c>
      <c r="K521" t="s">
        <v>48</v>
      </c>
      <c r="L521">
        <v>0</v>
      </c>
      <c r="M521" t="s">
        <v>49</v>
      </c>
      <c r="N521" t="s">
        <v>50</v>
      </c>
      <c r="O521">
        <v>0</v>
      </c>
      <c r="P521" t="s">
        <v>49</v>
      </c>
      <c r="Q521" t="s">
        <v>50</v>
      </c>
      <c r="R521" t="s">
        <v>300</v>
      </c>
      <c r="S521" t="s">
        <v>52</v>
      </c>
      <c r="T521" t="b">
        <v>1</v>
      </c>
      <c r="U521" t="s">
        <v>53</v>
      </c>
      <c r="V521" t="s">
        <v>54</v>
      </c>
      <c r="W521">
        <v>4</v>
      </c>
      <c r="X521" t="b">
        <v>0</v>
      </c>
      <c r="Y521" t="s">
        <v>55</v>
      </c>
      <c r="Z521" t="s">
        <v>56</v>
      </c>
      <c r="AA521" t="s">
        <v>57</v>
      </c>
      <c r="AB521">
        <v>0</v>
      </c>
      <c r="AC521" t="s">
        <v>58</v>
      </c>
      <c r="AD521">
        <v>8</v>
      </c>
      <c r="AE521" t="s">
        <v>59</v>
      </c>
      <c r="AF521">
        <v>6</v>
      </c>
      <c r="AG521" t="b">
        <v>0</v>
      </c>
      <c r="AH521">
        <v>8</v>
      </c>
      <c r="AI521" t="s">
        <v>59</v>
      </c>
      <c r="AJ521">
        <v>6</v>
      </c>
      <c r="AK521" t="b">
        <v>0</v>
      </c>
      <c r="AL521">
        <v>6</v>
      </c>
      <c r="AM521" t="b">
        <v>0</v>
      </c>
      <c r="AN521">
        <v>0</v>
      </c>
      <c r="AO521" t="b">
        <v>0</v>
      </c>
      <c r="AQ521">
        <v>65.23</v>
      </c>
      <c r="AR521">
        <v>65.23</v>
      </c>
      <c r="AS521">
        <v>0</v>
      </c>
      <c r="AT521" t="b">
        <v>0</v>
      </c>
      <c r="AU521" t="b">
        <v>1</v>
      </c>
      <c r="BA521" t="str">
        <f t="shared" si="16"/>
        <v>Normal</v>
      </c>
      <c r="BG521" t="str">
        <f t="shared" si="17"/>
        <v>Normal</v>
      </c>
    </row>
    <row r="522" spans="1:59" x14ac:dyDescent="0.2">
      <c r="A522" t="s">
        <v>42</v>
      </c>
      <c r="B522" t="s">
        <v>43</v>
      </c>
      <c r="C522">
        <v>20240101</v>
      </c>
      <c r="D522">
        <v>2024</v>
      </c>
      <c r="E522">
        <v>52</v>
      </c>
      <c r="F522" t="s">
        <v>325</v>
      </c>
      <c r="G522">
        <v>242</v>
      </c>
      <c r="H522" t="s">
        <v>119</v>
      </c>
      <c r="I522" t="s">
        <v>120</v>
      </c>
      <c r="J522" t="s">
        <v>47</v>
      </c>
      <c r="K522" t="s">
        <v>48</v>
      </c>
      <c r="L522">
        <v>0</v>
      </c>
      <c r="M522" t="s">
        <v>49</v>
      </c>
      <c r="N522" t="s">
        <v>50</v>
      </c>
      <c r="O522">
        <v>0</v>
      </c>
      <c r="P522" t="s">
        <v>49</v>
      </c>
      <c r="Q522" t="s">
        <v>50</v>
      </c>
      <c r="R522" t="s">
        <v>300</v>
      </c>
      <c r="S522" t="s">
        <v>52</v>
      </c>
      <c r="T522" t="b">
        <v>1</v>
      </c>
      <c r="U522" t="s">
        <v>53</v>
      </c>
      <c r="V522" t="s">
        <v>54</v>
      </c>
      <c r="W522">
        <v>4</v>
      </c>
      <c r="X522" t="b">
        <v>0</v>
      </c>
      <c r="Y522" t="s">
        <v>55</v>
      </c>
      <c r="Z522" t="s">
        <v>56</v>
      </c>
      <c r="AA522" t="s">
        <v>57</v>
      </c>
      <c r="AB522">
        <v>0</v>
      </c>
      <c r="AC522" t="s">
        <v>58</v>
      </c>
      <c r="AD522">
        <v>8</v>
      </c>
      <c r="AE522" t="s">
        <v>59</v>
      </c>
      <c r="AF522">
        <v>42900</v>
      </c>
      <c r="AG522" t="b">
        <v>0</v>
      </c>
      <c r="AH522">
        <v>8</v>
      </c>
      <c r="AI522" t="s">
        <v>59</v>
      </c>
      <c r="AJ522">
        <v>42900</v>
      </c>
      <c r="AK522" t="b">
        <v>0</v>
      </c>
      <c r="AL522">
        <v>42900</v>
      </c>
      <c r="AM522" t="b">
        <v>0</v>
      </c>
      <c r="AN522">
        <v>0</v>
      </c>
      <c r="AO522" t="b">
        <v>0</v>
      </c>
      <c r="AQ522">
        <v>69694.483999999997</v>
      </c>
      <c r="AR522">
        <v>69694.483999999997</v>
      </c>
      <c r="AS522">
        <v>0</v>
      </c>
      <c r="AT522" t="b">
        <v>0</v>
      </c>
      <c r="AU522" t="b">
        <v>1</v>
      </c>
      <c r="BA522" t="str">
        <f t="shared" si="16"/>
        <v>Normal</v>
      </c>
      <c r="BG522" t="str">
        <f t="shared" si="17"/>
        <v>Normal</v>
      </c>
    </row>
    <row r="523" spans="1:59" x14ac:dyDescent="0.2">
      <c r="A523" t="s">
        <v>42</v>
      </c>
      <c r="B523" t="s">
        <v>43</v>
      </c>
      <c r="C523">
        <v>20240101</v>
      </c>
      <c r="D523">
        <v>2024</v>
      </c>
      <c r="E523">
        <v>52</v>
      </c>
      <c r="F523" t="s">
        <v>325</v>
      </c>
      <c r="G523">
        <v>246</v>
      </c>
      <c r="H523" t="s">
        <v>121</v>
      </c>
      <c r="I523" t="s">
        <v>122</v>
      </c>
      <c r="J523" t="s">
        <v>47</v>
      </c>
      <c r="K523" t="s">
        <v>48</v>
      </c>
      <c r="L523">
        <v>0</v>
      </c>
      <c r="M523" t="s">
        <v>49</v>
      </c>
      <c r="N523" t="s">
        <v>50</v>
      </c>
      <c r="O523">
        <v>0</v>
      </c>
      <c r="P523" t="s">
        <v>49</v>
      </c>
      <c r="Q523" t="s">
        <v>50</v>
      </c>
      <c r="R523" t="s">
        <v>300</v>
      </c>
      <c r="S523" t="s">
        <v>52</v>
      </c>
      <c r="T523" t="b">
        <v>1</v>
      </c>
      <c r="U523" t="s">
        <v>53</v>
      </c>
      <c r="V523" t="s">
        <v>54</v>
      </c>
      <c r="W523">
        <v>4</v>
      </c>
      <c r="X523" t="b">
        <v>0</v>
      </c>
      <c r="Y523" t="s">
        <v>55</v>
      </c>
      <c r="Z523" t="s">
        <v>56</v>
      </c>
      <c r="AA523" t="s">
        <v>57</v>
      </c>
      <c r="AB523">
        <v>0</v>
      </c>
      <c r="AC523" t="s">
        <v>58</v>
      </c>
      <c r="AD523">
        <v>8</v>
      </c>
      <c r="AE523" t="s">
        <v>59</v>
      </c>
      <c r="AF523">
        <v>248</v>
      </c>
      <c r="AG523" t="b">
        <v>0</v>
      </c>
      <c r="AH523">
        <v>8</v>
      </c>
      <c r="AI523" t="s">
        <v>59</v>
      </c>
      <c r="AJ523">
        <v>248</v>
      </c>
      <c r="AK523" t="b">
        <v>0</v>
      </c>
      <c r="AL523">
        <v>248</v>
      </c>
      <c r="AM523" t="b">
        <v>0</v>
      </c>
      <c r="AN523">
        <v>0</v>
      </c>
      <c r="AO523" t="b">
        <v>0</v>
      </c>
      <c r="AQ523">
        <v>288.166</v>
      </c>
      <c r="AR523">
        <v>288.166</v>
      </c>
      <c r="AS523">
        <v>0</v>
      </c>
      <c r="AT523" t="b">
        <v>0</v>
      </c>
      <c r="AU523" t="b">
        <v>1</v>
      </c>
      <c r="BA523" t="str">
        <f t="shared" si="16"/>
        <v>Normal</v>
      </c>
      <c r="BG523" t="str">
        <f t="shared" si="17"/>
        <v>Normal</v>
      </c>
    </row>
    <row r="524" spans="1:59" x14ac:dyDescent="0.2">
      <c r="A524" t="s">
        <v>42</v>
      </c>
      <c r="B524" t="s">
        <v>43</v>
      </c>
      <c r="C524">
        <v>20240101</v>
      </c>
      <c r="D524">
        <v>2024</v>
      </c>
      <c r="E524">
        <v>52</v>
      </c>
      <c r="F524" t="s">
        <v>325</v>
      </c>
      <c r="G524">
        <v>251</v>
      </c>
      <c r="H524" t="s">
        <v>123</v>
      </c>
      <c r="I524" t="s">
        <v>124</v>
      </c>
      <c r="J524" t="s">
        <v>47</v>
      </c>
      <c r="K524" t="s">
        <v>48</v>
      </c>
      <c r="L524">
        <v>0</v>
      </c>
      <c r="M524" t="s">
        <v>49</v>
      </c>
      <c r="N524" t="s">
        <v>50</v>
      </c>
      <c r="O524">
        <v>0</v>
      </c>
      <c r="P524" t="s">
        <v>49</v>
      </c>
      <c r="Q524" t="s">
        <v>50</v>
      </c>
      <c r="R524" t="s">
        <v>300</v>
      </c>
      <c r="S524" t="s">
        <v>52</v>
      </c>
      <c r="T524" t="b">
        <v>1</v>
      </c>
      <c r="U524" t="s">
        <v>53</v>
      </c>
      <c r="V524" t="s">
        <v>54</v>
      </c>
      <c r="W524">
        <v>4</v>
      </c>
      <c r="X524" t="b">
        <v>0</v>
      </c>
      <c r="Y524" t="s">
        <v>55</v>
      </c>
      <c r="Z524" t="s">
        <v>56</v>
      </c>
      <c r="AA524" t="s">
        <v>57</v>
      </c>
      <c r="AB524">
        <v>0</v>
      </c>
      <c r="AC524" t="s">
        <v>58</v>
      </c>
      <c r="AD524">
        <v>8</v>
      </c>
      <c r="AE524" t="s">
        <v>59</v>
      </c>
      <c r="AF524">
        <v>24440664.903000001</v>
      </c>
      <c r="AG524" t="b">
        <v>1</v>
      </c>
      <c r="AH524">
        <v>-1</v>
      </c>
      <c r="AI524" t="s">
        <v>73</v>
      </c>
      <c r="AJ524">
        <v>0</v>
      </c>
      <c r="AK524" t="b">
        <v>0</v>
      </c>
      <c r="AL524">
        <v>24440664.903000001</v>
      </c>
      <c r="AM524" t="b">
        <v>1</v>
      </c>
      <c r="AN524">
        <v>0</v>
      </c>
      <c r="AO524" t="b">
        <v>0</v>
      </c>
      <c r="AQ524">
        <v>16103887.030999999</v>
      </c>
      <c r="AR524">
        <v>16103887.030999999</v>
      </c>
      <c r="AS524">
        <v>6</v>
      </c>
      <c r="AT524" t="b">
        <v>0</v>
      </c>
      <c r="AU524" t="b">
        <v>1</v>
      </c>
      <c r="BA524" t="str">
        <f t="shared" si="16"/>
        <v>Normal</v>
      </c>
      <c r="BG524" t="str">
        <f t="shared" si="17"/>
        <v>Normal</v>
      </c>
    </row>
    <row r="525" spans="1:59" x14ac:dyDescent="0.2">
      <c r="A525" t="s">
        <v>42</v>
      </c>
      <c r="B525" t="s">
        <v>43</v>
      </c>
      <c r="C525">
        <v>20240101</v>
      </c>
      <c r="D525">
        <v>2024</v>
      </c>
      <c r="E525">
        <v>52</v>
      </c>
      <c r="F525" t="s">
        <v>325</v>
      </c>
      <c r="G525">
        <v>270</v>
      </c>
      <c r="H525" t="s">
        <v>307</v>
      </c>
      <c r="I525" t="s">
        <v>308</v>
      </c>
      <c r="J525" t="s">
        <v>47</v>
      </c>
      <c r="K525" t="s">
        <v>48</v>
      </c>
      <c r="L525">
        <v>0</v>
      </c>
      <c r="M525" t="s">
        <v>49</v>
      </c>
      <c r="N525" t="s">
        <v>50</v>
      </c>
      <c r="O525">
        <v>0</v>
      </c>
      <c r="P525" t="s">
        <v>49</v>
      </c>
      <c r="Q525" t="s">
        <v>50</v>
      </c>
      <c r="R525" t="s">
        <v>300</v>
      </c>
      <c r="S525" t="s">
        <v>52</v>
      </c>
      <c r="T525" t="b">
        <v>1</v>
      </c>
      <c r="U525" t="s">
        <v>53</v>
      </c>
      <c r="V525" t="s">
        <v>54</v>
      </c>
      <c r="W525">
        <v>4</v>
      </c>
      <c r="X525" t="b">
        <v>0</v>
      </c>
      <c r="Y525" t="s">
        <v>55</v>
      </c>
      <c r="Z525" t="s">
        <v>56</v>
      </c>
      <c r="AA525" t="s">
        <v>57</v>
      </c>
      <c r="AB525">
        <v>0</v>
      </c>
      <c r="AC525" t="s">
        <v>58</v>
      </c>
      <c r="AD525">
        <v>8</v>
      </c>
      <c r="AE525" t="s">
        <v>59</v>
      </c>
      <c r="AF525">
        <v>2813</v>
      </c>
      <c r="AG525" t="b">
        <v>0</v>
      </c>
      <c r="AH525">
        <v>8</v>
      </c>
      <c r="AI525" t="s">
        <v>59</v>
      </c>
      <c r="AJ525">
        <v>2813</v>
      </c>
      <c r="AK525" t="b">
        <v>0</v>
      </c>
      <c r="AL525">
        <v>2813</v>
      </c>
      <c r="AM525" t="b">
        <v>0</v>
      </c>
      <c r="AN525">
        <v>0</v>
      </c>
      <c r="AO525" t="b">
        <v>0</v>
      </c>
      <c r="AQ525">
        <v>1094.0429999999999</v>
      </c>
      <c r="AR525">
        <v>1094.0429999999999</v>
      </c>
      <c r="AS525">
        <v>0</v>
      </c>
      <c r="AT525" t="b">
        <v>0</v>
      </c>
      <c r="AU525" t="b">
        <v>1</v>
      </c>
      <c r="BA525" t="str">
        <f t="shared" si="16"/>
        <v>Normal</v>
      </c>
      <c r="BG525" t="str">
        <f t="shared" si="17"/>
        <v>Normal</v>
      </c>
    </row>
    <row r="526" spans="1:59" x14ac:dyDescent="0.2">
      <c r="A526" t="s">
        <v>42</v>
      </c>
      <c r="B526" t="s">
        <v>43</v>
      </c>
      <c r="C526">
        <v>20240101</v>
      </c>
      <c r="D526">
        <v>2024</v>
      </c>
      <c r="E526">
        <v>52</v>
      </c>
      <c r="F526" t="s">
        <v>325</v>
      </c>
      <c r="G526">
        <v>276</v>
      </c>
      <c r="H526" t="s">
        <v>130</v>
      </c>
      <c r="I526" t="s">
        <v>131</v>
      </c>
      <c r="J526" t="s">
        <v>47</v>
      </c>
      <c r="K526" t="s">
        <v>48</v>
      </c>
      <c r="L526">
        <v>0</v>
      </c>
      <c r="M526" t="s">
        <v>49</v>
      </c>
      <c r="N526" t="s">
        <v>50</v>
      </c>
      <c r="O526">
        <v>0</v>
      </c>
      <c r="P526" t="s">
        <v>49</v>
      </c>
      <c r="Q526" t="s">
        <v>50</v>
      </c>
      <c r="R526" t="s">
        <v>300</v>
      </c>
      <c r="S526" t="s">
        <v>52</v>
      </c>
      <c r="T526" t="b">
        <v>1</v>
      </c>
      <c r="U526" t="s">
        <v>53</v>
      </c>
      <c r="V526" t="s">
        <v>54</v>
      </c>
      <c r="W526">
        <v>4</v>
      </c>
      <c r="X526" t="b">
        <v>0</v>
      </c>
      <c r="Y526" t="s">
        <v>55</v>
      </c>
      <c r="Z526" t="s">
        <v>56</v>
      </c>
      <c r="AA526" t="s">
        <v>57</v>
      </c>
      <c r="AB526">
        <v>0</v>
      </c>
      <c r="AC526" t="s">
        <v>58</v>
      </c>
      <c r="AD526">
        <v>-1</v>
      </c>
      <c r="AE526" t="s">
        <v>73</v>
      </c>
      <c r="AF526">
        <v>0</v>
      </c>
      <c r="AG526" t="b">
        <v>0</v>
      </c>
      <c r="AH526">
        <v>-1</v>
      </c>
      <c r="AI526" t="s">
        <v>73</v>
      </c>
      <c r="AJ526">
        <v>0</v>
      </c>
      <c r="AK526" t="b">
        <v>0</v>
      </c>
      <c r="AM526" t="b">
        <v>0</v>
      </c>
      <c r="AN526">
        <v>0</v>
      </c>
      <c r="AO526" t="b">
        <v>0</v>
      </c>
      <c r="AQ526">
        <v>1134014.5160000001</v>
      </c>
      <c r="AR526">
        <v>1134014.5160000001</v>
      </c>
      <c r="AS526">
        <v>0</v>
      </c>
      <c r="AT526" t="b">
        <v>0</v>
      </c>
      <c r="AU526" t="b">
        <v>1</v>
      </c>
      <c r="BA526" t="str">
        <f t="shared" si="16"/>
        <v>Normal</v>
      </c>
      <c r="BG526" t="str">
        <f t="shared" si="17"/>
        <v>Normal</v>
      </c>
    </row>
    <row r="527" spans="1:59" x14ac:dyDescent="0.2">
      <c r="A527" t="s">
        <v>42</v>
      </c>
      <c r="B527" t="s">
        <v>43</v>
      </c>
      <c r="C527">
        <v>20240101</v>
      </c>
      <c r="D527">
        <v>2024</v>
      </c>
      <c r="E527">
        <v>52</v>
      </c>
      <c r="F527" t="s">
        <v>325</v>
      </c>
      <c r="G527">
        <v>300</v>
      </c>
      <c r="H527" t="s">
        <v>134</v>
      </c>
      <c r="I527" t="s">
        <v>135</v>
      </c>
      <c r="J527" t="s">
        <v>47</v>
      </c>
      <c r="K527" t="s">
        <v>48</v>
      </c>
      <c r="L527">
        <v>0</v>
      </c>
      <c r="M527" t="s">
        <v>49</v>
      </c>
      <c r="N527" t="s">
        <v>50</v>
      </c>
      <c r="O527">
        <v>0</v>
      </c>
      <c r="P527" t="s">
        <v>49</v>
      </c>
      <c r="Q527" t="s">
        <v>50</v>
      </c>
      <c r="R527" t="s">
        <v>300</v>
      </c>
      <c r="S527" t="s">
        <v>52</v>
      </c>
      <c r="T527" t="b">
        <v>1</v>
      </c>
      <c r="U527" t="s">
        <v>53</v>
      </c>
      <c r="V527" t="s">
        <v>54</v>
      </c>
      <c r="W527">
        <v>4</v>
      </c>
      <c r="X527" t="b">
        <v>0</v>
      </c>
      <c r="Y527" t="s">
        <v>55</v>
      </c>
      <c r="Z527" t="s">
        <v>56</v>
      </c>
      <c r="AA527" t="s">
        <v>57</v>
      </c>
      <c r="AB527">
        <v>0</v>
      </c>
      <c r="AC527" t="s">
        <v>58</v>
      </c>
      <c r="AD527">
        <v>8</v>
      </c>
      <c r="AE527" t="s">
        <v>59</v>
      </c>
      <c r="AF527">
        <v>81595300</v>
      </c>
      <c r="AG527" t="b">
        <v>0</v>
      </c>
      <c r="AH527">
        <v>8</v>
      </c>
      <c r="AI527" t="s">
        <v>59</v>
      </c>
      <c r="AJ527">
        <v>81595300</v>
      </c>
      <c r="AK527" t="b">
        <v>0</v>
      </c>
      <c r="AL527">
        <v>81595300</v>
      </c>
      <c r="AM527" t="b">
        <v>0</v>
      </c>
      <c r="AN527">
        <v>0</v>
      </c>
      <c r="AO527" t="b">
        <v>0</v>
      </c>
      <c r="AQ527">
        <v>42743484.702</v>
      </c>
      <c r="AR527">
        <v>42743484.702</v>
      </c>
      <c r="AS527">
        <v>0</v>
      </c>
      <c r="AT527" t="b">
        <v>0</v>
      </c>
      <c r="AU527" t="b">
        <v>1</v>
      </c>
      <c r="BA527" t="str">
        <f t="shared" si="16"/>
        <v>Normal</v>
      </c>
      <c r="BG527" t="str">
        <f t="shared" si="17"/>
        <v>Normal</v>
      </c>
    </row>
    <row r="528" spans="1:59" x14ac:dyDescent="0.2">
      <c r="A528" t="s">
        <v>42</v>
      </c>
      <c r="B528" t="s">
        <v>43</v>
      </c>
      <c r="C528">
        <v>20240101</v>
      </c>
      <c r="D528">
        <v>2024</v>
      </c>
      <c r="E528">
        <v>52</v>
      </c>
      <c r="F528" t="s">
        <v>325</v>
      </c>
      <c r="G528">
        <v>320</v>
      </c>
      <c r="H528" t="s">
        <v>136</v>
      </c>
      <c r="I528" t="s">
        <v>137</v>
      </c>
      <c r="J528" t="s">
        <v>47</v>
      </c>
      <c r="K528" t="s">
        <v>48</v>
      </c>
      <c r="L528">
        <v>0</v>
      </c>
      <c r="M528" t="s">
        <v>49</v>
      </c>
      <c r="N528" t="s">
        <v>50</v>
      </c>
      <c r="O528">
        <v>0</v>
      </c>
      <c r="P528" t="s">
        <v>49</v>
      </c>
      <c r="Q528" t="s">
        <v>50</v>
      </c>
      <c r="R528" t="s">
        <v>300</v>
      </c>
      <c r="S528" t="s">
        <v>52</v>
      </c>
      <c r="T528" t="b">
        <v>1</v>
      </c>
      <c r="U528" t="s">
        <v>53</v>
      </c>
      <c r="V528" t="s">
        <v>54</v>
      </c>
      <c r="W528">
        <v>4</v>
      </c>
      <c r="X528" t="b">
        <v>0</v>
      </c>
      <c r="Y528" t="s">
        <v>55</v>
      </c>
      <c r="Z528" t="s">
        <v>56</v>
      </c>
      <c r="AA528" t="s">
        <v>57</v>
      </c>
      <c r="AB528">
        <v>0</v>
      </c>
      <c r="AC528" t="s">
        <v>58</v>
      </c>
      <c r="AD528">
        <v>8</v>
      </c>
      <c r="AE528" t="s">
        <v>59</v>
      </c>
      <c r="AF528">
        <v>175536878</v>
      </c>
      <c r="AG528" t="b">
        <v>0</v>
      </c>
      <c r="AH528">
        <v>8</v>
      </c>
      <c r="AI528" t="s">
        <v>59</v>
      </c>
      <c r="AJ528">
        <v>175536878</v>
      </c>
      <c r="AK528" t="b">
        <v>0</v>
      </c>
      <c r="AL528">
        <v>175536878</v>
      </c>
      <c r="AM528" t="b">
        <v>0</v>
      </c>
      <c r="AN528">
        <v>0</v>
      </c>
      <c r="AO528" t="b">
        <v>0</v>
      </c>
      <c r="AQ528">
        <v>79249884</v>
      </c>
      <c r="AR528">
        <v>79249884</v>
      </c>
      <c r="AS528">
        <v>0</v>
      </c>
      <c r="AT528" t="b">
        <v>0</v>
      </c>
      <c r="AU528" t="b">
        <v>1</v>
      </c>
      <c r="BA528" t="str">
        <f t="shared" si="16"/>
        <v>Normal</v>
      </c>
      <c r="BG528" t="str">
        <f t="shared" si="17"/>
        <v>Normal</v>
      </c>
    </row>
    <row r="529" spans="1:59" x14ac:dyDescent="0.2">
      <c r="A529" t="s">
        <v>42</v>
      </c>
      <c r="B529" t="s">
        <v>43</v>
      </c>
      <c r="C529">
        <v>20240101</v>
      </c>
      <c r="D529">
        <v>2024</v>
      </c>
      <c r="E529">
        <v>52</v>
      </c>
      <c r="F529" t="s">
        <v>325</v>
      </c>
      <c r="G529">
        <v>328</v>
      </c>
      <c r="H529" t="s">
        <v>276</v>
      </c>
      <c r="I529" t="s">
        <v>277</v>
      </c>
      <c r="J529" t="s">
        <v>47</v>
      </c>
      <c r="K529" t="s">
        <v>48</v>
      </c>
      <c r="L529">
        <v>0</v>
      </c>
      <c r="M529" t="s">
        <v>49</v>
      </c>
      <c r="N529" t="s">
        <v>50</v>
      </c>
      <c r="O529">
        <v>0</v>
      </c>
      <c r="P529" t="s">
        <v>49</v>
      </c>
      <c r="Q529" t="s">
        <v>50</v>
      </c>
      <c r="R529" t="s">
        <v>51</v>
      </c>
      <c r="S529" t="s">
        <v>52</v>
      </c>
      <c r="T529" t="b">
        <v>1</v>
      </c>
      <c r="U529" t="s">
        <v>53</v>
      </c>
      <c r="V529" t="s">
        <v>54</v>
      </c>
      <c r="W529">
        <v>4</v>
      </c>
      <c r="X529" t="b">
        <v>0</v>
      </c>
      <c r="Y529" t="s">
        <v>55</v>
      </c>
      <c r="Z529" t="s">
        <v>56</v>
      </c>
      <c r="AA529" t="s">
        <v>57</v>
      </c>
      <c r="AB529">
        <v>0</v>
      </c>
      <c r="AC529" t="s">
        <v>58</v>
      </c>
      <c r="AD529">
        <v>8</v>
      </c>
      <c r="AE529" t="s">
        <v>59</v>
      </c>
      <c r="AF529">
        <v>16620929331</v>
      </c>
      <c r="AG529" t="b">
        <v>0</v>
      </c>
      <c r="AH529">
        <v>8</v>
      </c>
      <c r="AI529" t="s">
        <v>59</v>
      </c>
      <c r="AJ529">
        <v>16620929331</v>
      </c>
      <c r="AK529" t="b">
        <v>0</v>
      </c>
      <c r="AL529">
        <v>16620929331</v>
      </c>
      <c r="AM529" t="b">
        <v>0</v>
      </c>
      <c r="AN529">
        <v>0</v>
      </c>
      <c r="AO529" t="b">
        <v>0</v>
      </c>
      <c r="AQ529">
        <v>18174887650.994999</v>
      </c>
      <c r="AR529">
        <v>18174887650.994999</v>
      </c>
      <c r="AS529">
        <v>0</v>
      </c>
      <c r="AT529" t="b">
        <v>0</v>
      </c>
      <c r="AU529" t="b">
        <v>1</v>
      </c>
      <c r="BA529" t="str">
        <f t="shared" si="16"/>
        <v>Normal</v>
      </c>
      <c r="BG529" t="str">
        <f t="shared" si="17"/>
        <v>Normal</v>
      </c>
    </row>
    <row r="530" spans="1:59" x14ac:dyDescent="0.2">
      <c r="A530" t="s">
        <v>42</v>
      </c>
      <c r="B530" t="s">
        <v>43</v>
      </c>
      <c r="C530">
        <v>20240101</v>
      </c>
      <c r="D530">
        <v>2024</v>
      </c>
      <c r="E530">
        <v>52</v>
      </c>
      <c r="F530" t="s">
        <v>325</v>
      </c>
      <c r="G530">
        <v>348</v>
      </c>
      <c r="H530" t="s">
        <v>138</v>
      </c>
      <c r="I530" t="s">
        <v>139</v>
      </c>
      <c r="J530" t="s">
        <v>47</v>
      </c>
      <c r="K530" t="s">
        <v>48</v>
      </c>
      <c r="L530">
        <v>0</v>
      </c>
      <c r="M530" t="s">
        <v>49</v>
      </c>
      <c r="N530" t="s">
        <v>50</v>
      </c>
      <c r="O530">
        <v>0</v>
      </c>
      <c r="P530" t="s">
        <v>49</v>
      </c>
      <c r="Q530" t="s">
        <v>50</v>
      </c>
      <c r="R530" t="s">
        <v>300</v>
      </c>
      <c r="S530" t="s">
        <v>52</v>
      </c>
      <c r="T530" t="b">
        <v>1</v>
      </c>
      <c r="U530" t="s">
        <v>53</v>
      </c>
      <c r="V530" t="s">
        <v>54</v>
      </c>
      <c r="W530">
        <v>4</v>
      </c>
      <c r="X530" t="b">
        <v>0</v>
      </c>
      <c r="Y530" t="s">
        <v>55</v>
      </c>
      <c r="Z530" t="s">
        <v>56</v>
      </c>
      <c r="AA530" t="s">
        <v>57</v>
      </c>
      <c r="AB530">
        <v>0</v>
      </c>
      <c r="AC530" t="s">
        <v>58</v>
      </c>
      <c r="AD530">
        <v>8</v>
      </c>
      <c r="AE530" t="s">
        <v>59</v>
      </c>
      <c r="AF530">
        <v>103179818</v>
      </c>
      <c r="AG530" t="b">
        <v>0</v>
      </c>
      <c r="AH530">
        <v>8</v>
      </c>
      <c r="AI530" t="s">
        <v>59</v>
      </c>
      <c r="AJ530">
        <v>103179818</v>
      </c>
      <c r="AK530" t="b">
        <v>0</v>
      </c>
      <c r="AL530">
        <v>103179818</v>
      </c>
      <c r="AM530" t="b">
        <v>0</v>
      </c>
      <c r="AN530">
        <v>0</v>
      </c>
      <c r="AO530" t="b">
        <v>0</v>
      </c>
      <c r="AQ530">
        <v>63143741</v>
      </c>
      <c r="AR530">
        <v>63143741</v>
      </c>
      <c r="AS530">
        <v>0</v>
      </c>
      <c r="AT530" t="b">
        <v>0</v>
      </c>
      <c r="AU530" t="b">
        <v>1</v>
      </c>
      <c r="BA530" t="str">
        <f t="shared" si="16"/>
        <v>Normal</v>
      </c>
      <c r="BG530" t="str">
        <f t="shared" si="17"/>
        <v>Normal</v>
      </c>
    </row>
    <row r="531" spans="1:59" x14ac:dyDescent="0.2">
      <c r="A531" t="s">
        <v>42</v>
      </c>
      <c r="B531" t="s">
        <v>43</v>
      </c>
      <c r="C531">
        <v>20240101</v>
      </c>
      <c r="D531">
        <v>2024</v>
      </c>
      <c r="E531">
        <v>52</v>
      </c>
      <c r="F531" t="s">
        <v>325</v>
      </c>
      <c r="G531">
        <v>360</v>
      </c>
      <c r="H531" t="s">
        <v>140</v>
      </c>
      <c r="I531" t="s">
        <v>141</v>
      </c>
      <c r="J531" t="s">
        <v>47</v>
      </c>
      <c r="K531" t="s">
        <v>48</v>
      </c>
      <c r="L531">
        <v>0</v>
      </c>
      <c r="M531" t="s">
        <v>49</v>
      </c>
      <c r="N531" t="s">
        <v>50</v>
      </c>
      <c r="O531">
        <v>0</v>
      </c>
      <c r="P531" t="s">
        <v>49</v>
      </c>
      <c r="Q531" t="s">
        <v>50</v>
      </c>
      <c r="R531" t="s">
        <v>300</v>
      </c>
      <c r="S531" t="s">
        <v>52</v>
      </c>
      <c r="T531" t="b">
        <v>1</v>
      </c>
      <c r="U531" t="s">
        <v>53</v>
      </c>
      <c r="V531" t="s">
        <v>54</v>
      </c>
      <c r="W531">
        <v>4</v>
      </c>
      <c r="X531" t="b">
        <v>0</v>
      </c>
      <c r="Y531" t="s">
        <v>55</v>
      </c>
      <c r="Z531" t="s">
        <v>56</v>
      </c>
      <c r="AA531" t="s">
        <v>57</v>
      </c>
      <c r="AB531">
        <v>0</v>
      </c>
      <c r="AC531" t="s">
        <v>58</v>
      </c>
      <c r="AD531">
        <v>8</v>
      </c>
      <c r="AE531" t="s">
        <v>59</v>
      </c>
      <c r="AF531">
        <v>3620106197.8000002</v>
      </c>
      <c r="AG531" t="b">
        <v>0</v>
      </c>
      <c r="AH531">
        <v>8</v>
      </c>
      <c r="AI531" t="s">
        <v>59</v>
      </c>
      <c r="AJ531">
        <v>3620106197.8000002</v>
      </c>
      <c r="AK531" t="b">
        <v>0</v>
      </c>
      <c r="AL531">
        <v>3620106197.8000002</v>
      </c>
      <c r="AM531" t="b">
        <v>0</v>
      </c>
      <c r="AN531">
        <v>0</v>
      </c>
      <c r="AO531" t="b">
        <v>0</v>
      </c>
      <c r="AQ531">
        <v>2228458183.3000002</v>
      </c>
      <c r="AR531">
        <v>2228458183.3000002</v>
      </c>
      <c r="AS531">
        <v>0</v>
      </c>
      <c r="AT531" t="b">
        <v>0</v>
      </c>
      <c r="AU531" t="b">
        <v>1</v>
      </c>
      <c r="BA531" t="str">
        <f t="shared" si="16"/>
        <v>Normal</v>
      </c>
      <c r="BG531" t="str">
        <f t="shared" si="17"/>
        <v>Normal</v>
      </c>
    </row>
    <row r="532" spans="1:59" x14ac:dyDescent="0.2">
      <c r="A532" t="s">
        <v>42</v>
      </c>
      <c r="B532" t="s">
        <v>43</v>
      </c>
      <c r="C532">
        <v>20240101</v>
      </c>
      <c r="D532">
        <v>2024</v>
      </c>
      <c r="E532">
        <v>52</v>
      </c>
      <c r="F532" t="s">
        <v>325</v>
      </c>
      <c r="G532">
        <v>372</v>
      </c>
      <c r="H532" t="s">
        <v>144</v>
      </c>
      <c r="I532" t="s">
        <v>145</v>
      </c>
      <c r="J532" t="s">
        <v>47</v>
      </c>
      <c r="K532" t="s">
        <v>48</v>
      </c>
      <c r="L532">
        <v>0</v>
      </c>
      <c r="M532" t="s">
        <v>49</v>
      </c>
      <c r="N532" t="s">
        <v>50</v>
      </c>
      <c r="O532">
        <v>0</v>
      </c>
      <c r="P532" t="s">
        <v>49</v>
      </c>
      <c r="Q532" t="s">
        <v>50</v>
      </c>
      <c r="R532" t="s">
        <v>300</v>
      </c>
      <c r="S532" t="s">
        <v>52</v>
      </c>
      <c r="T532" t="b">
        <v>1</v>
      </c>
      <c r="U532" t="s">
        <v>53</v>
      </c>
      <c r="V532" t="s">
        <v>54</v>
      </c>
      <c r="W532">
        <v>4</v>
      </c>
      <c r="X532" t="b">
        <v>0</v>
      </c>
      <c r="Y532" t="s">
        <v>55</v>
      </c>
      <c r="Z532" t="s">
        <v>56</v>
      </c>
      <c r="AA532" t="s">
        <v>57</v>
      </c>
      <c r="AB532">
        <v>0</v>
      </c>
      <c r="AC532" t="s">
        <v>58</v>
      </c>
      <c r="AD532">
        <v>8</v>
      </c>
      <c r="AE532" t="s">
        <v>59</v>
      </c>
      <c r="AF532">
        <v>39253</v>
      </c>
      <c r="AG532" t="b">
        <v>0</v>
      </c>
      <c r="AH532">
        <v>8</v>
      </c>
      <c r="AI532" t="s">
        <v>59</v>
      </c>
      <c r="AJ532">
        <v>39253</v>
      </c>
      <c r="AK532" t="b">
        <v>0</v>
      </c>
      <c r="AL532">
        <v>39253</v>
      </c>
      <c r="AM532" t="b">
        <v>0</v>
      </c>
      <c r="AN532">
        <v>0</v>
      </c>
      <c r="AO532" t="b">
        <v>0</v>
      </c>
      <c r="AQ532">
        <v>74126.826000000001</v>
      </c>
      <c r="AR532">
        <v>74126.826000000001</v>
      </c>
      <c r="AS532">
        <v>0</v>
      </c>
      <c r="AT532" t="b">
        <v>0</v>
      </c>
      <c r="AU532" t="b">
        <v>1</v>
      </c>
      <c r="BA532" t="str">
        <f t="shared" si="16"/>
        <v>Normal</v>
      </c>
      <c r="BG532" t="str">
        <f t="shared" si="17"/>
        <v>Normal</v>
      </c>
    </row>
    <row r="533" spans="1:59" x14ac:dyDescent="0.2">
      <c r="A533" t="s">
        <v>42</v>
      </c>
      <c r="B533" t="s">
        <v>43</v>
      </c>
      <c r="C533">
        <v>20240101</v>
      </c>
      <c r="D533">
        <v>2024</v>
      </c>
      <c r="E533">
        <v>52</v>
      </c>
      <c r="F533" t="s">
        <v>325</v>
      </c>
      <c r="G533">
        <v>380</v>
      </c>
      <c r="H533" t="s">
        <v>148</v>
      </c>
      <c r="I533" t="s">
        <v>149</v>
      </c>
      <c r="J533" t="s">
        <v>47</v>
      </c>
      <c r="K533" t="s">
        <v>48</v>
      </c>
      <c r="L533">
        <v>0</v>
      </c>
      <c r="M533" t="s">
        <v>49</v>
      </c>
      <c r="N533" t="s">
        <v>50</v>
      </c>
      <c r="O533">
        <v>0</v>
      </c>
      <c r="P533" t="s">
        <v>49</v>
      </c>
      <c r="Q533" t="s">
        <v>50</v>
      </c>
      <c r="R533" t="s">
        <v>300</v>
      </c>
      <c r="S533" t="s">
        <v>52</v>
      </c>
      <c r="T533" t="b">
        <v>1</v>
      </c>
      <c r="U533" t="s">
        <v>53</v>
      </c>
      <c r="V533" t="s">
        <v>54</v>
      </c>
      <c r="W533">
        <v>4</v>
      </c>
      <c r="X533" t="b">
        <v>0</v>
      </c>
      <c r="Y533" t="s">
        <v>55</v>
      </c>
      <c r="Z533" t="s">
        <v>56</v>
      </c>
      <c r="AA533" t="s">
        <v>57</v>
      </c>
      <c r="AB533">
        <v>0</v>
      </c>
      <c r="AC533" t="s">
        <v>58</v>
      </c>
      <c r="AD533">
        <v>8</v>
      </c>
      <c r="AE533" t="s">
        <v>59</v>
      </c>
      <c r="AF533">
        <v>1392422034</v>
      </c>
      <c r="AG533" t="b">
        <v>0</v>
      </c>
      <c r="AH533">
        <v>8</v>
      </c>
      <c r="AI533" t="s">
        <v>59</v>
      </c>
      <c r="AJ533">
        <v>1392422034</v>
      </c>
      <c r="AK533" t="b">
        <v>0</v>
      </c>
      <c r="AL533">
        <v>1392422034</v>
      </c>
      <c r="AM533" t="b">
        <v>0</v>
      </c>
      <c r="AN533">
        <v>0</v>
      </c>
      <c r="AO533" t="b">
        <v>0</v>
      </c>
      <c r="AQ533">
        <v>617963519.70299995</v>
      </c>
      <c r="AR533">
        <v>617963519.70299995</v>
      </c>
      <c r="AS533">
        <v>0</v>
      </c>
      <c r="AT533" t="b">
        <v>0</v>
      </c>
      <c r="AU533" t="b">
        <v>1</v>
      </c>
      <c r="BA533" t="str">
        <f t="shared" si="16"/>
        <v>Normal</v>
      </c>
      <c r="BG533" t="str">
        <f t="shared" si="17"/>
        <v>Normal</v>
      </c>
    </row>
    <row r="534" spans="1:59" x14ac:dyDescent="0.2">
      <c r="A534" t="s">
        <v>42</v>
      </c>
      <c r="B534" t="s">
        <v>43</v>
      </c>
      <c r="C534">
        <v>20240101</v>
      </c>
      <c r="D534">
        <v>2024</v>
      </c>
      <c r="E534">
        <v>52</v>
      </c>
      <c r="F534" t="s">
        <v>325</v>
      </c>
      <c r="G534">
        <v>384</v>
      </c>
      <c r="H534" t="s">
        <v>150</v>
      </c>
      <c r="I534" t="s">
        <v>151</v>
      </c>
      <c r="J534" t="s">
        <v>47</v>
      </c>
      <c r="K534" t="s">
        <v>48</v>
      </c>
      <c r="L534">
        <v>0</v>
      </c>
      <c r="M534" t="s">
        <v>49</v>
      </c>
      <c r="N534" t="s">
        <v>50</v>
      </c>
      <c r="O534">
        <v>0</v>
      </c>
      <c r="P534" t="s">
        <v>49</v>
      </c>
      <c r="Q534" t="s">
        <v>50</v>
      </c>
      <c r="R534" t="s">
        <v>300</v>
      </c>
      <c r="S534" t="s">
        <v>52</v>
      </c>
      <c r="T534" t="b">
        <v>1</v>
      </c>
      <c r="U534" t="s">
        <v>53</v>
      </c>
      <c r="V534" t="s">
        <v>54</v>
      </c>
      <c r="W534">
        <v>4</v>
      </c>
      <c r="X534" t="b">
        <v>0</v>
      </c>
      <c r="Y534" t="s">
        <v>55</v>
      </c>
      <c r="Z534" t="s">
        <v>56</v>
      </c>
      <c r="AA534" t="s">
        <v>57</v>
      </c>
      <c r="AB534">
        <v>0</v>
      </c>
      <c r="AC534" t="s">
        <v>58</v>
      </c>
      <c r="AD534">
        <v>8</v>
      </c>
      <c r="AE534" t="s">
        <v>59</v>
      </c>
      <c r="AF534">
        <v>1395406917</v>
      </c>
      <c r="AG534" t="b">
        <v>0</v>
      </c>
      <c r="AH534">
        <v>8</v>
      </c>
      <c r="AI534" t="s">
        <v>59</v>
      </c>
      <c r="AJ534">
        <v>1395406917</v>
      </c>
      <c r="AK534" t="b">
        <v>0</v>
      </c>
      <c r="AL534">
        <v>1395406917</v>
      </c>
      <c r="AM534" t="b">
        <v>0</v>
      </c>
      <c r="AN534">
        <v>0</v>
      </c>
      <c r="AO534" t="b">
        <v>0</v>
      </c>
      <c r="AQ534">
        <v>799801181.46000004</v>
      </c>
      <c r="AR534">
        <v>799801181.46000004</v>
      </c>
      <c r="AS534">
        <v>0</v>
      </c>
      <c r="AT534" t="b">
        <v>0</v>
      </c>
      <c r="AU534" t="b">
        <v>1</v>
      </c>
      <c r="BA534" t="str">
        <f t="shared" si="16"/>
        <v>Normal</v>
      </c>
      <c r="BG534" t="str">
        <f t="shared" si="17"/>
        <v>Normal</v>
      </c>
    </row>
    <row r="535" spans="1:59" x14ac:dyDescent="0.2">
      <c r="A535" t="s">
        <v>42</v>
      </c>
      <c r="B535" t="s">
        <v>43</v>
      </c>
      <c r="C535">
        <v>20240101</v>
      </c>
      <c r="D535">
        <v>2024</v>
      </c>
      <c r="E535">
        <v>52</v>
      </c>
      <c r="F535" t="s">
        <v>325</v>
      </c>
      <c r="G535">
        <v>398</v>
      </c>
      <c r="H535" t="s">
        <v>152</v>
      </c>
      <c r="I535" t="s">
        <v>153</v>
      </c>
      <c r="J535" t="s">
        <v>47</v>
      </c>
      <c r="K535" t="s">
        <v>48</v>
      </c>
      <c r="L535">
        <v>0</v>
      </c>
      <c r="M535" t="s">
        <v>49</v>
      </c>
      <c r="N535" t="s">
        <v>50</v>
      </c>
      <c r="O535">
        <v>0</v>
      </c>
      <c r="P535" t="s">
        <v>49</v>
      </c>
      <c r="Q535" t="s">
        <v>50</v>
      </c>
      <c r="R535" t="s">
        <v>300</v>
      </c>
      <c r="S535" t="s">
        <v>52</v>
      </c>
      <c r="T535" t="b">
        <v>1</v>
      </c>
      <c r="U535" t="s">
        <v>53</v>
      </c>
      <c r="V535" t="s">
        <v>54</v>
      </c>
      <c r="W535">
        <v>4</v>
      </c>
      <c r="X535" t="b">
        <v>0</v>
      </c>
      <c r="Y535" t="s">
        <v>55</v>
      </c>
      <c r="Z535" t="s">
        <v>56</v>
      </c>
      <c r="AA535" t="s">
        <v>57</v>
      </c>
      <c r="AB535">
        <v>0</v>
      </c>
      <c r="AC535" t="s">
        <v>58</v>
      </c>
      <c r="AD535">
        <v>8</v>
      </c>
      <c r="AE535" t="s">
        <v>59</v>
      </c>
      <c r="AF535">
        <v>71022759850</v>
      </c>
      <c r="AG535" t="b">
        <v>0</v>
      </c>
      <c r="AH535">
        <v>8</v>
      </c>
      <c r="AI535" t="s">
        <v>59</v>
      </c>
      <c r="AJ535">
        <v>71022759850</v>
      </c>
      <c r="AK535" t="b">
        <v>0</v>
      </c>
      <c r="AL535">
        <v>71022759850</v>
      </c>
      <c r="AM535" t="b">
        <v>0</v>
      </c>
      <c r="AN535">
        <v>0</v>
      </c>
      <c r="AO535" t="b">
        <v>0</v>
      </c>
      <c r="AQ535">
        <v>42878761294.660004</v>
      </c>
      <c r="AR535">
        <v>42878761294.660004</v>
      </c>
      <c r="AS535">
        <v>0</v>
      </c>
      <c r="AT535" t="b">
        <v>0</v>
      </c>
      <c r="AU535" t="b">
        <v>1</v>
      </c>
      <c r="BA535" t="str">
        <f t="shared" si="16"/>
        <v>Normal</v>
      </c>
      <c r="BG535" t="str">
        <f t="shared" si="17"/>
        <v>Normal</v>
      </c>
    </row>
    <row r="536" spans="1:59" x14ac:dyDescent="0.2">
      <c r="A536" t="s">
        <v>42</v>
      </c>
      <c r="B536" t="s">
        <v>43</v>
      </c>
      <c r="C536">
        <v>20240101</v>
      </c>
      <c r="D536">
        <v>2024</v>
      </c>
      <c r="E536">
        <v>52</v>
      </c>
      <c r="F536" t="s">
        <v>325</v>
      </c>
      <c r="G536">
        <v>404</v>
      </c>
      <c r="H536" t="s">
        <v>154</v>
      </c>
      <c r="I536" t="s">
        <v>155</v>
      </c>
      <c r="J536" t="s">
        <v>47</v>
      </c>
      <c r="K536" t="s">
        <v>48</v>
      </c>
      <c r="L536">
        <v>0</v>
      </c>
      <c r="M536" t="s">
        <v>49</v>
      </c>
      <c r="N536" t="s">
        <v>50</v>
      </c>
      <c r="O536">
        <v>0</v>
      </c>
      <c r="P536" t="s">
        <v>49</v>
      </c>
      <c r="Q536" t="s">
        <v>50</v>
      </c>
      <c r="R536" t="s">
        <v>300</v>
      </c>
      <c r="S536" t="s">
        <v>52</v>
      </c>
      <c r="T536" t="b">
        <v>1</v>
      </c>
      <c r="U536" t="s">
        <v>53</v>
      </c>
      <c r="V536" t="s">
        <v>54</v>
      </c>
      <c r="W536">
        <v>4</v>
      </c>
      <c r="X536" t="b">
        <v>0</v>
      </c>
      <c r="Y536" t="s">
        <v>55</v>
      </c>
      <c r="Z536" t="s">
        <v>56</v>
      </c>
      <c r="AA536" t="s">
        <v>57</v>
      </c>
      <c r="AB536">
        <v>0</v>
      </c>
      <c r="AC536" t="s">
        <v>58</v>
      </c>
      <c r="AD536">
        <v>8</v>
      </c>
      <c r="AE536" t="s">
        <v>59</v>
      </c>
      <c r="AF536">
        <v>2916</v>
      </c>
      <c r="AG536" t="b">
        <v>0</v>
      </c>
      <c r="AH536">
        <v>8</v>
      </c>
      <c r="AI536" t="s">
        <v>59</v>
      </c>
      <c r="AJ536">
        <v>2916</v>
      </c>
      <c r="AK536" t="b">
        <v>0</v>
      </c>
      <c r="AL536">
        <v>2916</v>
      </c>
      <c r="AM536" t="b">
        <v>0</v>
      </c>
      <c r="AN536">
        <v>0</v>
      </c>
      <c r="AO536" t="b">
        <v>0</v>
      </c>
      <c r="AQ536">
        <v>4745.6639999999998</v>
      </c>
      <c r="AR536">
        <v>4745.6639999999998</v>
      </c>
      <c r="AS536">
        <v>0</v>
      </c>
      <c r="AT536" t="b">
        <v>0</v>
      </c>
      <c r="AU536" t="b">
        <v>1</v>
      </c>
      <c r="BA536" t="str">
        <f t="shared" si="16"/>
        <v>Normal</v>
      </c>
      <c r="BG536" t="str">
        <f t="shared" si="17"/>
        <v>Normal</v>
      </c>
    </row>
    <row r="537" spans="1:59" x14ac:dyDescent="0.2">
      <c r="A537" t="s">
        <v>42</v>
      </c>
      <c r="B537" t="s">
        <v>43</v>
      </c>
      <c r="C537">
        <v>20240101</v>
      </c>
      <c r="D537">
        <v>2024</v>
      </c>
      <c r="E537">
        <v>52</v>
      </c>
      <c r="F537" t="s">
        <v>325</v>
      </c>
      <c r="G537">
        <v>410</v>
      </c>
      <c r="H537" t="s">
        <v>156</v>
      </c>
      <c r="I537" t="s">
        <v>157</v>
      </c>
      <c r="J537" t="s">
        <v>47</v>
      </c>
      <c r="K537" t="s">
        <v>48</v>
      </c>
      <c r="L537">
        <v>0</v>
      </c>
      <c r="M537" t="s">
        <v>49</v>
      </c>
      <c r="N537" t="s">
        <v>50</v>
      </c>
      <c r="O537">
        <v>0</v>
      </c>
      <c r="P537" t="s">
        <v>49</v>
      </c>
      <c r="Q537" t="s">
        <v>50</v>
      </c>
      <c r="R537" t="s">
        <v>300</v>
      </c>
      <c r="S537" t="s">
        <v>52</v>
      </c>
      <c r="T537" t="b">
        <v>1</v>
      </c>
      <c r="U537" t="s">
        <v>53</v>
      </c>
      <c r="V537" t="s">
        <v>54</v>
      </c>
      <c r="W537">
        <v>4</v>
      </c>
      <c r="X537" t="b">
        <v>0</v>
      </c>
      <c r="Y537" t="s">
        <v>55</v>
      </c>
      <c r="Z537" t="s">
        <v>56</v>
      </c>
      <c r="AA537" t="s">
        <v>57</v>
      </c>
      <c r="AB537">
        <v>0</v>
      </c>
      <c r="AC537" t="s">
        <v>58</v>
      </c>
      <c r="AD537">
        <v>8</v>
      </c>
      <c r="AE537" t="s">
        <v>59</v>
      </c>
      <c r="AF537">
        <v>6.8</v>
      </c>
      <c r="AG537" t="b">
        <v>0</v>
      </c>
      <c r="AH537">
        <v>8</v>
      </c>
      <c r="AI537" t="s">
        <v>59</v>
      </c>
      <c r="AJ537">
        <v>6.8</v>
      </c>
      <c r="AK537" t="b">
        <v>0</v>
      </c>
      <c r="AL537">
        <v>6.8</v>
      </c>
      <c r="AM537" t="b">
        <v>0</v>
      </c>
      <c r="AN537">
        <v>0</v>
      </c>
      <c r="AO537" t="b">
        <v>0</v>
      </c>
      <c r="AQ537">
        <v>50</v>
      </c>
      <c r="AR537">
        <v>50</v>
      </c>
      <c r="AS537">
        <v>0</v>
      </c>
      <c r="AT537" t="b">
        <v>0</v>
      </c>
      <c r="AU537" t="b">
        <v>1</v>
      </c>
      <c r="BA537" t="str">
        <f t="shared" si="16"/>
        <v>Normal</v>
      </c>
      <c r="BG537" t="str">
        <f t="shared" si="17"/>
        <v>Normal</v>
      </c>
    </row>
    <row r="538" spans="1:59" x14ac:dyDescent="0.2">
      <c r="A538" t="s">
        <v>42</v>
      </c>
      <c r="B538" t="s">
        <v>43</v>
      </c>
      <c r="C538">
        <v>20240101</v>
      </c>
      <c r="D538">
        <v>2024</v>
      </c>
      <c r="E538">
        <v>52</v>
      </c>
      <c r="F538" t="s">
        <v>325</v>
      </c>
      <c r="G538">
        <v>414</v>
      </c>
      <c r="H538" t="s">
        <v>158</v>
      </c>
      <c r="I538" t="s">
        <v>159</v>
      </c>
      <c r="J538" t="s">
        <v>47</v>
      </c>
      <c r="K538" t="s">
        <v>48</v>
      </c>
      <c r="L538">
        <v>0</v>
      </c>
      <c r="M538" t="s">
        <v>49</v>
      </c>
      <c r="N538" t="s">
        <v>50</v>
      </c>
      <c r="O538">
        <v>0</v>
      </c>
      <c r="P538" t="s">
        <v>49</v>
      </c>
      <c r="Q538" t="s">
        <v>50</v>
      </c>
      <c r="R538" t="s">
        <v>300</v>
      </c>
      <c r="S538" t="s">
        <v>52</v>
      </c>
      <c r="T538" t="b">
        <v>1</v>
      </c>
      <c r="U538" t="s">
        <v>53</v>
      </c>
      <c r="V538" t="s">
        <v>54</v>
      </c>
      <c r="W538">
        <v>4</v>
      </c>
      <c r="X538" t="b">
        <v>0</v>
      </c>
      <c r="Y538" t="s">
        <v>55</v>
      </c>
      <c r="Z538" t="s">
        <v>56</v>
      </c>
      <c r="AA538" t="s">
        <v>57</v>
      </c>
      <c r="AB538">
        <v>0</v>
      </c>
      <c r="AC538" t="s">
        <v>58</v>
      </c>
      <c r="AD538">
        <v>-1</v>
      </c>
      <c r="AE538" t="s">
        <v>73</v>
      </c>
      <c r="AF538">
        <v>0</v>
      </c>
      <c r="AG538" t="b">
        <v>0</v>
      </c>
      <c r="AH538">
        <v>-1</v>
      </c>
      <c r="AI538" t="s">
        <v>73</v>
      </c>
      <c r="AJ538">
        <v>0</v>
      </c>
      <c r="AK538" t="b">
        <v>0</v>
      </c>
      <c r="AM538" t="b">
        <v>0</v>
      </c>
      <c r="AN538">
        <v>0</v>
      </c>
      <c r="AO538" t="b">
        <v>0</v>
      </c>
      <c r="AQ538">
        <v>35530010116</v>
      </c>
      <c r="AR538">
        <v>35530010116</v>
      </c>
      <c r="AS538">
        <v>0</v>
      </c>
      <c r="AT538" t="b">
        <v>0</v>
      </c>
      <c r="AU538" t="b">
        <v>1</v>
      </c>
      <c r="BA538" t="str">
        <f t="shared" si="16"/>
        <v>Normal</v>
      </c>
      <c r="BG538" t="str">
        <f t="shared" si="17"/>
        <v>Normal</v>
      </c>
    </row>
    <row r="539" spans="1:59" x14ac:dyDescent="0.2">
      <c r="A539" t="s">
        <v>42</v>
      </c>
      <c r="B539" t="s">
        <v>43</v>
      </c>
      <c r="C539">
        <v>20240101</v>
      </c>
      <c r="D539">
        <v>2024</v>
      </c>
      <c r="E539">
        <v>52</v>
      </c>
      <c r="F539" t="s">
        <v>325</v>
      </c>
      <c r="G539">
        <v>428</v>
      </c>
      <c r="H539" t="s">
        <v>166</v>
      </c>
      <c r="I539" t="s">
        <v>167</v>
      </c>
      <c r="J539" t="s">
        <v>47</v>
      </c>
      <c r="K539" t="s">
        <v>48</v>
      </c>
      <c r="L539">
        <v>0</v>
      </c>
      <c r="M539" t="s">
        <v>49</v>
      </c>
      <c r="N539" t="s">
        <v>50</v>
      </c>
      <c r="O539">
        <v>0</v>
      </c>
      <c r="P539" t="s">
        <v>49</v>
      </c>
      <c r="Q539" t="s">
        <v>50</v>
      </c>
      <c r="R539" t="s">
        <v>300</v>
      </c>
      <c r="S539" t="s">
        <v>52</v>
      </c>
      <c r="T539" t="b">
        <v>1</v>
      </c>
      <c r="U539" t="s">
        <v>53</v>
      </c>
      <c r="V539" t="s">
        <v>54</v>
      </c>
      <c r="W539">
        <v>4</v>
      </c>
      <c r="X539" t="b">
        <v>0</v>
      </c>
      <c r="Y539" t="s">
        <v>55</v>
      </c>
      <c r="Z539" t="s">
        <v>56</v>
      </c>
      <c r="AA539" t="s">
        <v>57</v>
      </c>
      <c r="AB539">
        <v>0</v>
      </c>
      <c r="AC539" t="s">
        <v>58</v>
      </c>
      <c r="AD539">
        <v>8</v>
      </c>
      <c r="AE539" t="s">
        <v>59</v>
      </c>
      <c r="AF539">
        <v>2590945</v>
      </c>
      <c r="AG539" t="b">
        <v>0</v>
      </c>
      <c r="AH539">
        <v>8</v>
      </c>
      <c r="AI539" t="s">
        <v>59</v>
      </c>
      <c r="AJ539">
        <v>2590945</v>
      </c>
      <c r="AK539" t="b">
        <v>0</v>
      </c>
      <c r="AL539">
        <v>2590945</v>
      </c>
      <c r="AM539" t="b">
        <v>0</v>
      </c>
      <c r="AN539">
        <v>0</v>
      </c>
      <c r="AO539" t="b">
        <v>0</v>
      </c>
      <c r="AQ539">
        <v>687543.272</v>
      </c>
      <c r="AR539">
        <v>687543.272</v>
      </c>
      <c r="AS539">
        <v>0</v>
      </c>
      <c r="AT539" t="b">
        <v>0</v>
      </c>
      <c r="AU539" t="b">
        <v>1</v>
      </c>
      <c r="BA539" t="str">
        <f t="shared" si="16"/>
        <v>Normal</v>
      </c>
      <c r="BG539" t="str">
        <f t="shared" si="17"/>
        <v>Normal</v>
      </c>
    </row>
    <row r="540" spans="1:59" x14ac:dyDescent="0.2">
      <c r="A540" t="s">
        <v>42</v>
      </c>
      <c r="B540" t="s">
        <v>43</v>
      </c>
      <c r="C540">
        <v>20240101</v>
      </c>
      <c r="D540">
        <v>2024</v>
      </c>
      <c r="E540">
        <v>52</v>
      </c>
      <c r="F540" t="s">
        <v>325</v>
      </c>
      <c r="G540">
        <v>458</v>
      </c>
      <c r="H540" t="s">
        <v>177</v>
      </c>
      <c r="I540" t="s">
        <v>178</v>
      </c>
      <c r="J540" t="s">
        <v>47</v>
      </c>
      <c r="K540" t="s">
        <v>48</v>
      </c>
      <c r="L540">
        <v>0</v>
      </c>
      <c r="M540" t="s">
        <v>49</v>
      </c>
      <c r="N540" t="s">
        <v>50</v>
      </c>
      <c r="O540">
        <v>0</v>
      </c>
      <c r="P540" t="s">
        <v>49</v>
      </c>
      <c r="Q540" t="s">
        <v>50</v>
      </c>
      <c r="R540" t="s">
        <v>300</v>
      </c>
      <c r="S540" t="s">
        <v>52</v>
      </c>
      <c r="T540" t="b">
        <v>1</v>
      </c>
      <c r="U540" t="s">
        <v>53</v>
      </c>
      <c r="V540" t="s">
        <v>54</v>
      </c>
      <c r="W540">
        <v>4</v>
      </c>
      <c r="X540" t="b">
        <v>0</v>
      </c>
      <c r="Y540" t="s">
        <v>55</v>
      </c>
      <c r="Z540" t="s">
        <v>56</v>
      </c>
      <c r="AA540" t="s">
        <v>57</v>
      </c>
      <c r="AB540">
        <v>0</v>
      </c>
      <c r="AC540" t="s">
        <v>58</v>
      </c>
      <c r="AD540">
        <v>8</v>
      </c>
      <c r="AE540" t="s">
        <v>59</v>
      </c>
      <c r="AF540">
        <v>9491339957</v>
      </c>
      <c r="AG540" t="b">
        <v>0</v>
      </c>
      <c r="AH540">
        <v>8</v>
      </c>
      <c r="AI540" t="s">
        <v>59</v>
      </c>
      <c r="AJ540">
        <v>9491339957</v>
      </c>
      <c r="AK540" t="b">
        <v>0</v>
      </c>
      <c r="AL540">
        <v>9491339957</v>
      </c>
      <c r="AM540" t="b">
        <v>0</v>
      </c>
      <c r="AN540">
        <v>0</v>
      </c>
      <c r="AO540" t="b">
        <v>0</v>
      </c>
      <c r="AQ540">
        <v>6238601096.7119999</v>
      </c>
      <c r="AR540">
        <v>6238601096.7119999</v>
      </c>
      <c r="AS540">
        <v>0</v>
      </c>
      <c r="AT540" t="b">
        <v>0</v>
      </c>
      <c r="AU540" t="b">
        <v>1</v>
      </c>
      <c r="BA540" t="str">
        <f t="shared" si="16"/>
        <v>Normal</v>
      </c>
      <c r="BG540" t="str">
        <f t="shared" si="17"/>
        <v>Normal</v>
      </c>
    </row>
    <row r="541" spans="1:59" x14ac:dyDescent="0.2">
      <c r="A541" t="s">
        <v>42</v>
      </c>
      <c r="B541" t="s">
        <v>43</v>
      </c>
      <c r="C541">
        <v>20240101</v>
      </c>
      <c r="D541">
        <v>2024</v>
      </c>
      <c r="E541">
        <v>52</v>
      </c>
      <c r="F541" t="s">
        <v>325</v>
      </c>
      <c r="G541">
        <v>484</v>
      </c>
      <c r="H541" t="s">
        <v>181</v>
      </c>
      <c r="I541" t="s">
        <v>182</v>
      </c>
      <c r="J541" t="s">
        <v>47</v>
      </c>
      <c r="K541" t="s">
        <v>48</v>
      </c>
      <c r="L541">
        <v>0</v>
      </c>
      <c r="M541" t="s">
        <v>49</v>
      </c>
      <c r="N541" t="s">
        <v>50</v>
      </c>
      <c r="O541">
        <v>0</v>
      </c>
      <c r="P541" t="s">
        <v>49</v>
      </c>
      <c r="Q541" t="s">
        <v>50</v>
      </c>
      <c r="R541" t="s">
        <v>300</v>
      </c>
      <c r="S541" t="s">
        <v>52</v>
      </c>
      <c r="T541" t="b">
        <v>1</v>
      </c>
      <c r="U541" t="s">
        <v>53</v>
      </c>
      <c r="V541" t="s">
        <v>54</v>
      </c>
      <c r="W541">
        <v>4</v>
      </c>
      <c r="X541" t="b">
        <v>0</v>
      </c>
      <c r="Y541" t="s">
        <v>55</v>
      </c>
      <c r="Z541" t="s">
        <v>56</v>
      </c>
      <c r="AA541" t="s">
        <v>57</v>
      </c>
      <c r="AB541">
        <v>0</v>
      </c>
      <c r="AC541" t="s">
        <v>58</v>
      </c>
      <c r="AD541">
        <v>8</v>
      </c>
      <c r="AE541" t="s">
        <v>59</v>
      </c>
      <c r="AF541">
        <v>39114513944.514</v>
      </c>
      <c r="AG541" t="b">
        <v>1</v>
      </c>
      <c r="AH541">
        <v>-1</v>
      </c>
      <c r="AI541" t="s">
        <v>73</v>
      </c>
      <c r="AJ541">
        <v>0</v>
      </c>
      <c r="AK541" t="b">
        <v>0</v>
      </c>
      <c r="AL541">
        <v>39114513944.514</v>
      </c>
      <c r="AM541" t="b">
        <v>1</v>
      </c>
      <c r="AN541">
        <v>0</v>
      </c>
      <c r="AO541" t="b">
        <v>0</v>
      </c>
      <c r="AQ541">
        <v>21707462281</v>
      </c>
      <c r="AR541">
        <v>21707462281</v>
      </c>
      <c r="AS541">
        <v>6</v>
      </c>
      <c r="AT541" t="b">
        <v>0</v>
      </c>
      <c r="AU541" t="b">
        <v>1</v>
      </c>
      <c r="BA541" t="str">
        <f t="shared" si="16"/>
        <v>Normal</v>
      </c>
      <c r="BG541" t="str">
        <f t="shared" si="17"/>
        <v>Normal</v>
      </c>
    </row>
    <row r="542" spans="1:59" x14ac:dyDescent="0.2">
      <c r="A542" t="s">
        <v>42</v>
      </c>
      <c r="B542" t="s">
        <v>43</v>
      </c>
      <c r="C542">
        <v>20240101</v>
      </c>
      <c r="D542">
        <v>2024</v>
      </c>
      <c r="E542">
        <v>52</v>
      </c>
      <c r="F542" t="s">
        <v>325</v>
      </c>
      <c r="G542">
        <v>498</v>
      </c>
      <c r="H542" t="s">
        <v>185</v>
      </c>
      <c r="I542" t="s">
        <v>186</v>
      </c>
      <c r="J542" t="s">
        <v>47</v>
      </c>
      <c r="K542" t="s">
        <v>48</v>
      </c>
      <c r="L542">
        <v>0</v>
      </c>
      <c r="M542" t="s">
        <v>49</v>
      </c>
      <c r="N542" t="s">
        <v>50</v>
      </c>
      <c r="O542">
        <v>0</v>
      </c>
      <c r="P542" t="s">
        <v>49</v>
      </c>
      <c r="Q542" t="s">
        <v>50</v>
      </c>
      <c r="R542" t="s">
        <v>300</v>
      </c>
      <c r="S542" t="s">
        <v>52</v>
      </c>
      <c r="T542" t="b">
        <v>1</v>
      </c>
      <c r="U542" t="s">
        <v>53</v>
      </c>
      <c r="V542" t="s">
        <v>54</v>
      </c>
      <c r="W542">
        <v>4</v>
      </c>
      <c r="X542" t="b">
        <v>0</v>
      </c>
      <c r="Y542" t="s">
        <v>55</v>
      </c>
      <c r="Z542" t="s">
        <v>56</v>
      </c>
      <c r="AA542" t="s">
        <v>57</v>
      </c>
      <c r="AB542">
        <v>0</v>
      </c>
      <c r="AC542" t="s">
        <v>58</v>
      </c>
      <c r="AD542">
        <v>8</v>
      </c>
      <c r="AE542" t="s">
        <v>59</v>
      </c>
      <c r="AF542">
        <v>1583990</v>
      </c>
      <c r="AG542" t="b">
        <v>0</v>
      </c>
      <c r="AH542">
        <v>8</v>
      </c>
      <c r="AI542" t="s">
        <v>59</v>
      </c>
      <c r="AJ542">
        <v>1583990</v>
      </c>
      <c r="AK542" t="b">
        <v>0</v>
      </c>
      <c r="AL542">
        <v>1583990</v>
      </c>
      <c r="AM542" t="b">
        <v>0</v>
      </c>
      <c r="AN542">
        <v>0</v>
      </c>
      <c r="AO542" t="b">
        <v>0</v>
      </c>
      <c r="AQ542">
        <v>628303</v>
      </c>
      <c r="AR542">
        <v>628303</v>
      </c>
      <c r="AS542">
        <v>0</v>
      </c>
      <c r="AT542" t="b">
        <v>0</v>
      </c>
      <c r="AU542" t="b">
        <v>1</v>
      </c>
      <c r="BA542" t="str">
        <f t="shared" si="16"/>
        <v>Normal</v>
      </c>
      <c r="BG542" t="str">
        <f t="shared" si="17"/>
        <v>Normal</v>
      </c>
    </row>
    <row r="543" spans="1:59" x14ac:dyDescent="0.2">
      <c r="A543" t="s">
        <v>42</v>
      </c>
      <c r="B543" t="s">
        <v>43</v>
      </c>
      <c r="C543">
        <v>20240101</v>
      </c>
      <c r="D543">
        <v>2024</v>
      </c>
      <c r="E543">
        <v>52</v>
      </c>
      <c r="F543" t="s">
        <v>325</v>
      </c>
      <c r="G543">
        <v>508</v>
      </c>
      <c r="H543" t="s">
        <v>319</v>
      </c>
      <c r="I543" t="s">
        <v>320</v>
      </c>
      <c r="J543" t="s">
        <v>47</v>
      </c>
      <c r="K543" t="s">
        <v>48</v>
      </c>
      <c r="L543">
        <v>0</v>
      </c>
      <c r="M543" t="s">
        <v>49</v>
      </c>
      <c r="N543" t="s">
        <v>50</v>
      </c>
      <c r="O543">
        <v>0</v>
      </c>
      <c r="P543" t="s">
        <v>49</v>
      </c>
      <c r="Q543" t="s">
        <v>50</v>
      </c>
      <c r="R543" t="s">
        <v>300</v>
      </c>
      <c r="S543" t="s">
        <v>52</v>
      </c>
      <c r="T543" t="b">
        <v>1</v>
      </c>
      <c r="U543" t="s">
        <v>53</v>
      </c>
      <c r="V543" t="s">
        <v>54</v>
      </c>
      <c r="W543">
        <v>4</v>
      </c>
      <c r="X543" t="b">
        <v>0</v>
      </c>
      <c r="Y543" t="s">
        <v>55</v>
      </c>
      <c r="Z543" t="s">
        <v>56</v>
      </c>
      <c r="AA543" t="s">
        <v>57</v>
      </c>
      <c r="AB543">
        <v>0</v>
      </c>
      <c r="AC543" t="s">
        <v>58</v>
      </c>
      <c r="AD543">
        <v>8</v>
      </c>
      <c r="AE543" t="s">
        <v>59</v>
      </c>
      <c r="AF543">
        <v>1262390</v>
      </c>
      <c r="AG543" t="b">
        <v>0</v>
      </c>
      <c r="AH543">
        <v>8</v>
      </c>
      <c r="AI543" t="s">
        <v>59</v>
      </c>
      <c r="AJ543">
        <v>1262390</v>
      </c>
      <c r="AK543" t="b">
        <v>0</v>
      </c>
      <c r="AL543">
        <v>1262390</v>
      </c>
      <c r="AM543" t="b">
        <v>0</v>
      </c>
      <c r="AN543">
        <v>0</v>
      </c>
      <c r="AO543" t="b">
        <v>0</v>
      </c>
      <c r="AQ543">
        <v>95515041</v>
      </c>
      <c r="AR543">
        <v>95515041</v>
      </c>
      <c r="AS543">
        <v>0</v>
      </c>
      <c r="AT543" t="b">
        <v>0</v>
      </c>
      <c r="AU543" t="b">
        <v>1</v>
      </c>
      <c r="BA543" t="str">
        <f t="shared" si="16"/>
        <v>Normal</v>
      </c>
      <c r="BG543" t="str">
        <f t="shared" si="17"/>
        <v>Normal</v>
      </c>
    </row>
    <row r="544" spans="1:59" x14ac:dyDescent="0.2">
      <c r="A544" t="s">
        <v>42</v>
      </c>
      <c r="B544" t="s">
        <v>43</v>
      </c>
      <c r="C544">
        <v>20240101</v>
      </c>
      <c r="D544">
        <v>2024</v>
      </c>
      <c r="E544">
        <v>52</v>
      </c>
      <c r="F544" t="s">
        <v>325</v>
      </c>
      <c r="G544">
        <v>516</v>
      </c>
      <c r="H544" t="s">
        <v>189</v>
      </c>
      <c r="I544" t="s">
        <v>190</v>
      </c>
      <c r="J544" t="s">
        <v>47</v>
      </c>
      <c r="K544" t="s">
        <v>48</v>
      </c>
      <c r="L544">
        <v>0</v>
      </c>
      <c r="M544" t="s">
        <v>49</v>
      </c>
      <c r="N544" t="s">
        <v>50</v>
      </c>
      <c r="O544">
        <v>0</v>
      </c>
      <c r="P544" t="s">
        <v>49</v>
      </c>
      <c r="Q544" t="s">
        <v>50</v>
      </c>
      <c r="R544" t="s">
        <v>300</v>
      </c>
      <c r="S544" t="s">
        <v>52</v>
      </c>
      <c r="T544" t="b">
        <v>1</v>
      </c>
      <c r="U544" t="s">
        <v>53</v>
      </c>
      <c r="V544" t="s">
        <v>54</v>
      </c>
      <c r="W544">
        <v>4</v>
      </c>
      <c r="X544" t="b">
        <v>0</v>
      </c>
      <c r="Y544" t="s">
        <v>55</v>
      </c>
      <c r="Z544" t="s">
        <v>56</v>
      </c>
      <c r="AA544" t="s">
        <v>57</v>
      </c>
      <c r="AB544">
        <v>0</v>
      </c>
      <c r="AC544" t="s">
        <v>58</v>
      </c>
      <c r="AD544">
        <v>-1</v>
      </c>
      <c r="AE544" t="s">
        <v>73</v>
      </c>
      <c r="AF544">
        <v>0</v>
      </c>
      <c r="AG544" t="b">
        <v>0</v>
      </c>
      <c r="AH544">
        <v>-1</v>
      </c>
      <c r="AI544" t="s">
        <v>73</v>
      </c>
      <c r="AJ544">
        <v>0</v>
      </c>
      <c r="AK544" t="b">
        <v>0</v>
      </c>
      <c r="AM544" t="b">
        <v>0</v>
      </c>
      <c r="AN544">
        <v>0</v>
      </c>
      <c r="AO544" t="b">
        <v>0</v>
      </c>
      <c r="AP544">
        <v>21881.578000000001</v>
      </c>
      <c r="AQ544">
        <v>21881.578000000001</v>
      </c>
      <c r="AR544">
        <v>21881.578000000001</v>
      </c>
      <c r="AS544">
        <v>0</v>
      </c>
      <c r="AT544" t="b">
        <v>0</v>
      </c>
      <c r="AU544" t="b">
        <v>1</v>
      </c>
      <c r="BA544" t="str">
        <f t="shared" si="16"/>
        <v>Normal</v>
      </c>
      <c r="BG544" t="str">
        <f t="shared" si="17"/>
        <v>Normal</v>
      </c>
    </row>
    <row r="545" spans="1:59" x14ac:dyDescent="0.2">
      <c r="A545" t="s">
        <v>42</v>
      </c>
      <c r="B545" t="s">
        <v>43</v>
      </c>
      <c r="C545">
        <v>20240101</v>
      </c>
      <c r="D545">
        <v>2024</v>
      </c>
      <c r="E545">
        <v>52</v>
      </c>
      <c r="F545" t="s">
        <v>325</v>
      </c>
      <c r="G545">
        <v>528</v>
      </c>
      <c r="H545" t="s">
        <v>191</v>
      </c>
      <c r="I545" t="s">
        <v>192</v>
      </c>
      <c r="J545" t="s">
        <v>47</v>
      </c>
      <c r="K545" t="s">
        <v>48</v>
      </c>
      <c r="L545">
        <v>0</v>
      </c>
      <c r="M545" t="s">
        <v>49</v>
      </c>
      <c r="N545" t="s">
        <v>50</v>
      </c>
      <c r="O545">
        <v>0</v>
      </c>
      <c r="P545" t="s">
        <v>49</v>
      </c>
      <c r="Q545" t="s">
        <v>50</v>
      </c>
      <c r="R545" t="s">
        <v>300</v>
      </c>
      <c r="S545" t="s">
        <v>52</v>
      </c>
      <c r="T545" t="b">
        <v>1</v>
      </c>
      <c r="U545" t="s">
        <v>53</v>
      </c>
      <c r="V545" t="s">
        <v>54</v>
      </c>
      <c r="W545">
        <v>4</v>
      </c>
      <c r="X545" t="b">
        <v>0</v>
      </c>
      <c r="Y545" t="s">
        <v>55</v>
      </c>
      <c r="Z545" t="s">
        <v>56</v>
      </c>
      <c r="AA545" t="s">
        <v>57</v>
      </c>
      <c r="AB545">
        <v>0</v>
      </c>
      <c r="AC545" t="s">
        <v>58</v>
      </c>
      <c r="AD545">
        <v>8</v>
      </c>
      <c r="AE545" t="s">
        <v>59</v>
      </c>
      <c r="AF545">
        <v>28308945932</v>
      </c>
      <c r="AG545" t="b">
        <v>0</v>
      </c>
      <c r="AH545">
        <v>8</v>
      </c>
      <c r="AI545" t="s">
        <v>59</v>
      </c>
      <c r="AJ545">
        <v>28308945932</v>
      </c>
      <c r="AK545" t="b">
        <v>0</v>
      </c>
      <c r="AL545">
        <v>28308945932</v>
      </c>
      <c r="AM545" t="b">
        <v>0</v>
      </c>
      <c r="AN545">
        <v>0</v>
      </c>
      <c r="AO545" t="b">
        <v>0</v>
      </c>
      <c r="AQ545">
        <v>17039634176.931</v>
      </c>
      <c r="AR545">
        <v>17039634176.931</v>
      </c>
      <c r="AS545">
        <v>0</v>
      </c>
      <c r="AT545" t="b">
        <v>0</v>
      </c>
      <c r="AU545" t="b">
        <v>1</v>
      </c>
      <c r="BA545" t="str">
        <f t="shared" si="16"/>
        <v>Normal</v>
      </c>
      <c r="BG545" t="str">
        <f t="shared" si="17"/>
        <v>Normal</v>
      </c>
    </row>
    <row r="546" spans="1:59" x14ac:dyDescent="0.2">
      <c r="A546" t="s">
        <v>42</v>
      </c>
      <c r="B546" t="s">
        <v>43</v>
      </c>
      <c r="C546">
        <v>20240101</v>
      </c>
      <c r="D546">
        <v>2024</v>
      </c>
      <c r="E546">
        <v>52</v>
      </c>
      <c r="F546" t="s">
        <v>325</v>
      </c>
      <c r="G546">
        <v>554</v>
      </c>
      <c r="H546" t="s">
        <v>195</v>
      </c>
      <c r="I546" t="s">
        <v>196</v>
      </c>
      <c r="J546" t="s">
        <v>47</v>
      </c>
      <c r="K546" t="s">
        <v>48</v>
      </c>
      <c r="L546">
        <v>0</v>
      </c>
      <c r="M546" t="s">
        <v>49</v>
      </c>
      <c r="N546" t="s">
        <v>50</v>
      </c>
      <c r="O546">
        <v>0</v>
      </c>
      <c r="P546" t="s">
        <v>49</v>
      </c>
      <c r="Q546" t="s">
        <v>50</v>
      </c>
      <c r="R546" t="s">
        <v>300</v>
      </c>
      <c r="S546" t="s">
        <v>52</v>
      </c>
      <c r="T546" t="b">
        <v>1</v>
      </c>
      <c r="U546" t="s">
        <v>53</v>
      </c>
      <c r="V546" t="s">
        <v>54</v>
      </c>
      <c r="W546">
        <v>4</v>
      </c>
      <c r="X546" t="b">
        <v>0</v>
      </c>
      <c r="Y546" t="s">
        <v>55</v>
      </c>
      <c r="Z546" t="s">
        <v>56</v>
      </c>
      <c r="AA546" t="s">
        <v>57</v>
      </c>
      <c r="AB546">
        <v>0</v>
      </c>
      <c r="AC546" t="s">
        <v>58</v>
      </c>
      <c r="AD546">
        <v>8</v>
      </c>
      <c r="AE546" t="s">
        <v>59</v>
      </c>
      <c r="AF546">
        <v>719483682.12899995</v>
      </c>
      <c r="AG546" t="b">
        <v>1</v>
      </c>
      <c r="AH546">
        <v>-1</v>
      </c>
      <c r="AI546" t="s">
        <v>73</v>
      </c>
      <c r="AJ546">
        <v>0</v>
      </c>
      <c r="AK546" t="b">
        <v>0</v>
      </c>
      <c r="AL546">
        <v>719483682.12899995</v>
      </c>
      <c r="AM546" t="b">
        <v>1</v>
      </c>
      <c r="AN546">
        <v>725303735</v>
      </c>
      <c r="AO546" t="b">
        <v>0</v>
      </c>
      <c r="AQ546">
        <v>423230611.23699999</v>
      </c>
      <c r="AR546">
        <v>423230611.23699999</v>
      </c>
      <c r="AS546">
        <v>6</v>
      </c>
      <c r="AT546" t="b">
        <v>0</v>
      </c>
      <c r="AU546" t="b">
        <v>1</v>
      </c>
      <c r="BA546" t="str">
        <f t="shared" si="16"/>
        <v>Normal</v>
      </c>
      <c r="BG546" t="str">
        <f t="shared" si="17"/>
        <v>Normal</v>
      </c>
    </row>
    <row r="547" spans="1:59" x14ac:dyDescent="0.2">
      <c r="A547" t="s">
        <v>42</v>
      </c>
      <c r="B547" t="s">
        <v>43</v>
      </c>
      <c r="C547">
        <v>20240101</v>
      </c>
      <c r="D547">
        <v>2024</v>
      </c>
      <c r="E547">
        <v>52</v>
      </c>
      <c r="F547" t="s">
        <v>325</v>
      </c>
      <c r="G547">
        <v>562</v>
      </c>
      <c r="H547" t="s">
        <v>321</v>
      </c>
      <c r="I547" t="s">
        <v>322</v>
      </c>
      <c r="J547" t="s">
        <v>47</v>
      </c>
      <c r="K547" t="s">
        <v>48</v>
      </c>
      <c r="L547">
        <v>0</v>
      </c>
      <c r="M547" t="s">
        <v>49</v>
      </c>
      <c r="N547" t="s">
        <v>50</v>
      </c>
      <c r="O547">
        <v>0</v>
      </c>
      <c r="P547" t="s">
        <v>49</v>
      </c>
      <c r="Q547" t="s">
        <v>50</v>
      </c>
      <c r="R547" t="s">
        <v>300</v>
      </c>
      <c r="S547" t="s">
        <v>52</v>
      </c>
      <c r="T547" t="b">
        <v>1</v>
      </c>
      <c r="U547" t="s">
        <v>53</v>
      </c>
      <c r="V547" t="s">
        <v>54</v>
      </c>
      <c r="W547">
        <v>4</v>
      </c>
      <c r="X547" t="b">
        <v>0</v>
      </c>
      <c r="Y547" t="s">
        <v>55</v>
      </c>
      <c r="Z547" t="s">
        <v>56</v>
      </c>
      <c r="AA547" t="s">
        <v>57</v>
      </c>
      <c r="AB547">
        <v>0</v>
      </c>
      <c r="AC547" t="s">
        <v>58</v>
      </c>
      <c r="AD547">
        <v>8</v>
      </c>
      <c r="AE547" t="s">
        <v>59</v>
      </c>
      <c r="AF547">
        <v>1453006415</v>
      </c>
      <c r="AG547" t="b">
        <v>0</v>
      </c>
      <c r="AH547">
        <v>8</v>
      </c>
      <c r="AI547" t="s">
        <v>59</v>
      </c>
      <c r="AJ547">
        <v>1453006415</v>
      </c>
      <c r="AK547" t="b">
        <v>0</v>
      </c>
      <c r="AL547">
        <v>1453006415</v>
      </c>
      <c r="AM547" t="b">
        <v>0</v>
      </c>
      <c r="AN547">
        <v>0</v>
      </c>
      <c r="AO547" t="b">
        <v>0</v>
      </c>
      <c r="AQ547">
        <v>748936604.204</v>
      </c>
      <c r="AR547">
        <v>748936604.204</v>
      </c>
      <c r="AS547">
        <v>0</v>
      </c>
      <c r="AT547" t="b">
        <v>0</v>
      </c>
      <c r="AU547" t="b">
        <v>1</v>
      </c>
      <c r="BA547" t="str">
        <f t="shared" si="16"/>
        <v>Normal</v>
      </c>
      <c r="BG547" t="str">
        <f t="shared" si="17"/>
        <v>Normal</v>
      </c>
    </row>
    <row r="548" spans="1:59" x14ac:dyDescent="0.2">
      <c r="A548" t="s">
        <v>42</v>
      </c>
      <c r="B548" t="s">
        <v>43</v>
      </c>
      <c r="C548">
        <v>20240101</v>
      </c>
      <c r="D548">
        <v>2024</v>
      </c>
      <c r="E548">
        <v>52</v>
      </c>
      <c r="F548" t="s">
        <v>325</v>
      </c>
      <c r="G548">
        <v>566</v>
      </c>
      <c r="H548" t="s">
        <v>197</v>
      </c>
      <c r="I548" t="s">
        <v>198</v>
      </c>
      <c r="J548" t="s">
        <v>47</v>
      </c>
      <c r="K548" t="s">
        <v>48</v>
      </c>
      <c r="L548">
        <v>0</v>
      </c>
      <c r="M548" t="s">
        <v>49</v>
      </c>
      <c r="N548" t="s">
        <v>50</v>
      </c>
      <c r="O548">
        <v>0</v>
      </c>
      <c r="P548" t="s">
        <v>49</v>
      </c>
      <c r="Q548" t="s">
        <v>50</v>
      </c>
      <c r="R548" t="s">
        <v>300</v>
      </c>
      <c r="S548" t="s">
        <v>52</v>
      </c>
      <c r="T548" t="b">
        <v>1</v>
      </c>
      <c r="U548" t="s">
        <v>53</v>
      </c>
      <c r="V548" t="s">
        <v>54</v>
      </c>
      <c r="W548">
        <v>4</v>
      </c>
      <c r="X548" t="b">
        <v>0</v>
      </c>
      <c r="Y548" t="s">
        <v>55</v>
      </c>
      <c r="Z548" t="s">
        <v>56</v>
      </c>
      <c r="AA548" t="s">
        <v>57</v>
      </c>
      <c r="AB548">
        <v>0</v>
      </c>
      <c r="AC548" t="s">
        <v>58</v>
      </c>
      <c r="AD548">
        <v>-1</v>
      </c>
      <c r="AE548" t="s">
        <v>73</v>
      </c>
      <c r="AF548">
        <v>0</v>
      </c>
      <c r="AG548" t="b">
        <v>0</v>
      </c>
      <c r="AH548">
        <v>-1</v>
      </c>
      <c r="AI548" t="s">
        <v>73</v>
      </c>
      <c r="AJ548">
        <v>0</v>
      </c>
      <c r="AK548" t="b">
        <v>0</v>
      </c>
      <c r="AM548" t="b">
        <v>0</v>
      </c>
      <c r="AN548">
        <v>0</v>
      </c>
      <c r="AO548" t="b">
        <v>0</v>
      </c>
      <c r="AQ548">
        <v>37380669161.523003</v>
      </c>
      <c r="AR548">
        <v>37380669161.523003</v>
      </c>
      <c r="AS548">
        <v>0</v>
      </c>
      <c r="AT548" t="b">
        <v>0</v>
      </c>
      <c r="AU548" t="b">
        <v>1</v>
      </c>
      <c r="BA548" t="str">
        <f t="shared" si="16"/>
        <v>Normal</v>
      </c>
      <c r="BG548" t="str">
        <f t="shared" si="17"/>
        <v>Normal</v>
      </c>
    </row>
    <row r="549" spans="1:59" x14ac:dyDescent="0.2">
      <c r="A549" t="s">
        <v>42</v>
      </c>
      <c r="B549" t="s">
        <v>43</v>
      </c>
      <c r="C549">
        <v>20240101</v>
      </c>
      <c r="D549">
        <v>2024</v>
      </c>
      <c r="E549">
        <v>52</v>
      </c>
      <c r="F549" t="s">
        <v>325</v>
      </c>
      <c r="G549">
        <v>579</v>
      </c>
      <c r="H549" t="s">
        <v>199</v>
      </c>
      <c r="I549" t="s">
        <v>200</v>
      </c>
      <c r="J549" t="s">
        <v>47</v>
      </c>
      <c r="K549" t="s">
        <v>48</v>
      </c>
      <c r="L549">
        <v>0</v>
      </c>
      <c r="M549" t="s">
        <v>49</v>
      </c>
      <c r="N549" t="s">
        <v>50</v>
      </c>
      <c r="O549">
        <v>0</v>
      </c>
      <c r="P549" t="s">
        <v>49</v>
      </c>
      <c r="Q549" t="s">
        <v>50</v>
      </c>
      <c r="R549" t="s">
        <v>300</v>
      </c>
      <c r="S549" t="s">
        <v>52</v>
      </c>
      <c r="T549" t="b">
        <v>1</v>
      </c>
      <c r="U549" t="s">
        <v>53</v>
      </c>
      <c r="V549" t="s">
        <v>54</v>
      </c>
      <c r="W549">
        <v>4</v>
      </c>
      <c r="X549" t="b">
        <v>0</v>
      </c>
      <c r="Y549" t="s">
        <v>55</v>
      </c>
      <c r="Z549" t="s">
        <v>56</v>
      </c>
      <c r="AA549" t="s">
        <v>57</v>
      </c>
      <c r="AB549">
        <v>0</v>
      </c>
      <c r="AC549" t="s">
        <v>58</v>
      </c>
      <c r="AD549">
        <v>8</v>
      </c>
      <c r="AE549" t="s">
        <v>59</v>
      </c>
      <c r="AF549">
        <v>84025184200</v>
      </c>
      <c r="AG549" t="b">
        <v>0</v>
      </c>
      <c r="AH549">
        <v>-1</v>
      </c>
      <c r="AI549" t="s">
        <v>73</v>
      </c>
      <c r="AJ549">
        <v>0</v>
      </c>
      <c r="AK549" t="b">
        <v>0</v>
      </c>
      <c r="AL549">
        <v>84025184200</v>
      </c>
      <c r="AM549" t="b">
        <v>0</v>
      </c>
      <c r="AN549">
        <v>0</v>
      </c>
      <c r="AO549" t="b">
        <v>0</v>
      </c>
      <c r="AQ549">
        <v>49293154558.329002</v>
      </c>
      <c r="AR549">
        <v>49293154558.329002</v>
      </c>
      <c r="AS549">
        <v>0</v>
      </c>
      <c r="AT549" t="b">
        <v>0</v>
      </c>
      <c r="AU549" t="b">
        <v>1</v>
      </c>
      <c r="BA549" t="str">
        <f t="shared" si="16"/>
        <v>Normal</v>
      </c>
      <c r="BG549" t="str">
        <f t="shared" si="17"/>
        <v>Normal</v>
      </c>
    </row>
    <row r="550" spans="1:59" x14ac:dyDescent="0.2">
      <c r="A550" t="s">
        <v>42</v>
      </c>
      <c r="B550" t="s">
        <v>43</v>
      </c>
      <c r="C550">
        <v>20240101</v>
      </c>
      <c r="D550">
        <v>2024</v>
      </c>
      <c r="E550">
        <v>52</v>
      </c>
      <c r="F550" t="s">
        <v>325</v>
      </c>
      <c r="G550">
        <v>586</v>
      </c>
      <c r="H550" t="s">
        <v>201</v>
      </c>
      <c r="I550" t="s">
        <v>202</v>
      </c>
      <c r="J550" t="s">
        <v>47</v>
      </c>
      <c r="K550" t="s">
        <v>48</v>
      </c>
      <c r="L550">
        <v>0</v>
      </c>
      <c r="M550" t="s">
        <v>49</v>
      </c>
      <c r="N550" t="s">
        <v>50</v>
      </c>
      <c r="O550">
        <v>0</v>
      </c>
      <c r="P550" t="s">
        <v>49</v>
      </c>
      <c r="Q550" t="s">
        <v>50</v>
      </c>
      <c r="R550" t="s">
        <v>300</v>
      </c>
      <c r="S550" t="s">
        <v>52</v>
      </c>
      <c r="T550" t="b">
        <v>1</v>
      </c>
      <c r="U550" t="s">
        <v>53</v>
      </c>
      <c r="V550" t="s">
        <v>54</v>
      </c>
      <c r="W550">
        <v>4</v>
      </c>
      <c r="X550" t="b">
        <v>0</v>
      </c>
      <c r="Y550" t="s">
        <v>55</v>
      </c>
      <c r="Z550" t="s">
        <v>56</v>
      </c>
      <c r="AA550" t="s">
        <v>57</v>
      </c>
      <c r="AB550">
        <v>0</v>
      </c>
      <c r="AC550" t="s">
        <v>58</v>
      </c>
      <c r="AD550">
        <v>8</v>
      </c>
      <c r="AE550" t="s">
        <v>59</v>
      </c>
      <c r="AF550">
        <v>105219000</v>
      </c>
      <c r="AG550" t="b">
        <v>0</v>
      </c>
      <c r="AH550">
        <v>21</v>
      </c>
      <c r="AI550" t="s">
        <v>170</v>
      </c>
      <c r="AJ550">
        <v>105219</v>
      </c>
      <c r="AK550" t="b">
        <v>0</v>
      </c>
      <c r="AL550">
        <v>105219000</v>
      </c>
      <c r="AM550" t="b">
        <v>0</v>
      </c>
      <c r="AN550">
        <v>0</v>
      </c>
      <c r="AO550" t="b">
        <v>0</v>
      </c>
      <c r="AQ550">
        <v>67590587.630999997</v>
      </c>
      <c r="AR550">
        <v>67590587.630999997</v>
      </c>
      <c r="AS550">
        <v>0</v>
      </c>
      <c r="AT550" t="b">
        <v>0</v>
      </c>
      <c r="AU550" t="b">
        <v>1</v>
      </c>
      <c r="BA550" t="str">
        <f t="shared" si="16"/>
        <v>Normal</v>
      </c>
      <c r="BG550" t="str">
        <f t="shared" si="17"/>
        <v>Normal</v>
      </c>
    </row>
    <row r="551" spans="1:59" x14ac:dyDescent="0.2">
      <c r="A551" t="s">
        <v>42</v>
      </c>
      <c r="B551" t="s">
        <v>43</v>
      </c>
      <c r="C551">
        <v>20240101</v>
      </c>
      <c r="D551">
        <v>2024</v>
      </c>
      <c r="E551">
        <v>52</v>
      </c>
      <c r="F551" t="s">
        <v>325</v>
      </c>
      <c r="G551">
        <v>604</v>
      </c>
      <c r="H551" t="s">
        <v>205</v>
      </c>
      <c r="I551" t="s">
        <v>206</v>
      </c>
      <c r="J551" t="s">
        <v>47</v>
      </c>
      <c r="K551" t="s">
        <v>48</v>
      </c>
      <c r="L551">
        <v>0</v>
      </c>
      <c r="M551" t="s">
        <v>49</v>
      </c>
      <c r="N551" t="s">
        <v>50</v>
      </c>
      <c r="O551">
        <v>0</v>
      </c>
      <c r="P551" t="s">
        <v>49</v>
      </c>
      <c r="Q551" t="s">
        <v>50</v>
      </c>
      <c r="R551" t="s">
        <v>300</v>
      </c>
      <c r="S551" t="s">
        <v>52</v>
      </c>
      <c r="T551" t="b">
        <v>1</v>
      </c>
      <c r="U551" t="s">
        <v>53</v>
      </c>
      <c r="V551" t="s">
        <v>54</v>
      </c>
      <c r="W551">
        <v>4</v>
      </c>
      <c r="X551" t="b">
        <v>0</v>
      </c>
      <c r="Y551" t="s">
        <v>55</v>
      </c>
      <c r="Z551" t="s">
        <v>56</v>
      </c>
      <c r="AA551" t="s">
        <v>57</v>
      </c>
      <c r="AB551">
        <v>0</v>
      </c>
      <c r="AC551" t="s">
        <v>58</v>
      </c>
      <c r="AD551">
        <v>8</v>
      </c>
      <c r="AE551" t="s">
        <v>59</v>
      </c>
      <c r="AF551">
        <v>972572371</v>
      </c>
      <c r="AG551" t="b">
        <v>0</v>
      </c>
      <c r="AH551">
        <v>12</v>
      </c>
      <c r="AI551" t="s">
        <v>70</v>
      </c>
      <c r="AJ551">
        <v>1035854.98</v>
      </c>
      <c r="AK551" t="b">
        <v>0</v>
      </c>
      <c r="AL551">
        <v>972572371</v>
      </c>
      <c r="AM551" t="b">
        <v>0</v>
      </c>
      <c r="AN551">
        <v>0</v>
      </c>
      <c r="AO551" t="b">
        <v>0</v>
      </c>
      <c r="AQ551">
        <v>317674708.75</v>
      </c>
      <c r="AR551">
        <v>317674708.75</v>
      </c>
      <c r="AS551">
        <v>0</v>
      </c>
      <c r="AT551" t="b">
        <v>0</v>
      </c>
      <c r="AU551" t="b">
        <v>1</v>
      </c>
      <c r="BA551" t="str">
        <f t="shared" si="16"/>
        <v>Normal</v>
      </c>
      <c r="BG551" t="str">
        <f t="shared" si="17"/>
        <v>Normal</v>
      </c>
    </row>
    <row r="552" spans="1:59" x14ac:dyDescent="0.2">
      <c r="A552" t="s">
        <v>42</v>
      </c>
      <c r="B552" t="s">
        <v>43</v>
      </c>
      <c r="C552">
        <v>20240101</v>
      </c>
      <c r="D552">
        <v>2024</v>
      </c>
      <c r="E552">
        <v>52</v>
      </c>
      <c r="F552" t="s">
        <v>325</v>
      </c>
      <c r="G552">
        <v>608</v>
      </c>
      <c r="H552" t="s">
        <v>207</v>
      </c>
      <c r="I552" t="s">
        <v>208</v>
      </c>
      <c r="J552" t="s">
        <v>47</v>
      </c>
      <c r="K552" t="s">
        <v>48</v>
      </c>
      <c r="L552">
        <v>0</v>
      </c>
      <c r="M552" t="s">
        <v>49</v>
      </c>
      <c r="N552" t="s">
        <v>50</v>
      </c>
      <c r="O552">
        <v>0</v>
      </c>
      <c r="P552" t="s">
        <v>49</v>
      </c>
      <c r="Q552" t="s">
        <v>50</v>
      </c>
      <c r="R552" t="s">
        <v>300</v>
      </c>
      <c r="S552" t="s">
        <v>52</v>
      </c>
      <c r="T552" t="b">
        <v>1</v>
      </c>
      <c r="U552" t="s">
        <v>53</v>
      </c>
      <c r="V552" t="s">
        <v>54</v>
      </c>
      <c r="W552">
        <v>4</v>
      </c>
      <c r="X552" t="b">
        <v>0</v>
      </c>
      <c r="Y552" t="s">
        <v>55</v>
      </c>
      <c r="Z552" t="s">
        <v>56</v>
      </c>
      <c r="AA552" t="s">
        <v>57</v>
      </c>
      <c r="AB552">
        <v>0</v>
      </c>
      <c r="AC552" t="s">
        <v>58</v>
      </c>
      <c r="AD552">
        <v>8</v>
      </c>
      <c r="AE552" t="s">
        <v>59</v>
      </c>
      <c r="AF552">
        <v>284114200</v>
      </c>
      <c r="AG552" t="b">
        <v>0</v>
      </c>
      <c r="AH552">
        <v>8</v>
      </c>
      <c r="AI552" t="s">
        <v>59</v>
      </c>
      <c r="AJ552">
        <v>284114200</v>
      </c>
      <c r="AK552" t="b">
        <v>0</v>
      </c>
      <c r="AL552">
        <v>284114200</v>
      </c>
      <c r="AM552" t="b">
        <v>0</v>
      </c>
      <c r="AN552">
        <v>284114200</v>
      </c>
      <c r="AO552" t="b">
        <v>0</v>
      </c>
      <c r="AQ552">
        <v>168274610</v>
      </c>
      <c r="AR552">
        <v>168274610</v>
      </c>
      <c r="AS552">
        <v>0</v>
      </c>
      <c r="AT552" t="b">
        <v>0</v>
      </c>
      <c r="AU552" t="b">
        <v>1</v>
      </c>
      <c r="BA552" t="str">
        <f t="shared" si="16"/>
        <v>Normal</v>
      </c>
      <c r="BG552" t="str">
        <f t="shared" si="17"/>
        <v>Normal</v>
      </c>
    </row>
    <row r="553" spans="1:59" x14ac:dyDescent="0.2">
      <c r="A553" t="s">
        <v>42</v>
      </c>
      <c r="B553" t="s">
        <v>43</v>
      </c>
      <c r="C553">
        <v>20240101</v>
      </c>
      <c r="D553">
        <v>2024</v>
      </c>
      <c r="E553">
        <v>52</v>
      </c>
      <c r="F553" t="s">
        <v>325</v>
      </c>
      <c r="G553">
        <v>616</v>
      </c>
      <c r="H553" t="s">
        <v>209</v>
      </c>
      <c r="I553" t="s">
        <v>210</v>
      </c>
      <c r="J553" t="s">
        <v>47</v>
      </c>
      <c r="K553" t="s">
        <v>48</v>
      </c>
      <c r="L553">
        <v>0</v>
      </c>
      <c r="M553" t="s">
        <v>49</v>
      </c>
      <c r="N553" t="s">
        <v>50</v>
      </c>
      <c r="O553">
        <v>0</v>
      </c>
      <c r="P553" t="s">
        <v>49</v>
      </c>
      <c r="Q553" t="s">
        <v>50</v>
      </c>
      <c r="R553" t="s">
        <v>300</v>
      </c>
      <c r="S553" t="s">
        <v>52</v>
      </c>
      <c r="T553" t="b">
        <v>1</v>
      </c>
      <c r="U553" t="s">
        <v>53</v>
      </c>
      <c r="V553" t="s">
        <v>54</v>
      </c>
      <c r="W553">
        <v>4</v>
      </c>
      <c r="X553" t="b">
        <v>0</v>
      </c>
      <c r="Y553" t="s">
        <v>55</v>
      </c>
      <c r="Z553" t="s">
        <v>56</v>
      </c>
      <c r="AA553" t="s">
        <v>57</v>
      </c>
      <c r="AB553">
        <v>0</v>
      </c>
      <c r="AC553" t="s">
        <v>58</v>
      </c>
      <c r="AD553">
        <v>8</v>
      </c>
      <c r="AE553" t="s">
        <v>59</v>
      </c>
      <c r="AF553">
        <v>182634768.60699999</v>
      </c>
      <c r="AG553" t="b">
        <v>1</v>
      </c>
      <c r="AH553">
        <v>-1</v>
      </c>
      <c r="AI553" t="s">
        <v>73</v>
      </c>
      <c r="AJ553">
        <v>0</v>
      </c>
      <c r="AK553" t="b">
        <v>0</v>
      </c>
      <c r="AL553">
        <v>182634768.60699999</v>
      </c>
      <c r="AM553" t="b">
        <v>1</v>
      </c>
      <c r="AN553">
        <v>0</v>
      </c>
      <c r="AO553" t="b">
        <v>0</v>
      </c>
      <c r="AQ553">
        <v>101266882</v>
      </c>
      <c r="AR553">
        <v>101266882</v>
      </c>
      <c r="AS553">
        <v>6</v>
      </c>
      <c r="AT553" t="b">
        <v>0</v>
      </c>
      <c r="AU553" t="b">
        <v>1</v>
      </c>
      <c r="BA553" t="str">
        <f t="shared" si="16"/>
        <v>Normal</v>
      </c>
      <c r="BG553" t="str">
        <f t="shared" si="17"/>
        <v>Normal</v>
      </c>
    </row>
    <row r="554" spans="1:59" x14ac:dyDescent="0.2">
      <c r="A554" t="s">
        <v>42</v>
      </c>
      <c r="B554" t="s">
        <v>43</v>
      </c>
      <c r="C554">
        <v>20240101</v>
      </c>
      <c r="D554">
        <v>2024</v>
      </c>
      <c r="E554">
        <v>52</v>
      </c>
      <c r="F554" t="s">
        <v>325</v>
      </c>
      <c r="G554">
        <v>634</v>
      </c>
      <c r="H554" t="s">
        <v>216</v>
      </c>
      <c r="I554" t="s">
        <v>217</v>
      </c>
      <c r="J554" t="s">
        <v>47</v>
      </c>
      <c r="K554" t="s">
        <v>48</v>
      </c>
      <c r="L554">
        <v>0</v>
      </c>
      <c r="M554" t="s">
        <v>49</v>
      </c>
      <c r="N554" t="s">
        <v>50</v>
      </c>
      <c r="O554">
        <v>0</v>
      </c>
      <c r="P554" t="s">
        <v>49</v>
      </c>
      <c r="Q554" t="s">
        <v>50</v>
      </c>
      <c r="R554" t="s">
        <v>300</v>
      </c>
      <c r="S554" t="s">
        <v>52</v>
      </c>
      <c r="T554" t="b">
        <v>1</v>
      </c>
      <c r="U554" t="s">
        <v>53</v>
      </c>
      <c r="V554" t="s">
        <v>54</v>
      </c>
      <c r="W554">
        <v>4</v>
      </c>
      <c r="X554" t="b">
        <v>0</v>
      </c>
      <c r="Y554" t="s">
        <v>55</v>
      </c>
      <c r="Z554" t="s">
        <v>56</v>
      </c>
      <c r="AA554" t="s">
        <v>57</v>
      </c>
      <c r="AB554">
        <v>0</v>
      </c>
      <c r="AC554" t="s">
        <v>58</v>
      </c>
      <c r="AD554">
        <v>8</v>
      </c>
      <c r="AE554" t="s">
        <v>59</v>
      </c>
      <c r="AF554">
        <v>25242378811.333</v>
      </c>
      <c r="AG554" t="b">
        <v>1</v>
      </c>
      <c r="AH554">
        <v>-1</v>
      </c>
      <c r="AI554" t="s">
        <v>73</v>
      </c>
      <c r="AJ554">
        <v>0</v>
      </c>
      <c r="AK554" t="b">
        <v>0</v>
      </c>
      <c r="AL554">
        <v>25242378811.333</v>
      </c>
      <c r="AM554" t="b">
        <v>1</v>
      </c>
      <c r="AN554">
        <v>0</v>
      </c>
      <c r="AO554" t="b">
        <v>0</v>
      </c>
      <c r="AQ554">
        <v>14965923895.882999</v>
      </c>
      <c r="AR554">
        <v>14965923895.882999</v>
      </c>
      <c r="AS554">
        <v>6</v>
      </c>
      <c r="AT554" t="b">
        <v>0</v>
      </c>
      <c r="AU554" t="b">
        <v>1</v>
      </c>
      <c r="BA554" t="str">
        <f t="shared" si="16"/>
        <v>Normal</v>
      </c>
      <c r="BG554" t="str">
        <f t="shared" si="17"/>
        <v>Normal</v>
      </c>
    </row>
    <row r="555" spans="1:59" x14ac:dyDescent="0.2">
      <c r="A555" t="s">
        <v>42</v>
      </c>
      <c r="B555" t="s">
        <v>43</v>
      </c>
      <c r="C555">
        <v>20240101</v>
      </c>
      <c r="D555">
        <v>2024</v>
      </c>
      <c r="E555">
        <v>52</v>
      </c>
      <c r="F555" t="s">
        <v>325</v>
      </c>
      <c r="G555">
        <v>642</v>
      </c>
      <c r="H555" t="s">
        <v>218</v>
      </c>
      <c r="I555" t="s">
        <v>219</v>
      </c>
      <c r="J555" t="s">
        <v>47</v>
      </c>
      <c r="K555" t="s">
        <v>48</v>
      </c>
      <c r="L555">
        <v>0</v>
      </c>
      <c r="M555" t="s">
        <v>49</v>
      </c>
      <c r="N555" t="s">
        <v>50</v>
      </c>
      <c r="O555">
        <v>0</v>
      </c>
      <c r="P555" t="s">
        <v>49</v>
      </c>
      <c r="Q555" t="s">
        <v>50</v>
      </c>
      <c r="R555" t="s">
        <v>300</v>
      </c>
      <c r="S555" t="s">
        <v>52</v>
      </c>
      <c r="T555" t="b">
        <v>1</v>
      </c>
      <c r="U555" t="s">
        <v>53</v>
      </c>
      <c r="V555" t="s">
        <v>54</v>
      </c>
      <c r="W555">
        <v>4</v>
      </c>
      <c r="X555" t="b">
        <v>0</v>
      </c>
      <c r="Y555" t="s">
        <v>55</v>
      </c>
      <c r="Z555" t="s">
        <v>56</v>
      </c>
      <c r="AA555" t="s">
        <v>57</v>
      </c>
      <c r="AB555">
        <v>0</v>
      </c>
      <c r="AC555" t="s">
        <v>58</v>
      </c>
      <c r="AD555">
        <v>8</v>
      </c>
      <c r="AE555" t="s">
        <v>59</v>
      </c>
      <c r="AF555">
        <v>12431004</v>
      </c>
      <c r="AG555" t="b">
        <v>0</v>
      </c>
      <c r="AH555">
        <v>8</v>
      </c>
      <c r="AI555" t="s">
        <v>59</v>
      </c>
      <c r="AJ555">
        <v>12431004</v>
      </c>
      <c r="AK555" t="b">
        <v>0</v>
      </c>
      <c r="AL555">
        <v>12431004</v>
      </c>
      <c r="AM555" t="b">
        <v>0</v>
      </c>
      <c r="AN555">
        <v>0</v>
      </c>
      <c r="AO555" t="b">
        <v>0</v>
      </c>
      <c r="AQ555">
        <v>7529175.5800000001</v>
      </c>
      <c r="AR555">
        <v>7529175.5800000001</v>
      </c>
      <c r="AS555">
        <v>0</v>
      </c>
      <c r="AT555" t="b">
        <v>0</v>
      </c>
      <c r="AU555" t="b">
        <v>1</v>
      </c>
      <c r="BA555" t="str">
        <f t="shared" si="16"/>
        <v>Normal</v>
      </c>
      <c r="BG555" t="str">
        <f t="shared" si="17"/>
        <v>Normal</v>
      </c>
    </row>
    <row r="556" spans="1:59" x14ac:dyDescent="0.2">
      <c r="A556" t="s">
        <v>42</v>
      </c>
      <c r="B556" t="s">
        <v>43</v>
      </c>
      <c r="C556">
        <v>20240101</v>
      </c>
      <c r="D556">
        <v>2024</v>
      </c>
      <c r="E556">
        <v>52</v>
      </c>
      <c r="F556" t="s">
        <v>325</v>
      </c>
      <c r="G556">
        <v>682</v>
      </c>
      <c r="H556" t="s">
        <v>224</v>
      </c>
      <c r="I556" t="s">
        <v>225</v>
      </c>
      <c r="J556" t="s">
        <v>47</v>
      </c>
      <c r="K556" t="s">
        <v>48</v>
      </c>
      <c r="L556">
        <v>0</v>
      </c>
      <c r="M556" t="s">
        <v>49</v>
      </c>
      <c r="N556" t="s">
        <v>50</v>
      </c>
      <c r="O556">
        <v>0</v>
      </c>
      <c r="P556" t="s">
        <v>49</v>
      </c>
      <c r="Q556" t="s">
        <v>50</v>
      </c>
      <c r="R556" t="s">
        <v>300</v>
      </c>
      <c r="S556" t="s">
        <v>52</v>
      </c>
      <c r="T556" t="b">
        <v>1</v>
      </c>
      <c r="U556" t="s">
        <v>53</v>
      </c>
      <c r="V556" t="s">
        <v>54</v>
      </c>
      <c r="W556">
        <v>4</v>
      </c>
      <c r="X556" t="b">
        <v>0</v>
      </c>
      <c r="Y556" t="s">
        <v>55</v>
      </c>
      <c r="Z556" t="s">
        <v>56</v>
      </c>
      <c r="AA556" t="s">
        <v>57</v>
      </c>
      <c r="AB556">
        <v>0</v>
      </c>
      <c r="AC556" t="s">
        <v>58</v>
      </c>
      <c r="AD556">
        <v>8</v>
      </c>
      <c r="AE556" t="s">
        <v>59</v>
      </c>
      <c r="AF556">
        <v>300558000000</v>
      </c>
      <c r="AG556" t="b">
        <v>0</v>
      </c>
      <c r="AH556">
        <v>8</v>
      </c>
      <c r="AI556" t="s">
        <v>59</v>
      </c>
      <c r="AJ556">
        <v>300558000000</v>
      </c>
      <c r="AK556" t="b">
        <v>0</v>
      </c>
      <c r="AL556">
        <v>300558000000</v>
      </c>
      <c r="AM556" t="b">
        <v>0</v>
      </c>
      <c r="AN556">
        <v>0</v>
      </c>
      <c r="AO556" t="b">
        <v>0</v>
      </c>
      <c r="AQ556">
        <v>179494074921.181</v>
      </c>
      <c r="AR556">
        <v>179494074921.181</v>
      </c>
      <c r="AS556">
        <v>0</v>
      </c>
      <c r="AT556" t="b">
        <v>0</v>
      </c>
      <c r="AU556" t="b">
        <v>1</v>
      </c>
      <c r="BA556" t="str">
        <f t="shared" si="16"/>
        <v>Normal</v>
      </c>
      <c r="BG556" t="str">
        <f t="shared" si="17"/>
        <v>Normal</v>
      </c>
    </row>
    <row r="557" spans="1:59" x14ac:dyDescent="0.2">
      <c r="A557" t="s">
        <v>42</v>
      </c>
      <c r="B557" t="s">
        <v>43</v>
      </c>
      <c r="C557">
        <v>20240101</v>
      </c>
      <c r="D557">
        <v>2024</v>
      </c>
      <c r="E557">
        <v>52</v>
      </c>
      <c r="F557" t="s">
        <v>325</v>
      </c>
      <c r="G557">
        <v>686</v>
      </c>
      <c r="H557" t="s">
        <v>226</v>
      </c>
      <c r="I557" t="s">
        <v>227</v>
      </c>
      <c r="J557" t="s">
        <v>47</v>
      </c>
      <c r="K557" t="s">
        <v>48</v>
      </c>
      <c r="L557">
        <v>0</v>
      </c>
      <c r="M557" t="s">
        <v>49</v>
      </c>
      <c r="N557" t="s">
        <v>50</v>
      </c>
      <c r="O557">
        <v>0</v>
      </c>
      <c r="P557" t="s">
        <v>49</v>
      </c>
      <c r="Q557" t="s">
        <v>50</v>
      </c>
      <c r="R557" t="s">
        <v>300</v>
      </c>
      <c r="S557" t="s">
        <v>52</v>
      </c>
      <c r="T557" t="b">
        <v>1</v>
      </c>
      <c r="U557" t="s">
        <v>53</v>
      </c>
      <c r="V557" t="s">
        <v>54</v>
      </c>
      <c r="W557">
        <v>4</v>
      </c>
      <c r="X557" t="b">
        <v>0</v>
      </c>
      <c r="Y557" t="s">
        <v>55</v>
      </c>
      <c r="Z557" t="s">
        <v>56</v>
      </c>
      <c r="AA557" t="s">
        <v>57</v>
      </c>
      <c r="AB557">
        <v>0</v>
      </c>
      <c r="AC557" t="s">
        <v>58</v>
      </c>
      <c r="AD557">
        <v>8</v>
      </c>
      <c r="AE557" t="s">
        <v>59</v>
      </c>
      <c r="AF557">
        <v>1427872720</v>
      </c>
      <c r="AG557" t="b">
        <v>0</v>
      </c>
      <c r="AH557">
        <v>8</v>
      </c>
      <c r="AI557" t="s">
        <v>59</v>
      </c>
      <c r="AJ557">
        <v>1427872720</v>
      </c>
      <c r="AK557" t="b">
        <v>0</v>
      </c>
      <c r="AL557">
        <v>1427872720</v>
      </c>
      <c r="AM557" t="b">
        <v>0</v>
      </c>
      <c r="AN557">
        <v>0</v>
      </c>
      <c r="AO557" t="b">
        <v>0</v>
      </c>
      <c r="AQ557">
        <v>763878308.79299998</v>
      </c>
      <c r="AR557">
        <v>763878308.79299998</v>
      </c>
      <c r="AS557">
        <v>0</v>
      </c>
      <c r="AT557" t="b">
        <v>0</v>
      </c>
      <c r="AU557" t="b">
        <v>1</v>
      </c>
      <c r="BA557" t="str">
        <f t="shared" si="16"/>
        <v>Normal</v>
      </c>
      <c r="BG557" t="str">
        <f t="shared" si="17"/>
        <v>Normal</v>
      </c>
    </row>
    <row r="558" spans="1:59" x14ac:dyDescent="0.2">
      <c r="A558" t="s">
        <v>42</v>
      </c>
      <c r="B558" t="s">
        <v>43</v>
      </c>
      <c r="C558">
        <v>20240101</v>
      </c>
      <c r="D558">
        <v>2024</v>
      </c>
      <c r="E558">
        <v>52</v>
      </c>
      <c r="F558" t="s">
        <v>325</v>
      </c>
      <c r="G558">
        <v>688</v>
      </c>
      <c r="H558" t="s">
        <v>228</v>
      </c>
      <c r="I558" t="s">
        <v>229</v>
      </c>
      <c r="J558" t="s">
        <v>47</v>
      </c>
      <c r="K558" t="s">
        <v>48</v>
      </c>
      <c r="L558">
        <v>0</v>
      </c>
      <c r="M558" t="s">
        <v>49</v>
      </c>
      <c r="N558" t="s">
        <v>50</v>
      </c>
      <c r="O558">
        <v>0</v>
      </c>
      <c r="P558" t="s">
        <v>49</v>
      </c>
      <c r="Q558" t="s">
        <v>50</v>
      </c>
      <c r="R558" t="s">
        <v>300</v>
      </c>
      <c r="S558" t="s">
        <v>52</v>
      </c>
      <c r="T558" t="b">
        <v>1</v>
      </c>
      <c r="U558" t="s">
        <v>53</v>
      </c>
      <c r="V558" t="s">
        <v>54</v>
      </c>
      <c r="W558">
        <v>4</v>
      </c>
      <c r="X558" t="b">
        <v>0</v>
      </c>
      <c r="Y558" t="s">
        <v>55</v>
      </c>
      <c r="Z558" t="s">
        <v>56</v>
      </c>
      <c r="AA558" t="s">
        <v>57</v>
      </c>
      <c r="AB558">
        <v>0</v>
      </c>
      <c r="AC558" t="s">
        <v>58</v>
      </c>
      <c r="AD558">
        <v>8</v>
      </c>
      <c r="AE558" t="s">
        <v>59</v>
      </c>
      <c r="AF558">
        <v>6</v>
      </c>
      <c r="AG558" t="b">
        <v>0</v>
      </c>
      <c r="AH558">
        <v>8</v>
      </c>
      <c r="AI558" t="s">
        <v>59</v>
      </c>
      <c r="AJ558">
        <v>6</v>
      </c>
      <c r="AK558" t="b">
        <v>0</v>
      </c>
      <c r="AL558">
        <v>6</v>
      </c>
      <c r="AM558" t="b">
        <v>0</v>
      </c>
      <c r="AN558">
        <v>0</v>
      </c>
      <c r="AO558" t="b">
        <v>0</v>
      </c>
      <c r="AQ558">
        <v>8</v>
      </c>
      <c r="AR558">
        <v>8</v>
      </c>
      <c r="AS558">
        <v>0</v>
      </c>
      <c r="AT558" t="b">
        <v>0</v>
      </c>
      <c r="AU558" t="b">
        <v>1</v>
      </c>
      <c r="BA558" t="str">
        <f t="shared" si="16"/>
        <v>Normal</v>
      </c>
      <c r="BG558" t="str">
        <f t="shared" si="17"/>
        <v>Normal</v>
      </c>
    </row>
    <row r="559" spans="1:59" x14ac:dyDescent="0.2">
      <c r="A559" t="s">
        <v>42</v>
      </c>
      <c r="B559" t="s">
        <v>43</v>
      </c>
      <c r="C559">
        <v>20240101</v>
      </c>
      <c r="D559">
        <v>2024</v>
      </c>
      <c r="E559">
        <v>52</v>
      </c>
      <c r="F559" t="s">
        <v>325</v>
      </c>
      <c r="G559">
        <v>702</v>
      </c>
      <c r="H559" t="s">
        <v>230</v>
      </c>
      <c r="I559" t="s">
        <v>231</v>
      </c>
      <c r="J559" t="s">
        <v>47</v>
      </c>
      <c r="K559" t="s">
        <v>48</v>
      </c>
      <c r="L559">
        <v>0</v>
      </c>
      <c r="M559" t="s">
        <v>49</v>
      </c>
      <c r="N559" t="s">
        <v>50</v>
      </c>
      <c r="O559">
        <v>0</v>
      </c>
      <c r="P559" t="s">
        <v>49</v>
      </c>
      <c r="Q559" t="s">
        <v>50</v>
      </c>
      <c r="R559" t="s">
        <v>300</v>
      </c>
      <c r="S559" t="s">
        <v>52</v>
      </c>
      <c r="T559" t="b">
        <v>1</v>
      </c>
      <c r="U559" t="s">
        <v>53</v>
      </c>
      <c r="V559" t="s">
        <v>54</v>
      </c>
      <c r="W559">
        <v>4</v>
      </c>
      <c r="X559" t="b">
        <v>0</v>
      </c>
      <c r="Y559" t="s">
        <v>55</v>
      </c>
      <c r="Z559" t="s">
        <v>56</v>
      </c>
      <c r="AA559" t="s">
        <v>57</v>
      </c>
      <c r="AB559">
        <v>0</v>
      </c>
      <c r="AC559" t="s">
        <v>58</v>
      </c>
      <c r="AD559">
        <v>8</v>
      </c>
      <c r="AE559" t="s">
        <v>59</v>
      </c>
      <c r="AF559">
        <v>3800296.1749999998</v>
      </c>
      <c r="AG559" t="b">
        <v>1</v>
      </c>
      <c r="AH559">
        <v>-1</v>
      </c>
      <c r="AI559" t="s">
        <v>73</v>
      </c>
      <c r="AJ559">
        <v>0</v>
      </c>
      <c r="AK559" t="b">
        <v>0</v>
      </c>
      <c r="AL559">
        <v>3800296.1749999998</v>
      </c>
      <c r="AM559" t="b">
        <v>1</v>
      </c>
      <c r="AN559">
        <v>0</v>
      </c>
      <c r="AO559" t="b">
        <v>0</v>
      </c>
      <c r="AQ559">
        <v>2159874.273</v>
      </c>
      <c r="AR559">
        <v>2159874.273</v>
      </c>
      <c r="AS559">
        <v>6</v>
      </c>
      <c r="AT559" t="b">
        <v>0</v>
      </c>
      <c r="AU559" t="b">
        <v>1</v>
      </c>
      <c r="BA559" t="str">
        <f t="shared" si="16"/>
        <v>Normal</v>
      </c>
      <c r="BG559" t="str">
        <f t="shared" si="17"/>
        <v>Normal</v>
      </c>
    </row>
    <row r="560" spans="1:59" x14ac:dyDescent="0.2">
      <c r="A560" t="s">
        <v>42</v>
      </c>
      <c r="B560" t="s">
        <v>43</v>
      </c>
      <c r="C560">
        <v>20240101</v>
      </c>
      <c r="D560">
        <v>2024</v>
      </c>
      <c r="E560">
        <v>52</v>
      </c>
      <c r="F560" t="s">
        <v>325</v>
      </c>
      <c r="G560">
        <v>703</v>
      </c>
      <c r="H560" t="s">
        <v>232</v>
      </c>
      <c r="I560" t="s">
        <v>233</v>
      </c>
      <c r="J560" t="s">
        <v>47</v>
      </c>
      <c r="K560" t="s">
        <v>48</v>
      </c>
      <c r="L560">
        <v>0</v>
      </c>
      <c r="M560" t="s">
        <v>49</v>
      </c>
      <c r="N560" t="s">
        <v>50</v>
      </c>
      <c r="O560">
        <v>0</v>
      </c>
      <c r="P560" t="s">
        <v>49</v>
      </c>
      <c r="Q560" t="s">
        <v>50</v>
      </c>
      <c r="R560" t="s">
        <v>300</v>
      </c>
      <c r="S560" t="s">
        <v>52</v>
      </c>
      <c r="T560" t="b">
        <v>1</v>
      </c>
      <c r="U560" t="s">
        <v>53</v>
      </c>
      <c r="V560" t="s">
        <v>54</v>
      </c>
      <c r="W560">
        <v>4</v>
      </c>
      <c r="X560" t="b">
        <v>0</v>
      </c>
      <c r="Y560" t="s">
        <v>55</v>
      </c>
      <c r="Z560" t="s">
        <v>56</v>
      </c>
      <c r="AA560" t="s">
        <v>57</v>
      </c>
      <c r="AB560">
        <v>0</v>
      </c>
      <c r="AC560" t="s">
        <v>58</v>
      </c>
      <c r="AD560">
        <v>8</v>
      </c>
      <c r="AE560" t="s">
        <v>59</v>
      </c>
      <c r="AF560">
        <v>1227160</v>
      </c>
      <c r="AG560" t="b">
        <v>0</v>
      </c>
      <c r="AH560">
        <v>8</v>
      </c>
      <c r="AI560" t="s">
        <v>59</v>
      </c>
      <c r="AJ560">
        <v>1227160</v>
      </c>
      <c r="AK560" t="b">
        <v>0</v>
      </c>
      <c r="AL560">
        <v>1227160</v>
      </c>
      <c r="AM560" t="b">
        <v>0</v>
      </c>
      <c r="AN560">
        <v>0</v>
      </c>
      <c r="AO560" t="b">
        <v>0</v>
      </c>
      <c r="AQ560">
        <v>717014.277</v>
      </c>
      <c r="AR560">
        <v>717014.277</v>
      </c>
      <c r="AS560">
        <v>0</v>
      </c>
      <c r="AT560" t="b">
        <v>0</v>
      </c>
      <c r="AU560" t="b">
        <v>1</v>
      </c>
      <c r="BA560" t="str">
        <f t="shared" si="16"/>
        <v>Normal</v>
      </c>
      <c r="BG560" t="str">
        <f t="shared" si="17"/>
        <v>Normal</v>
      </c>
    </row>
    <row r="561" spans="1:59" x14ac:dyDescent="0.2">
      <c r="A561" t="s">
        <v>42</v>
      </c>
      <c r="B561" t="s">
        <v>43</v>
      </c>
      <c r="C561">
        <v>20240101</v>
      </c>
      <c r="D561">
        <v>2024</v>
      </c>
      <c r="E561">
        <v>52</v>
      </c>
      <c r="F561" t="s">
        <v>325</v>
      </c>
      <c r="G561">
        <v>705</v>
      </c>
      <c r="H561" t="s">
        <v>236</v>
      </c>
      <c r="I561" t="s">
        <v>237</v>
      </c>
      <c r="J561" t="s">
        <v>47</v>
      </c>
      <c r="K561" t="s">
        <v>48</v>
      </c>
      <c r="L561">
        <v>0</v>
      </c>
      <c r="M561" t="s">
        <v>49</v>
      </c>
      <c r="N561" t="s">
        <v>50</v>
      </c>
      <c r="O561">
        <v>0</v>
      </c>
      <c r="P561" t="s">
        <v>49</v>
      </c>
      <c r="Q561" t="s">
        <v>50</v>
      </c>
      <c r="R561" t="s">
        <v>300</v>
      </c>
      <c r="S561" t="s">
        <v>52</v>
      </c>
      <c r="T561" t="b">
        <v>1</v>
      </c>
      <c r="U561" t="s">
        <v>53</v>
      </c>
      <c r="V561" t="s">
        <v>54</v>
      </c>
      <c r="W561">
        <v>4</v>
      </c>
      <c r="X561" t="b">
        <v>0</v>
      </c>
      <c r="Y561" t="s">
        <v>55</v>
      </c>
      <c r="Z561" t="s">
        <v>56</v>
      </c>
      <c r="AA561" t="s">
        <v>57</v>
      </c>
      <c r="AB561">
        <v>0</v>
      </c>
      <c r="AC561" t="s">
        <v>58</v>
      </c>
      <c r="AD561">
        <v>8</v>
      </c>
      <c r="AE561" t="s">
        <v>59</v>
      </c>
      <c r="AF561">
        <v>40.9</v>
      </c>
      <c r="AG561" t="b">
        <v>0</v>
      </c>
      <c r="AH561">
        <v>8</v>
      </c>
      <c r="AI561" t="s">
        <v>59</v>
      </c>
      <c r="AJ561">
        <v>40.9</v>
      </c>
      <c r="AK561" t="b">
        <v>0</v>
      </c>
      <c r="AL561">
        <v>40.9</v>
      </c>
      <c r="AM561" t="b">
        <v>0</v>
      </c>
      <c r="AN561">
        <v>0</v>
      </c>
      <c r="AO561" t="b">
        <v>0</v>
      </c>
      <c r="AQ561">
        <v>203.89500000000001</v>
      </c>
      <c r="AR561">
        <v>203.89500000000001</v>
      </c>
      <c r="AS561">
        <v>0</v>
      </c>
      <c r="AT561" t="b">
        <v>0</v>
      </c>
      <c r="AU561" t="b">
        <v>1</v>
      </c>
      <c r="BA561" t="str">
        <f t="shared" si="16"/>
        <v>Normal</v>
      </c>
      <c r="BG561" t="str">
        <f t="shared" si="17"/>
        <v>Normal</v>
      </c>
    </row>
    <row r="562" spans="1:59" x14ac:dyDescent="0.2">
      <c r="A562" t="s">
        <v>42</v>
      </c>
      <c r="B562" t="s">
        <v>43</v>
      </c>
      <c r="C562">
        <v>20240101</v>
      </c>
      <c r="D562">
        <v>2024</v>
      </c>
      <c r="E562">
        <v>52</v>
      </c>
      <c r="F562" t="s">
        <v>325</v>
      </c>
      <c r="G562">
        <v>710</v>
      </c>
      <c r="H562" t="s">
        <v>238</v>
      </c>
      <c r="I562" t="s">
        <v>239</v>
      </c>
      <c r="J562" t="s">
        <v>47</v>
      </c>
      <c r="K562" t="s">
        <v>48</v>
      </c>
      <c r="L562">
        <v>0</v>
      </c>
      <c r="M562" t="s">
        <v>49</v>
      </c>
      <c r="N562" t="s">
        <v>50</v>
      </c>
      <c r="O562">
        <v>0</v>
      </c>
      <c r="P562" t="s">
        <v>49</v>
      </c>
      <c r="Q562" t="s">
        <v>50</v>
      </c>
      <c r="R562" t="s">
        <v>300</v>
      </c>
      <c r="S562" t="s">
        <v>52</v>
      </c>
      <c r="T562" t="b">
        <v>1</v>
      </c>
      <c r="U562" t="s">
        <v>53</v>
      </c>
      <c r="V562" t="s">
        <v>54</v>
      </c>
      <c r="W562">
        <v>4</v>
      </c>
      <c r="X562" t="b">
        <v>0</v>
      </c>
      <c r="Y562" t="s">
        <v>55</v>
      </c>
      <c r="Z562" t="s">
        <v>56</v>
      </c>
      <c r="AA562" t="s">
        <v>57</v>
      </c>
      <c r="AB562">
        <v>0</v>
      </c>
      <c r="AC562" t="s">
        <v>58</v>
      </c>
      <c r="AD562">
        <v>-1</v>
      </c>
      <c r="AE562" t="s">
        <v>73</v>
      </c>
      <c r="AF562">
        <v>0</v>
      </c>
      <c r="AG562" t="b">
        <v>0</v>
      </c>
      <c r="AH562">
        <v>-1</v>
      </c>
      <c r="AI562" t="s">
        <v>73</v>
      </c>
      <c r="AJ562">
        <v>0</v>
      </c>
      <c r="AK562" t="b">
        <v>0</v>
      </c>
      <c r="AM562" t="b">
        <v>0</v>
      </c>
      <c r="AN562">
        <v>0</v>
      </c>
      <c r="AO562" t="b">
        <v>0</v>
      </c>
      <c r="AQ562">
        <v>51435767.229000002</v>
      </c>
      <c r="AR562">
        <v>51435767.229000002</v>
      </c>
      <c r="AS562">
        <v>0</v>
      </c>
      <c r="AT562" t="b">
        <v>0</v>
      </c>
      <c r="AU562" t="b">
        <v>1</v>
      </c>
      <c r="BA562" t="str">
        <f t="shared" si="16"/>
        <v>Normal</v>
      </c>
      <c r="BG562" t="str">
        <f t="shared" si="17"/>
        <v>Normal</v>
      </c>
    </row>
    <row r="563" spans="1:59" x14ac:dyDescent="0.2">
      <c r="A563" t="s">
        <v>42</v>
      </c>
      <c r="B563" t="s">
        <v>43</v>
      </c>
      <c r="C563">
        <v>20240101</v>
      </c>
      <c r="D563">
        <v>2024</v>
      </c>
      <c r="E563">
        <v>52</v>
      </c>
      <c r="F563" t="s">
        <v>325</v>
      </c>
      <c r="G563">
        <v>724</v>
      </c>
      <c r="H563" t="s">
        <v>240</v>
      </c>
      <c r="I563" t="s">
        <v>241</v>
      </c>
      <c r="J563" t="s">
        <v>47</v>
      </c>
      <c r="K563" t="s">
        <v>48</v>
      </c>
      <c r="L563">
        <v>0</v>
      </c>
      <c r="M563" t="s">
        <v>49</v>
      </c>
      <c r="N563" t="s">
        <v>50</v>
      </c>
      <c r="O563">
        <v>0</v>
      </c>
      <c r="P563" t="s">
        <v>49</v>
      </c>
      <c r="Q563" t="s">
        <v>50</v>
      </c>
      <c r="R563" t="s">
        <v>300</v>
      </c>
      <c r="S563" t="s">
        <v>52</v>
      </c>
      <c r="T563" t="b">
        <v>1</v>
      </c>
      <c r="U563" t="s">
        <v>53</v>
      </c>
      <c r="V563" t="s">
        <v>54</v>
      </c>
      <c r="W563">
        <v>4</v>
      </c>
      <c r="X563" t="b">
        <v>0</v>
      </c>
      <c r="Y563" t="s">
        <v>55</v>
      </c>
      <c r="Z563" t="s">
        <v>56</v>
      </c>
      <c r="AA563" t="s">
        <v>57</v>
      </c>
      <c r="AB563">
        <v>0</v>
      </c>
      <c r="AC563" t="s">
        <v>58</v>
      </c>
      <c r="AD563">
        <v>-1</v>
      </c>
      <c r="AE563" t="s">
        <v>73</v>
      </c>
      <c r="AF563">
        <v>0</v>
      </c>
      <c r="AG563" t="b">
        <v>0</v>
      </c>
      <c r="AH563">
        <v>-1</v>
      </c>
      <c r="AI563" t="s">
        <v>73</v>
      </c>
      <c r="AJ563">
        <v>0</v>
      </c>
      <c r="AK563" t="b">
        <v>0</v>
      </c>
      <c r="AM563" t="b">
        <v>0</v>
      </c>
      <c r="AN563">
        <v>0</v>
      </c>
      <c r="AO563" t="b">
        <v>0</v>
      </c>
      <c r="AQ563">
        <v>1884603895.6429999</v>
      </c>
      <c r="AR563">
        <v>1884603895.6429999</v>
      </c>
      <c r="AS563">
        <v>0</v>
      </c>
      <c r="AT563" t="b">
        <v>0</v>
      </c>
      <c r="AU563" t="b">
        <v>1</v>
      </c>
      <c r="BA563" t="str">
        <f t="shared" si="16"/>
        <v>Normal</v>
      </c>
      <c r="BG563" t="str">
        <f t="shared" si="17"/>
        <v>Normal</v>
      </c>
    </row>
    <row r="564" spans="1:59" x14ac:dyDescent="0.2">
      <c r="A564" t="s">
        <v>42</v>
      </c>
      <c r="B564" t="s">
        <v>43</v>
      </c>
      <c r="C564">
        <v>20240101</v>
      </c>
      <c r="D564">
        <v>2024</v>
      </c>
      <c r="E564">
        <v>52</v>
      </c>
      <c r="F564" t="s">
        <v>325</v>
      </c>
      <c r="G564">
        <v>752</v>
      </c>
      <c r="H564" t="s">
        <v>244</v>
      </c>
      <c r="I564" t="s">
        <v>245</v>
      </c>
      <c r="J564" t="s">
        <v>47</v>
      </c>
      <c r="K564" t="s">
        <v>48</v>
      </c>
      <c r="L564">
        <v>0</v>
      </c>
      <c r="M564" t="s">
        <v>49</v>
      </c>
      <c r="N564" t="s">
        <v>50</v>
      </c>
      <c r="O564">
        <v>0</v>
      </c>
      <c r="P564" t="s">
        <v>49</v>
      </c>
      <c r="Q564" t="s">
        <v>50</v>
      </c>
      <c r="R564" t="s">
        <v>300</v>
      </c>
      <c r="S564" t="s">
        <v>52</v>
      </c>
      <c r="T564" t="b">
        <v>1</v>
      </c>
      <c r="U564" t="s">
        <v>53</v>
      </c>
      <c r="V564" t="s">
        <v>54</v>
      </c>
      <c r="W564">
        <v>4</v>
      </c>
      <c r="X564" t="b">
        <v>0</v>
      </c>
      <c r="Y564" t="s">
        <v>55</v>
      </c>
      <c r="Z564" t="s">
        <v>56</v>
      </c>
      <c r="AA564" t="s">
        <v>57</v>
      </c>
      <c r="AB564">
        <v>0</v>
      </c>
      <c r="AC564" t="s">
        <v>58</v>
      </c>
      <c r="AD564">
        <v>8</v>
      </c>
      <c r="AE564" t="s">
        <v>59</v>
      </c>
      <c r="AF564">
        <v>40975.61</v>
      </c>
      <c r="AG564" t="b">
        <v>1</v>
      </c>
      <c r="AH564">
        <v>-1</v>
      </c>
      <c r="AI564" t="s">
        <v>73</v>
      </c>
      <c r="AJ564">
        <v>0</v>
      </c>
      <c r="AK564" t="b">
        <v>0</v>
      </c>
      <c r="AL564">
        <v>40975.61</v>
      </c>
      <c r="AM564" t="b">
        <v>1</v>
      </c>
      <c r="AN564">
        <v>0</v>
      </c>
      <c r="AO564" t="b">
        <v>0</v>
      </c>
      <c r="AQ564">
        <v>190771.11600000001</v>
      </c>
      <c r="AR564">
        <v>190771.11600000001</v>
      </c>
      <c r="AS564">
        <v>6</v>
      </c>
      <c r="AT564" t="b">
        <v>0</v>
      </c>
      <c r="AU564" t="b">
        <v>1</v>
      </c>
      <c r="BA564" t="str">
        <f t="shared" si="16"/>
        <v>Normal</v>
      </c>
      <c r="BG564" t="str">
        <f t="shared" si="17"/>
        <v>Normal</v>
      </c>
    </row>
    <row r="565" spans="1:59" x14ac:dyDescent="0.2">
      <c r="A565" t="s">
        <v>42</v>
      </c>
      <c r="B565" t="s">
        <v>43</v>
      </c>
      <c r="C565">
        <v>20240101</v>
      </c>
      <c r="D565">
        <v>2024</v>
      </c>
      <c r="E565">
        <v>52</v>
      </c>
      <c r="F565" t="s">
        <v>325</v>
      </c>
      <c r="G565">
        <v>757</v>
      </c>
      <c r="H565" t="s">
        <v>246</v>
      </c>
      <c r="I565" t="s">
        <v>247</v>
      </c>
      <c r="J565" t="s">
        <v>47</v>
      </c>
      <c r="K565" t="s">
        <v>48</v>
      </c>
      <c r="L565">
        <v>0</v>
      </c>
      <c r="M565" t="s">
        <v>49</v>
      </c>
      <c r="N565" t="s">
        <v>50</v>
      </c>
      <c r="O565">
        <v>0</v>
      </c>
      <c r="P565" t="s">
        <v>49</v>
      </c>
      <c r="Q565" t="s">
        <v>50</v>
      </c>
      <c r="R565" t="s">
        <v>300</v>
      </c>
      <c r="S565" t="s">
        <v>52</v>
      </c>
      <c r="T565" t="b">
        <v>1</v>
      </c>
      <c r="U565" t="s">
        <v>53</v>
      </c>
      <c r="V565" t="s">
        <v>54</v>
      </c>
      <c r="W565">
        <v>4</v>
      </c>
      <c r="X565" t="b">
        <v>0</v>
      </c>
      <c r="Y565" t="s">
        <v>55</v>
      </c>
      <c r="Z565" t="s">
        <v>56</v>
      </c>
      <c r="AA565" t="s">
        <v>57</v>
      </c>
      <c r="AB565">
        <v>0</v>
      </c>
      <c r="AC565" t="s">
        <v>58</v>
      </c>
      <c r="AD565">
        <v>8</v>
      </c>
      <c r="AE565" t="s">
        <v>59</v>
      </c>
      <c r="AF565">
        <v>165</v>
      </c>
      <c r="AG565" t="b">
        <v>0</v>
      </c>
      <c r="AH565">
        <v>8</v>
      </c>
      <c r="AI565" t="s">
        <v>59</v>
      </c>
      <c r="AJ565">
        <v>165</v>
      </c>
      <c r="AK565" t="b">
        <v>0</v>
      </c>
      <c r="AL565">
        <v>165</v>
      </c>
      <c r="AM565" t="b">
        <v>0</v>
      </c>
      <c r="AN565">
        <v>0</v>
      </c>
      <c r="AO565" t="b">
        <v>0</v>
      </c>
      <c r="AQ565">
        <v>1966.0609999999999</v>
      </c>
      <c r="AR565">
        <v>1966.0609999999999</v>
      </c>
      <c r="AS565">
        <v>0</v>
      </c>
      <c r="AT565" t="b">
        <v>0</v>
      </c>
      <c r="AU565" t="b">
        <v>1</v>
      </c>
      <c r="BA565" t="str">
        <f t="shared" si="16"/>
        <v>Normal</v>
      </c>
      <c r="BG565" t="str">
        <f t="shared" si="17"/>
        <v>Normal</v>
      </c>
    </row>
    <row r="566" spans="1:59" x14ac:dyDescent="0.2">
      <c r="A566" t="s">
        <v>42</v>
      </c>
      <c r="B566" t="s">
        <v>43</v>
      </c>
      <c r="C566">
        <v>20240101</v>
      </c>
      <c r="D566">
        <v>2024</v>
      </c>
      <c r="E566">
        <v>52</v>
      </c>
      <c r="F566" t="s">
        <v>325</v>
      </c>
      <c r="G566">
        <v>764</v>
      </c>
      <c r="H566" t="s">
        <v>248</v>
      </c>
      <c r="I566" t="s">
        <v>249</v>
      </c>
      <c r="J566" t="s">
        <v>47</v>
      </c>
      <c r="K566" t="s">
        <v>48</v>
      </c>
      <c r="L566">
        <v>0</v>
      </c>
      <c r="M566" t="s">
        <v>49</v>
      </c>
      <c r="N566" t="s">
        <v>50</v>
      </c>
      <c r="O566">
        <v>0</v>
      </c>
      <c r="P566" t="s">
        <v>49</v>
      </c>
      <c r="Q566" t="s">
        <v>50</v>
      </c>
      <c r="R566" t="s">
        <v>300</v>
      </c>
      <c r="S566" t="s">
        <v>52</v>
      </c>
      <c r="T566" t="b">
        <v>1</v>
      </c>
      <c r="U566" t="s">
        <v>53</v>
      </c>
      <c r="V566" t="s">
        <v>54</v>
      </c>
      <c r="W566">
        <v>4</v>
      </c>
      <c r="X566" t="b">
        <v>0</v>
      </c>
      <c r="Y566" t="s">
        <v>55</v>
      </c>
      <c r="Z566" t="s">
        <v>56</v>
      </c>
      <c r="AA566" t="s">
        <v>57</v>
      </c>
      <c r="AB566">
        <v>0</v>
      </c>
      <c r="AC566" t="s">
        <v>58</v>
      </c>
      <c r="AD566">
        <v>8</v>
      </c>
      <c r="AE566" t="s">
        <v>59</v>
      </c>
      <c r="AF566">
        <v>992530784.74600005</v>
      </c>
      <c r="AG566" t="b">
        <v>1</v>
      </c>
      <c r="AH566">
        <v>-1</v>
      </c>
      <c r="AI566" t="s">
        <v>73</v>
      </c>
      <c r="AJ566">
        <v>0</v>
      </c>
      <c r="AK566" t="b">
        <v>0</v>
      </c>
      <c r="AL566">
        <v>992530784.74600005</v>
      </c>
      <c r="AM566" t="b">
        <v>1</v>
      </c>
      <c r="AN566">
        <v>0</v>
      </c>
      <c r="AO566" t="b">
        <v>0</v>
      </c>
      <c r="AQ566">
        <v>582521347.28999996</v>
      </c>
      <c r="AR566">
        <v>582521347.28999996</v>
      </c>
      <c r="AS566">
        <v>6</v>
      </c>
      <c r="AT566" t="b">
        <v>0</v>
      </c>
      <c r="AU566" t="b">
        <v>1</v>
      </c>
      <c r="BA566" t="str">
        <f t="shared" si="16"/>
        <v>Normal</v>
      </c>
      <c r="BG566" t="str">
        <f t="shared" si="17"/>
        <v>Normal</v>
      </c>
    </row>
    <row r="567" spans="1:59" x14ac:dyDescent="0.2">
      <c r="A567" t="s">
        <v>42</v>
      </c>
      <c r="B567" t="s">
        <v>43</v>
      </c>
      <c r="C567">
        <v>20240101</v>
      </c>
      <c r="D567">
        <v>2024</v>
      </c>
      <c r="E567">
        <v>52</v>
      </c>
      <c r="F567" t="s">
        <v>325</v>
      </c>
      <c r="G567">
        <v>780</v>
      </c>
      <c r="H567" t="s">
        <v>252</v>
      </c>
      <c r="I567" t="s">
        <v>253</v>
      </c>
      <c r="J567" t="s">
        <v>47</v>
      </c>
      <c r="K567" t="s">
        <v>48</v>
      </c>
      <c r="L567">
        <v>0</v>
      </c>
      <c r="M567" t="s">
        <v>49</v>
      </c>
      <c r="N567" t="s">
        <v>50</v>
      </c>
      <c r="O567">
        <v>0</v>
      </c>
      <c r="P567" t="s">
        <v>49</v>
      </c>
      <c r="Q567" t="s">
        <v>50</v>
      </c>
      <c r="R567" t="s">
        <v>104</v>
      </c>
      <c r="S567" t="s">
        <v>52</v>
      </c>
      <c r="T567" t="b">
        <v>1</v>
      </c>
      <c r="U567" t="s">
        <v>53</v>
      </c>
      <c r="V567" t="s">
        <v>54</v>
      </c>
      <c r="W567">
        <v>4</v>
      </c>
      <c r="X567" t="b">
        <v>0</v>
      </c>
      <c r="Y567" t="s">
        <v>55</v>
      </c>
      <c r="Z567" t="s">
        <v>56</v>
      </c>
      <c r="AA567" t="s">
        <v>57</v>
      </c>
      <c r="AB567">
        <v>0</v>
      </c>
      <c r="AC567" t="s">
        <v>58</v>
      </c>
      <c r="AD567">
        <v>8</v>
      </c>
      <c r="AE567" t="s">
        <v>59</v>
      </c>
      <c r="AF567">
        <v>2766349534.118</v>
      </c>
      <c r="AG567" t="b">
        <v>1</v>
      </c>
      <c r="AH567">
        <v>-1</v>
      </c>
      <c r="AI567" t="s">
        <v>73</v>
      </c>
      <c r="AJ567">
        <v>0</v>
      </c>
      <c r="AK567" t="b">
        <v>0</v>
      </c>
      <c r="AL567">
        <v>2766349534.118</v>
      </c>
      <c r="AM567" t="b">
        <v>1</v>
      </c>
      <c r="AN567">
        <v>0</v>
      </c>
      <c r="AO567" t="b">
        <v>0</v>
      </c>
      <c r="AQ567">
        <v>1616071557.072</v>
      </c>
      <c r="AR567">
        <v>1616071557.072</v>
      </c>
      <c r="AS567">
        <v>6</v>
      </c>
      <c r="AT567" t="b">
        <v>0</v>
      </c>
      <c r="AU567" t="b">
        <v>1</v>
      </c>
      <c r="BA567" t="str">
        <f t="shared" si="16"/>
        <v>Normal</v>
      </c>
      <c r="BG567" t="str">
        <f t="shared" si="17"/>
        <v>Normal</v>
      </c>
    </row>
    <row r="568" spans="1:59" x14ac:dyDescent="0.2">
      <c r="A568" t="s">
        <v>42</v>
      </c>
      <c r="B568" t="s">
        <v>43</v>
      </c>
      <c r="C568">
        <v>20240101</v>
      </c>
      <c r="D568">
        <v>2024</v>
      </c>
      <c r="E568">
        <v>52</v>
      </c>
      <c r="F568" t="s">
        <v>325</v>
      </c>
      <c r="G568">
        <v>788</v>
      </c>
      <c r="H568" t="s">
        <v>256</v>
      </c>
      <c r="I568" t="s">
        <v>257</v>
      </c>
      <c r="J568" t="s">
        <v>47</v>
      </c>
      <c r="K568" t="s">
        <v>48</v>
      </c>
      <c r="L568">
        <v>0</v>
      </c>
      <c r="M568" t="s">
        <v>49</v>
      </c>
      <c r="N568" t="s">
        <v>50</v>
      </c>
      <c r="O568">
        <v>0</v>
      </c>
      <c r="P568" t="s">
        <v>49</v>
      </c>
      <c r="Q568" t="s">
        <v>50</v>
      </c>
      <c r="R568" t="s">
        <v>300</v>
      </c>
      <c r="S568" t="s">
        <v>52</v>
      </c>
      <c r="T568" t="b">
        <v>1</v>
      </c>
      <c r="U568" t="s">
        <v>53</v>
      </c>
      <c r="V568" t="s">
        <v>54</v>
      </c>
      <c r="W568">
        <v>4</v>
      </c>
      <c r="X568" t="b">
        <v>0</v>
      </c>
      <c r="Y568" t="s">
        <v>55</v>
      </c>
      <c r="Z568" t="s">
        <v>56</v>
      </c>
      <c r="AA568" t="s">
        <v>57</v>
      </c>
      <c r="AB568">
        <v>0</v>
      </c>
      <c r="AC568" t="s">
        <v>58</v>
      </c>
      <c r="AD568">
        <v>8</v>
      </c>
      <c r="AE568" t="s">
        <v>59</v>
      </c>
      <c r="AF568">
        <v>1200851723.9230001</v>
      </c>
      <c r="AG568" t="b">
        <v>1</v>
      </c>
      <c r="AH568">
        <v>-1</v>
      </c>
      <c r="AI568" t="s">
        <v>73</v>
      </c>
      <c r="AJ568">
        <v>0</v>
      </c>
      <c r="AK568" t="b">
        <v>0</v>
      </c>
      <c r="AL568">
        <v>1200851723.9230001</v>
      </c>
      <c r="AM568" t="b">
        <v>1</v>
      </c>
      <c r="AN568">
        <v>0</v>
      </c>
      <c r="AO568" t="b">
        <v>0</v>
      </c>
      <c r="AQ568">
        <v>647730108.22099996</v>
      </c>
      <c r="AR568">
        <v>647730108.22099996</v>
      </c>
      <c r="AS568">
        <v>6</v>
      </c>
      <c r="AT568" t="b">
        <v>0</v>
      </c>
      <c r="AU568" t="b">
        <v>1</v>
      </c>
      <c r="BA568" t="str">
        <f t="shared" si="16"/>
        <v>Normal</v>
      </c>
      <c r="BG568" t="str">
        <f t="shared" si="17"/>
        <v>Normal</v>
      </c>
    </row>
    <row r="569" spans="1:59" x14ac:dyDescent="0.2">
      <c r="A569" t="s">
        <v>42</v>
      </c>
      <c r="B569" t="s">
        <v>43</v>
      </c>
      <c r="C569">
        <v>20240101</v>
      </c>
      <c r="D569">
        <v>2024</v>
      </c>
      <c r="E569">
        <v>52</v>
      </c>
      <c r="F569" t="s">
        <v>325</v>
      </c>
      <c r="G569">
        <v>800</v>
      </c>
      <c r="H569" t="s">
        <v>258</v>
      </c>
      <c r="I569" t="s">
        <v>259</v>
      </c>
      <c r="J569" t="s">
        <v>47</v>
      </c>
      <c r="K569" t="s">
        <v>48</v>
      </c>
      <c r="L569">
        <v>0</v>
      </c>
      <c r="M569" t="s">
        <v>49</v>
      </c>
      <c r="N569" t="s">
        <v>50</v>
      </c>
      <c r="O569">
        <v>0</v>
      </c>
      <c r="P569" t="s">
        <v>49</v>
      </c>
      <c r="Q569" t="s">
        <v>50</v>
      </c>
      <c r="R569" t="s">
        <v>300</v>
      </c>
      <c r="S569" t="s">
        <v>52</v>
      </c>
      <c r="T569" t="b">
        <v>1</v>
      </c>
      <c r="U569" t="s">
        <v>53</v>
      </c>
      <c r="V569" t="s">
        <v>54</v>
      </c>
      <c r="W569">
        <v>4</v>
      </c>
      <c r="X569" t="b">
        <v>0</v>
      </c>
      <c r="Y569" t="s">
        <v>55</v>
      </c>
      <c r="Z569" t="s">
        <v>56</v>
      </c>
      <c r="AA569" t="s">
        <v>57</v>
      </c>
      <c r="AB569">
        <v>0</v>
      </c>
      <c r="AC569" t="s">
        <v>58</v>
      </c>
      <c r="AD569">
        <v>8</v>
      </c>
      <c r="AE569" t="s">
        <v>59</v>
      </c>
      <c r="AF569">
        <v>2973</v>
      </c>
      <c r="AG569" t="b">
        <v>0</v>
      </c>
      <c r="AH569">
        <v>8</v>
      </c>
      <c r="AI569" t="s">
        <v>59</v>
      </c>
      <c r="AJ569">
        <v>2973</v>
      </c>
      <c r="AK569" t="b">
        <v>0</v>
      </c>
      <c r="AL569">
        <v>2973</v>
      </c>
      <c r="AM569" t="b">
        <v>0</v>
      </c>
      <c r="AN569">
        <v>0</v>
      </c>
      <c r="AO569" t="b">
        <v>0</v>
      </c>
      <c r="AQ569">
        <v>1088.3699999999999</v>
      </c>
      <c r="AR569">
        <v>1088.3699999999999</v>
      </c>
      <c r="AS569">
        <v>0</v>
      </c>
      <c r="AT569" t="b">
        <v>0</v>
      </c>
      <c r="AU569" t="b">
        <v>1</v>
      </c>
      <c r="BA569" t="str">
        <f t="shared" si="16"/>
        <v>Normal</v>
      </c>
      <c r="BG569" t="str">
        <f t="shared" si="17"/>
        <v>Normal</v>
      </c>
    </row>
    <row r="570" spans="1:59" x14ac:dyDescent="0.2">
      <c r="A570" t="s">
        <v>42</v>
      </c>
      <c r="B570" t="s">
        <v>43</v>
      </c>
      <c r="C570">
        <v>20240101</v>
      </c>
      <c r="D570">
        <v>2024</v>
      </c>
      <c r="E570">
        <v>52</v>
      </c>
      <c r="F570" t="s">
        <v>325</v>
      </c>
      <c r="G570">
        <v>818</v>
      </c>
      <c r="H570" t="s">
        <v>262</v>
      </c>
      <c r="I570" t="s">
        <v>263</v>
      </c>
      <c r="J570" t="s">
        <v>47</v>
      </c>
      <c r="K570" t="s">
        <v>48</v>
      </c>
      <c r="L570">
        <v>0</v>
      </c>
      <c r="M570" t="s">
        <v>49</v>
      </c>
      <c r="N570" t="s">
        <v>50</v>
      </c>
      <c r="O570">
        <v>0</v>
      </c>
      <c r="P570" t="s">
        <v>49</v>
      </c>
      <c r="Q570" t="s">
        <v>50</v>
      </c>
      <c r="R570" t="s">
        <v>300</v>
      </c>
      <c r="S570" t="s">
        <v>52</v>
      </c>
      <c r="T570" t="b">
        <v>1</v>
      </c>
      <c r="U570" t="s">
        <v>53</v>
      </c>
      <c r="V570" t="s">
        <v>54</v>
      </c>
      <c r="W570">
        <v>4</v>
      </c>
      <c r="X570" t="b">
        <v>0</v>
      </c>
      <c r="Y570" t="s">
        <v>55</v>
      </c>
      <c r="Z570" t="s">
        <v>56</v>
      </c>
      <c r="AA570" t="s">
        <v>57</v>
      </c>
      <c r="AB570">
        <v>0</v>
      </c>
      <c r="AC570" t="s">
        <v>58</v>
      </c>
      <c r="AD570">
        <v>8</v>
      </c>
      <c r="AE570" t="s">
        <v>59</v>
      </c>
      <c r="AF570">
        <v>2538653939.4520001</v>
      </c>
      <c r="AG570" t="b">
        <v>1</v>
      </c>
      <c r="AH570">
        <v>-1</v>
      </c>
      <c r="AI570" t="s">
        <v>73</v>
      </c>
      <c r="AJ570">
        <v>0</v>
      </c>
      <c r="AK570" t="b">
        <v>0</v>
      </c>
      <c r="AL570">
        <v>2538653939.4520001</v>
      </c>
      <c r="AM570" t="b">
        <v>1</v>
      </c>
      <c r="AN570">
        <v>0</v>
      </c>
      <c r="AO570" t="b">
        <v>0</v>
      </c>
      <c r="AQ570">
        <v>1408882000</v>
      </c>
      <c r="AR570">
        <v>1408882000</v>
      </c>
      <c r="AS570">
        <v>6</v>
      </c>
      <c r="AT570" t="b">
        <v>0</v>
      </c>
      <c r="AU570" t="b">
        <v>1</v>
      </c>
      <c r="BA570" t="str">
        <f t="shared" si="16"/>
        <v>Normal</v>
      </c>
      <c r="BG570" t="str">
        <f t="shared" si="17"/>
        <v>Normal</v>
      </c>
    </row>
    <row r="571" spans="1:59" x14ac:dyDescent="0.2">
      <c r="A571" t="s">
        <v>42</v>
      </c>
      <c r="B571" t="s">
        <v>43</v>
      </c>
      <c r="C571">
        <v>20240101</v>
      </c>
      <c r="D571">
        <v>2024</v>
      </c>
      <c r="E571">
        <v>52</v>
      </c>
      <c r="F571" t="s">
        <v>325</v>
      </c>
      <c r="G571">
        <v>826</v>
      </c>
      <c r="H571" t="s">
        <v>264</v>
      </c>
      <c r="I571" t="s">
        <v>265</v>
      </c>
      <c r="J571" t="s">
        <v>47</v>
      </c>
      <c r="K571" t="s">
        <v>48</v>
      </c>
      <c r="L571">
        <v>0</v>
      </c>
      <c r="M571" t="s">
        <v>49</v>
      </c>
      <c r="N571" t="s">
        <v>50</v>
      </c>
      <c r="O571">
        <v>0</v>
      </c>
      <c r="P571" t="s">
        <v>49</v>
      </c>
      <c r="Q571" t="s">
        <v>50</v>
      </c>
      <c r="R571" t="s">
        <v>300</v>
      </c>
      <c r="S571" t="s">
        <v>52</v>
      </c>
      <c r="T571" t="b">
        <v>1</v>
      </c>
      <c r="U571" t="s">
        <v>53</v>
      </c>
      <c r="V571" t="s">
        <v>54</v>
      </c>
      <c r="W571">
        <v>4</v>
      </c>
      <c r="X571" t="b">
        <v>0</v>
      </c>
      <c r="Y571" t="s">
        <v>55</v>
      </c>
      <c r="Z571" t="s">
        <v>56</v>
      </c>
      <c r="AA571" t="s">
        <v>57</v>
      </c>
      <c r="AB571">
        <v>0</v>
      </c>
      <c r="AC571" t="s">
        <v>58</v>
      </c>
      <c r="AD571">
        <v>-1</v>
      </c>
      <c r="AE571" t="s">
        <v>73</v>
      </c>
      <c r="AF571">
        <v>0</v>
      </c>
      <c r="AG571" t="b">
        <v>0</v>
      </c>
      <c r="AH571">
        <v>-1</v>
      </c>
      <c r="AI571" t="s">
        <v>73</v>
      </c>
      <c r="AJ571">
        <v>0</v>
      </c>
      <c r="AK571" t="b">
        <v>0</v>
      </c>
      <c r="AM571" t="b">
        <v>0</v>
      </c>
      <c r="AN571">
        <v>0</v>
      </c>
      <c r="AO571" t="b">
        <v>0</v>
      </c>
      <c r="AQ571">
        <v>16055724448.938</v>
      </c>
      <c r="AR571">
        <v>16055724448.938</v>
      </c>
      <c r="AS571">
        <v>0</v>
      </c>
      <c r="AT571" t="b">
        <v>0</v>
      </c>
      <c r="AU571" t="b">
        <v>1</v>
      </c>
      <c r="BA571" t="str">
        <f t="shared" si="16"/>
        <v>Normal</v>
      </c>
      <c r="BG571" t="str">
        <f t="shared" si="17"/>
        <v>Normal</v>
      </c>
    </row>
    <row r="572" spans="1:59" x14ac:dyDescent="0.2">
      <c r="A572" t="s">
        <v>42</v>
      </c>
      <c r="B572" t="s">
        <v>43</v>
      </c>
      <c r="C572">
        <v>20240101</v>
      </c>
      <c r="D572">
        <v>2024</v>
      </c>
      <c r="E572">
        <v>52</v>
      </c>
      <c r="F572" t="s">
        <v>325</v>
      </c>
      <c r="G572">
        <v>834</v>
      </c>
      <c r="H572" t="s">
        <v>266</v>
      </c>
      <c r="I572" t="s">
        <v>267</v>
      </c>
      <c r="J572" t="s">
        <v>47</v>
      </c>
      <c r="K572" t="s">
        <v>48</v>
      </c>
      <c r="L572">
        <v>0</v>
      </c>
      <c r="M572" t="s">
        <v>49</v>
      </c>
      <c r="N572" t="s">
        <v>50</v>
      </c>
      <c r="O572">
        <v>0</v>
      </c>
      <c r="P572" t="s">
        <v>49</v>
      </c>
      <c r="Q572" t="s">
        <v>50</v>
      </c>
      <c r="R572" t="s">
        <v>300</v>
      </c>
      <c r="S572" t="s">
        <v>52</v>
      </c>
      <c r="T572" t="b">
        <v>1</v>
      </c>
      <c r="U572" t="s">
        <v>53</v>
      </c>
      <c r="V572" t="s">
        <v>54</v>
      </c>
      <c r="W572">
        <v>4</v>
      </c>
      <c r="X572" t="b">
        <v>0</v>
      </c>
      <c r="Y572" t="s">
        <v>55</v>
      </c>
      <c r="Z572" t="s">
        <v>56</v>
      </c>
      <c r="AA572" t="s">
        <v>57</v>
      </c>
      <c r="AB572">
        <v>0</v>
      </c>
      <c r="AC572" t="s">
        <v>58</v>
      </c>
      <c r="AD572">
        <v>8</v>
      </c>
      <c r="AE572" t="s">
        <v>59</v>
      </c>
      <c r="AF572">
        <v>3832500</v>
      </c>
      <c r="AG572" t="b">
        <v>0</v>
      </c>
      <c r="AH572">
        <v>8</v>
      </c>
      <c r="AI572" t="s">
        <v>59</v>
      </c>
      <c r="AJ572">
        <v>3832500</v>
      </c>
      <c r="AK572" t="b">
        <v>0</v>
      </c>
      <c r="AL572">
        <v>3832500</v>
      </c>
      <c r="AM572" t="b">
        <v>0</v>
      </c>
      <c r="AN572">
        <v>0</v>
      </c>
      <c r="AO572" t="b">
        <v>0</v>
      </c>
      <c r="AQ572">
        <v>2351989.6680000001</v>
      </c>
      <c r="AR572">
        <v>2351989.6680000001</v>
      </c>
      <c r="AS572">
        <v>0</v>
      </c>
      <c r="AT572" t="b">
        <v>0</v>
      </c>
      <c r="AU572" t="b">
        <v>1</v>
      </c>
      <c r="BA572" t="str">
        <f t="shared" si="16"/>
        <v>Normal</v>
      </c>
      <c r="BG572" t="str">
        <f t="shared" si="17"/>
        <v>Normal</v>
      </c>
    </row>
    <row r="573" spans="1:59" x14ac:dyDescent="0.2">
      <c r="A573" t="s">
        <v>42</v>
      </c>
      <c r="B573" t="s">
        <v>43</v>
      </c>
      <c r="C573">
        <v>20240101</v>
      </c>
      <c r="D573">
        <v>2024</v>
      </c>
      <c r="E573">
        <v>52</v>
      </c>
      <c r="F573" t="s">
        <v>325</v>
      </c>
      <c r="G573">
        <v>842</v>
      </c>
      <c r="H573" t="s">
        <v>268</v>
      </c>
      <c r="I573" t="s">
        <v>268</v>
      </c>
      <c r="J573" t="s">
        <v>47</v>
      </c>
      <c r="K573" t="s">
        <v>48</v>
      </c>
      <c r="L573">
        <v>0</v>
      </c>
      <c r="M573" t="s">
        <v>49</v>
      </c>
      <c r="N573" t="s">
        <v>50</v>
      </c>
      <c r="O573">
        <v>0</v>
      </c>
      <c r="P573" t="s">
        <v>49</v>
      </c>
      <c r="Q573" t="s">
        <v>50</v>
      </c>
      <c r="R573" t="s">
        <v>300</v>
      </c>
      <c r="S573" t="s">
        <v>52</v>
      </c>
      <c r="T573" t="b">
        <v>1</v>
      </c>
      <c r="U573" t="s">
        <v>53</v>
      </c>
      <c r="V573" t="s">
        <v>54</v>
      </c>
      <c r="W573">
        <v>4</v>
      </c>
      <c r="X573" t="b">
        <v>0</v>
      </c>
      <c r="Y573" t="s">
        <v>55</v>
      </c>
      <c r="Z573" t="s">
        <v>56</v>
      </c>
      <c r="AA573" t="s">
        <v>57</v>
      </c>
      <c r="AB573">
        <v>0</v>
      </c>
      <c r="AC573" t="s">
        <v>58</v>
      </c>
      <c r="AD573">
        <v>8</v>
      </c>
      <c r="AE573" t="s">
        <v>59</v>
      </c>
      <c r="AF573">
        <v>238788419322</v>
      </c>
      <c r="AG573" t="b">
        <v>0</v>
      </c>
      <c r="AH573">
        <v>19</v>
      </c>
      <c r="AI573" t="s">
        <v>60</v>
      </c>
      <c r="AJ573">
        <v>1501813958</v>
      </c>
      <c r="AK573" t="b">
        <v>0</v>
      </c>
      <c r="AL573">
        <v>238788419322</v>
      </c>
      <c r="AM573" t="b">
        <v>0</v>
      </c>
      <c r="AN573">
        <v>0</v>
      </c>
      <c r="AO573" t="b">
        <v>0</v>
      </c>
      <c r="AQ573">
        <v>118499361483</v>
      </c>
      <c r="AR573">
        <v>118499361483</v>
      </c>
      <c r="AS573">
        <v>0</v>
      </c>
      <c r="AT573" t="b">
        <v>0</v>
      </c>
      <c r="AU573" t="b">
        <v>1</v>
      </c>
      <c r="BA573" t="str">
        <f t="shared" si="16"/>
        <v>Normal</v>
      </c>
      <c r="BG573" t="str">
        <f t="shared" si="17"/>
        <v>Normal</v>
      </c>
    </row>
    <row r="574" spans="1:59" x14ac:dyDescent="0.2">
      <c r="A574" t="s">
        <v>42</v>
      </c>
      <c r="B574" t="s">
        <v>43</v>
      </c>
      <c r="C574">
        <v>20240101</v>
      </c>
      <c r="D574">
        <v>2024</v>
      </c>
      <c r="E574">
        <v>52</v>
      </c>
      <c r="F574" t="s">
        <v>325</v>
      </c>
      <c r="G574">
        <v>854</v>
      </c>
      <c r="H574" t="s">
        <v>328</v>
      </c>
      <c r="I574" t="s">
        <v>329</v>
      </c>
      <c r="J574" t="s">
        <v>47</v>
      </c>
      <c r="K574" t="s">
        <v>48</v>
      </c>
      <c r="L574">
        <v>0</v>
      </c>
      <c r="M574" t="s">
        <v>49</v>
      </c>
      <c r="N574" t="s">
        <v>50</v>
      </c>
      <c r="O574">
        <v>0</v>
      </c>
      <c r="P574" t="s">
        <v>49</v>
      </c>
      <c r="Q574" t="s">
        <v>50</v>
      </c>
      <c r="R574" t="s">
        <v>300</v>
      </c>
      <c r="S574" t="s">
        <v>52</v>
      </c>
      <c r="T574" t="b">
        <v>1</v>
      </c>
      <c r="U574" t="s">
        <v>53</v>
      </c>
      <c r="V574" t="s">
        <v>54</v>
      </c>
      <c r="W574">
        <v>4</v>
      </c>
      <c r="X574" t="b">
        <v>0</v>
      </c>
      <c r="Y574" t="s">
        <v>55</v>
      </c>
      <c r="Z574" t="s">
        <v>56</v>
      </c>
      <c r="AA574" t="s">
        <v>57</v>
      </c>
      <c r="AB574">
        <v>0</v>
      </c>
      <c r="AC574" t="s">
        <v>58</v>
      </c>
      <c r="AD574">
        <v>8</v>
      </c>
      <c r="AE574" t="s">
        <v>59</v>
      </c>
      <c r="AF574">
        <v>240</v>
      </c>
      <c r="AG574" t="b">
        <v>0</v>
      </c>
      <c r="AH574">
        <v>8</v>
      </c>
      <c r="AI574" t="s">
        <v>59</v>
      </c>
      <c r="AJ574">
        <v>240</v>
      </c>
      <c r="AK574" t="b">
        <v>0</v>
      </c>
      <c r="AL574">
        <v>240</v>
      </c>
      <c r="AM574" t="b">
        <v>0</v>
      </c>
      <c r="AN574">
        <v>0</v>
      </c>
      <c r="AO574" t="b">
        <v>0</v>
      </c>
      <c r="AQ574">
        <v>50.011000000000003</v>
      </c>
      <c r="AR574">
        <v>50.011000000000003</v>
      </c>
      <c r="AS574">
        <v>0</v>
      </c>
      <c r="AT574" t="b">
        <v>0</v>
      </c>
      <c r="AU574" t="b">
        <v>1</v>
      </c>
      <c r="BA574" t="str">
        <f t="shared" si="16"/>
        <v>Normal</v>
      </c>
      <c r="BG574" t="str">
        <f t="shared" si="17"/>
        <v>Normal</v>
      </c>
    </row>
    <row r="575" spans="1:59" x14ac:dyDescent="0.2">
      <c r="A575" t="s">
        <v>42</v>
      </c>
      <c r="B575" t="s">
        <v>43</v>
      </c>
      <c r="C575">
        <v>20240101</v>
      </c>
      <c r="D575">
        <v>2024</v>
      </c>
      <c r="E575">
        <v>52</v>
      </c>
      <c r="F575" t="s">
        <v>325</v>
      </c>
      <c r="G575">
        <v>882</v>
      </c>
      <c r="H575" t="s">
        <v>269</v>
      </c>
      <c r="I575" t="s">
        <v>270</v>
      </c>
      <c r="J575" t="s">
        <v>47</v>
      </c>
      <c r="K575" t="s">
        <v>48</v>
      </c>
      <c r="L575">
        <v>0</v>
      </c>
      <c r="M575" t="s">
        <v>49</v>
      </c>
      <c r="N575" t="s">
        <v>50</v>
      </c>
      <c r="O575">
        <v>0</v>
      </c>
      <c r="P575" t="s">
        <v>49</v>
      </c>
      <c r="Q575" t="s">
        <v>50</v>
      </c>
      <c r="R575" t="s">
        <v>51</v>
      </c>
      <c r="S575" t="s">
        <v>52</v>
      </c>
      <c r="T575" t="b">
        <v>1</v>
      </c>
      <c r="U575" t="s">
        <v>53</v>
      </c>
      <c r="V575" t="s">
        <v>54</v>
      </c>
      <c r="W575">
        <v>4</v>
      </c>
      <c r="X575" t="b">
        <v>0</v>
      </c>
      <c r="Y575" t="s">
        <v>55</v>
      </c>
      <c r="Z575" t="s">
        <v>56</v>
      </c>
      <c r="AA575" t="s">
        <v>57</v>
      </c>
      <c r="AB575">
        <v>0</v>
      </c>
      <c r="AC575" t="s">
        <v>58</v>
      </c>
      <c r="AD575">
        <v>8</v>
      </c>
      <c r="AE575" t="s">
        <v>59</v>
      </c>
      <c r="AF575">
        <v>10</v>
      </c>
      <c r="AG575" t="b">
        <v>0</v>
      </c>
      <c r="AH575">
        <v>7</v>
      </c>
      <c r="AI575" t="s">
        <v>67</v>
      </c>
      <c r="AJ575">
        <v>10</v>
      </c>
      <c r="AK575" t="b">
        <v>0</v>
      </c>
      <c r="AL575">
        <v>10</v>
      </c>
      <c r="AM575" t="b">
        <v>0</v>
      </c>
      <c r="AN575">
        <v>0</v>
      </c>
      <c r="AO575" t="b">
        <v>0</v>
      </c>
      <c r="AQ575">
        <v>182.262</v>
      </c>
      <c r="AR575">
        <v>182.262</v>
      </c>
      <c r="AS575">
        <v>0</v>
      </c>
      <c r="AT575" t="b">
        <v>0</v>
      </c>
      <c r="AU575" t="b">
        <v>1</v>
      </c>
      <c r="BA575" t="str">
        <f t="shared" si="16"/>
        <v>Normal</v>
      </c>
      <c r="BG575" t="str">
        <f t="shared" si="17"/>
        <v>Normal</v>
      </c>
    </row>
    <row r="576" spans="1:59" x14ac:dyDescent="0.2">
      <c r="A576" t="s">
        <v>42</v>
      </c>
      <c r="B576" t="s">
        <v>43</v>
      </c>
      <c r="C576">
        <v>20240101</v>
      </c>
      <c r="D576">
        <v>2024</v>
      </c>
      <c r="E576">
        <v>52</v>
      </c>
      <c r="F576" t="s">
        <v>325</v>
      </c>
      <c r="G576">
        <v>894</v>
      </c>
      <c r="H576" t="s">
        <v>285</v>
      </c>
      <c r="I576" t="s">
        <v>286</v>
      </c>
      <c r="J576" t="s">
        <v>47</v>
      </c>
      <c r="K576" t="s">
        <v>48</v>
      </c>
      <c r="L576">
        <v>0</v>
      </c>
      <c r="M576" t="s">
        <v>49</v>
      </c>
      <c r="N576" t="s">
        <v>50</v>
      </c>
      <c r="O576">
        <v>0</v>
      </c>
      <c r="P576" t="s">
        <v>49</v>
      </c>
      <c r="Q576" t="s">
        <v>50</v>
      </c>
      <c r="R576" t="s">
        <v>300</v>
      </c>
      <c r="S576" t="s">
        <v>52</v>
      </c>
      <c r="T576" t="b">
        <v>1</v>
      </c>
      <c r="U576" t="s">
        <v>53</v>
      </c>
      <c r="V576" t="s">
        <v>54</v>
      </c>
      <c r="W576">
        <v>4</v>
      </c>
      <c r="X576" t="b">
        <v>0</v>
      </c>
      <c r="Y576" t="s">
        <v>55</v>
      </c>
      <c r="Z576" t="s">
        <v>56</v>
      </c>
      <c r="AA576" t="s">
        <v>57</v>
      </c>
      <c r="AB576">
        <v>0</v>
      </c>
      <c r="AC576" t="s">
        <v>58</v>
      </c>
      <c r="AD576">
        <v>8</v>
      </c>
      <c r="AE576" t="s">
        <v>59</v>
      </c>
      <c r="AF576">
        <v>11</v>
      </c>
      <c r="AG576" t="b">
        <v>0</v>
      </c>
      <c r="AH576">
        <v>8</v>
      </c>
      <c r="AI576" t="s">
        <v>59</v>
      </c>
      <c r="AJ576">
        <v>11</v>
      </c>
      <c r="AK576" t="b">
        <v>0</v>
      </c>
      <c r="AL576">
        <v>11</v>
      </c>
      <c r="AM576" t="b">
        <v>0</v>
      </c>
      <c r="AN576">
        <v>0</v>
      </c>
      <c r="AO576" t="b">
        <v>0</v>
      </c>
      <c r="AQ576">
        <v>14.582000000000001</v>
      </c>
      <c r="AR576">
        <v>14.582000000000001</v>
      </c>
      <c r="AS576">
        <v>0</v>
      </c>
      <c r="AT576" t="b">
        <v>0</v>
      </c>
      <c r="AU576" t="b">
        <v>1</v>
      </c>
      <c r="BA576" t="str">
        <f t="shared" si="16"/>
        <v>Normal</v>
      </c>
      <c r="BG576" t="str">
        <f t="shared" si="17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Crude_Raw</vt:lpstr>
      <vt:lpstr>Crude_Clean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Santosh Dangat</cp:lastModifiedBy>
  <dcterms:created xsi:type="dcterms:W3CDTF">2026-01-04T14:32:09Z</dcterms:created>
  <dcterms:modified xsi:type="dcterms:W3CDTF">2026-01-04T14:32:10Z</dcterms:modified>
</cp:coreProperties>
</file>