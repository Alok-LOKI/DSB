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hilsantoshdangat/Downloads/"/>
    </mc:Choice>
  </mc:AlternateContent>
  <xr:revisionPtr revIDLastSave="0" documentId="13_ncr:1_{DFCECDE1-B062-3643-9E62-261808A1DB60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Gold_Raw" sheetId="1" r:id="rId1"/>
    <sheet name="Gold_Clean" sheetId="2" r:id="rId2"/>
  </sheets>
  <definedNames>
    <definedName name="_xlnm._FilterDatabase" localSheetId="0" hidden="1">Gold_Raw!$A$1:$BC$752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" i="1" l="1"/>
  <c r="BA2" i="1"/>
  <c r="AY2" i="1"/>
  <c r="AX2" i="1"/>
  <c r="AW2" i="1" a="1"/>
  <c r="AW2" i="1" s="1"/>
  <c r="AV2" i="1" a="1"/>
  <c r="AV2" i="1" s="1"/>
  <c r="AZ2" i="1" l="1"/>
  <c r="BC292" i="1" l="1"/>
  <c r="BC164" i="1"/>
  <c r="BC524" i="1"/>
  <c r="BC42" i="1"/>
  <c r="BC223" i="1"/>
  <c r="BC424" i="1"/>
  <c r="BC607" i="1"/>
  <c r="BC49" i="1"/>
  <c r="BC251" i="1"/>
  <c r="BC434" i="1"/>
  <c r="BC635" i="1"/>
  <c r="BC408" i="1"/>
  <c r="BC9" i="1"/>
  <c r="BC373" i="1"/>
  <c r="BC97" i="1"/>
  <c r="BC289" i="1"/>
  <c r="BC698" i="1"/>
  <c r="BC400" i="1"/>
  <c r="BC94" i="1"/>
  <c r="BC286" i="1"/>
  <c r="BC469" i="1"/>
  <c r="BC670" i="1"/>
  <c r="BC283" i="1"/>
  <c r="BC724" i="1"/>
  <c r="BC46" i="1"/>
  <c r="BC585" i="1"/>
  <c r="BC191" i="1"/>
  <c r="BC192" i="1"/>
  <c r="BC641" i="1"/>
  <c r="BC248" i="1"/>
  <c r="BC255" i="1"/>
  <c r="BC102" i="1"/>
  <c r="BC109" i="1"/>
  <c r="BC127" i="1"/>
  <c r="BC685" i="1"/>
  <c r="BC183" i="1"/>
  <c r="BC630" i="1"/>
  <c r="BC393" i="1"/>
  <c r="BC5" i="1"/>
  <c r="BC232" i="1"/>
  <c r="BC616" i="1"/>
  <c r="BC59" i="1"/>
  <c r="BC261" i="1"/>
  <c r="BC645" i="1"/>
  <c r="BC426" i="1"/>
  <c r="BC31" i="1"/>
  <c r="BC391" i="1"/>
  <c r="BC106" i="1"/>
  <c r="BC714" i="1"/>
  <c r="BC418" i="1"/>
  <c r="BC103" i="1"/>
  <c r="BC295" i="1"/>
  <c r="BC496" i="1"/>
  <c r="BC679" i="1"/>
  <c r="BC358" i="1"/>
  <c r="BC73" i="1"/>
  <c r="BC610" i="1"/>
  <c r="BC285" i="1"/>
  <c r="BC218" i="1"/>
  <c r="BC694" i="1"/>
  <c r="BC301" i="1"/>
  <c r="BC302" i="1"/>
  <c r="BC174" i="1"/>
  <c r="BC175" i="1"/>
  <c r="BC717" i="1"/>
  <c r="BC230" i="1"/>
  <c r="BC686" i="1"/>
  <c r="BC493" i="1"/>
  <c r="BC228" i="1"/>
  <c r="BC16" i="1"/>
  <c r="BC241" i="1"/>
  <c r="BC442" i="1"/>
  <c r="BC643" i="1"/>
  <c r="BC270" i="1"/>
  <c r="BC654" i="1"/>
  <c r="BC62" i="1"/>
  <c r="BC362" i="1"/>
  <c r="BC437" i="1"/>
  <c r="BC304" i="1"/>
  <c r="BC687" i="1"/>
  <c r="BC410" i="1"/>
  <c r="BC99" i="1"/>
  <c r="BC431" i="1"/>
  <c r="BC726" i="1"/>
  <c r="BC349" i="1"/>
  <c r="BC221" i="1"/>
  <c r="BC212" i="1"/>
  <c r="BC532" i="1"/>
  <c r="BC433" i="1"/>
  <c r="BC443" i="1"/>
  <c r="BC307" i="1"/>
  <c r="BC310" i="1"/>
  <c r="BC303" i="1"/>
  <c r="BC548" i="1"/>
  <c r="BC69" i="1"/>
  <c r="BC471" i="1"/>
  <c r="BC435" i="1"/>
  <c r="BC409" i="1"/>
  <c r="BC115" i="1"/>
  <c r="BC722" i="1"/>
  <c r="BC121" i="1"/>
  <c r="BC505" i="1"/>
  <c r="BC330" i="1"/>
  <c r="BC629" i="1"/>
  <c r="BC239" i="1"/>
  <c r="BC541" i="1"/>
  <c r="BC355" i="1"/>
  <c r="BC227" i="1"/>
  <c r="BC276" i="1"/>
  <c r="BC364" i="1"/>
  <c r="BC660" i="1"/>
  <c r="BC323" i="1"/>
  <c r="BC653" i="1"/>
  <c r="BC178" i="1"/>
  <c r="BC544" i="1"/>
  <c r="BC253" i="1"/>
  <c r="BC217" i="1"/>
  <c r="BC125" i="1"/>
  <c r="BC573" i="1"/>
  <c r="BC583" i="1"/>
  <c r="BC222" i="1"/>
  <c r="BC587" i="1"/>
  <c r="BC357" i="1"/>
  <c r="BC709" i="1"/>
  <c r="BC43" i="1"/>
  <c r="BC166" i="1"/>
  <c r="BC82" i="1"/>
  <c r="BC401" i="1"/>
  <c r="BC707" i="1"/>
  <c r="BC321" i="1"/>
  <c r="BC474" i="1"/>
  <c r="BC749" i="1"/>
  <c r="BC404" i="1"/>
  <c r="BC27" i="1"/>
  <c r="BC351" i="1"/>
  <c r="BC712" i="1"/>
  <c r="BC187" i="1"/>
  <c r="BC553" i="1"/>
  <c r="BC454" i="1"/>
  <c r="BC226" i="1"/>
  <c r="BC189" i="1"/>
  <c r="BC591" i="1"/>
  <c r="BC601" i="1"/>
  <c r="BC313" i="1"/>
  <c r="BC597" i="1"/>
  <c r="BC529" i="1"/>
  <c r="BC725" i="1"/>
  <c r="BC65" i="1"/>
  <c r="BC385" i="1"/>
  <c r="BC154" i="1"/>
  <c r="BC632" i="1"/>
  <c r="BC739" i="1"/>
  <c r="BC567" i="1"/>
  <c r="BC74" i="1"/>
  <c r="BC282" i="1"/>
  <c r="BC420" i="1"/>
  <c r="BC104" i="1"/>
  <c r="BC360" i="1"/>
  <c r="BC720" i="1"/>
  <c r="BC279" i="1"/>
  <c r="BC562" i="1"/>
  <c r="BC563" i="1"/>
  <c r="BC245" i="1"/>
  <c r="BC198" i="1"/>
  <c r="BC738" i="1"/>
  <c r="BC15" i="1"/>
  <c r="BC377" i="1"/>
  <c r="BC606" i="1"/>
  <c r="BC550" i="1"/>
  <c r="BC173" i="1"/>
  <c r="BC91" i="1"/>
  <c r="BC411" i="1"/>
  <c r="BC201" i="1"/>
  <c r="BC669" i="1"/>
  <c r="BC419" i="1"/>
  <c r="BC613" i="1"/>
  <c r="BC329" i="1"/>
  <c r="BC376" i="1"/>
  <c r="BC428" i="1"/>
  <c r="BC131" i="1"/>
  <c r="BC451" i="1"/>
  <c r="BC728" i="1"/>
  <c r="BC343" i="1"/>
  <c r="BC571" i="1"/>
  <c r="BC582" i="1"/>
  <c r="BC427" i="1"/>
  <c r="BC207" i="1"/>
  <c r="BC171" i="1"/>
  <c r="BC25" i="1"/>
  <c r="BC386" i="1"/>
  <c r="BC711" i="1"/>
  <c r="BC576" i="1"/>
  <c r="BC293" i="1"/>
  <c r="BC165" i="1"/>
  <c r="BC438" i="1"/>
  <c r="BC593" i="1"/>
  <c r="BC702" i="1"/>
  <c r="BC513" i="1"/>
  <c r="BC649" i="1"/>
  <c r="BC522" i="1"/>
  <c r="BC475" i="1"/>
  <c r="BC556" i="1"/>
  <c r="BC141" i="1"/>
  <c r="BC515" i="1"/>
  <c r="BC736" i="1"/>
  <c r="BC352" i="1"/>
  <c r="BC663" i="1"/>
  <c r="BC600" i="1"/>
  <c r="BC555" i="1"/>
  <c r="BC216" i="1"/>
  <c r="BC190" i="1"/>
  <c r="BC130" i="1"/>
  <c r="BC395" i="1"/>
  <c r="BC751" i="1"/>
  <c r="BC639" i="1"/>
  <c r="BC366" i="1"/>
  <c r="BC504" i="1"/>
  <c r="BC511" i="1"/>
  <c r="BC631" i="1"/>
  <c r="BC734" i="1"/>
  <c r="BC566" i="1"/>
  <c r="BC229" i="1"/>
  <c r="BC147" i="1"/>
  <c r="BC81" i="1"/>
  <c r="BC620" i="1"/>
  <c r="BC159" i="1"/>
  <c r="BC525" i="1"/>
  <c r="BC78" i="1"/>
  <c r="BC361" i="1"/>
  <c r="BC721" i="1"/>
  <c r="BC627" i="1"/>
  <c r="BC574" i="1"/>
  <c r="BC381" i="1"/>
  <c r="BC254" i="1"/>
  <c r="BC176" i="1"/>
  <c r="BC423" i="1"/>
  <c r="BC64" i="1"/>
  <c r="BC457" i="1"/>
  <c r="BC392" i="1"/>
  <c r="BC603" i="1"/>
  <c r="BC531" i="1"/>
  <c r="BC667" i="1"/>
  <c r="BC402" i="1"/>
  <c r="BC611" i="1"/>
  <c r="BC275" i="1"/>
  <c r="BC247" i="1"/>
  <c r="BC294" i="1"/>
  <c r="BC628" i="1"/>
  <c r="BC250" i="1"/>
  <c r="BC534" i="1"/>
  <c r="BC142" i="1"/>
  <c r="BC370" i="1"/>
  <c r="BC729" i="1"/>
  <c r="BC71" i="1"/>
  <c r="BC19" i="1"/>
  <c r="BC527" i="1"/>
  <c r="BC272" i="1"/>
  <c r="BC203" i="1"/>
  <c r="BC514" i="1"/>
  <c r="BC90" i="1"/>
  <c r="BC658" i="1"/>
  <c r="BC413" i="1"/>
  <c r="BC693" i="1"/>
  <c r="BC33" i="1"/>
  <c r="BC701" i="1"/>
  <c r="BC502" i="1"/>
  <c r="BC648" i="1"/>
  <c r="BC375" i="1"/>
  <c r="BC346" i="1"/>
  <c r="BC586" i="1"/>
  <c r="BC543" i="1"/>
  <c r="BC151" i="1"/>
  <c r="BC2" i="1"/>
  <c r="BC464" i="1"/>
  <c r="BC213" i="1"/>
  <c r="BC111" i="1"/>
  <c r="BC677" i="1"/>
  <c r="BC63" i="1"/>
  <c r="BC549" i="1"/>
  <c r="BC30" i="1"/>
  <c r="BC647" i="1"/>
  <c r="BC202" i="1"/>
  <c r="BC199" i="1"/>
  <c r="BC652" i="1"/>
  <c r="BC314" i="1"/>
  <c r="BC480" i="1"/>
  <c r="BC554" i="1"/>
  <c r="BC578" i="1"/>
  <c r="BC145" i="1"/>
  <c r="BC274" i="1"/>
  <c r="BC539" i="1"/>
  <c r="BC422" i="1"/>
  <c r="BC665" i="1"/>
  <c r="BC439" i="1"/>
  <c r="BC193" i="1"/>
  <c r="BC741" i="1"/>
  <c r="BC483" i="1"/>
  <c r="BC657" i="1"/>
  <c r="BC383" i="1"/>
  <c r="BC137" i="1"/>
  <c r="BC719" i="1"/>
  <c r="BC615" i="1"/>
  <c r="BC523" i="1"/>
  <c r="BC432" i="1"/>
  <c r="BC322" i="1"/>
  <c r="BC231" i="1"/>
  <c r="BC139" i="1"/>
  <c r="BC57" i="1"/>
  <c r="BC482" i="1"/>
  <c r="BC290" i="1"/>
  <c r="BC107" i="1"/>
  <c r="BC609" i="1"/>
  <c r="BC399" i="1"/>
  <c r="BC243" i="1"/>
  <c r="BC134" i="1"/>
  <c r="BC40" i="1"/>
  <c r="BC473" i="1"/>
  <c r="BC263" i="1"/>
  <c r="BC89" i="1"/>
  <c r="BC690" i="1"/>
  <c r="BC481" i="1"/>
  <c r="BC298" i="1"/>
  <c r="BC689" i="1"/>
  <c r="BC581" i="1"/>
  <c r="BC489" i="1"/>
  <c r="BC398" i="1"/>
  <c r="BC288" i="1"/>
  <c r="BC197" i="1"/>
  <c r="BC105" i="1"/>
  <c r="BC744" i="1"/>
  <c r="BC662" i="1"/>
  <c r="BC570" i="1"/>
  <c r="BC461" i="1"/>
  <c r="BC369" i="1"/>
  <c r="BC278" i="1"/>
  <c r="BC168" i="1"/>
  <c r="BC58" i="1"/>
  <c r="BC676" i="1"/>
  <c r="BC564" i="1"/>
  <c r="BC468" i="1"/>
  <c r="BC3" i="1"/>
  <c r="BC60" i="1"/>
  <c r="BC124" i="1"/>
  <c r="BC188" i="1"/>
  <c r="BC252" i="1"/>
  <c r="BC316" i="1"/>
  <c r="BC380" i="1"/>
  <c r="BC444" i="1"/>
  <c r="BC508" i="1"/>
  <c r="BC572" i="1"/>
  <c r="BC636" i="1"/>
  <c r="BC18" i="1"/>
  <c r="BC38" i="1"/>
  <c r="BC113" i="1"/>
  <c r="BC186" i="1"/>
  <c r="BC259" i="1"/>
  <c r="BC333" i="1"/>
  <c r="BC406" i="1"/>
  <c r="BC479" i="1"/>
  <c r="BC552" i="1"/>
  <c r="BC625" i="1"/>
  <c r="BC696" i="1"/>
  <c r="BC6" i="1"/>
  <c r="BC87" i="1"/>
  <c r="BC160" i="1"/>
  <c r="BC233" i="1"/>
  <c r="BC306" i="1"/>
  <c r="BC379" i="1"/>
  <c r="BC453" i="1"/>
  <c r="BC526" i="1"/>
  <c r="BC599" i="1"/>
  <c r="BC672" i="1"/>
  <c r="BC737" i="1"/>
  <c r="BC371" i="1"/>
  <c r="BC509" i="1"/>
  <c r="BC646" i="1"/>
  <c r="BC41" i="1"/>
  <c r="BC153" i="1"/>
  <c r="BC299" i="1"/>
  <c r="BC446" i="1"/>
  <c r="BC592" i="1"/>
  <c r="BC79" i="1"/>
  <c r="BC152" i="1"/>
  <c r="BC225" i="1"/>
  <c r="BC326" i="1"/>
  <c r="BC472" i="1"/>
  <c r="BC637" i="1"/>
  <c r="BC21" i="1"/>
  <c r="BC208" i="1"/>
  <c r="BC363" i="1"/>
  <c r="BC519" i="1"/>
  <c r="BC37" i="1"/>
  <c r="BC112" i="1"/>
  <c r="BC185" i="1"/>
  <c r="BC258" i="1"/>
  <c r="BC331" i="1"/>
  <c r="BC405" i="1"/>
  <c r="BC478" i="1"/>
  <c r="BC551" i="1"/>
  <c r="BC624" i="1"/>
  <c r="BC695" i="1"/>
  <c r="BC11" i="1"/>
  <c r="BC210" i="1"/>
  <c r="BC403" i="1"/>
  <c r="BC602" i="1"/>
  <c r="BC740" i="1"/>
  <c r="BC577" i="1"/>
  <c r="BC623" i="1"/>
  <c r="BC120" i="1"/>
  <c r="BC319" i="1"/>
  <c r="BC512" i="1"/>
  <c r="BC683" i="1"/>
  <c r="BC118" i="1"/>
  <c r="BC337" i="1"/>
  <c r="BC72" i="1"/>
  <c r="BC265" i="1"/>
  <c r="BC458" i="1"/>
  <c r="BC659" i="1"/>
  <c r="BC23" i="1"/>
  <c r="BC447" i="1"/>
  <c r="BC24" i="1"/>
  <c r="BC448" i="1"/>
  <c r="BC32" i="1"/>
  <c r="BC449" i="1"/>
  <c r="BC54" i="1"/>
  <c r="BC466" i="1"/>
  <c r="BC55" i="1"/>
  <c r="BC467" i="1"/>
  <c r="BC56" i="1"/>
  <c r="BC521" i="1"/>
  <c r="BC429" i="1"/>
  <c r="BC440" i="1"/>
  <c r="BC129" i="1"/>
  <c r="BC200" i="1"/>
  <c r="BC4" i="1"/>
  <c r="BC68" i="1"/>
  <c r="BC132" i="1"/>
  <c r="BC196" i="1"/>
  <c r="BC260" i="1"/>
  <c r="BC324" i="1"/>
  <c r="BC388" i="1"/>
  <c r="BC452" i="1"/>
  <c r="BC516" i="1"/>
  <c r="BC580" i="1"/>
  <c r="BC644" i="1"/>
  <c r="BC26" i="1"/>
  <c r="BC48" i="1"/>
  <c r="BC122" i="1"/>
  <c r="BC195" i="1"/>
  <c r="BC269" i="1"/>
  <c r="BC342" i="1"/>
  <c r="BC415" i="1"/>
  <c r="BC488" i="1"/>
  <c r="BC561" i="1"/>
  <c r="BC634" i="1"/>
  <c r="BC704" i="1"/>
  <c r="BC17" i="1"/>
  <c r="BC96" i="1"/>
  <c r="BC169" i="1"/>
  <c r="BC242" i="1"/>
  <c r="BC315" i="1"/>
  <c r="BC389" i="1"/>
  <c r="BC462" i="1"/>
  <c r="BC535" i="1"/>
  <c r="BC608" i="1"/>
  <c r="BC681" i="1"/>
  <c r="BC745" i="1"/>
  <c r="BC390" i="1"/>
  <c r="BC518" i="1"/>
  <c r="BC664" i="1"/>
  <c r="BC53" i="1"/>
  <c r="BC181" i="1"/>
  <c r="BC318" i="1"/>
  <c r="BC455" i="1"/>
  <c r="BC8" i="1"/>
  <c r="BC88" i="1"/>
  <c r="BC161" i="1"/>
  <c r="BC234" i="1"/>
  <c r="BC344" i="1"/>
  <c r="BC490" i="1"/>
  <c r="BC655" i="1"/>
  <c r="BC80" i="1"/>
  <c r="BC235" i="1"/>
  <c r="BC382" i="1"/>
  <c r="BC537" i="1"/>
  <c r="BC47" i="1"/>
  <c r="BC194" i="1"/>
  <c r="BC267" i="1"/>
  <c r="BC341" i="1"/>
  <c r="BC414" i="1"/>
  <c r="BC487" i="1"/>
  <c r="BC560" i="1"/>
  <c r="BC633" i="1"/>
  <c r="BC703" i="1"/>
  <c r="BC35" i="1"/>
  <c r="BC237" i="1"/>
  <c r="BC430" i="1"/>
  <c r="BC621" i="1"/>
  <c r="BC311" i="1"/>
  <c r="BC622" i="1"/>
  <c r="BC678" i="1"/>
  <c r="BC146" i="1"/>
  <c r="BC339" i="1"/>
  <c r="BC538" i="1"/>
  <c r="BC699" i="1"/>
  <c r="BC138" i="1"/>
  <c r="BC384" i="1"/>
  <c r="BC93" i="1"/>
  <c r="BC291" i="1"/>
  <c r="BC485" i="1"/>
  <c r="BC12" i="1"/>
  <c r="BC76" i="1"/>
  <c r="BC140" i="1"/>
  <c r="BC204" i="1"/>
  <c r="BC268" i="1"/>
  <c r="BC332" i="1"/>
  <c r="BC396" i="1"/>
  <c r="BC460" i="1"/>
  <c r="BC20" i="1"/>
  <c r="BC28" i="1"/>
  <c r="BC92" i="1"/>
  <c r="BC156" i="1"/>
  <c r="BC220" i="1"/>
  <c r="BC284" i="1"/>
  <c r="BC348" i="1"/>
  <c r="BC412" i="1"/>
  <c r="BC476" i="1"/>
  <c r="BC540" i="1"/>
  <c r="BC604" i="1"/>
  <c r="BC668" i="1"/>
  <c r="BC50" i="1"/>
  <c r="BC77" i="1"/>
  <c r="BC150" i="1"/>
  <c r="BC36" i="1"/>
  <c r="BC44" i="1"/>
  <c r="BC108" i="1"/>
  <c r="BC172" i="1"/>
  <c r="BC236" i="1"/>
  <c r="BC52" i="1"/>
  <c r="BC116" i="1"/>
  <c r="BC180" i="1"/>
  <c r="BC244" i="1"/>
  <c r="BC308" i="1"/>
  <c r="BC372" i="1"/>
  <c r="BC436" i="1"/>
  <c r="BC182" i="1"/>
  <c r="BC367" i="1"/>
  <c r="BC256" i="1"/>
  <c r="BC594" i="1"/>
  <c r="BC155" i="1"/>
  <c r="BC494" i="1"/>
  <c r="BC136" i="1"/>
  <c r="BC605" i="1"/>
  <c r="BC365" i="1"/>
  <c r="BC119" i="1"/>
  <c r="BC264" i="1"/>
  <c r="BC13" i="1"/>
  <c r="BC559" i="1"/>
  <c r="BC266" i="1"/>
  <c r="BC22" i="1"/>
  <c r="BC640" i="1"/>
  <c r="BC708" i="1"/>
  <c r="BC503" i="1"/>
  <c r="BC257" i="1"/>
  <c r="BC743" i="1"/>
  <c r="BC661" i="1"/>
  <c r="BC569" i="1"/>
  <c r="BC459" i="1"/>
  <c r="BC368" i="1"/>
  <c r="BC277" i="1"/>
  <c r="BC167" i="1"/>
  <c r="BC85" i="1"/>
  <c r="BC565" i="1"/>
  <c r="BC345" i="1"/>
  <c r="BC162" i="1"/>
  <c r="BC682" i="1"/>
  <c r="BC463" i="1"/>
  <c r="BC280" i="1"/>
  <c r="BC179" i="1"/>
  <c r="BC70" i="1"/>
  <c r="BC528" i="1"/>
  <c r="BC354" i="1"/>
  <c r="BC135" i="1"/>
  <c r="BC746" i="1"/>
  <c r="BC545" i="1"/>
  <c r="BC353" i="1"/>
  <c r="BC713" i="1"/>
  <c r="BC626" i="1"/>
  <c r="BC517" i="1"/>
  <c r="BC425" i="1"/>
  <c r="BC334" i="1"/>
  <c r="BC224" i="1"/>
  <c r="BC133" i="1"/>
  <c r="BC39" i="1"/>
  <c r="BC688" i="1"/>
  <c r="BC598" i="1"/>
  <c r="BC506" i="1"/>
  <c r="BC397" i="1"/>
  <c r="BC305" i="1"/>
  <c r="BC214" i="1"/>
  <c r="BC95" i="1"/>
  <c r="BC34" i="1"/>
  <c r="BC612" i="1"/>
  <c r="BC500" i="1"/>
  <c r="BC356" i="1"/>
  <c r="BC148" i="1"/>
  <c r="BC568" i="1"/>
  <c r="BC718" i="1"/>
  <c r="BC520" i="1"/>
  <c r="BC732" i="1"/>
  <c r="BC691" i="1"/>
  <c r="BC650" i="1"/>
  <c r="BC128" i="1"/>
  <c r="BC421" i="1"/>
  <c r="BC716" i="1"/>
  <c r="BC320" i="1"/>
  <c r="BC638" i="1"/>
  <c r="BC209" i="1"/>
  <c r="BC547" i="1"/>
  <c r="BC101" i="1"/>
  <c r="BC394" i="1"/>
  <c r="BC110" i="1"/>
  <c r="BC584" i="1"/>
  <c r="BC338" i="1"/>
  <c r="BC45" i="1"/>
  <c r="BC238" i="1"/>
  <c r="BC731" i="1"/>
  <c r="BC486" i="1"/>
  <c r="BC246" i="1"/>
  <c r="BC742" i="1"/>
  <c r="BC557" i="1"/>
  <c r="BC692" i="1"/>
  <c r="BC477" i="1"/>
  <c r="BC184" i="1"/>
  <c r="BC735" i="1"/>
  <c r="BC651" i="1"/>
  <c r="BC542" i="1"/>
  <c r="BC450" i="1"/>
  <c r="BC359" i="1"/>
  <c r="BC249" i="1"/>
  <c r="BC158" i="1"/>
  <c r="BC75" i="1"/>
  <c r="BC546" i="1"/>
  <c r="BC327" i="1"/>
  <c r="BC144" i="1"/>
  <c r="BC673" i="1"/>
  <c r="BC445" i="1"/>
  <c r="BC271" i="1"/>
  <c r="BC170" i="1"/>
  <c r="BC61" i="1"/>
  <c r="BC510" i="1"/>
  <c r="BC336" i="1"/>
  <c r="BC117" i="1"/>
  <c r="BC730" i="1"/>
  <c r="BC536" i="1"/>
  <c r="BC335" i="1"/>
  <c r="BC705" i="1"/>
  <c r="BC617" i="1"/>
  <c r="BC507" i="1"/>
  <c r="BC416" i="1"/>
  <c r="BC325" i="1"/>
  <c r="BC215" i="1"/>
  <c r="BC123" i="1"/>
  <c r="BC29" i="1"/>
  <c r="BC680" i="1"/>
  <c r="BC589" i="1"/>
  <c r="BC497" i="1"/>
  <c r="BC387" i="1"/>
  <c r="BC296" i="1"/>
  <c r="BC205" i="1"/>
  <c r="BC86" i="1"/>
  <c r="BC10" i="1"/>
  <c r="BC596" i="1"/>
  <c r="BC492" i="1"/>
  <c r="BC340" i="1"/>
  <c r="BC100" i="1"/>
  <c r="BC723" i="1"/>
  <c r="BC750" i="1"/>
  <c r="BC747" i="1"/>
  <c r="BC674" i="1"/>
  <c r="BC656" i="1"/>
  <c r="BC328" i="1"/>
  <c r="BC666" i="1"/>
  <c r="BC575" i="1"/>
  <c r="BC700" i="1"/>
  <c r="BC619" i="1"/>
  <c r="BC614" i="1"/>
  <c r="BC748" i="1"/>
  <c r="BC374" i="1"/>
  <c r="BC684" i="1"/>
  <c r="BC273" i="1"/>
  <c r="BC595" i="1"/>
  <c r="BC157" i="1"/>
  <c r="BC495" i="1"/>
  <c r="BC733" i="1"/>
  <c r="BC347" i="1"/>
  <c r="BC83" i="1"/>
  <c r="BC558" i="1"/>
  <c r="BC312" i="1"/>
  <c r="BC14" i="1"/>
  <c r="BC211" i="1"/>
  <c r="BC715" i="1"/>
  <c r="BC465" i="1"/>
  <c r="BC219" i="1"/>
  <c r="BC710" i="1"/>
  <c r="BC530" i="1"/>
  <c r="BC675" i="1"/>
  <c r="BC456" i="1"/>
  <c r="BC163" i="1"/>
  <c r="BC727" i="1"/>
  <c r="BC642" i="1"/>
  <c r="BC533" i="1"/>
  <c r="BC441" i="1"/>
  <c r="BC350" i="1"/>
  <c r="BC240" i="1"/>
  <c r="BC149" i="1"/>
  <c r="BC66" i="1"/>
  <c r="BC501" i="1"/>
  <c r="BC309" i="1"/>
  <c r="BC126" i="1"/>
  <c r="BC618" i="1"/>
  <c r="BC417" i="1"/>
  <c r="BC262" i="1"/>
  <c r="BC143" i="1"/>
  <c r="BC51" i="1"/>
  <c r="BC491" i="1"/>
  <c r="BC281" i="1"/>
  <c r="BC98" i="1"/>
  <c r="BC706" i="1"/>
  <c r="BC499" i="1"/>
  <c r="BC317" i="1"/>
  <c r="BC697" i="1"/>
  <c r="BC590" i="1"/>
  <c r="BC498" i="1"/>
  <c r="BC407" i="1"/>
  <c r="BC297" i="1"/>
  <c r="BC206" i="1"/>
  <c r="BC114" i="1"/>
  <c r="BC752" i="1"/>
  <c r="BC671" i="1"/>
  <c r="BC579" i="1"/>
  <c r="BC470" i="1"/>
  <c r="BC378" i="1"/>
  <c r="BC287" i="1"/>
  <c r="BC177" i="1"/>
  <c r="BC67" i="1"/>
  <c r="BC7" i="1"/>
  <c r="BC588" i="1"/>
  <c r="BC484" i="1"/>
  <c r="BC300" i="1"/>
  <c r="BC8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<sst xmlns="http://schemas.openxmlformats.org/spreadsheetml/2006/main" count="30265" uniqueCount="375">
  <si>
    <t>typeCode</t>
  </si>
  <si>
    <t>freqCode</t>
  </si>
  <si>
    <t>refPeriodId</t>
  </si>
  <si>
    <t>refMonth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</si>
  <si>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</si>
  <si>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</si>
  <si>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</si>
  <si>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</si>
  <si>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</si>
  <si>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</si>
  <si>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</si>
  <si>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</si>
  <si>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</si>
  <si>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</si>
  <si>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</si>
  <si>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</si>
  <si>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</si>
  <si>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</si>
  <si>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</si>
  <si>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</si>
  <si>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</si>
  <si>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</si>
  <si>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</si>
  <si>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</si>
  <si>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</si>
  <si>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</si>
  <si>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</si>
  <si>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</si>
  <si>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</si>
  <si>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</si>
  <si>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</si>
  <si>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</si>
  <si>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grossWgt</t>
  </si>
  <si>
    <t>isGrossWgtEstimated</t>
  </si>
  <si>
    <t>cifvalue</t>
  </si>
  <si>
    <t>primaryValue</t>
  </si>
  <si>
    <t>legacyEstimationFlag</t>
  </si>
  <si>
    <t>isReported</t>
  </si>
  <si>
    <t>isAggregate</t>
  </si>
  <si>
    <t>C</t>
  </si>
  <si>
    <t>A</t>
  </si>
  <si>
    <t>2019</t>
  </si>
  <si>
    <t>AND</t>
  </si>
  <si>
    <t>Andorra</t>
  </si>
  <si>
    <t>X</t>
  </si>
  <si>
    <t>Export</t>
  </si>
  <si>
    <t>W00</t>
  </si>
  <si>
    <t>World</t>
  </si>
  <si>
    <t>H5</t>
  </si>
  <si>
    <t>HS</t>
  </si>
  <si>
    <t>7108</t>
  </si>
  <si>
    <t>Gold (including gold plated with platinum) unwrought or in semi-manufactured forms, or in powder form</t>
  </si>
  <si>
    <t>C00</t>
  </si>
  <si>
    <t>TOTAL CPC</t>
  </si>
  <si>
    <t>0</t>
  </si>
  <si>
    <t>TOTAL MOT</t>
  </si>
  <si>
    <t>kg</t>
  </si>
  <si>
    <t>AZE</t>
  </si>
  <si>
    <t>Azerbaijan</t>
  </si>
  <si>
    <t>g</t>
  </si>
  <si>
    <t>ARG</t>
  </si>
  <si>
    <t>Argentina</t>
  </si>
  <si>
    <t>AUS</t>
  </si>
  <si>
    <t>Australia</t>
  </si>
  <si>
    <t>N/A</t>
  </si>
  <si>
    <t>AUT</t>
  </si>
  <si>
    <t>Austria</t>
  </si>
  <si>
    <t>BHR</t>
  </si>
  <si>
    <t>Bahrain</t>
  </si>
  <si>
    <t>ARM</t>
  </si>
  <si>
    <t>Armenia</t>
  </si>
  <si>
    <t>BRB</t>
  </si>
  <si>
    <t>Barbados</t>
  </si>
  <si>
    <t>BEL</t>
  </si>
  <si>
    <t>Belgium</t>
  </si>
  <si>
    <t>BOL</t>
  </si>
  <si>
    <t>Bolivia (Plurinational State of)</t>
  </si>
  <si>
    <t>BIH</t>
  </si>
  <si>
    <t>Bosnia Herzegovina</t>
  </si>
  <si>
    <t>BWA</t>
  </si>
  <si>
    <t>Botswana</t>
  </si>
  <si>
    <t>BRA</t>
  </si>
  <si>
    <t>Brazil</t>
  </si>
  <si>
    <t>BGR</t>
  </si>
  <si>
    <t>Bulgaria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</si>
  <si>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</si>
  <si>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</si>
  <si>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</si>
  <si>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</si>
  <si>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</si>
  <si>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</si>
  <si>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</si>
  <si>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</si>
  <si>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CAF</t>
  </si>
  <si>
    <t>Central African Rep.</t>
  </si>
  <si>
    <t>H4</t>
  </si>
  <si>
    <t>CHL</t>
  </si>
  <si>
    <t>Chile</t>
  </si>
  <si>
    <t>CHN</t>
  </si>
  <si>
    <t>China</t>
  </si>
  <si>
    <t>COL</t>
  </si>
  <si>
    <t>Colombia</t>
  </si>
  <si>
    <t>COG</t>
  </si>
  <si>
    <t>Congo</t>
  </si>
  <si>
    <t>COD</t>
  </si>
  <si>
    <t>Dem. Rep. of the Congo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</si>
  <si>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</si>
  <si>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</si>
  <si>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</si>
  <si>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</si>
  <si>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</si>
  <si>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</si>
  <si>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</si>
  <si>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</si>
  <si>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</si>
  <si>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</si>
  <si>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</si>
  <si>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</si>
  <si>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</si>
  <si>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</si>
  <si>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DOM</t>
  </si>
  <si>
    <t>Dominican Rep.</t>
  </si>
  <si>
    <t>ECU</t>
  </si>
  <si>
    <t>Ecuador</t>
  </si>
  <si>
    <t>EST</t>
  </si>
  <si>
    <t>Estonia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</si>
  <si>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</si>
  <si>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</si>
  <si>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</si>
  <si>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</si>
  <si>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</si>
  <si>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</si>
  <si>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</si>
  <si>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</si>
  <si>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</si>
  <si>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</si>
  <si>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H3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</si>
  <si>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</si>
  <si>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</si>
  <si>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</si>
  <si>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</si>
  <si>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</si>
  <si>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</si>
  <si>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</si>
  <si>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</si>
  <si>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GUY</t>
  </si>
  <si>
    <t>Guyana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</si>
  <si>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</si>
  <si>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</si>
  <si>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</si>
  <si>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</si>
  <si>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</si>
  <si>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</si>
  <si>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</si>
  <si>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</si>
  <si>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IDN</t>
  </si>
  <si>
    <t>Indonesia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</si>
  <si>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</si>
  <si>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</si>
  <si>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</si>
  <si>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</si>
  <si>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</si>
  <si>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</si>
  <si>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</si>
  <si>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</si>
  <si>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</si>
  <si>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</si>
  <si>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</si>
  <si>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</si>
  <si>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</si>
  <si>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</si>
  <si>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</si>
  <si>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</si>
  <si>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KOR</t>
  </si>
  <si>
    <t>Rep. of Korea</t>
  </si>
  <si>
    <t>KWT</t>
  </si>
  <si>
    <t>Kuwait</t>
  </si>
  <si>
    <t>KGZ</t>
  </si>
  <si>
    <t>Kyrgyzstan</t>
  </si>
  <si>
    <t>LAO</t>
  </si>
  <si>
    <t>Lao People's Dem. Rep.</t>
  </si>
  <si>
    <t>LBN</t>
  </si>
  <si>
    <t>Lebanon</t>
  </si>
  <si>
    <t>LVA</t>
  </si>
  <si>
    <t>Latvia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</si>
  <si>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</si>
  <si>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</si>
  <si>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</si>
  <si>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</si>
  <si>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</si>
  <si>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</si>
  <si>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</si>
  <si>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</si>
  <si>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MDG</t>
  </si>
  <si>
    <t>Madagascar</t>
  </si>
  <si>
    <t>MYS</t>
  </si>
  <si>
    <t>Malaysia</t>
  </si>
  <si>
    <t>MLI</t>
  </si>
  <si>
    <t>Mali</t>
  </si>
  <si>
    <t>MLT</t>
  </si>
  <si>
    <t>Malta</t>
  </si>
  <si>
    <t>MUS</t>
  </si>
  <si>
    <t>Mauritius</t>
  </si>
  <si>
    <t>MEX</t>
  </si>
  <si>
    <t>Mexico</t>
  </si>
  <si>
    <t>S19</t>
  </si>
  <si>
    <t>Other Asia, nes</t>
  </si>
  <si>
    <t>MNG</t>
  </si>
  <si>
    <t>Mongolia</t>
  </si>
  <si>
    <t>MDA</t>
  </si>
  <si>
    <t>Rep. of Moldova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</si>
  <si>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</si>
  <si>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</si>
  <si>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</si>
  <si>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</si>
  <si>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</si>
  <si>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</si>
  <si>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</si>
  <si>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</si>
  <si>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NLD</t>
  </si>
  <si>
    <t>Netherlands</t>
  </si>
  <si>
    <t>CUW</t>
  </si>
  <si>
    <t>Curaçao</t>
  </si>
  <si>
    <t>NZL</t>
  </si>
  <si>
    <t>New Zealand</t>
  </si>
  <si>
    <t>NIC</t>
  </si>
  <si>
    <t>Nicaragua</t>
  </si>
  <si>
    <t>NER</t>
  </si>
  <si>
    <t>Niger</t>
  </si>
  <si>
    <t>NOR</t>
  </si>
  <si>
    <t>Norway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</si>
  <si>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</si>
  <si>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</si>
  <si>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</si>
  <si>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</si>
  <si>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</si>
  <si>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</si>
  <si>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</si>
  <si>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</si>
  <si>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</si>
  <si>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</si>
  <si>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</si>
  <si>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</si>
  <si>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</si>
  <si>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</si>
  <si>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RUS</t>
  </si>
  <si>
    <t>Russian Federation</t>
  </si>
  <si>
    <t>RWA</t>
  </si>
  <si>
    <t>Rwanda</t>
  </si>
  <si>
    <t>SAU</t>
  </si>
  <si>
    <t>Saudi Arabia</t>
  </si>
  <si>
    <t>SEN</t>
  </si>
  <si>
    <t>Senegal</t>
  </si>
  <si>
    <t>SRB</t>
  </si>
  <si>
    <t>Serbia</t>
  </si>
  <si>
    <t>IND</t>
  </si>
  <si>
    <t>India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</si>
  <si>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</si>
  <si>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</si>
  <si>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</si>
  <si>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</si>
  <si>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</si>
  <si>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</si>
  <si>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</si>
  <si>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</si>
  <si>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ZAF</t>
  </si>
  <si>
    <t>South Africa</t>
  </si>
  <si>
    <t>ZWE</t>
  </si>
  <si>
    <t>Zimbabwe</t>
  </si>
  <si>
    <t>ESP</t>
  </si>
  <si>
    <t>Spain</t>
  </si>
  <si>
    <t>SUR</t>
  </si>
  <si>
    <t>Suriname</t>
  </si>
  <si>
    <t>SWZ</t>
  </si>
  <si>
    <t>Eswatini</t>
  </si>
  <si>
    <t>SWE</t>
  </si>
  <si>
    <t>Sweden</t>
  </si>
  <si>
    <t>CHE</t>
  </si>
  <si>
    <t>Switzerland</t>
  </si>
  <si>
    <t>THA</t>
  </si>
  <si>
    <t>Thailand</t>
  </si>
  <si>
    <t>TGO</t>
  </si>
  <si>
    <t>Togo</t>
  </si>
  <si>
    <t>TTO</t>
  </si>
  <si>
    <t>Trinidad and Tobago</t>
  </si>
  <si>
    <t>ARE</t>
  </si>
  <si>
    <t>United Arab Emirates</t>
  </si>
  <si>
    <t>TUR</t>
  </si>
  <si>
    <t>Türkiye</t>
  </si>
  <si>
    <t>UGA</t>
  </si>
  <si>
    <t>Uganda</t>
  </si>
  <si>
    <t>UKR</t>
  </si>
  <si>
    <t>Ukraine</t>
  </si>
  <si>
    <t>EGY</t>
  </si>
  <si>
    <t>Egypt</t>
  </si>
  <si>
    <t>GBR</t>
  </si>
  <si>
    <t>United Kingdom</t>
  </si>
  <si>
    <t>TZA</t>
  </si>
  <si>
    <t>United Rep. of Tanzania</t>
  </si>
  <si>
    <t>USA</t>
  </si>
  <si>
    <t>BFA</t>
  </si>
  <si>
    <t>Burkina Faso</t>
  </si>
  <si>
    <t>URY</t>
  </si>
  <si>
    <t>Uruguay</t>
  </si>
  <si>
    <t>UZB</t>
  </si>
  <si>
    <t>Uzbekistan</t>
  </si>
  <si>
    <t>1000 KG</t>
  </si>
  <si>
    <t>ZMB</t>
  </si>
  <si>
    <t>Zambia</t>
  </si>
  <si>
    <t>2020</t>
  </si>
  <si>
    <t>ATG</t>
  </si>
  <si>
    <t>Antigua and Barbuda</t>
  </si>
  <si>
    <t>u</t>
  </si>
  <si>
    <t>BRN</t>
  </si>
  <si>
    <t>Brunei Darussalam</t>
  </si>
  <si>
    <t>CYM</t>
  </si>
  <si>
    <t>Cayman Isds</t>
  </si>
  <si>
    <t>LKA</t>
  </si>
  <si>
    <t>Sri Lanka</t>
  </si>
  <si>
    <t>SLV</t>
  </si>
  <si>
    <t>El Salvador</t>
  </si>
  <si>
    <t>GTM</t>
  </si>
  <si>
    <t>Guatemala</t>
  </si>
  <si>
    <t>MAC</t>
  </si>
  <si>
    <t>China, Macao SAR</t>
  </si>
  <si>
    <t>MRT</t>
  </si>
  <si>
    <t>Mauritania</t>
  </si>
  <si>
    <t>ABW</t>
  </si>
  <si>
    <t>Aruba</t>
  </si>
  <si>
    <t>NGA</t>
  </si>
  <si>
    <t>Nigeria</t>
  </si>
  <si>
    <t>MKD</t>
  </si>
  <si>
    <t>North Macedonia</t>
  </si>
  <si>
    <t>2021</t>
  </si>
  <si>
    <t>AGO</t>
  </si>
  <si>
    <t>Angola</t>
  </si>
  <si>
    <t>JAM</t>
  </si>
  <si>
    <t>Jamaica</t>
  </si>
  <si>
    <t>PAK</t>
  </si>
  <si>
    <t>Pakistan</t>
  </si>
  <si>
    <t>PNG</t>
  </si>
  <si>
    <t>Papua New Guinea</t>
  </si>
  <si>
    <t>TJK</t>
  </si>
  <si>
    <t>Tajikistan</t>
  </si>
  <si>
    <t>TUN</t>
  </si>
  <si>
    <t>Tunisia</t>
  </si>
  <si>
    <t>2022</t>
  </si>
  <si>
    <t>H6</t>
  </si>
  <si>
    <t>BHS</t>
  </si>
  <si>
    <t>Bahamas</t>
  </si>
  <si>
    <t>NPL</t>
  </si>
  <si>
    <t>Nepal</t>
  </si>
  <si>
    <t>SYC</t>
  </si>
  <si>
    <t>Seychelles</t>
  </si>
  <si>
    <t>2023</t>
  </si>
  <si>
    <t>BLZ</t>
  </si>
  <si>
    <t>Belize</t>
  </si>
  <si>
    <t>2024</t>
  </si>
  <si>
    <t>ROU</t>
  </si>
  <si>
    <t>Romania</t>
  </si>
  <si>
    <t>Year</t>
  </si>
  <si>
    <t>Year_Check</t>
  </si>
  <si>
    <t>Country_ISO</t>
  </si>
  <si>
    <t>Country_code</t>
  </si>
  <si>
    <t>Country</t>
  </si>
  <si>
    <t>NetWeight_kg</t>
  </si>
  <si>
    <t>TradeValue_USD</t>
  </si>
  <si>
    <t>IsWeightEstimated</t>
  </si>
  <si>
    <t>Q1</t>
  </si>
  <si>
    <t>Q3</t>
  </si>
  <si>
    <t>IQR</t>
  </si>
  <si>
    <t>Lower Limit</t>
  </si>
  <si>
    <t>Upper Limit</t>
  </si>
  <si>
    <t>Outlier_NetWeight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</si>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</sst>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52"/>
  <sheetViews>
    <sheetView tabSelected="1" topLeftCell="AP1" workbookViewId="0">
      <selection activeCell="BB2" sqref="BB2"/>
    </sheetView>
  </sheetViews>
  <sheetFormatPr baseColWidth="10" defaultRowHeight="16" x14ac:dyDescent="0.2"/>
  <sheetData>
    <row r="1" spans="1:55" x14ac:dyDescent="0.2">
      <c r="A1" t="s">
        <v>0</v>
      </c>
      <c r="B1" t="s">
        <v>1</v>
      </c>
      <c r="C1" t="s">
        <v>2</v>
      </c>
      <c r="D1" t="s">
        <v>360</v>
      </c>
      <c r="E1" t="s">
        <v>3</v>
      </c>
      <c r="F1" t="s">
        <v>361</v>
      </c>
      <c r="G1" t="s">
        <v>363</v>
      </c>
      <c r="H1" t="s">
        <v>362</v>
      </c>
      <c r="I1" t="s">
        <v>364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365</v>
      </c>
      <c r="AM1" t="s">
        <v>367</v>
      </c>
      <c r="AN1" t="s">
        <v>32</v>
      </c>
      <c r="AO1" t="s">
        <v>33</v>
      </c>
      <c r="AP1" t="s">
        <v>34</v>
      </c>
      <c r="AQ1" t="s">
        <v>366</v>
      </c>
      <c r="AR1" t="s">
        <v>35</v>
      </c>
      <c r="AS1" t="s">
        <v>36</v>
      </c>
      <c r="AT1" t="s">
        <v>37</v>
      </c>
      <c r="AU1" t="s">
        <v>38</v>
      </c>
      <c r="AX1" t="s">
        <v>368</v>
      </c>
      <c r="AY1" t="s">
        <v>369</v>
      </c>
      <c r="AZ1" t="s">
        <v>370</v>
      </c>
      <c r="BA1" t="s">
        <v>371</v>
      </c>
      <c r="BB1" t="s">
        <v>372</v>
      </c>
      <c r="BC1" t="s">
        <v>373</v>
      </c>
    </row>
    <row r="2" spans="1:55" x14ac:dyDescent="0.2">
      <c r="A2" t="s">
        <v>39</v>
      </c>
      <c r="B2" t="s">
        <v>40</v>
      </c>
      <c r="C2">
        <v>20190101</v>
      </c>
      <c r="D2">
        <v>2019</v>
      </c>
      <c r="E2">
        <v>52</v>
      </c>
      <c r="F2" t="s">
        <v>41</v>
      </c>
      <c r="G2">
        <v>20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 t="s">
        <v>46</v>
      </c>
      <c r="N2" t="s">
        <v>47</v>
      </c>
      <c r="O2">
        <v>0</v>
      </c>
      <c r="P2" t="s">
        <v>46</v>
      </c>
      <c r="Q2" t="s">
        <v>47</v>
      </c>
      <c r="R2" t="s">
        <v>48</v>
      </c>
      <c r="S2" t="s">
        <v>49</v>
      </c>
      <c r="T2" t="b">
        <v>1</v>
      </c>
      <c r="U2" t="s">
        <v>50</v>
      </c>
      <c r="V2" t="s">
        <v>51</v>
      </c>
      <c r="W2">
        <v>4</v>
      </c>
      <c r="X2" t="b">
        <v>0</v>
      </c>
      <c r="Y2" t="s">
        <v>52</v>
      </c>
      <c r="Z2" t="s">
        <v>53</v>
      </c>
      <c r="AA2" t="s">
        <v>54</v>
      </c>
      <c r="AB2">
        <v>0</v>
      </c>
      <c r="AC2" t="s">
        <v>55</v>
      </c>
      <c r="AD2">
        <v>8</v>
      </c>
      <c r="AE2" t="s">
        <v>56</v>
      </c>
      <c r="AF2">
        <v>63.548999999999999</v>
      </c>
      <c r="AG2" t="b">
        <v>0</v>
      </c>
      <c r="AH2">
        <v>8</v>
      </c>
      <c r="AI2" t="s">
        <v>56</v>
      </c>
      <c r="AJ2">
        <v>63.548999999999999</v>
      </c>
      <c r="AK2" t="b">
        <v>0</v>
      </c>
      <c r="AL2">
        <v>63.548999999999999</v>
      </c>
      <c r="AM2" t="b">
        <v>0</v>
      </c>
      <c r="AN2">
        <v>0</v>
      </c>
      <c r="AO2" t="b">
        <v>0</v>
      </c>
      <c r="AQ2">
        <v>2580330.0499999998</v>
      </c>
      <c r="AR2">
        <v>2580330.0499999998</v>
      </c>
      <c r="AS2">
        <v>0</v>
      </c>
      <c r="AT2" t="b">
        <v>0</v>
      </c>
      <c r="AU2" t="b">
        <v>1</v>
      </c>
      <c r="AV2" t="b" cm="1">
        <f t="array" ref="AV2:AV752">ISNUMBER(D2:D752)</f>
        <v>1</v>
      </c>
      <c r="AW2" t="b" cm="1">
        <f t="array" ref="AW2:AW752">ISNUMBER(E2:E752)</f>
        <v>1</v>
      </c>
      <c r="AX2">
        <f>_xlfn.QUARTILE.INC(AL2:AL752, 1)</f>
        <v>69.404250000000005</v>
      </c>
      <c r="AY2">
        <f>_xlfn.QUARTILE.INC(AL2:AL752,3)</f>
        <v>26445.034250000001</v>
      </c>
      <c r="AZ2">
        <f>AY2-AX2</f>
        <v>26375.63</v>
      </c>
      <c r="BA2">
        <f>AX2-1.5*AZ2</f>
        <v>-39494.04075</v>
      </c>
      <c r="BB2">
        <f>AY2+1.5*AZ2</f>
        <v>66008.479250000004</v>
      </c>
      <c r="BC2" t="str">
        <f>IF(OR(AL2&lt;$BA$2,AL2&gt;$BB$2),"Outlier","Normal")</f>
        <v>Normal</v>
      </c>
    </row>
    <row r="3" spans="1:55" x14ac:dyDescent="0.2">
      <c r="A3" t="s">
        <v>39</v>
      </c>
      <c r="B3" t="s">
        <v>40</v>
      </c>
      <c r="C3">
        <v>20190101</v>
      </c>
      <c r="D3">
        <v>2019</v>
      </c>
      <c r="E3">
        <v>52</v>
      </c>
      <c r="F3" t="s">
        <v>41</v>
      </c>
      <c r="G3">
        <v>31</v>
      </c>
      <c r="H3" t="s">
        <v>57</v>
      </c>
      <c r="I3" t="s">
        <v>58</v>
      </c>
      <c r="J3" t="s">
        <v>44</v>
      </c>
      <c r="K3" t="s">
        <v>45</v>
      </c>
      <c r="L3">
        <v>0</v>
      </c>
      <c r="M3" t="s">
        <v>46</v>
      </c>
      <c r="N3" t="s">
        <v>47</v>
      </c>
      <c r="O3">
        <v>0</v>
      </c>
      <c r="P3" t="s">
        <v>46</v>
      </c>
      <c r="Q3" t="s">
        <v>47</v>
      </c>
      <c r="R3" t="s">
        <v>48</v>
      </c>
      <c r="S3" t="s">
        <v>49</v>
      </c>
      <c r="T3" t="b">
        <v>1</v>
      </c>
      <c r="U3" t="s">
        <v>50</v>
      </c>
      <c r="V3" t="s">
        <v>51</v>
      </c>
      <c r="W3">
        <v>4</v>
      </c>
      <c r="X3" t="b">
        <v>0</v>
      </c>
      <c r="Y3" t="s">
        <v>52</v>
      </c>
      <c r="Z3" t="s">
        <v>53</v>
      </c>
      <c r="AA3" t="s">
        <v>54</v>
      </c>
      <c r="AB3">
        <v>0</v>
      </c>
      <c r="AC3" t="s">
        <v>55</v>
      </c>
      <c r="AD3">
        <v>8</v>
      </c>
      <c r="AE3" t="s">
        <v>56</v>
      </c>
      <c r="AF3">
        <v>4799.78</v>
      </c>
      <c r="AG3" t="b">
        <v>0</v>
      </c>
      <c r="AH3">
        <v>15</v>
      </c>
      <c r="AI3" t="s">
        <v>59</v>
      </c>
      <c r="AJ3">
        <v>4799780</v>
      </c>
      <c r="AK3" t="b">
        <v>0</v>
      </c>
      <c r="AL3">
        <v>4799.78</v>
      </c>
      <c r="AM3" t="b">
        <v>0</v>
      </c>
      <c r="AN3">
        <v>0</v>
      </c>
      <c r="AO3" t="b">
        <v>0</v>
      </c>
      <c r="AQ3">
        <v>172337989.52000001</v>
      </c>
      <c r="AR3">
        <v>172337989.52000001</v>
      </c>
      <c r="AS3">
        <v>0</v>
      </c>
      <c r="AT3" t="b">
        <v>0</v>
      </c>
      <c r="AU3" t="b">
        <v>1</v>
      </c>
      <c r="AV3" t="b">
        <v>1</v>
      </c>
      <c r="AW3" t="b">
        <v>1</v>
      </c>
      <c r="BC3" t="str">
        <f t="shared" ref="BC3:BC66" si="0">IF(OR(AL3&lt;$BA$2,AL3&gt;$BB$2),"Outlier","Normal")</f>
        <v>Normal</v>
      </c>
    </row>
    <row r="4" spans="1:55" x14ac:dyDescent="0.2">
      <c r="A4" t="s">
        <v>39</v>
      </c>
      <c r="B4" t="s">
        <v>40</v>
      </c>
      <c r="C4">
        <v>20190101</v>
      </c>
      <c r="D4">
        <v>2019</v>
      </c>
      <c r="E4">
        <v>52</v>
      </c>
      <c r="F4" t="s">
        <v>41</v>
      </c>
      <c r="G4">
        <v>32</v>
      </c>
      <c r="H4" t="s">
        <v>60</v>
      </c>
      <c r="I4" t="s">
        <v>61</v>
      </c>
      <c r="J4" t="s">
        <v>44</v>
      </c>
      <c r="K4" t="s">
        <v>45</v>
      </c>
      <c r="L4">
        <v>0</v>
      </c>
      <c r="M4" t="s">
        <v>46</v>
      </c>
      <c r="N4" t="s">
        <v>47</v>
      </c>
      <c r="O4">
        <v>0</v>
      </c>
      <c r="P4" t="s">
        <v>46</v>
      </c>
      <c r="Q4" t="s">
        <v>47</v>
      </c>
      <c r="R4" t="s">
        <v>48</v>
      </c>
      <c r="S4" t="s">
        <v>49</v>
      </c>
      <c r="T4" t="b">
        <v>1</v>
      </c>
      <c r="U4" t="s">
        <v>50</v>
      </c>
      <c r="V4" t="s">
        <v>51</v>
      </c>
      <c r="W4">
        <v>4</v>
      </c>
      <c r="X4" t="b">
        <v>0</v>
      </c>
      <c r="Y4" t="s">
        <v>52</v>
      </c>
      <c r="Z4" t="s">
        <v>53</v>
      </c>
      <c r="AA4" t="s">
        <v>54</v>
      </c>
      <c r="AB4">
        <v>0</v>
      </c>
      <c r="AC4" t="s">
        <v>55</v>
      </c>
      <c r="AD4">
        <v>8</v>
      </c>
      <c r="AE4" t="s">
        <v>56</v>
      </c>
      <c r="AF4">
        <v>344925.2</v>
      </c>
      <c r="AG4" t="b">
        <v>0</v>
      </c>
      <c r="AH4">
        <v>8</v>
      </c>
      <c r="AI4" t="s">
        <v>56</v>
      </c>
      <c r="AJ4">
        <v>344925.2</v>
      </c>
      <c r="AK4" t="b">
        <v>0</v>
      </c>
      <c r="AL4" s="1">
        <v>344925.2</v>
      </c>
      <c r="AM4" t="b">
        <v>0</v>
      </c>
      <c r="AN4">
        <v>0</v>
      </c>
      <c r="AO4" t="b">
        <v>0</v>
      </c>
      <c r="AQ4">
        <v>1945810393.25</v>
      </c>
      <c r="AR4">
        <v>1945810393.25</v>
      </c>
      <c r="AS4">
        <v>0</v>
      </c>
      <c r="AT4" t="b">
        <v>0</v>
      </c>
      <c r="AU4" t="b">
        <v>1</v>
      </c>
      <c r="AV4" t="b">
        <v>1</v>
      </c>
      <c r="AW4" t="b">
        <v>1</v>
      </c>
      <c r="BC4" t="str">
        <f t="shared" si="0"/>
        <v>Outlier</v>
      </c>
    </row>
    <row r="5" spans="1:55" x14ac:dyDescent="0.2">
      <c r="A5" t="s">
        <v>39</v>
      </c>
      <c r="B5" t="s">
        <v>40</v>
      </c>
      <c r="C5">
        <v>20190101</v>
      </c>
      <c r="D5">
        <v>2019</v>
      </c>
      <c r="E5">
        <v>52</v>
      </c>
      <c r="F5" t="s">
        <v>41</v>
      </c>
      <c r="G5">
        <v>36</v>
      </c>
      <c r="H5" t="s">
        <v>62</v>
      </c>
      <c r="I5" t="s">
        <v>63</v>
      </c>
      <c r="J5" t="s">
        <v>44</v>
      </c>
      <c r="K5" t="s">
        <v>45</v>
      </c>
      <c r="L5">
        <v>0</v>
      </c>
      <c r="M5" t="s">
        <v>46</v>
      </c>
      <c r="N5" t="s">
        <v>47</v>
      </c>
      <c r="O5">
        <v>0</v>
      </c>
      <c r="P5" t="s">
        <v>46</v>
      </c>
      <c r="Q5" t="s">
        <v>47</v>
      </c>
      <c r="R5" t="s">
        <v>48</v>
      </c>
      <c r="S5" t="s">
        <v>49</v>
      </c>
      <c r="T5" t="b">
        <v>1</v>
      </c>
      <c r="U5" t="s">
        <v>50</v>
      </c>
      <c r="V5" t="s">
        <v>51</v>
      </c>
      <c r="W5">
        <v>4</v>
      </c>
      <c r="X5" t="b">
        <v>0</v>
      </c>
      <c r="Y5" t="s">
        <v>52</v>
      </c>
      <c r="Z5" t="s">
        <v>53</v>
      </c>
      <c r="AA5" t="s">
        <v>54</v>
      </c>
      <c r="AB5">
        <v>0</v>
      </c>
      <c r="AC5" t="s">
        <v>55</v>
      </c>
      <c r="AD5">
        <v>8</v>
      </c>
      <c r="AE5" t="s">
        <v>56</v>
      </c>
      <c r="AF5">
        <v>365578.41399999999</v>
      </c>
      <c r="AG5" t="b">
        <v>1</v>
      </c>
      <c r="AH5">
        <v>-1</v>
      </c>
      <c r="AI5" t="s">
        <v>64</v>
      </c>
      <c r="AJ5">
        <v>0</v>
      </c>
      <c r="AK5" t="b">
        <v>0</v>
      </c>
      <c r="AL5" s="1">
        <v>365578.41399999999</v>
      </c>
      <c r="AM5" t="b">
        <v>1</v>
      </c>
      <c r="AN5">
        <v>381999.07799999998</v>
      </c>
      <c r="AO5" t="b">
        <v>0</v>
      </c>
      <c r="AQ5">
        <v>16241354302.174999</v>
      </c>
      <c r="AR5">
        <v>16241354302.174999</v>
      </c>
      <c r="AS5">
        <v>6</v>
      </c>
      <c r="AT5" t="b">
        <v>0</v>
      </c>
      <c r="AU5" t="b">
        <v>1</v>
      </c>
      <c r="AV5" t="b">
        <v>1</v>
      </c>
      <c r="AW5" t="b">
        <v>1</v>
      </c>
      <c r="BC5" t="str">
        <f t="shared" si="0"/>
        <v>Outlier</v>
      </c>
    </row>
    <row r="6" spans="1:55" x14ac:dyDescent="0.2">
      <c r="A6" t="s">
        <v>39</v>
      </c>
      <c r="B6" t="s">
        <v>40</v>
      </c>
      <c r="C6">
        <v>20190101</v>
      </c>
      <c r="D6">
        <v>2019</v>
      </c>
      <c r="E6">
        <v>52</v>
      </c>
      <c r="F6" t="s">
        <v>41</v>
      </c>
      <c r="G6">
        <v>40</v>
      </c>
      <c r="H6" t="s">
        <v>65</v>
      </c>
      <c r="I6" t="s">
        <v>66</v>
      </c>
      <c r="J6" t="s">
        <v>44</v>
      </c>
      <c r="K6" t="s">
        <v>45</v>
      </c>
      <c r="L6">
        <v>0</v>
      </c>
      <c r="M6" t="s">
        <v>46</v>
      </c>
      <c r="N6" t="s">
        <v>47</v>
      </c>
      <c r="O6">
        <v>0</v>
      </c>
      <c r="P6" t="s">
        <v>46</v>
      </c>
      <c r="Q6" t="s">
        <v>47</v>
      </c>
      <c r="R6" t="s">
        <v>48</v>
      </c>
      <c r="S6" t="s">
        <v>49</v>
      </c>
      <c r="T6" t="b">
        <v>1</v>
      </c>
      <c r="U6" t="s">
        <v>50</v>
      </c>
      <c r="V6" t="s">
        <v>51</v>
      </c>
      <c r="W6">
        <v>4</v>
      </c>
      <c r="X6" t="b">
        <v>0</v>
      </c>
      <c r="Y6" t="s">
        <v>52</v>
      </c>
      <c r="Z6" t="s">
        <v>53</v>
      </c>
      <c r="AA6" t="s">
        <v>54</v>
      </c>
      <c r="AB6">
        <v>0</v>
      </c>
      <c r="AC6" t="s">
        <v>55</v>
      </c>
      <c r="AD6">
        <v>8</v>
      </c>
      <c r="AE6" t="s">
        <v>56</v>
      </c>
      <c r="AF6">
        <v>16418.492999999999</v>
      </c>
      <c r="AG6" t="b">
        <v>1</v>
      </c>
      <c r="AH6">
        <v>-1</v>
      </c>
      <c r="AI6" t="s">
        <v>64</v>
      </c>
      <c r="AJ6">
        <v>0</v>
      </c>
      <c r="AK6" t="b">
        <v>0</v>
      </c>
      <c r="AL6">
        <v>16418.492999999999</v>
      </c>
      <c r="AM6" t="b">
        <v>1</v>
      </c>
      <c r="AN6">
        <v>0</v>
      </c>
      <c r="AO6" t="b">
        <v>0</v>
      </c>
      <c r="AQ6">
        <v>789282791.89400005</v>
      </c>
      <c r="AR6">
        <v>789282791.89400005</v>
      </c>
      <c r="AS6">
        <v>6</v>
      </c>
      <c r="AT6" t="b">
        <v>0</v>
      </c>
      <c r="AU6" t="b">
        <v>1</v>
      </c>
      <c r="AV6" t="b">
        <v>1</v>
      </c>
      <c r="AW6" t="b">
        <v>1</v>
      </c>
      <c r="BC6" t="str">
        <f t="shared" si="0"/>
        <v>Normal</v>
      </c>
    </row>
    <row r="7" spans="1:55" x14ac:dyDescent="0.2">
      <c r="A7" t="s">
        <v>39</v>
      </c>
      <c r="B7" t="s">
        <v>40</v>
      </c>
      <c r="C7">
        <v>20190101</v>
      </c>
      <c r="D7">
        <v>2019</v>
      </c>
      <c r="E7">
        <v>52</v>
      </c>
      <c r="F7" t="s">
        <v>41</v>
      </c>
      <c r="G7">
        <v>48</v>
      </c>
      <c r="H7" t="s">
        <v>67</v>
      </c>
      <c r="I7" t="s">
        <v>68</v>
      </c>
      <c r="J7" t="s">
        <v>44</v>
      </c>
      <c r="K7" t="s">
        <v>45</v>
      </c>
      <c r="L7">
        <v>0</v>
      </c>
      <c r="M7" t="s">
        <v>46</v>
      </c>
      <c r="N7" t="s">
        <v>47</v>
      </c>
      <c r="O7">
        <v>0</v>
      </c>
      <c r="P7" t="s">
        <v>46</v>
      </c>
      <c r="Q7" t="s">
        <v>47</v>
      </c>
      <c r="R7" t="s">
        <v>48</v>
      </c>
      <c r="S7" t="s">
        <v>49</v>
      </c>
      <c r="T7" t="b">
        <v>1</v>
      </c>
      <c r="U7" t="s">
        <v>50</v>
      </c>
      <c r="V7" t="s">
        <v>51</v>
      </c>
      <c r="W7">
        <v>4</v>
      </c>
      <c r="X7" t="b">
        <v>0</v>
      </c>
      <c r="Y7" t="s">
        <v>52</v>
      </c>
      <c r="Z7" t="s">
        <v>53</v>
      </c>
      <c r="AA7" t="s">
        <v>54</v>
      </c>
      <c r="AB7">
        <v>0</v>
      </c>
      <c r="AC7" t="s">
        <v>55</v>
      </c>
      <c r="AD7">
        <v>8</v>
      </c>
      <c r="AE7" t="s">
        <v>56</v>
      </c>
      <c r="AF7">
        <v>7950.79</v>
      </c>
      <c r="AG7" t="b">
        <v>0</v>
      </c>
      <c r="AH7">
        <v>15</v>
      </c>
      <c r="AI7" t="s">
        <v>59</v>
      </c>
      <c r="AJ7">
        <v>7950790.1200000001</v>
      </c>
      <c r="AK7" t="b">
        <v>0</v>
      </c>
      <c r="AL7">
        <v>7997.5820000000003</v>
      </c>
      <c r="AM7" t="b">
        <v>0</v>
      </c>
      <c r="AN7">
        <v>0</v>
      </c>
      <c r="AO7" t="b">
        <v>0</v>
      </c>
      <c r="AP7">
        <v>0</v>
      </c>
      <c r="AQ7">
        <v>356702506.63999999</v>
      </c>
      <c r="AR7">
        <v>356702506.63999999</v>
      </c>
      <c r="AS7">
        <v>0</v>
      </c>
      <c r="AT7" t="b">
        <v>0</v>
      </c>
      <c r="AU7" t="b">
        <v>1</v>
      </c>
      <c r="AV7" t="b">
        <v>1</v>
      </c>
      <c r="AW7" t="b">
        <v>1</v>
      </c>
      <c r="BC7" t="str">
        <f t="shared" si="0"/>
        <v>Normal</v>
      </c>
    </row>
    <row r="8" spans="1:55" x14ac:dyDescent="0.2">
      <c r="A8" t="s">
        <v>39</v>
      </c>
      <c r="B8" t="s">
        <v>40</v>
      </c>
      <c r="C8">
        <v>20190101</v>
      </c>
      <c r="D8">
        <v>2019</v>
      </c>
      <c r="E8">
        <v>52</v>
      </c>
      <c r="F8" t="s">
        <v>41</v>
      </c>
      <c r="G8">
        <v>51</v>
      </c>
      <c r="H8" t="s">
        <v>69</v>
      </c>
      <c r="I8" t="s">
        <v>70</v>
      </c>
      <c r="J8" t="s">
        <v>44</v>
      </c>
      <c r="K8" t="s">
        <v>45</v>
      </c>
      <c r="L8">
        <v>0</v>
      </c>
      <c r="M8" t="s">
        <v>46</v>
      </c>
      <c r="N8" t="s">
        <v>47</v>
      </c>
      <c r="O8">
        <v>0</v>
      </c>
      <c r="P8" t="s">
        <v>46</v>
      </c>
      <c r="Q8" t="s">
        <v>47</v>
      </c>
      <c r="R8" t="s">
        <v>48</v>
      </c>
      <c r="S8" t="s">
        <v>49</v>
      </c>
      <c r="T8" t="b">
        <v>1</v>
      </c>
      <c r="U8" t="s">
        <v>50</v>
      </c>
      <c r="V8" t="s">
        <v>51</v>
      </c>
      <c r="W8">
        <v>4</v>
      </c>
      <c r="X8" t="b">
        <v>0</v>
      </c>
      <c r="Y8" t="s">
        <v>52</v>
      </c>
      <c r="Z8" t="s">
        <v>53</v>
      </c>
      <c r="AA8" t="s">
        <v>54</v>
      </c>
      <c r="AB8">
        <v>0</v>
      </c>
      <c r="AC8" t="s">
        <v>55</v>
      </c>
      <c r="AD8">
        <v>8</v>
      </c>
      <c r="AE8" t="s">
        <v>56</v>
      </c>
      <c r="AF8">
        <v>5829.54</v>
      </c>
      <c r="AG8" t="b">
        <v>0</v>
      </c>
      <c r="AH8">
        <v>15</v>
      </c>
      <c r="AI8" t="s">
        <v>59</v>
      </c>
      <c r="AJ8">
        <v>5829539.6699999999</v>
      </c>
      <c r="AK8" t="b">
        <v>0</v>
      </c>
      <c r="AL8">
        <v>5829.55</v>
      </c>
      <c r="AM8" t="b">
        <v>0</v>
      </c>
      <c r="AN8">
        <v>0</v>
      </c>
      <c r="AO8" t="b">
        <v>0</v>
      </c>
      <c r="AP8">
        <v>0</v>
      </c>
      <c r="AQ8">
        <v>223947773.06</v>
      </c>
      <c r="AR8">
        <v>223947773.06</v>
      </c>
      <c r="AS8">
        <v>0</v>
      </c>
      <c r="AT8" t="b">
        <v>0</v>
      </c>
      <c r="AU8" t="b">
        <v>1</v>
      </c>
      <c r="AV8" t="b">
        <v>1</v>
      </c>
      <c r="AW8" t="b">
        <v>1</v>
      </c>
      <c r="BC8" t="str">
        <f t="shared" si="0"/>
        <v>Normal</v>
      </c>
    </row>
    <row r="9" spans="1:55" x14ac:dyDescent="0.2">
      <c r="A9" t="s">
        <v>39</v>
      </c>
      <c r="B9" t="s">
        <v>40</v>
      </c>
      <c r="C9">
        <v>20190101</v>
      </c>
      <c r="D9">
        <v>2019</v>
      </c>
      <c r="E9">
        <v>52</v>
      </c>
      <c r="F9" t="s">
        <v>41</v>
      </c>
      <c r="G9">
        <v>52</v>
      </c>
      <c r="H9" t="s">
        <v>71</v>
      </c>
      <c r="I9" t="s">
        <v>72</v>
      </c>
      <c r="J9" t="s">
        <v>44</v>
      </c>
      <c r="K9" t="s">
        <v>45</v>
      </c>
      <c r="L9">
        <v>0</v>
      </c>
      <c r="M9" t="s">
        <v>46</v>
      </c>
      <c r="N9" t="s">
        <v>47</v>
      </c>
      <c r="O9">
        <v>0</v>
      </c>
      <c r="P9" t="s">
        <v>46</v>
      </c>
      <c r="Q9" t="s">
        <v>47</v>
      </c>
      <c r="R9" t="s">
        <v>48</v>
      </c>
      <c r="S9" t="s">
        <v>49</v>
      </c>
      <c r="T9" t="b">
        <v>1</v>
      </c>
      <c r="U9" t="s">
        <v>50</v>
      </c>
      <c r="V9" t="s">
        <v>51</v>
      </c>
      <c r="W9">
        <v>4</v>
      </c>
      <c r="X9" t="b">
        <v>0</v>
      </c>
      <c r="Y9" t="s">
        <v>52</v>
      </c>
      <c r="Z9" t="s">
        <v>53</v>
      </c>
      <c r="AA9" t="s">
        <v>54</v>
      </c>
      <c r="AB9">
        <v>0</v>
      </c>
      <c r="AC9" t="s">
        <v>55</v>
      </c>
      <c r="AD9">
        <v>8</v>
      </c>
      <c r="AE9" t="s">
        <v>56</v>
      </c>
      <c r="AF9">
        <v>63</v>
      </c>
      <c r="AG9" t="b">
        <v>0</v>
      </c>
      <c r="AH9">
        <v>8</v>
      </c>
      <c r="AI9" t="s">
        <v>56</v>
      </c>
      <c r="AJ9">
        <v>63</v>
      </c>
      <c r="AK9" t="b">
        <v>0</v>
      </c>
      <c r="AL9">
        <v>63</v>
      </c>
      <c r="AM9" t="b">
        <v>0</v>
      </c>
      <c r="AN9">
        <v>0</v>
      </c>
      <c r="AO9" t="b">
        <v>0</v>
      </c>
      <c r="AQ9">
        <v>963009</v>
      </c>
      <c r="AR9">
        <v>963009</v>
      </c>
      <c r="AS9">
        <v>0</v>
      </c>
      <c r="AT9" t="b">
        <v>0</v>
      </c>
      <c r="AU9" t="b">
        <v>1</v>
      </c>
      <c r="AV9" t="b">
        <v>1</v>
      </c>
      <c r="AW9" t="b">
        <v>1</v>
      </c>
      <c r="BC9" t="str">
        <f t="shared" si="0"/>
        <v>Normal</v>
      </c>
    </row>
    <row r="10" spans="1:55" x14ac:dyDescent="0.2">
      <c r="A10" t="s">
        <v>39</v>
      </c>
      <c r="B10" t="s">
        <v>40</v>
      </c>
      <c r="C10">
        <v>20190101</v>
      </c>
      <c r="D10">
        <v>2019</v>
      </c>
      <c r="E10">
        <v>52</v>
      </c>
      <c r="F10" t="s">
        <v>41</v>
      </c>
      <c r="G10">
        <v>56</v>
      </c>
      <c r="H10" t="s">
        <v>73</v>
      </c>
      <c r="I10" t="s">
        <v>74</v>
      </c>
      <c r="J10" t="s">
        <v>44</v>
      </c>
      <c r="K10" t="s">
        <v>45</v>
      </c>
      <c r="L10">
        <v>0</v>
      </c>
      <c r="M10" t="s">
        <v>46</v>
      </c>
      <c r="N10" t="s">
        <v>47</v>
      </c>
      <c r="O10">
        <v>0</v>
      </c>
      <c r="P10" t="s">
        <v>46</v>
      </c>
      <c r="Q10" t="s">
        <v>47</v>
      </c>
      <c r="R10" t="s">
        <v>48</v>
      </c>
      <c r="S10" t="s">
        <v>49</v>
      </c>
      <c r="T10" t="b">
        <v>1</v>
      </c>
      <c r="U10" t="s">
        <v>50</v>
      </c>
      <c r="V10" t="s">
        <v>51</v>
      </c>
      <c r="W10">
        <v>4</v>
      </c>
      <c r="X10" t="b">
        <v>0</v>
      </c>
      <c r="Y10" t="s">
        <v>52</v>
      </c>
      <c r="Z10" t="s">
        <v>53</v>
      </c>
      <c r="AA10" t="s">
        <v>54</v>
      </c>
      <c r="AB10">
        <v>0</v>
      </c>
      <c r="AC10" t="s">
        <v>55</v>
      </c>
      <c r="AD10">
        <v>-1</v>
      </c>
      <c r="AE10" t="s">
        <v>64</v>
      </c>
      <c r="AF10">
        <v>0</v>
      </c>
      <c r="AG10" t="b">
        <v>0</v>
      </c>
      <c r="AH10">
        <v>-1</v>
      </c>
      <c r="AI10" t="s">
        <v>64</v>
      </c>
      <c r="AJ10">
        <v>0</v>
      </c>
      <c r="AK10" t="b">
        <v>0</v>
      </c>
      <c r="AL10">
        <v>0</v>
      </c>
      <c r="AM10" t="b">
        <v>0</v>
      </c>
      <c r="AN10">
        <v>0</v>
      </c>
      <c r="AO10" t="b">
        <v>0</v>
      </c>
      <c r="AP10">
        <v>0</v>
      </c>
      <c r="AQ10">
        <v>1802171559.0550001</v>
      </c>
      <c r="AR10">
        <v>1802171559.0550001</v>
      </c>
      <c r="AS10">
        <v>0</v>
      </c>
      <c r="AT10" t="b">
        <v>0</v>
      </c>
      <c r="AU10" t="b">
        <v>1</v>
      </c>
      <c r="AV10" t="b">
        <v>1</v>
      </c>
      <c r="AW10" t="b">
        <v>1</v>
      </c>
      <c r="BC10" t="str">
        <f t="shared" si="0"/>
        <v>Normal</v>
      </c>
    </row>
    <row r="11" spans="1:55" x14ac:dyDescent="0.2">
      <c r="A11" t="s">
        <v>39</v>
      </c>
      <c r="B11" t="s">
        <v>40</v>
      </c>
      <c r="C11">
        <v>20190101</v>
      </c>
      <c r="D11">
        <v>2019</v>
      </c>
      <c r="E11">
        <v>52</v>
      </c>
      <c r="F11" t="s">
        <v>41</v>
      </c>
      <c r="G11">
        <v>68</v>
      </c>
      <c r="H11" t="s">
        <v>75</v>
      </c>
      <c r="I11" t="s">
        <v>76</v>
      </c>
      <c r="J11" t="s">
        <v>44</v>
      </c>
      <c r="K11" t="s">
        <v>45</v>
      </c>
      <c r="L11">
        <v>0</v>
      </c>
      <c r="M11" t="s">
        <v>46</v>
      </c>
      <c r="N11" t="s">
        <v>47</v>
      </c>
      <c r="O11">
        <v>0</v>
      </c>
      <c r="P11" t="s">
        <v>46</v>
      </c>
      <c r="Q11" t="s">
        <v>47</v>
      </c>
      <c r="R11" t="s">
        <v>48</v>
      </c>
      <c r="S11" t="s">
        <v>49</v>
      </c>
      <c r="T11" t="b">
        <v>1</v>
      </c>
      <c r="U11" t="s">
        <v>50</v>
      </c>
      <c r="V11" t="s">
        <v>51</v>
      </c>
      <c r="W11">
        <v>4</v>
      </c>
      <c r="X11" t="b">
        <v>0</v>
      </c>
      <c r="Y11" t="s">
        <v>52</v>
      </c>
      <c r="Z11" t="s">
        <v>53</v>
      </c>
      <c r="AA11" t="s">
        <v>54</v>
      </c>
      <c r="AB11">
        <v>0</v>
      </c>
      <c r="AC11" t="s">
        <v>55</v>
      </c>
      <c r="AD11">
        <v>8</v>
      </c>
      <c r="AE11" t="s">
        <v>56</v>
      </c>
      <c r="AF11">
        <v>41758.660000000003</v>
      </c>
      <c r="AG11" t="b">
        <v>0</v>
      </c>
      <c r="AH11">
        <v>8</v>
      </c>
      <c r="AI11" t="s">
        <v>56</v>
      </c>
      <c r="AJ11">
        <v>41758.660000000003</v>
      </c>
      <c r="AK11" t="b">
        <v>0</v>
      </c>
      <c r="AL11">
        <v>38982.03</v>
      </c>
      <c r="AM11" t="b">
        <v>0</v>
      </c>
      <c r="AN11">
        <v>0</v>
      </c>
      <c r="AO11" t="b">
        <v>0</v>
      </c>
      <c r="AP11">
        <v>0</v>
      </c>
      <c r="AQ11">
        <v>1739032410.52</v>
      </c>
      <c r="AR11">
        <v>1739032410.52</v>
      </c>
      <c r="AS11">
        <v>0</v>
      </c>
      <c r="AT11" t="b">
        <v>0</v>
      </c>
      <c r="AU11" t="b">
        <v>1</v>
      </c>
      <c r="AV11" t="b">
        <v>1</v>
      </c>
      <c r="AW11" t="b">
        <v>1</v>
      </c>
      <c r="BC11" t="str">
        <f t="shared" si="0"/>
        <v>Normal</v>
      </c>
    </row>
    <row r="12" spans="1:55" x14ac:dyDescent="0.2">
      <c r="A12" t="s">
        <v>39</v>
      </c>
      <c r="B12" t="s">
        <v>40</v>
      </c>
      <c r="C12">
        <v>20190101</v>
      </c>
      <c r="D12">
        <v>2019</v>
      </c>
      <c r="E12">
        <v>52</v>
      </c>
      <c r="F12" t="s">
        <v>41</v>
      </c>
      <c r="G12">
        <v>70</v>
      </c>
      <c r="H12" t="s">
        <v>77</v>
      </c>
      <c r="I12" t="s">
        <v>78</v>
      </c>
      <c r="J12" t="s">
        <v>44</v>
      </c>
      <c r="K12" t="s">
        <v>45</v>
      </c>
      <c r="L12">
        <v>0</v>
      </c>
      <c r="M12" t="s">
        <v>46</v>
      </c>
      <c r="N12" t="s">
        <v>47</v>
      </c>
      <c r="O12">
        <v>0</v>
      </c>
      <c r="P12" t="s">
        <v>46</v>
      </c>
      <c r="Q12" t="s">
        <v>47</v>
      </c>
      <c r="R12" t="s">
        <v>48</v>
      </c>
      <c r="S12" t="s">
        <v>49</v>
      </c>
      <c r="T12" t="b">
        <v>1</v>
      </c>
      <c r="U12" t="s">
        <v>50</v>
      </c>
      <c r="V12" t="s">
        <v>51</v>
      </c>
      <c r="W12">
        <v>4</v>
      </c>
      <c r="X12" t="b">
        <v>0</v>
      </c>
      <c r="Y12" t="s">
        <v>52</v>
      </c>
      <c r="Z12" t="s">
        <v>53</v>
      </c>
      <c r="AA12" t="s">
        <v>54</v>
      </c>
      <c r="AB12">
        <v>0</v>
      </c>
      <c r="AC12" t="s">
        <v>55</v>
      </c>
      <c r="AD12">
        <v>8</v>
      </c>
      <c r="AE12" t="s">
        <v>56</v>
      </c>
      <c r="AF12">
        <v>22.84</v>
      </c>
      <c r="AG12" t="b">
        <v>0</v>
      </c>
      <c r="AH12">
        <v>8</v>
      </c>
      <c r="AI12" t="s">
        <v>56</v>
      </c>
      <c r="AJ12">
        <v>22.84</v>
      </c>
      <c r="AK12" t="b">
        <v>0</v>
      </c>
      <c r="AL12">
        <v>22.84</v>
      </c>
      <c r="AM12" t="b">
        <v>0</v>
      </c>
      <c r="AN12">
        <v>0</v>
      </c>
      <c r="AO12" t="b">
        <v>0</v>
      </c>
      <c r="AQ12">
        <v>578865.38</v>
      </c>
      <c r="AR12">
        <v>578865.38</v>
      </c>
      <c r="AS12">
        <v>0</v>
      </c>
      <c r="AT12" t="b">
        <v>0</v>
      </c>
      <c r="AU12" t="b">
        <v>1</v>
      </c>
      <c r="AV12" t="b">
        <v>1</v>
      </c>
      <c r="AW12" t="b">
        <v>1</v>
      </c>
      <c r="BC12" t="str">
        <f t="shared" si="0"/>
        <v>Normal</v>
      </c>
    </row>
    <row r="13" spans="1:55" x14ac:dyDescent="0.2">
      <c r="A13" t="s">
        <v>39</v>
      </c>
      <c r="B13" t="s">
        <v>40</v>
      </c>
      <c r="C13">
        <v>20190101</v>
      </c>
      <c r="D13">
        <v>2019</v>
      </c>
      <c r="E13">
        <v>52</v>
      </c>
      <c r="F13" t="s">
        <v>41</v>
      </c>
      <c r="G13">
        <v>72</v>
      </c>
      <c r="H13" t="s">
        <v>79</v>
      </c>
      <c r="I13" t="s">
        <v>80</v>
      </c>
      <c r="J13" t="s">
        <v>44</v>
      </c>
      <c r="K13" t="s">
        <v>45</v>
      </c>
      <c r="L13">
        <v>0</v>
      </c>
      <c r="M13" t="s">
        <v>46</v>
      </c>
      <c r="N13" t="s">
        <v>47</v>
      </c>
      <c r="O13">
        <v>0</v>
      </c>
      <c r="P13" t="s">
        <v>46</v>
      </c>
      <c r="Q13" t="s">
        <v>47</v>
      </c>
      <c r="R13" t="s">
        <v>48</v>
      </c>
      <c r="S13" t="s">
        <v>49</v>
      </c>
      <c r="T13" t="b">
        <v>1</v>
      </c>
      <c r="U13" t="s">
        <v>50</v>
      </c>
      <c r="V13" t="s">
        <v>51</v>
      </c>
      <c r="W13">
        <v>4</v>
      </c>
      <c r="X13" t="b">
        <v>0</v>
      </c>
      <c r="Y13" t="s">
        <v>52</v>
      </c>
      <c r="Z13" t="s">
        <v>53</v>
      </c>
      <c r="AA13" t="s">
        <v>54</v>
      </c>
      <c r="AB13">
        <v>0</v>
      </c>
      <c r="AC13" t="s">
        <v>55</v>
      </c>
      <c r="AD13">
        <v>8</v>
      </c>
      <c r="AE13" t="s">
        <v>56</v>
      </c>
      <c r="AF13">
        <v>1139.4490000000001</v>
      </c>
      <c r="AG13" t="b">
        <v>0</v>
      </c>
      <c r="AH13">
        <v>8</v>
      </c>
      <c r="AI13" t="s">
        <v>56</v>
      </c>
      <c r="AJ13">
        <v>1139.4490000000001</v>
      </c>
      <c r="AK13" t="b">
        <v>0</v>
      </c>
      <c r="AL13">
        <v>915.01700000000005</v>
      </c>
      <c r="AM13" t="b">
        <v>0</v>
      </c>
      <c r="AN13">
        <v>0</v>
      </c>
      <c r="AO13" t="b">
        <v>0</v>
      </c>
      <c r="AQ13">
        <v>41150815.990000002</v>
      </c>
      <c r="AR13">
        <v>41150815.990000002</v>
      </c>
      <c r="AS13">
        <v>0</v>
      </c>
      <c r="AT13" t="b">
        <v>0</v>
      </c>
      <c r="AU13" t="b">
        <v>1</v>
      </c>
      <c r="AV13" t="b">
        <v>1</v>
      </c>
      <c r="AW13" t="b">
        <v>1</v>
      </c>
      <c r="BC13" t="str">
        <f t="shared" si="0"/>
        <v>Normal</v>
      </c>
    </row>
    <row r="14" spans="1:55" x14ac:dyDescent="0.2">
      <c r="A14" t="s">
        <v>39</v>
      </c>
      <c r="B14" t="s">
        <v>40</v>
      </c>
      <c r="C14">
        <v>20190101</v>
      </c>
      <c r="D14">
        <v>2019</v>
      </c>
      <c r="E14">
        <v>52</v>
      </c>
      <c r="F14" t="s">
        <v>41</v>
      </c>
      <c r="G14">
        <v>76</v>
      </c>
      <c r="H14" t="s">
        <v>81</v>
      </c>
      <c r="I14" t="s">
        <v>82</v>
      </c>
      <c r="J14" t="s">
        <v>44</v>
      </c>
      <c r="K14" t="s">
        <v>45</v>
      </c>
      <c r="L14">
        <v>0</v>
      </c>
      <c r="M14" t="s">
        <v>46</v>
      </c>
      <c r="N14" t="s">
        <v>47</v>
      </c>
      <c r="O14">
        <v>0</v>
      </c>
      <c r="P14" t="s">
        <v>46</v>
      </c>
      <c r="Q14" t="s">
        <v>47</v>
      </c>
      <c r="R14" t="s">
        <v>48</v>
      </c>
      <c r="S14" t="s">
        <v>49</v>
      </c>
      <c r="T14" t="b">
        <v>1</v>
      </c>
      <c r="U14" t="s">
        <v>50</v>
      </c>
      <c r="V14" t="s">
        <v>51</v>
      </c>
      <c r="W14">
        <v>4</v>
      </c>
      <c r="X14" t="b">
        <v>0</v>
      </c>
      <c r="Y14" t="s">
        <v>52</v>
      </c>
      <c r="Z14" t="s">
        <v>53</v>
      </c>
      <c r="AA14" t="s">
        <v>54</v>
      </c>
      <c r="AB14">
        <v>0</v>
      </c>
      <c r="AC14" t="s">
        <v>55</v>
      </c>
      <c r="AD14">
        <v>-1</v>
      </c>
      <c r="AE14" t="s">
        <v>64</v>
      </c>
      <c r="AF14">
        <v>0</v>
      </c>
      <c r="AG14" t="b">
        <v>0</v>
      </c>
      <c r="AH14">
        <v>-1</v>
      </c>
      <c r="AI14" t="s">
        <v>64</v>
      </c>
      <c r="AJ14">
        <v>0</v>
      </c>
      <c r="AK14" t="b">
        <v>0</v>
      </c>
      <c r="AM14" t="b">
        <v>0</v>
      </c>
      <c r="AN14">
        <v>0</v>
      </c>
      <c r="AO14" t="b">
        <v>0</v>
      </c>
      <c r="AQ14">
        <v>3658465023</v>
      </c>
      <c r="AR14">
        <v>3658465023</v>
      </c>
      <c r="AS14">
        <v>0</v>
      </c>
      <c r="AT14" t="b">
        <v>0</v>
      </c>
      <c r="AU14" t="b">
        <v>1</v>
      </c>
      <c r="AV14" t="b">
        <v>1</v>
      </c>
      <c r="AW14" t="b">
        <v>1</v>
      </c>
      <c r="BC14" t="str">
        <f t="shared" si="0"/>
        <v>Normal</v>
      </c>
    </row>
    <row r="15" spans="1:55" x14ac:dyDescent="0.2">
      <c r="A15" t="s">
        <v>39</v>
      </c>
      <c r="B15" t="s">
        <v>40</v>
      </c>
      <c r="C15">
        <v>20190101</v>
      </c>
      <c r="D15">
        <v>2019</v>
      </c>
      <c r="E15">
        <v>52</v>
      </c>
      <c r="F15" t="s">
        <v>41</v>
      </c>
      <c r="G15">
        <v>100</v>
      </c>
      <c r="H15" t="s">
        <v>83</v>
      </c>
      <c r="I15" t="s">
        <v>84</v>
      </c>
      <c r="J15" t="s">
        <v>44</v>
      </c>
      <c r="K15" t="s">
        <v>45</v>
      </c>
      <c r="L15">
        <v>0</v>
      </c>
      <c r="M15" t="s">
        <v>46</v>
      </c>
      <c r="N15" t="s">
        <v>47</v>
      </c>
      <c r="O15">
        <v>0</v>
      </c>
      <c r="P15" t="s">
        <v>46</v>
      </c>
      <c r="Q15" t="s">
        <v>47</v>
      </c>
      <c r="R15" t="s">
        <v>48</v>
      </c>
      <c r="S15" t="s">
        <v>49</v>
      </c>
      <c r="T15" t="b">
        <v>1</v>
      </c>
      <c r="U15" t="s">
        <v>50</v>
      </c>
      <c r="V15" t="s">
        <v>51</v>
      </c>
      <c r="W15">
        <v>4</v>
      </c>
      <c r="X15" t="b">
        <v>0</v>
      </c>
      <c r="Y15" t="s">
        <v>52</v>
      </c>
      <c r="Z15" t="s">
        <v>53</v>
      </c>
      <c r="AA15" t="s">
        <v>54</v>
      </c>
      <c r="AB15">
        <v>0</v>
      </c>
      <c r="AC15" t="s">
        <v>55</v>
      </c>
      <c r="AD15">
        <v>8</v>
      </c>
      <c r="AE15" t="s">
        <v>56</v>
      </c>
      <c r="AF15">
        <v>2149.6219999999998</v>
      </c>
      <c r="AG15" t="b">
        <v>0</v>
      </c>
      <c r="AH15">
        <v>15</v>
      </c>
      <c r="AI15" t="s">
        <v>59</v>
      </c>
      <c r="AJ15">
        <v>2149622</v>
      </c>
      <c r="AK15" t="b">
        <v>0</v>
      </c>
      <c r="AL15">
        <v>2183.1109999999999</v>
      </c>
      <c r="AM15" t="b">
        <v>0</v>
      </c>
      <c r="AN15">
        <v>0</v>
      </c>
      <c r="AO15" t="b">
        <v>0</v>
      </c>
      <c r="AQ15">
        <v>29509409.210000001</v>
      </c>
      <c r="AR15">
        <v>29509409.210000001</v>
      </c>
      <c r="AS15">
        <v>0</v>
      </c>
      <c r="AT15" t="b">
        <v>0</v>
      </c>
      <c r="AU15" t="b">
        <v>1</v>
      </c>
      <c r="AV15" t="b">
        <v>1</v>
      </c>
      <c r="AW15" t="b">
        <v>1</v>
      </c>
      <c r="BC15" t="str">
        <f t="shared" si="0"/>
        <v>Normal</v>
      </c>
    </row>
    <row r="16" spans="1:55" x14ac:dyDescent="0.2">
      <c r="A16" t="s">
        <v>39</v>
      </c>
      <c r="B16" t="s">
        <v>40</v>
      </c>
      <c r="C16">
        <v>20190101</v>
      </c>
      <c r="D16">
        <v>2019</v>
      </c>
      <c r="E16">
        <v>52</v>
      </c>
      <c r="F16" t="s">
        <v>41</v>
      </c>
      <c r="G16">
        <v>108</v>
      </c>
      <c r="H16" t="s">
        <v>85</v>
      </c>
      <c r="I16" t="s">
        <v>86</v>
      </c>
      <c r="J16" t="s">
        <v>44</v>
      </c>
      <c r="K16" t="s">
        <v>45</v>
      </c>
      <c r="L16">
        <v>0</v>
      </c>
      <c r="M16" t="s">
        <v>46</v>
      </c>
      <c r="N16" t="s">
        <v>47</v>
      </c>
      <c r="O16">
        <v>0</v>
      </c>
      <c r="P16" t="s">
        <v>46</v>
      </c>
      <c r="Q16" t="s">
        <v>47</v>
      </c>
      <c r="R16" t="s">
        <v>48</v>
      </c>
      <c r="S16" t="s">
        <v>49</v>
      </c>
      <c r="T16" t="b">
        <v>1</v>
      </c>
      <c r="U16" t="s">
        <v>50</v>
      </c>
      <c r="V16" t="s">
        <v>51</v>
      </c>
      <c r="W16">
        <v>4</v>
      </c>
      <c r="X16" t="b">
        <v>0</v>
      </c>
      <c r="Y16" t="s">
        <v>52</v>
      </c>
      <c r="Z16" t="s">
        <v>53</v>
      </c>
      <c r="AA16" t="s">
        <v>54</v>
      </c>
      <c r="AB16">
        <v>0</v>
      </c>
      <c r="AC16" t="s">
        <v>55</v>
      </c>
      <c r="AD16">
        <v>8</v>
      </c>
      <c r="AE16" t="s">
        <v>56</v>
      </c>
      <c r="AF16">
        <v>1487.3219999999999</v>
      </c>
      <c r="AG16" t="b">
        <v>0</v>
      </c>
      <c r="AH16">
        <v>8</v>
      </c>
      <c r="AI16" t="s">
        <v>56</v>
      </c>
      <c r="AJ16">
        <v>682304.32200000004</v>
      </c>
      <c r="AK16" t="b">
        <v>0</v>
      </c>
      <c r="AL16">
        <v>1598.6220000000001</v>
      </c>
      <c r="AM16" t="b">
        <v>0</v>
      </c>
      <c r="AN16">
        <v>0</v>
      </c>
      <c r="AO16" t="b">
        <v>0</v>
      </c>
      <c r="AQ16">
        <v>66876038.244000003</v>
      </c>
      <c r="AR16">
        <v>66876038.244000003</v>
      </c>
      <c r="AS16">
        <v>0</v>
      </c>
      <c r="AT16" t="b">
        <v>0</v>
      </c>
      <c r="AU16" t="b">
        <v>1</v>
      </c>
      <c r="AV16" t="b">
        <v>1</v>
      </c>
      <c r="AW16" t="b">
        <v>1</v>
      </c>
      <c r="BC16" t="str">
        <f t="shared" si="0"/>
        <v>Normal</v>
      </c>
    </row>
    <row r="17" spans="1:55" x14ac:dyDescent="0.2">
      <c r="A17" t="s">
        <v>39</v>
      </c>
      <c r="B17" t="s">
        <v>40</v>
      </c>
      <c r="C17">
        <v>20190101</v>
      </c>
      <c r="D17">
        <v>2019</v>
      </c>
      <c r="E17">
        <v>52</v>
      </c>
      <c r="F17" t="s">
        <v>41</v>
      </c>
      <c r="G17">
        <v>116</v>
      </c>
      <c r="H17" t="s">
        <v>87</v>
      </c>
      <c r="I17" t="s">
        <v>88</v>
      </c>
      <c r="J17" t="s">
        <v>44</v>
      </c>
      <c r="K17" t="s">
        <v>45</v>
      </c>
      <c r="L17">
        <v>0</v>
      </c>
      <c r="M17" t="s">
        <v>46</v>
      </c>
      <c r="N17" t="s">
        <v>47</v>
      </c>
      <c r="O17">
        <v>0</v>
      </c>
      <c r="P17" t="s">
        <v>46</v>
      </c>
      <c r="Q17" t="s">
        <v>47</v>
      </c>
      <c r="R17" t="s">
        <v>48</v>
      </c>
      <c r="S17" t="s">
        <v>49</v>
      </c>
      <c r="T17" t="b">
        <v>1</v>
      </c>
      <c r="U17" t="s">
        <v>50</v>
      </c>
      <c r="V17" t="s">
        <v>51</v>
      </c>
      <c r="W17">
        <v>4</v>
      </c>
      <c r="X17" t="b">
        <v>0</v>
      </c>
      <c r="Y17" t="s">
        <v>52</v>
      </c>
      <c r="Z17" t="s">
        <v>53</v>
      </c>
      <c r="AA17" t="s">
        <v>54</v>
      </c>
      <c r="AB17">
        <v>0</v>
      </c>
      <c r="AC17" t="s">
        <v>55</v>
      </c>
      <c r="AD17">
        <v>8</v>
      </c>
      <c r="AE17" t="s">
        <v>56</v>
      </c>
      <c r="AF17">
        <v>8744</v>
      </c>
      <c r="AG17" t="b">
        <v>0</v>
      </c>
      <c r="AH17">
        <v>8</v>
      </c>
      <c r="AI17" t="s">
        <v>56</v>
      </c>
      <c r="AJ17">
        <v>8744</v>
      </c>
      <c r="AK17" t="b">
        <v>0</v>
      </c>
      <c r="AL17">
        <v>8744</v>
      </c>
      <c r="AM17" t="b">
        <v>0</v>
      </c>
      <c r="AN17">
        <v>0</v>
      </c>
      <c r="AO17" t="b">
        <v>0</v>
      </c>
      <c r="AQ17">
        <v>388492059.85000002</v>
      </c>
      <c r="AR17">
        <v>388492059.85000002</v>
      </c>
      <c r="AS17">
        <v>0</v>
      </c>
      <c r="AT17" t="b">
        <v>0</v>
      </c>
      <c r="AU17" t="b">
        <v>1</v>
      </c>
      <c r="AV17" t="b">
        <v>1</v>
      </c>
      <c r="AW17" t="b">
        <v>1</v>
      </c>
      <c r="BC17" t="str">
        <f t="shared" si="0"/>
        <v>Normal</v>
      </c>
    </row>
    <row r="18" spans="1:55" x14ac:dyDescent="0.2">
      <c r="A18" t="s">
        <v>39</v>
      </c>
      <c r="B18" t="s">
        <v>40</v>
      </c>
      <c r="C18">
        <v>20190101</v>
      </c>
      <c r="D18">
        <v>2019</v>
      </c>
      <c r="E18">
        <v>52</v>
      </c>
      <c r="F18" t="s">
        <v>41</v>
      </c>
      <c r="G18">
        <v>120</v>
      </c>
      <c r="H18" t="s">
        <v>89</v>
      </c>
      <c r="I18" t="s">
        <v>90</v>
      </c>
      <c r="J18" t="s">
        <v>44</v>
      </c>
      <c r="K18" t="s">
        <v>45</v>
      </c>
      <c r="L18">
        <v>0</v>
      </c>
      <c r="M18" t="s">
        <v>46</v>
      </c>
      <c r="N18" t="s">
        <v>47</v>
      </c>
      <c r="O18">
        <v>0</v>
      </c>
      <c r="P18" t="s">
        <v>46</v>
      </c>
      <c r="Q18" t="s">
        <v>47</v>
      </c>
      <c r="R18" t="s">
        <v>48</v>
      </c>
      <c r="S18" t="s">
        <v>49</v>
      </c>
      <c r="T18" t="b">
        <v>1</v>
      </c>
      <c r="U18" t="s">
        <v>50</v>
      </c>
      <c r="V18" t="s">
        <v>51</v>
      </c>
      <c r="W18">
        <v>4</v>
      </c>
      <c r="X18" t="b">
        <v>0</v>
      </c>
      <c r="Y18" t="s">
        <v>52</v>
      </c>
      <c r="Z18" t="s">
        <v>53</v>
      </c>
      <c r="AA18" t="s">
        <v>54</v>
      </c>
      <c r="AB18">
        <v>0</v>
      </c>
      <c r="AC18" t="s">
        <v>55</v>
      </c>
      <c r="AD18">
        <v>8</v>
      </c>
      <c r="AE18" t="s">
        <v>56</v>
      </c>
      <c r="AF18">
        <v>82.408000000000001</v>
      </c>
      <c r="AG18" t="b">
        <v>1</v>
      </c>
      <c r="AH18">
        <v>-1</v>
      </c>
      <c r="AI18" t="s">
        <v>64</v>
      </c>
      <c r="AJ18">
        <v>0</v>
      </c>
      <c r="AK18" t="b">
        <v>0</v>
      </c>
      <c r="AL18">
        <v>82.408000000000001</v>
      </c>
      <c r="AM18" t="b">
        <v>1</v>
      </c>
      <c r="AN18">
        <v>0</v>
      </c>
      <c r="AO18" t="b">
        <v>0</v>
      </c>
      <c r="AQ18">
        <v>2708881.5</v>
      </c>
      <c r="AR18">
        <v>2708881.5</v>
      </c>
      <c r="AS18">
        <v>6</v>
      </c>
      <c r="AT18" t="b">
        <v>0</v>
      </c>
      <c r="AU18" t="b">
        <v>1</v>
      </c>
      <c r="AV18" t="b">
        <v>1</v>
      </c>
      <c r="AW18" t="b">
        <v>1</v>
      </c>
      <c r="BC18" t="str">
        <f t="shared" si="0"/>
        <v>Normal</v>
      </c>
    </row>
    <row r="19" spans="1:55" x14ac:dyDescent="0.2">
      <c r="A19" t="s">
        <v>39</v>
      </c>
      <c r="B19" t="s">
        <v>40</v>
      </c>
      <c r="C19">
        <v>20190101</v>
      </c>
      <c r="D19">
        <v>2019</v>
      </c>
      <c r="E19">
        <v>52</v>
      </c>
      <c r="F19" t="s">
        <v>41</v>
      </c>
      <c r="G19">
        <v>124</v>
      </c>
      <c r="H19" t="s">
        <v>91</v>
      </c>
      <c r="I19" t="s">
        <v>92</v>
      </c>
      <c r="J19" t="s">
        <v>44</v>
      </c>
      <c r="K19" t="s">
        <v>45</v>
      </c>
      <c r="L19">
        <v>0</v>
      </c>
      <c r="M19" t="s">
        <v>46</v>
      </c>
      <c r="N19" t="s">
        <v>47</v>
      </c>
      <c r="O19">
        <v>0</v>
      </c>
      <c r="P19" t="s">
        <v>46</v>
      </c>
      <c r="Q19" t="s">
        <v>47</v>
      </c>
      <c r="R19" t="s">
        <v>48</v>
      </c>
      <c r="S19" t="s">
        <v>49</v>
      </c>
      <c r="T19" t="b">
        <v>1</v>
      </c>
      <c r="U19" t="s">
        <v>50</v>
      </c>
      <c r="V19" t="s">
        <v>51</v>
      </c>
      <c r="W19">
        <v>4</v>
      </c>
      <c r="X19" t="b">
        <v>0</v>
      </c>
      <c r="Y19" t="s">
        <v>52</v>
      </c>
      <c r="Z19" t="s">
        <v>53</v>
      </c>
      <c r="AA19" t="s">
        <v>54</v>
      </c>
      <c r="AB19">
        <v>0</v>
      </c>
      <c r="AC19" t="s">
        <v>55</v>
      </c>
      <c r="AD19">
        <v>-1</v>
      </c>
      <c r="AE19" t="s">
        <v>64</v>
      </c>
      <c r="AF19">
        <v>0</v>
      </c>
      <c r="AG19" t="b">
        <v>0</v>
      </c>
      <c r="AH19">
        <v>-1</v>
      </c>
      <c r="AI19" t="s">
        <v>64</v>
      </c>
      <c r="AJ19">
        <v>0</v>
      </c>
      <c r="AK19" t="b">
        <v>0</v>
      </c>
      <c r="AM19" t="b">
        <v>0</v>
      </c>
      <c r="AN19">
        <v>0</v>
      </c>
      <c r="AO19" t="b">
        <v>0</v>
      </c>
      <c r="AQ19">
        <v>15717076804.549999</v>
      </c>
      <c r="AR19">
        <v>15717076804.549999</v>
      </c>
      <c r="AS19">
        <v>0</v>
      </c>
      <c r="AT19" t="b">
        <v>0</v>
      </c>
      <c r="AU19" t="b">
        <v>1</v>
      </c>
      <c r="AV19" t="b">
        <v>1</v>
      </c>
      <c r="AW19" t="b">
        <v>1</v>
      </c>
      <c r="BC19" t="str">
        <f t="shared" si="0"/>
        <v>Normal</v>
      </c>
    </row>
    <row r="20" spans="1:55" x14ac:dyDescent="0.2">
      <c r="A20" t="s">
        <v>39</v>
      </c>
      <c r="B20" t="s">
        <v>40</v>
      </c>
      <c r="C20">
        <v>20190101</v>
      </c>
      <c r="D20">
        <v>2019</v>
      </c>
      <c r="E20">
        <v>52</v>
      </c>
      <c r="F20" t="s">
        <v>41</v>
      </c>
      <c r="G20">
        <v>140</v>
      </c>
      <c r="H20" t="s">
        <v>93</v>
      </c>
      <c r="I20" t="s">
        <v>94</v>
      </c>
      <c r="J20" t="s">
        <v>44</v>
      </c>
      <c r="K20" t="s">
        <v>45</v>
      </c>
      <c r="L20">
        <v>0</v>
      </c>
      <c r="M20" t="s">
        <v>46</v>
      </c>
      <c r="N20" t="s">
        <v>47</v>
      </c>
      <c r="O20">
        <v>0</v>
      </c>
      <c r="P20" t="s">
        <v>46</v>
      </c>
      <c r="Q20" t="s">
        <v>47</v>
      </c>
      <c r="R20" t="s">
        <v>95</v>
      </c>
      <c r="S20" t="s">
        <v>49</v>
      </c>
      <c r="T20" t="b">
        <v>1</v>
      </c>
      <c r="U20" t="s">
        <v>50</v>
      </c>
      <c r="V20" t="s">
        <v>51</v>
      </c>
      <c r="W20">
        <v>4</v>
      </c>
      <c r="X20" t="b">
        <v>0</v>
      </c>
      <c r="Y20" t="s">
        <v>52</v>
      </c>
      <c r="Z20" t="s">
        <v>53</v>
      </c>
      <c r="AA20" t="s">
        <v>54</v>
      </c>
      <c r="AB20">
        <v>0</v>
      </c>
      <c r="AC20" t="s">
        <v>55</v>
      </c>
      <c r="AD20">
        <v>-1</v>
      </c>
      <c r="AE20" t="s">
        <v>64</v>
      </c>
      <c r="AF20">
        <v>0</v>
      </c>
      <c r="AG20" t="b">
        <v>0</v>
      </c>
      <c r="AH20">
        <v>-1</v>
      </c>
      <c r="AI20" t="s">
        <v>64</v>
      </c>
      <c r="AJ20">
        <v>0</v>
      </c>
      <c r="AK20" t="b">
        <v>0</v>
      </c>
      <c r="AL20">
        <v>0</v>
      </c>
      <c r="AM20" t="b">
        <v>0</v>
      </c>
      <c r="AN20">
        <v>0</v>
      </c>
      <c r="AO20" t="b">
        <v>0</v>
      </c>
      <c r="AP20">
        <v>0</v>
      </c>
      <c r="AQ20">
        <v>9169712.8550000004</v>
      </c>
      <c r="AR20">
        <v>9169712.8550000004</v>
      </c>
      <c r="AS20">
        <v>0</v>
      </c>
      <c r="AT20" t="b">
        <v>0</v>
      </c>
      <c r="AU20" t="b">
        <v>1</v>
      </c>
      <c r="AV20" t="b">
        <v>1</v>
      </c>
      <c r="AW20" t="b">
        <v>1</v>
      </c>
      <c r="BC20" t="str">
        <f t="shared" si="0"/>
        <v>Normal</v>
      </c>
    </row>
    <row r="21" spans="1:55" x14ac:dyDescent="0.2">
      <c r="A21" t="s">
        <v>39</v>
      </c>
      <c r="B21" t="s">
        <v>40</v>
      </c>
      <c r="C21">
        <v>20190101</v>
      </c>
      <c r="D21">
        <v>2019</v>
      </c>
      <c r="E21">
        <v>52</v>
      </c>
      <c r="F21" t="s">
        <v>41</v>
      </c>
      <c r="G21">
        <v>152</v>
      </c>
      <c r="H21" t="s">
        <v>96</v>
      </c>
      <c r="I21" t="s">
        <v>97</v>
      </c>
      <c r="J21" t="s">
        <v>44</v>
      </c>
      <c r="K21" t="s">
        <v>45</v>
      </c>
      <c r="L21">
        <v>0</v>
      </c>
      <c r="M21" t="s">
        <v>46</v>
      </c>
      <c r="N21" t="s">
        <v>47</v>
      </c>
      <c r="O21">
        <v>0</v>
      </c>
      <c r="P21" t="s">
        <v>46</v>
      </c>
      <c r="Q21" t="s">
        <v>47</v>
      </c>
      <c r="R21" t="s">
        <v>48</v>
      </c>
      <c r="S21" t="s">
        <v>49</v>
      </c>
      <c r="T21" t="b">
        <v>1</v>
      </c>
      <c r="U21" t="s">
        <v>50</v>
      </c>
      <c r="V21" t="s">
        <v>51</v>
      </c>
      <c r="W21">
        <v>4</v>
      </c>
      <c r="X21" t="b">
        <v>0</v>
      </c>
      <c r="Y21" t="s">
        <v>52</v>
      </c>
      <c r="Z21" t="s">
        <v>53</v>
      </c>
      <c r="AA21" t="s">
        <v>54</v>
      </c>
      <c r="AB21">
        <v>0</v>
      </c>
      <c r="AC21" t="s">
        <v>55</v>
      </c>
      <c r="AD21">
        <v>8</v>
      </c>
      <c r="AE21" t="s">
        <v>56</v>
      </c>
      <c r="AF21">
        <v>16357.877</v>
      </c>
      <c r="AG21" t="b">
        <v>0</v>
      </c>
      <c r="AH21">
        <v>8</v>
      </c>
      <c r="AI21" t="s">
        <v>56</v>
      </c>
      <c r="AJ21">
        <v>16357.877</v>
      </c>
      <c r="AK21" t="b">
        <v>0</v>
      </c>
      <c r="AL21">
        <v>16357.877</v>
      </c>
      <c r="AM21" t="b">
        <v>0</v>
      </c>
      <c r="AN21">
        <v>0</v>
      </c>
      <c r="AO21" t="b">
        <v>0</v>
      </c>
      <c r="AP21">
        <v>0</v>
      </c>
      <c r="AQ21">
        <v>707432163.08899999</v>
      </c>
      <c r="AR21">
        <v>707432163.08899999</v>
      </c>
      <c r="AS21">
        <v>0</v>
      </c>
      <c r="AT21" t="b">
        <v>0</v>
      </c>
      <c r="AU21" t="b">
        <v>1</v>
      </c>
      <c r="AV21" t="b">
        <v>1</v>
      </c>
      <c r="AW21" t="b">
        <v>1</v>
      </c>
      <c r="BC21" t="str">
        <f t="shared" si="0"/>
        <v>Normal</v>
      </c>
    </row>
    <row r="22" spans="1:55" x14ac:dyDescent="0.2">
      <c r="A22" t="s">
        <v>39</v>
      </c>
      <c r="B22" t="s">
        <v>40</v>
      </c>
      <c r="C22">
        <v>20190101</v>
      </c>
      <c r="D22">
        <v>2019</v>
      </c>
      <c r="E22">
        <v>52</v>
      </c>
      <c r="F22" t="s">
        <v>41</v>
      </c>
      <c r="G22">
        <v>156</v>
      </c>
      <c r="H22" t="s">
        <v>98</v>
      </c>
      <c r="I22" t="s">
        <v>99</v>
      </c>
      <c r="J22" t="s">
        <v>44</v>
      </c>
      <c r="K22" t="s">
        <v>45</v>
      </c>
      <c r="L22">
        <v>0</v>
      </c>
      <c r="M22" t="s">
        <v>46</v>
      </c>
      <c r="N22" t="s">
        <v>47</v>
      </c>
      <c r="O22">
        <v>0</v>
      </c>
      <c r="P22" t="s">
        <v>46</v>
      </c>
      <c r="Q22" t="s">
        <v>47</v>
      </c>
      <c r="R22" t="s">
        <v>48</v>
      </c>
      <c r="S22" t="s">
        <v>49</v>
      </c>
      <c r="T22" t="b">
        <v>1</v>
      </c>
      <c r="U22" t="s">
        <v>50</v>
      </c>
      <c r="V22" t="s">
        <v>51</v>
      </c>
      <c r="W22">
        <v>4</v>
      </c>
      <c r="X22" t="b">
        <v>0</v>
      </c>
      <c r="Y22" t="s">
        <v>52</v>
      </c>
      <c r="Z22" t="s">
        <v>53</v>
      </c>
      <c r="AA22" t="s">
        <v>54</v>
      </c>
      <c r="AB22">
        <v>0</v>
      </c>
      <c r="AC22" t="s">
        <v>55</v>
      </c>
      <c r="AD22">
        <v>8</v>
      </c>
      <c r="AE22" t="s">
        <v>56</v>
      </c>
      <c r="AF22">
        <v>21764.573</v>
      </c>
      <c r="AG22" t="b">
        <v>0</v>
      </c>
      <c r="AH22">
        <v>15</v>
      </c>
      <c r="AI22" t="s">
        <v>59</v>
      </c>
      <c r="AJ22">
        <v>21764573</v>
      </c>
      <c r="AK22" t="b">
        <v>0</v>
      </c>
      <c r="AL22">
        <v>21764.573</v>
      </c>
      <c r="AM22" t="b">
        <v>0</v>
      </c>
      <c r="AN22">
        <v>0</v>
      </c>
      <c r="AO22" t="b">
        <v>0</v>
      </c>
      <c r="AP22">
        <v>0</v>
      </c>
      <c r="AQ22">
        <v>982326331</v>
      </c>
      <c r="AR22">
        <v>982326331</v>
      </c>
      <c r="AS22">
        <v>0</v>
      </c>
      <c r="AT22" t="b">
        <v>0</v>
      </c>
      <c r="AU22" t="b">
        <v>1</v>
      </c>
      <c r="AV22" t="b">
        <v>1</v>
      </c>
      <c r="AW22" t="b">
        <v>1</v>
      </c>
      <c r="BC22" t="str">
        <f t="shared" si="0"/>
        <v>Normal</v>
      </c>
    </row>
    <row r="23" spans="1:55" x14ac:dyDescent="0.2">
      <c r="A23" t="s">
        <v>39</v>
      </c>
      <c r="B23" t="s">
        <v>40</v>
      </c>
      <c r="C23">
        <v>20190101</v>
      </c>
      <c r="D23">
        <v>2019</v>
      </c>
      <c r="E23">
        <v>52</v>
      </c>
      <c r="F23" t="s">
        <v>41</v>
      </c>
      <c r="G23">
        <v>170</v>
      </c>
      <c r="H23" t="s">
        <v>100</v>
      </c>
      <c r="I23" t="s">
        <v>101</v>
      </c>
      <c r="J23" t="s">
        <v>44</v>
      </c>
      <c r="K23" t="s">
        <v>45</v>
      </c>
      <c r="L23">
        <v>0</v>
      </c>
      <c r="M23" t="s">
        <v>46</v>
      </c>
      <c r="N23" t="s">
        <v>47</v>
      </c>
      <c r="O23">
        <v>0</v>
      </c>
      <c r="P23" t="s">
        <v>46</v>
      </c>
      <c r="Q23" t="s">
        <v>47</v>
      </c>
      <c r="R23" t="s">
        <v>48</v>
      </c>
      <c r="S23" t="s">
        <v>49</v>
      </c>
      <c r="T23" t="b">
        <v>1</v>
      </c>
      <c r="U23" t="s">
        <v>50</v>
      </c>
      <c r="V23" t="s">
        <v>51</v>
      </c>
      <c r="W23">
        <v>4</v>
      </c>
      <c r="X23" t="b">
        <v>0</v>
      </c>
      <c r="Y23" t="s">
        <v>52</v>
      </c>
      <c r="Z23" t="s">
        <v>53</v>
      </c>
      <c r="AA23" t="s">
        <v>54</v>
      </c>
      <c r="AB23">
        <v>0</v>
      </c>
      <c r="AC23" t="s">
        <v>55</v>
      </c>
      <c r="AD23">
        <v>8</v>
      </c>
      <c r="AE23" t="s">
        <v>56</v>
      </c>
      <c r="AF23">
        <v>52199.55</v>
      </c>
      <c r="AG23" t="b">
        <v>0</v>
      </c>
      <c r="AH23">
        <v>8</v>
      </c>
      <c r="AI23" t="s">
        <v>56</v>
      </c>
      <c r="AJ23">
        <v>52199.55</v>
      </c>
      <c r="AK23" t="b">
        <v>0</v>
      </c>
      <c r="AL23">
        <v>52199.55</v>
      </c>
      <c r="AM23" t="b">
        <v>0</v>
      </c>
      <c r="AN23">
        <v>0</v>
      </c>
      <c r="AO23" t="b">
        <v>0</v>
      </c>
      <c r="AQ23">
        <v>1746835077.9000001</v>
      </c>
      <c r="AR23">
        <v>1746835077.9000001</v>
      </c>
      <c r="AS23">
        <v>0</v>
      </c>
      <c r="AT23" t="b">
        <v>0</v>
      </c>
      <c r="AU23" t="b">
        <v>1</v>
      </c>
      <c r="AV23" t="b">
        <v>1</v>
      </c>
      <c r="AW23" t="b">
        <v>1</v>
      </c>
      <c r="BC23" t="str">
        <f t="shared" si="0"/>
        <v>Normal</v>
      </c>
    </row>
    <row r="24" spans="1:55" x14ac:dyDescent="0.2">
      <c r="A24" t="s">
        <v>39</v>
      </c>
      <c r="B24" t="s">
        <v>40</v>
      </c>
      <c r="C24">
        <v>20190101</v>
      </c>
      <c r="D24">
        <v>2019</v>
      </c>
      <c r="E24">
        <v>52</v>
      </c>
      <c r="F24" t="s">
        <v>41</v>
      </c>
      <c r="G24">
        <v>178</v>
      </c>
      <c r="H24" t="s">
        <v>102</v>
      </c>
      <c r="I24" t="s">
        <v>103</v>
      </c>
      <c r="J24" t="s">
        <v>44</v>
      </c>
      <c r="K24" t="s">
        <v>45</v>
      </c>
      <c r="L24">
        <v>0</v>
      </c>
      <c r="M24" t="s">
        <v>46</v>
      </c>
      <c r="N24" t="s">
        <v>47</v>
      </c>
      <c r="O24">
        <v>0</v>
      </c>
      <c r="P24" t="s">
        <v>46</v>
      </c>
      <c r="Q24" t="s">
        <v>47</v>
      </c>
      <c r="R24" t="s">
        <v>48</v>
      </c>
      <c r="S24" t="s">
        <v>49</v>
      </c>
      <c r="T24" t="b">
        <v>1</v>
      </c>
      <c r="U24" t="s">
        <v>50</v>
      </c>
      <c r="V24" t="s">
        <v>51</v>
      </c>
      <c r="W24">
        <v>4</v>
      </c>
      <c r="X24" t="b">
        <v>0</v>
      </c>
      <c r="Y24" t="s">
        <v>52</v>
      </c>
      <c r="Z24" t="s">
        <v>53</v>
      </c>
      <c r="AA24" t="s">
        <v>54</v>
      </c>
      <c r="AB24">
        <v>0</v>
      </c>
      <c r="AC24" t="s">
        <v>55</v>
      </c>
      <c r="AD24">
        <v>8</v>
      </c>
      <c r="AE24" t="s">
        <v>56</v>
      </c>
      <c r="AF24">
        <v>5.859</v>
      </c>
      <c r="AG24" t="b">
        <v>1</v>
      </c>
      <c r="AH24">
        <v>-1</v>
      </c>
      <c r="AI24" t="s">
        <v>64</v>
      </c>
      <c r="AJ24">
        <v>0</v>
      </c>
      <c r="AK24" t="b">
        <v>0</v>
      </c>
      <c r="AM24" t="b">
        <v>1</v>
      </c>
      <c r="AN24">
        <v>0</v>
      </c>
      <c r="AO24" t="b">
        <v>0</v>
      </c>
      <c r="AQ24">
        <v>149118.72700000001</v>
      </c>
      <c r="AR24">
        <v>149118.72700000001</v>
      </c>
      <c r="AS24">
        <v>6</v>
      </c>
      <c r="AT24" t="b">
        <v>0</v>
      </c>
      <c r="AU24" t="b">
        <v>1</v>
      </c>
      <c r="AV24" t="b">
        <v>1</v>
      </c>
      <c r="AW24" t="b">
        <v>1</v>
      </c>
      <c r="BC24" t="str">
        <f t="shared" si="0"/>
        <v>Normal</v>
      </c>
    </row>
    <row r="25" spans="1:55" x14ac:dyDescent="0.2">
      <c r="A25" t="s">
        <v>39</v>
      </c>
      <c r="B25" t="s">
        <v>40</v>
      </c>
      <c r="C25">
        <v>20190101</v>
      </c>
      <c r="D25">
        <v>2019</v>
      </c>
      <c r="E25">
        <v>52</v>
      </c>
      <c r="F25" t="s">
        <v>41</v>
      </c>
      <c r="G25">
        <v>180</v>
      </c>
      <c r="H25" t="s">
        <v>104</v>
      </c>
      <c r="I25" t="s">
        <v>105</v>
      </c>
      <c r="J25" t="s">
        <v>44</v>
      </c>
      <c r="K25" t="s">
        <v>45</v>
      </c>
      <c r="L25">
        <v>0</v>
      </c>
      <c r="M25" t="s">
        <v>46</v>
      </c>
      <c r="N25" t="s">
        <v>47</v>
      </c>
      <c r="O25">
        <v>0</v>
      </c>
      <c r="P25" t="s">
        <v>46</v>
      </c>
      <c r="Q25" t="s">
        <v>47</v>
      </c>
      <c r="R25" t="s">
        <v>95</v>
      </c>
      <c r="S25" t="s">
        <v>49</v>
      </c>
      <c r="T25" t="b">
        <v>1</v>
      </c>
      <c r="U25" t="s">
        <v>50</v>
      </c>
      <c r="V25" t="s">
        <v>51</v>
      </c>
      <c r="W25">
        <v>4</v>
      </c>
      <c r="X25" t="b">
        <v>0</v>
      </c>
      <c r="Y25" t="s">
        <v>52</v>
      </c>
      <c r="Z25" t="s">
        <v>53</v>
      </c>
      <c r="AA25" t="s">
        <v>54</v>
      </c>
      <c r="AB25">
        <v>0</v>
      </c>
      <c r="AC25" t="s">
        <v>55</v>
      </c>
      <c r="AD25">
        <v>8</v>
      </c>
      <c r="AE25" t="s">
        <v>56</v>
      </c>
      <c r="AF25">
        <v>1855.902</v>
      </c>
      <c r="AG25" t="b">
        <v>1</v>
      </c>
      <c r="AH25">
        <v>-1</v>
      </c>
      <c r="AI25" t="s">
        <v>64</v>
      </c>
      <c r="AJ25">
        <v>0</v>
      </c>
      <c r="AK25" t="b">
        <v>0</v>
      </c>
      <c r="AL25">
        <v>1855.902</v>
      </c>
      <c r="AM25" t="b">
        <v>1</v>
      </c>
      <c r="AN25">
        <v>0</v>
      </c>
      <c r="AO25" t="b">
        <v>0</v>
      </c>
      <c r="AP25">
        <v>0</v>
      </c>
      <c r="AQ25">
        <v>67908210.697999999</v>
      </c>
      <c r="AR25">
        <v>67908210.697999999</v>
      </c>
      <c r="AS25">
        <v>6</v>
      </c>
      <c r="AT25" t="b">
        <v>0</v>
      </c>
      <c r="AU25" t="b">
        <v>1</v>
      </c>
      <c r="AV25" t="b">
        <v>1</v>
      </c>
      <c r="AW25" t="b">
        <v>1</v>
      </c>
      <c r="BC25" t="str">
        <f t="shared" si="0"/>
        <v>Normal</v>
      </c>
    </row>
    <row r="26" spans="1:55" x14ac:dyDescent="0.2">
      <c r="A26" t="s">
        <v>39</v>
      </c>
      <c r="B26" t="s">
        <v>40</v>
      </c>
      <c r="C26">
        <v>20190101</v>
      </c>
      <c r="D26">
        <v>2019</v>
      </c>
      <c r="E26">
        <v>52</v>
      </c>
      <c r="F26" t="s">
        <v>41</v>
      </c>
      <c r="G26">
        <v>188</v>
      </c>
      <c r="H26" t="s">
        <v>106</v>
      </c>
      <c r="I26" t="s">
        <v>107</v>
      </c>
      <c r="J26" t="s">
        <v>44</v>
      </c>
      <c r="K26" t="s">
        <v>45</v>
      </c>
      <c r="L26">
        <v>0</v>
      </c>
      <c r="M26" t="s">
        <v>46</v>
      </c>
      <c r="N26" t="s">
        <v>47</v>
      </c>
      <c r="O26">
        <v>0</v>
      </c>
      <c r="P26" t="s">
        <v>46</v>
      </c>
      <c r="Q26" t="s">
        <v>47</v>
      </c>
      <c r="R26" t="s">
        <v>48</v>
      </c>
      <c r="S26" t="s">
        <v>49</v>
      </c>
      <c r="T26" t="b">
        <v>1</v>
      </c>
      <c r="U26" t="s">
        <v>50</v>
      </c>
      <c r="V26" t="s">
        <v>51</v>
      </c>
      <c r="W26">
        <v>4</v>
      </c>
      <c r="X26" t="b">
        <v>0</v>
      </c>
      <c r="Y26" t="s">
        <v>52</v>
      </c>
      <c r="Z26" t="s">
        <v>53</v>
      </c>
      <c r="AA26" t="s">
        <v>54</v>
      </c>
      <c r="AB26">
        <v>0</v>
      </c>
      <c r="AC26" t="s">
        <v>55</v>
      </c>
      <c r="AD26">
        <v>8</v>
      </c>
      <c r="AE26" t="s">
        <v>56</v>
      </c>
      <c r="AF26">
        <v>1029.3979999999999</v>
      </c>
      <c r="AG26" t="b">
        <v>1</v>
      </c>
      <c r="AH26">
        <v>-1</v>
      </c>
      <c r="AI26" t="s">
        <v>64</v>
      </c>
      <c r="AJ26">
        <v>0</v>
      </c>
      <c r="AK26" t="b">
        <v>0</v>
      </c>
      <c r="AL26">
        <v>1029.3979999999999</v>
      </c>
      <c r="AM26" t="b">
        <v>1</v>
      </c>
      <c r="AN26">
        <v>0</v>
      </c>
      <c r="AO26" t="b">
        <v>0</v>
      </c>
      <c r="AQ26">
        <v>30226796.109999999</v>
      </c>
      <c r="AR26">
        <v>30226796.109999999</v>
      </c>
      <c r="AS26">
        <v>6</v>
      </c>
      <c r="AT26" t="b">
        <v>0</v>
      </c>
      <c r="AU26" t="b">
        <v>1</v>
      </c>
      <c r="AV26" t="b">
        <v>1</v>
      </c>
      <c r="AW26" t="b">
        <v>1</v>
      </c>
      <c r="BC26" t="str">
        <f t="shared" si="0"/>
        <v>Normal</v>
      </c>
    </row>
    <row r="27" spans="1:55" x14ac:dyDescent="0.2">
      <c r="A27" t="s">
        <v>39</v>
      </c>
      <c r="B27" t="s">
        <v>40</v>
      </c>
      <c r="C27">
        <v>20190101</v>
      </c>
      <c r="D27">
        <v>2019</v>
      </c>
      <c r="E27">
        <v>52</v>
      </c>
      <c r="F27" t="s">
        <v>41</v>
      </c>
      <c r="G27">
        <v>191</v>
      </c>
      <c r="H27" t="s">
        <v>108</v>
      </c>
      <c r="I27" t="s">
        <v>109</v>
      </c>
      <c r="J27" t="s">
        <v>44</v>
      </c>
      <c r="K27" t="s">
        <v>45</v>
      </c>
      <c r="L27">
        <v>0</v>
      </c>
      <c r="M27" t="s">
        <v>46</v>
      </c>
      <c r="N27" t="s">
        <v>47</v>
      </c>
      <c r="O27">
        <v>0</v>
      </c>
      <c r="P27" t="s">
        <v>46</v>
      </c>
      <c r="Q27" t="s">
        <v>47</v>
      </c>
      <c r="R27" t="s">
        <v>48</v>
      </c>
      <c r="S27" t="s">
        <v>49</v>
      </c>
      <c r="T27" t="b">
        <v>1</v>
      </c>
      <c r="U27" t="s">
        <v>50</v>
      </c>
      <c r="V27" t="s">
        <v>51</v>
      </c>
      <c r="W27">
        <v>4</v>
      </c>
      <c r="X27" t="b">
        <v>0</v>
      </c>
      <c r="Y27" t="s">
        <v>52</v>
      </c>
      <c r="Z27" t="s">
        <v>53</v>
      </c>
      <c r="AA27" t="s">
        <v>54</v>
      </c>
      <c r="AB27">
        <v>0</v>
      </c>
      <c r="AC27" t="s">
        <v>55</v>
      </c>
      <c r="AD27">
        <v>8</v>
      </c>
      <c r="AE27" t="s">
        <v>56</v>
      </c>
      <c r="AF27">
        <v>987.81</v>
      </c>
      <c r="AG27" t="b">
        <v>0</v>
      </c>
      <c r="AH27">
        <v>15</v>
      </c>
      <c r="AI27" t="s">
        <v>59</v>
      </c>
      <c r="AJ27">
        <v>979008.65</v>
      </c>
      <c r="AK27" t="b">
        <v>0</v>
      </c>
      <c r="AL27">
        <v>987.81</v>
      </c>
      <c r="AM27" t="b">
        <v>0</v>
      </c>
      <c r="AN27">
        <v>0</v>
      </c>
      <c r="AO27" t="b">
        <v>0</v>
      </c>
      <c r="AQ27">
        <v>41040177</v>
      </c>
      <c r="AR27">
        <v>41040177</v>
      </c>
      <c r="AS27">
        <v>0</v>
      </c>
      <c r="AT27" t="b">
        <v>0</v>
      </c>
      <c r="AU27" t="b">
        <v>1</v>
      </c>
      <c r="AV27" t="b">
        <v>1</v>
      </c>
      <c r="AW27" t="b">
        <v>1</v>
      </c>
      <c r="BC27" t="str">
        <f t="shared" si="0"/>
        <v>Normal</v>
      </c>
    </row>
    <row r="28" spans="1:55" x14ac:dyDescent="0.2">
      <c r="A28" t="s">
        <v>39</v>
      </c>
      <c r="B28" t="s">
        <v>40</v>
      </c>
      <c r="C28">
        <v>20190101</v>
      </c>
      <c r="D28">
        <v>2019</v>
      </c>
      <c r="E28">
        <v>52</v>
      </c>
      <c r="F28" t="s">
        <v>41</v>
      </c>
      <c r="G28">
        <v>192</v>
      </c>
      <c r="H28" t="s">
        <v>110</v>
      </c>
      <c r="I28" t="s">
        <v>111</v>
      </c>
      <c r="J28" t="s">
        <v>44</v>
      </c>
      <c r="K28" t="s">
        <v>45</v>
      </c>
      <c r="L28">
        <v>0</v>
      </c>
      <c r="M28" t="s">
        <v>46</v>
      </c>
      <c r="N28" t="s">
        <v>47</v>
      </c>
      <c r="O28">
        <v>0</v>
      </c>
      <c r="P28" t="s">
        <v>46</v>
      </c>
      <c r="Q28" t="s">
        <v>47</v>
      </c>
      <c r="R28" t="s">
        <v>48</v>
      </c>
      <c r="S28" t="s">
        <v>49</v>
      </c>
      <c r="T28" t="b">
        <v>1</v>
      </c>
      <c r="U28" t="s">
        <v>50</v>
      </c>
      <c r="V28" t="s">
        <v>51</v>
      </c>
      <c r="W28">
        <v>4</v>
      </c>
      <c r="X28" t="b">
        <v>0</v>
      </c>
      <c r="Y28" t="s">
        <v>52</v>
      </c>
      <c r="Z28" t="s">
        <v>53</v>
      </c>
      <c r="AA28" t="s">
        <v>54</v>
      </c>
      <c r="AB28">
        <v>0</v>
      </c>
      <c r="AC28" t="s">
        <v>55</v>
      </c>
      <c r="AD28">
        <v>-1</v>
      </c>
      <c r="AE28" t="s">
        <v>64</v>
      </c>
      <c r="AF28">
        <v>0</v>
      </c>
      <c r="AG28" t="b">
        <v>0</v>
      </c>
      <c r="AH28">
        <v>15</v>
      </c>
      <c r="AI28" t="s">
        <v>59</v>
      </c>
      <c r="AJ28">
        <v>15.843</v>
      </c>
      <c r="AK28" t="b">
        <v>0</v>
      </c>
      <c r="AL28">
        <v>22.004999999999999</v>
      </c>
      <c r="AM28" t="b">
        <v>0</v>
      </c>
      <c r="AN28">
        <v>0</v>
      </c>
      <c r="AO28" t="b">
        <v>0</v>
      </c>
      <c r="AQ28">
        <v>298753.65000000002</v>
      </c>
      <c r="AR28">
        <v>298753.65000000002</v>
      </c>
      <c r="AS28">
        <v>0</v>
      </c>
      <c r="AT28" t="b">
        <v>0</v>
      </c>
      <c r="AU28" t="b">
        <v>1</v>
      </c>
      <c r="AV28" t="b">
        <v>1</v>
      </c>
      <c r="AW28" t="b">
        <v>1</v>
      </c>
      <c r="BC28" t="str">
        <f t="shared" si="0"/>
        <v>Normal</v>
      </c>
    </row>
    <row r="29" spans="1:55" x14ac:dyDescent="0.2">
      <c r="A29" t="s">
        <v>39</v>
      </c>
      <c r="B29" t="s">
        <v>40</v>
      </c>
      <c r="C29">
        <v>20190101</v>
      </c>
      <c r="D29">
        <v>2019</v>
      </c>
      <c r="E29">
        <v>52</v>
      </c>
      <c r="F29" t="s">
        <v>41</v>
      </c>
      <c r="G29">
        <v>196</v>
      </c>
      <c r="H29" t="s">
        <v>112</v>
      </c>
      <c r="I29" t="s">
        <v>113</v>
      </c>
      <c r="J29" t="s">
        <v>44</v>
      </c>
      <c r="K29" t="s">
        <v>45</v>
      </c>
      <c r="L29">
        <v>0</v>
      </c>
      <c r="M29" t="s">
        <v>46</v>
      </c>
      <c r="N29" t="s">
        <v>47</v>
      </c>
      <c r="O29">
        <v>0</v>
      </c>
      <c r="P29" t="s">
        <v>46</v>
      </c>
      <c r="Q29" t="s">
        <v>47</v>
      </c>
      <c r="R29" t="s">
        <v>48</v>
      </c>
      <c r="S29" t="s">
        <v>49</v>
      </c>
      <c r="T29" t="b">
        <v>1</v>
      </c>
      <c r="U29" t="s">
        <v>50</v>
      </c>
      <c r="V29" t="s">
        <v>51</v>
      </c>
      <c r="W29">
        <v>4</v>
      </c>
      <c r="X29" t="b">
        <v>0</v>
      </c>
      <c r="Y29" t="s">
        <v>52</v>
      </c>
      <c r="Z29" t="s">
        <v>53</v>
      </c>
      <c r="AA29" t="s">
        <v>54</v>
      </c>
      <c r="AB29">
        <v>0</v>
      </c>
      <c r="AC29" t="s">
        <v>55</v>
      </c>
      <c r="AD29">
        <v>8</v>
      </c>
      <c r="AE29" t="s">
        <v>56</v>
      </c>
      <c r="AF29">
        <v>703.27499999999998</v>
      </c>
      <c r="AG29" t="b">
        <v>0</v>
      </c>
      <c r="AH29">
        <v>15</v>
      </c>
      <c r="AI29" t="s">
        <v>59</v>
      </c>
      <c r="AJ29">
        <v>585323</v>
      </c>
      <c r="AK29" t="b">
        <v>0</v>
      </c>
      <c r="AL29">
        <v>793</v>
      </c>
      <c r="AM29" t="b">
        <v>0</v>
      </c>
      <c r="AN29">
        <v>0</v>
      </c>
      <c r="AO29" t="b">
        <v>0</v>
      </c>
      <c r="AP29">
        <v>0</v>
      </c>
      <c r="AQ29">
        <v>22677553.397999998</v>
      </c>
      <c r="AR29">
        <v>22677553.397999998</v>
      </c>
      <c r="AS29">
        <v>0</v>
      </c>
      <c r="AT29" t="b">
        <v>0</v>
      </c>
      <c r="AU29" t="b">
        <v>1</v>
      </c>
      <c r="AV29" t="b">
        <v>1</v>
      </c>
      <c r="AW29" t="b">
        <v>1</v>
      </c>
      <c r="BC29" t="str">
        <f t="shared" si="0"/>
        <v>Normal</v>
      </c>
    </row>
    <row r="30" spans="1:55" x14ac:dyDescent="0.2">
      <c r="A30" t="s">
        <v>39</v>
      </c>
      <c r="B30" t="s">
        <v>40</v>
      </c>
      <c r="C30">
        <v>20190101</v>
      </c>
      <c r="D30">
        <v>2019</v>
      </c>
      <c r="E30">
        <v>52</v>
      </c>
      <c r="F30" t="s">
        <v>41</v>
      </c>
      <c r="G30">
        <v>203</v>
      </c>
      <c r="H30" t="s">
        <v>114</v>
      </c>
      <c r="I30" t="s">
        <v>115</v>
      </c>
      <c r="J30" t="s">
        <v>44</v>
      </c>
      <c r="K30" t="s">
        <v>45</v>
      </c>
      <c r="L30">
        <v>0</v>
      </c>
      <c r="M30" t="s">
        <v>46</v>
      </c>
      <c r="N30" t="s">
        <v>47</v>
      </c>
      <c r="O30">
        <v>0</v>
      </c>
      <c r="P30" t="s">
        <v>46</v>
      </c>
      <c r="Q30" t="s">
        <v>47</v>
      </c>
      <c r="R30" t="s">
        <v>48</v>
      </c>
      <c r="S30" t="s">
        <v>49</v>
      </c>
      <c r="T30" t="b">
        <v>1</v>
      </c>
      <c r="U30" t="s">
        <v>50</v>
      </c>
      <c r="V30" t="s">
        <v>51</v>
      </c>
      <c r="W30">
        <v>4</v>
      </c>
      <c r="X30" t="b">
        <v>0</v>
      </c>
      <c r="Y30" t="s">
        <v>52</v>
      </c>
      <c r="Z30" t="s">
        <v>53</v>
      </c>
      <c r="AA30" t="s">
        <v>54</v>
      </c>
      <c r="AB30">
        <v>0</v>
      </c>
      <c r="AC30" t="s">
        <v>55</v>
      </c>
      <c r="AD30">
        <v>-1</v>
      </c>
      <c r="AE30" t="s">
        <v>64</v>
      </c>
      <c r="AF30">
        <v>0</v>
      </c>
      <c r="AG30" t="b">
        <v>1</v>
      </c>
      <c r="AH30">
        <v>-1</v>
      </c>
      <c r="AI30" t="s">
        <v>64</v>
      </c>
      <c r="AJ30">
        <v>0</v>
      </c>
      <c r="AK30" t="b">
        <v>0</v>
      </c>
      <c r="AM30" t="b">
        <v>1</v>
      </c>
      <c r="AN30">
        <v>0</v>
      </c>
      <c r="AO30" t="b">
        <v>0</v>
      </c>
      <c r="AQ30">
        <v>104347246</v>
      </c>
      <c r="AR30">
        <v>104347246</v>
      </c>
      <c r="AS30">
        <v>6</v>
      </c>
      <c r="AT30" t="b">
        <v>0</v>
      </c>
      <c r="AU30" t="b">
        <v>1</v>
      </c>
      <c r="AV30" t="b">
        <v>1</v>
      </c>
      <c r="AW30" t="b">
        <v>1</v>
      </c>
      <c r="BC30" t="str">
        <f t="shared" si="0"/>
        <v>Normal</v>
      </c>
    </row>
    <row r="31" spans="1:55" x14ac:dyDescent="0.2">
      <c r="A31" t="s">
        <v>39</v>
      </c>
      <c r="B31" t="s">
        <v>40</v>
      </c>
      <c r="C31">
        <v>20190101</v>
      </c>
      <c r="D31">
        <v>2019</v>
      </c>
      <c r="E31">
        <v>52</v>
      </c>
      <c r="F31" t="s">
        <v>41</v>
      </c>
      <c r="G31">
        <v>204</v>
      </c>
      <c r="H31" t="s">
        <v>116</v>
      </c>
      <c r="I31" t="s">
        <v>117</v>
      </c>
      <c r="J31" t="s">
        <v>44</v>
      </c>
      <c r="K31" t="s">
        <v>45</v>
      </c>
      <c r="L31">
        <v>0</v>
      </c>
      <c r="M31" t="s">
        <v>46</v>
      </c>
      <c r="N31" t="s">
        <v>47</v>
      </c>
      <c r="O31">
        <v>0</v>
      </c>
      <c r="P31" t="s">
        <v>46</v>
      </c>
      <c r="Q31" t="s">
        <v>47</v>
      </c>
      <c r="R31" t="s">
        <v>48</v>
      </c>
      <c r="S31" t="s">
        <v>49</v>
      </c>
      <c r="T31" t="b">
        <v>1</v>
      </c>
      <c r="U31" t="s">
        <v>50</v>
      </c>
      <c r="V31" t="s">
        <v>51</v>
      </c>
      <c r="W31">
        <v>4</v>
      </c>
      <c r="X31" t="b">
        <v>0</v>
      </c>
      <c r="Y31" t="s">
        <v>52</v>
      </c>
      <c r="Z31" t="s">
        <v>53</v>
      </c>
      <c r="AA31" t="s">
        <v>54</v>
      </c>
      <c r="AB31">
        <v>0</v>
      </c>
      <c r="AC31" t="s">
        <v>55</v>
      </c>
      <c r="AD31">
        <v>8</v>
      </c>
      <c r="AE31" t="s">
        <v>56</v>
      </c>
      <c r="AF31">
        <v>7274.6139999999996</v>
      </c>
      <c r="AG31" t="b">
        <v>1</v>
      </c>
      <c r="AH31">
        <v>-1</v>
      </c>
      <c r="AI31" t="s">
        <v>64</v>
      </c>
      <c r="AJ31">
        <v>0</v>
      </c>
      <c r="AK31" t="b">
        <v>0</v>
      </c>
      <c r="AL31">
        <v>7274.6139999999996</v>
      </c>
      <c r="AM31" t="b">
        <v>1</v>
      </c>
      <c r="AN31">
        <v>0</v>
      </c>
      <c r="AO31" t="b">
        <v>0</v>
      </c>
      <c r="AQ31">
        <v>14801395.437000001</v>
      </c>
      <c r="AR31">
        <v>14801395.437000001</v>
      </c>
      <c r="AS31">
        <v>6</v>
      </c>
      <c r="AT31" t="b">
        <v>0</v>
      </c>
      <c r="AU31" t="b">
        <v>1</v>
      </c>
      <c r="AV31" t="b">
        <v>1</v>
      </c>
      <c r="AW31" t="b">
        <v>1</v>
      </c>
      <c r="BC31" t="str">
        <f t="shared" si="0"/>
        <v>Normal</v>
      </c>
    </row>
    <row r="32" spans="1:55" x14ac:dyDescent="0.2">
      <c r="A32" t="s">
        <v>39</v>
      </c>
      <c r="B32" t="s">
        <v>40</v>
      </c>
      <c r="C32">
        <v>20190101</v>
      </c>
      <c r="D32">
        <v>2019</v>
      </c>
      <c r="E32">
        <v>52</v>
      </c>
      <c r="F32" t="s">
        <v>41</v>
      </c>
      <c r="G32">
        <v>208</v>
      </c>
      <c r="H32" t="s">
        <v>118</v>
      </c>
      <c r="I32" t="s">
        <v>119</v>
      </c>
      <c r="J32" t="s">
        <v>44</v>
      </c>
      <c r="K32" t="s">
        <v>45</v>
      </c>
      <c r="L32">
        <v>0</v>
      </c>
      <c r="M32" t="s">
        <v>46</v>
      </c>
      <c r="N32" t="s">
        <v>47</v>
      </c>
      <c r="O32">
        <v>0</v>
      </c>
      <c r="P32" t="s">
        <v>46</v>
      </c>
      <c r="Q32" t="s">
        <v>47</v>
      </c>
      <c r="R32" t="s">
        <v>48</v>
      </c>
      <c r="S32" t="s">
        <v>49</v>
      </c>
      <c r="T32" t="b">
        <v>1</v>
      </c>
      <c r="U32" t="s">
        <v>50</v>
      </c>
      <c r="V32" t="s">
        <v>51</v>
      </c>
      <c r="W32">
        <v>4</v>
      </c>
      <c r="X32" t="b">
        <v>0</v>
      </c>
      <c r="Y32" t="s">
        <v>52</v>
      </c>
      <c r="Z32" t="s">
        <v>53</v>
      </c>
      <c r="AA32" t="s">
        <v>54</v>
      </c>
      <c r="AB32">
        <v>0</v>
      </c>
      <c r="AC32" t="s">
        <v>55</v>
      </c>
      <c r="AD32">
        <v>8</v>
      </c>
      <c r="AE32" t="s">
        <v>56</v>
      </c>
      <c r="AF32">
        <v>470.625</v>
      </c>
      <c r="AG32" t="b">
        <v>0</v>
      </c>
      <c r="AH32">
        <v>15</v>
      </c>
      <c r="AI32" t="s">
        <v>59</v>
      </c>
      <c r="AJ32">
        <v>469626</v>
      </c>
      <c r="AK32" t="b">
        <v>0</v>
      </c>
      <c r="AL32">
        <v>0</v>
      </c>
      <c r="AM32" t="b">
        <v>0</v>
      </c>
      <c r="AN32">
        <v>0</v>
      </c>
      <c r="AO32" t="b">
        <v>0</v>
      </c>
      <c r="AP32">
        <v>0</v>
      </c>
      <c r="AQ32">
        <v>18032536.611000001</v>
      </c>
      <c r="AR32">
        <v>18032536.611000001</v>
      </c>
      <c r="AS32">
        <v>0</v>
      </c>
      <c r="AT32" t="b">
        <v>0</v>
      </c>
      <c r="AU32" t="b">
        <v>1</v>
      </c>
      <c r="AV32" t="b">
        <v>1</v>
      </c>
      <c r="AW32" t="b">
        <v>1</v>
      </c>
      <c r="BC32" t="str">
        <f t="shared" si="0"/>
        <v>Normal</v>
      </c>
    </row>
    <row r="33" spans="1:55" x14ac:dyDescent="0.2">
      <c r="A33" t="s">
        <v>39</v>
      </c>
      <c r="B33" t="s">
        <v>40</v>
      </c>
      <c r="C33">
        <v>20190101</v>
      </c>
      <c r="D33">
        <v>2019</v>
      </c>
      <c r="E33">
        <v>52</v>
      </c>
      <c r="F33" t="s">
        <v>41</v>
      </c>
      <c r="G33">
        <v>214</v>
      </c>
      <c r="H33" t="s">
        <v>120</v>
      </c>
      <c r="I33" t="s">
        <v>121</v>
      </c>
      <c r="J33" t="s">
        <v>44</v>
      </c>
      <c r="K33" t="s">
        <v>45</v>
      </c>
      <c r="L33">
        <v>0</v>
      </c>
      <c r="M33" t="s">
        <v>46</v>
      </c>
      <c r="N33" t="s">
        <v>47</v>
      </c>
      <c r="O33">
        <v>0</v>
      </c>
      <c r="P33" t="s">
        <v>46</v>
      </c>
      <c r="Q33" t="s">
        <v>47</v>
      </c>
      <c r="R33" t="s">
        <v>48</v>
      </c>
      <c r="S33" t="s">
        <v>49</v>
      </c>
      <c r="T33" t="b">
        <v>1</v>
      </c>
      <c r="U33" t="s">
        <v>50</v>
      </c>
      <c r="V33" t="s">
        <v>51</v>
      </c>
      <c r="W33">
        <v>4</v>
      </c>
      <c r="X33" t="b">
        <v>0</v>
      </c>
      <c r="Y33" t="s">
        <v>52</v>
      </c>
      <c r="Z33" t="s">
        <v>53</v>
      </c>
      <c r="AA33" t="s">
        <v>54</v>
      </c>
      <c r="AB33">
        <v>0</v>
      </c>
      <c r="AC33" t="s">
        <v>55</v>
      </c>
      <c r="AD33">
        <v>-1</v>
      </c>
      <c r="AE33" t="s">
        <v>64</v>
      </c>
      <c r="AF33">
        <v>0</v>
      </c>
      <c r="AG33" t="b">
        <v>0</v>
      </c>
      <c r="AH33">
        <v>-1</v>
      </c>
      <c r="AI33" t="s">
        <v>64</v>
      </c>
      <c r="AJ33">
        <v>0</v>
      </c>
      <c r="AK33" t="b">
        <v>0</v>
      </c>
      <c r="AL33" s="1">
        <v>147420.67000000001</v>
      </c>
      <c r="AM33" t="b">
        <v>1</v>
      </c>
      <c r="AN33">
        <v>0</v>
      </c>
      <c r="AO33" t="b">
        <v>0</v>
      </c>
      <c r="AQ33">
        <v>1629060909.4130001</v>
      </c>
      <c r="AR33">
        <v>1629060909.4130001</v>
      </c>
      <c r="AS33">
        <v>4</v>
      </c>
      <c r="AT33" t="b">
        <v>0</v>
      </c>
      <c r="AU33" t="b">
        <v>1</v>
      </c>
      <c r="AV33" t="b">
        <v>1</v>
      </c>
      <c r="AW33" t="b">
        <v>1</v>
      </c>
      <c r="BC33" t="str">
        <f t="shared" si="0"/>
        <v>Outlier</v>
      </c>
    </row>
    <row r="34" spans="1:55" x14ac:dyDescent="0.2">
      <c r="A34" t="s">
        <v>39</v>
      </c>
      <c r="B34" t="s">
        <v>40</v>
      </c>
      <c r="C34">
        <v>20190101</v>
      </c>
      <c r="D34">
        <v>2019</v>
      </c>
      <c r="E34">
        <v>52</v>
      </c>
      <c r="F34" t="s">
        <v>41</v>
      </c>
      <c r="G34">
        <v>218</v>
      </c>
      <c r="H34" t="s">
        <v>122</v>
      </c>
      <c r="I34" t="s">
        <v>123</v>
      </c>
      <c r="J34" t="s">
        <v>44</v>
      </c>
      <c r="K34" t="s">
        <v>45</v>
      </c>
      <c r="L34">
        <v>0</v>
      </c>
      <c r="M34" t="s">
        <v>46</v>
      </c>
      <c r="N34" t="s">
        <v>47</v>
      </c>
      <c r="O34">
        <v>0</v>
      </c>
      <c r="P34" t="s">
        <v>46</v>
      </c>
      <c r="Q34" t="s">
        <v>47</v>
      </c>
      <c r="R34" t="s">
        <v>48</v>
      </c>
      <c r="S34" t="s">
        <v>49</v>
      </c>
      <c r="T34" t="b">
        <v>1</v>
      </c>
      <c r="U34" t="s">
        <v>50</v>
      </c>
      <c r="V34" t="s">
        <v>51</v>
      </c>
      <c r="W34">
        <v>4</v>
      </c>
      <c r="X34" t="b">
        <v>0</v>
      </c>
      <c r="Y34" t="s">
        <v>52</v>
      </c>
      <c r="Z34" t="s">
        <v>53</v>
      </c>
      <c r="AA34" t="s">
        <v>54</v>
      </c>
      <c r="AB34">
        <v>0</v>
      </c>
      <c r="AC34" t="s">
        <v>55</v>
      </c>
      <c r="AD34">
        <v>8</v>
      </c>
      <c r="AE34" t="s">
        <v>56</v>
      </c>
      <c r="AF34">
        <v>7913.0640000000003</v>
      </c>
      <c r="AG34" t="b">
        <v>0</v>
      </c>
      <c r="AH34">
        <v>8</v>
      </c>
      <c r="AI34" t="s">
        <v>56</v>
      </c>
      <c r="AJ34">
        <v>7913.0640000000003</v>
      </c>
      <c r="AK34" t="b">
        <v>0</v>
      </c>
      <c r="AL34">
        <v>7913.0640000000003</v>
      </c>
      <c r="AM34" t="b">
        <v>0</v>
      </c>
      <c r="AN34">
        <v>0</v>
      </c>
      <c r="AO34" t="b">
        <v>0</v>
      </c>
      <c r="AP34">
        <v>0</v>
      </c>
      <c r="AQ34">
        <v>194162210.20500001</v>
      </c>
      <c r="AR34">
        <v>194162210.20500001</v>
      </c>
      <c r="AS34">
        <v>0</v>
      </c>
      <c r="AT34" t="b">
        <v>0</v>
      </c>
      <c r="AU34" t="b">
        <v>1</v>
      </c>
      <c r="AV34" t="b">
        <v>1</v>
      </c>
      <c r="AW34" t="b">
        <v>1</v>
      </c>
      <c r="BC34" t="str">
        <f t="shared" si="0"/>
        <v>Normal</v>
      </c>
    </row>
    <row r="35" spans="1:55" x14ac:dyDescent="0.2">
      <c r="A35" t="s">
        <v>39</v>
      </c>
      <c r="B35" t="s">
        <v>40</v>
      </c>
      <c r="C35">
        <v>20190101</v>
      </c>
      <c r="D35">
        <v>2019</v>
      </c>
      <c r="E35">
        <v>52</v>
      </c>
      <c r="F35" t="s">
        <v>41</v>
      </c>
      <c r="G35">
        <v>233</v>
      </c>
      <c r="H35" t="s">
        <v>124</v>
      </c>
      <c r="I35" t="s">
        <v>125</v>
      </c>
      <c r="J35" t="s">
        <v>44</v>
      </c>
      <c r="K35" t="s">
        <v>45</v>
      </c>
      <c r="L35">
        <v>0</v>
      </c>
      <c r="M35" t="s">
        <v>46</v>
      </c>
      <c r="N35" t="s">
        <v>47</v>
      </c>
      <c r="O35">
        <v>0</v>
      </c>
      <c r="P35" t="s">
        <v>46</v>
      </c>
      <c r="Q35" t="s">
        <v>47</v>
      </c>
      <c r="R35" t="s">
        <v>48</v>
      </c>
      <c r="S35" t="s">
        <v>49</v>
      </c>
      <c r="T35" t="b">
        <v>1</v>
      </c>
      <c r="U35" t="s">
        <v>50</v>
      </c>
      <c r="V35" t="s">
        <v>51</v>
      </c>
      <c r="W35">
        <v>4</v>
      </c>
      <c r="X35" t="b">
        <v>0</v>
      </c>
      <c r="Y35" t="s">
        <v>52</v>
      </c>
      <c r="Z35" t="s">
        <v>53</v>
      </c>
      <c r="AA35" t="s">
        <v>54</v>
      </c>
      <c r="AB35">
        <v>0</v>
      </c>
      <c r="AC35" t="s">
        <v>55</v>
      </c>
      <c r="AD35">
        <v>8</v>
      </c>
      <c r="AE35" t="s">
        <v>56</v>
      </c>
      <c r="AF35">
        <v>1668.6780000000001</v>
      </c>
      <c r="AG35" t="b">
        <v>0</v>
      </c>
      <c r="AH35">
        <v>15</v>
      </c>
      <c r="AI35" t="s">
        <v>59</v>
      </c>
      <c r="AJ35">
        <v>1668677.5</v>
      </c>
      <c r="AK35" t="b">
        <v>0</v>
      </c>
      <c r="AL35">
        <v>1668.711</v>
      </c>
      <c r="AM35" t="b">
        <v>0</v>
      </c>
      <c r="AN35">
        <v>0</v>
      </c>
      <c r="AO35" t="b">
        <v>0</v>
      </c>
      <c r="AP35">
        <v>0</v>
      </c>
      <c r="AQ35">
        <v>69015988.959000006</v>
      </c>
      <c r="AR35">
        <v>69015988.959000006</v>
      </c>
      <c r="AS35">
        <v>0</v>
      </c>
      <c r="AT35" t="b">
        <v>0</v>
      </c>
      <c r="AU35" t="b">
        <v>1</v>
      </c>
      <c r="AV35" t="b">
        <v>1</v>
      </c>
      <c r="AW35" t="b">
        <v>1</v>
      </c>
      <c r="BC35" t="str">
        <f t="shared" si="0"/>
        <v>Normal</v>
      </c>
    </row>
    <row r="36" spans="1:55" x14ac:dyDescent="0.2">
      <c r="A36" t="s">
        <v>39</v>
      </c>
      <c r="B36" t="s">
        <v>40</v>
      </c>
      <c r="C36">
        <v>20190101</v>
      </c>
      <c r="D36">
        <v>2019</v>
      </c>
      <c r="E36">
        <v>52</v>
      </c>
      <c r="F36" t="s">
        <v>41</v>
      </c>
      <c r="G36">
        <v>242</v>
      </c>
      <c r="H36" t="s">
        <v>126</v>
      </c>
      <c r="I36" t="s">
        <v>127</v>
      </c>
      <c r="J36" t="s">
        <v>44</v>
      </c>
      <c r="K36" t="s">
        <v>45</v>
      </c>
      <c r="L36">
        <v>0</v>
      </c>
      <c r="M36" t="s">
        <v>46</v>
      </c>
      <c r="N36" t="s">
        <v>47</v>
      </c>
      <c r="O36">
        <v>0</v>
      </c>
      <c r="P36" t="s">
        <v>46</v>
      </c>
      <c r="Q36" t="s">
        <v>47</v>
      </c>
      <c r="R36" t="s">
        <v>48</v>
      </c>
      <c r="S36" t="s">
        <v>49</v>
      </c>
      <c r="T36" t="b">
        <v>1</v>
      </c>
      <c r="U36" t="s">
        <v>50</v>
      </c>
      <c r="V36" t="s">
        <v>51</v>
      </c>
      <c r="W36">
        <v>4</v>
      </c>
      <c r="X36" t="b">
        <v>0</v>
      </c>
      <c r="Y36" t="s">
        <v>52</v>
      </c>
      <c r="Z36" t="s">
        <v>53</v>
      </c>
      <c r="AA36" t="s">
        <v>54</v>
      </c>
      <c r="AB36">
        <v>0</v>
      </c>
      <c r="AC36" t="s">
        <v>55</v>
      </c>
      <c r="AD36">
        <v>8</v>
      </c>
      <c r="AE36" t="s">
        <v>56</v>
      </c>
      <c r="AF36">
        <v>1840.5540000000001</v>
      </c>
      <c r="AG36" t="b">
        <v>1</v>
      </c>
      <c r="AH36">
        <v>-1</v>
      </c>
      <c r="AI36" t="s">
        <v>64</v>
      </c>
      <c r="AJ36">
        <v>0</v>
      </c>
      <c r="AK36" t="b">
        <v>0</v>
      </c>
      <c r="AL36">
        <v>1840.5540000000001</v>
      </c>
      <c r="AM36" t="b">
        <v>1</v>
      </c>
      <c r="AN36">
        <v>0</v>
      </c>
      <c r="AO36" t="b">
        <v>0</v>
      </c>
      <c r="AP36">
        <v>0</v>
      </c>
      <c r="AQ36">
        <v>50253923.475000001</v>
      </c>
      <c r="AR36">
        <v>50253923.475000001</v>
      </c>
      <c r="AS36">
        <v>6</v>
      </c>
      <c r="AT36" t="b">
        <v>0</v>
      </c>
      <c r="AU36" t="b">
        <v>1</v>
      </c>
      <c r="AV36" t="b">
        <v>1</v>
      </c>
      <c r="AW36" t="b">
        <v>1</v>
      </c>
      <c r="BC36" t="str">
        <f t="shared" si="0"/>
        <v>Normal</v>
      </c>
    </row>
    <row r="37" spans="1:55" x14ac:dyDescent="0.2">
      <c r="A37" t="s">
        <v>39</v>
      </c>
      <c r="B37" t="s">
        <v>40</v>
      </c>
      <c r="C37">
        <v>20190101</v>
      </c>
      <c r="D37">
        <v>2019</v>
      </c>
      <c r="E37">
        <v>52</v>
      </c>
      <c r="F37" t="s">
        <v>41</v>
      </c>
      <c r="G37">
        <v>246</v>
      </c>
      <c r="H37" t="s">
        <v>128</v>
      </c>
      <c r="I37" t="s">
        <v>129</v>
      </c>
      <c r="J37" t="s">
        <v>44</v>
      </c>
      <c r="K37" t="s">
        <v>45</v>
      </c>
      <c r="L37">
        <v>0</v>
      </c>
      <c r="M37" t="s">
        <v>46</v>
      </c>
      <c r="N37" t="s">
        <v>47</v>
      </c>
      <c r="O37">
        <v>0</v>
      </c>
      <c r="P37" t="s">
        <v>46</v>
      </c>
      <c r="Q37" t="s">
        <v>47</v>
      </c>
      <c r="R37" t="s">
        <v>48</v>
      </c>
      <c r="S37" t="s">
        <v>49</v>
      </c>
      <c r="T37" t="b">
        <v>1</v>
      </c>
      <c r="U37" t="s">
        <v>50</v>
      </c>
      <c r="V37" t="s">
        <v>51</v>
      </c>
      <c r="W37">
        <v>4</v>
      </c>
      <c r="X37" t="b">
        <v>0</v>
      </c>
      <c r="Y37" t="s">
        <v>52</v>
      </c>
      <c r="Z37" t="s">
        <v>53</v>
      </c>
      <c r="AA37" t="s">
        <v>54</v>
      </c>
      <c r="AB37">
        <v>0</v>
      </c>
      <c r="AC37" t="s">
        <v>55</v>
      </c>
      <c r="AD37">
        <v>8</v>
      </c>
      <c r="AE37" t="s">
        <v>56</v>
      </c>
      <c r="AF37">
        <v>5950.0540000000001</v>
      </c>
      <c r="AG37" t="b">
        <v>1</v>
      </c>
      <c r="AH37">
        <v>-1</v>
      </c>
      <c r="AI37" t="s">
        <v>64</v>
      </c>
      <c r="AJ37">
        <v>0</v>
      </c>
      <c r="AK37" t="b">
        <v>0</v>
      </c>
      <c r="AL37">
        <v>5978.5479999999998</v>
      </c>
      <c r="AM37" t="b">
        <v>1</v>
      </c>
      <c r="AN37">
        <v>0</v>
      </c>
      <c r="AO37" t="b">
        <v>0</v>
      </c>
      <c r="AQ37">
        <v>277467788.76099998</v>
      </c>
      <c r="AR37">
        <v>277467788.76099998</v>
      </c>
      <c r="AS37">
        <v>6</v>
      </c>
      <c r="AT37" t="b">
        <v>0</v>
      </c>
      <c r="AU37" t="b">
        <v>1</v>
      </c>
      <c r="AV37" t="b">
        <v>1</v>
      </c>
      <c r="AW37" t="b">
        <v>1</v>
      </c>
      <c r="BC37" t="str">
        <f t="shared" si="0"/>
        <v>Normal</v>
      </c>
    </row>
    <row r="38" spans="1:55" x14ac:dyDescent="0.2">
      <c r="A38" t="s">
        <v>39</v>
      </c>
      <c r="B38" t="s">
        <v>40</v>
      </c>
      <c r="C38">
        <v>20190101</v>
      </c>
      <c r="D38">
        <v>2019</v>
      </c>
      <c r="E38">
        <v>52</v>
      </c>
      <c r="F38" t="s">
        <v>41</v>
      </c>
      <c r="G38">
        <v>251</v>
      </c>
      <c r="H38" t="s">
        <v>130</v>
      </c>
      <c r="I38" t="s">
        <v>131</v>
      </c>
      <c r="J38" t="s">
        <v>44</v>
      </c>
      <c r="K38" t="s">
        <v>45</v>
      </c>
      <c r="L38">
        <v>0</v>
      </c>
      <c r="M38" t="s">
        <v>46</v>
      </c>
      <c r="N38" t="s">
        <v>47</v>
      </c>
      <c r="O38">
        <v>0</v>
      </c>
      <c r="P38" t="s">
        <v>46</v>
      </c>
      <c r="Q38" t="s">
        <v>47</v>
      </c>
      <c r="R38" t="s">
        <v>48</v>
      </c>
      <c r="S38" t="s">
        <v>49</v>
      </c>
      <c r="T38" t="b">
        <v>1</v>
      </c>
      <c r="U38" t="s">
        <v>50</v>
      </c>
      <c r="V38" t="s">
        <v>51</v>
      </c>
      <c r="W38">
        <v>4</v>
      </c>
      <c r="X38" t="b">
        <v>0</v>
      </c>
      <c r="Y38" t="s">
        <v>52</v>
      </c>
      <c r="Z38" t="s">
        <v>53</v>
      </c>
      <c r="AA38" t="s">
        <v>54</v>
      </c>
      <c r="AB38">
        <v>0</v>
      </c>
      <c r="AC38" t="s">
        <v>55</v>
      </c>
      <c r="AD38">
        <v>-1</v>
      </c>
      <c r="AE38" t="s">
        <v>64</v>
      </c>
      <c r="AF38">
        <v>0</v>
      </c>
      <c r="AG38" t="b">
        <v>1</v>
      </c>
      <c r="AH38">
        <v>-1</v>
      </c>
      <c r="AI38" t="s">
        <v>64</v>
      </c>
      <c r="AJ38">
        <v>0</v>
      </c>
      <c r="AK38" t="b">
        <v>0</v>
      </c>
      <c r="AM38" t="b">
        <v>1</v>
      </c>
      <c r="AN38">
        <v>0</v>
      </c>
      <c r="AO38" t="b">
        <v>0</v>
      </c>
      <c r="AQ38">
        <v>1267192895.2420001</v>
      </c>
      <c r="AR38">
        <v>1267192895.2420001</v>
      </c>
      <c r="AS38">
        <v>6</v>
      </c>
      <c r="AT38" t="b">
        <v>0</v>
      </c>
      <c r="AU38" t="b">
        <v>1</v>
      </c>
      <c r="AV38" t="b">
        <v>1</v>
      </c>
      <c r="AW38" t="b">
        <v>1</v>
      </c>
      <c r="BC38" t="str">
        <f t="shared" si="0"/>
        <v>Normal</v>
      </c>
    </row>
    <row r="39" spans="1:55" x14ac:dyDescent="0.2">
      <c r="A39" t="s">
        <v>39</v>
      </c>
      <c r="B39" t="s">
        <v>40</v>
      </c>
      <c r="C39">
        <v>20190101</v>
      </c>
      <c r="D39">
        <v>2019</v>
      </c>
      <c r="E39">
        <v>52</v>
      </c>
      <c r="F39" t="s">
        <v>41</v>
      </c>
      <c r="G39">
        <v>258</v>
      </c>
      <c r="H39" t="s">
        <v>132</v>
      </c>
      <c r="I39" t="s">
        <v>133</v>
      </c>
      <c r="J39" t="s">
        <v>44</v>
      </c>
      <c r="K39" t="s">
        <v>45</v>
      </c>
      <c r="L39">
        <v>0</v>
      </c>
      <c r="M39" t="s">
        <v>46</v>
      </c>
      <c r="N39" t="s">
        <v>47</v>
      </c>
      <c r="O39">
        <v>0</v>
      </c>
      <c r="P39" t="s">
        <v>46</v>
      </c>
      <c r="Q39" t="s">
        <v>47</v>
      </c>
      <c r="R39" t="s">
        <v>48</v>
      </c>
      <c r="S39" t="s">
        <v>49</v>
      </c>
      <c r="T39" t="b">
        <v>1</v>
      </c>
      <c r="U39" t="s">
        <v>50</v>
      </c>
      <c r="V39" t="s">
        <v>51</v>
      </c>
      <c r="W39">
        <v>4</v>
      </c>
      <c r="X39" t="b">
        <v>0</v>
      </c>
      <c r="Y39" t="s">
        <v>52</v>
      </c>
      <c r="Z39" t="s">
        <v>53</v>
      </c>
      <c r="AA39" t="s">
        <v>54</v>
      </c>
      <c r="AB39">
        <v>0</v>
      </c>
      <c r="AC39" t="s">
        <v>55</v>
      </c>
      <c r="AD39">
        <v>8</v>
      </c>
      <c r="AE39" t="s">
        <v>56</v>
      </c>
      <c r="AF39">
        <v>6.53</v>
      </c>
      <c r="AG39" t="b">
        <v>0</v>
      </c>
      <c r="AH39">
        <v>15</v>
      </c>
      <c r="AI39" t="s">
        <v>59</v>
      </c>
      <c r="AJ39">
        <v>6530</v>
      </c>
      <c r="AK39" t="b">
        <v>0</v>
      </c>
      <c r="AL39">
        <v>6.53</v>
      </c>
      <c r="AM39" t="b">
        <v>0</v>
      </c>
      <c r="AN39">
        <v>0</v>
      </c>
      <c r="AO39" t="b">
        <v>0</v>
      </c>
      <c r="AP39">
        <v>0</v>
      </c>
      <c r="AQ39">
        <v>182069.55300000001</v>
      </c>
      <c r="AR39">
        <v>182069.55300000001</v>
      </c>
      <c r="AS39">
        <v>0</v>
      </c>
      <c r="AT39" t="b">
        <v>0</v>
      </c>
      <c r="AU39" t="b">
        <v>1</v>
      </c>
      <c r="AV39" t="b">
        <v>1</v>
      </c>
      <c r="AW39" t="b">
        <v>1</v>
      </c>
      <c r="BC39" t="str">
        <f t="shared" si="0"/>
        <v>Normal</v>
      </c>
    </row>
    <row r="40" spans="1:55" x14ac:dyDescent="0.2">
      <c r="A40" t="s">
        <v>39</v>
      </c>
      <c r="B40" t="s">
        <v>40</v>
      </c>
      <c r="C40">
        <v>20190101</v>
      </c>
      <c r="D40">
        <v>2019</v>
      </c>
      <c r="E40">
        <v>52</v>
      </c>
      <c r="F40" t="s">
        <v>41</v>
      </c>
      <c r="G40">
        <v>266</v>
      </c>
      <c r="H40" t="s">
        <v>134</v>
      </c>
      <c r="I40" t="s">
        <v>135</v>
      </c>
      <c r="J40" t="s">
        <v>44</v>
      </c>
      <c r="K40" t="s">
        <v>45</v>
      </c>
      <c r="L40">
        <v>0</v>
      </c>
      <c r="M40" t="s">
        <v>46</v>
      </c>
      <c r="N40" t="s">
        <v>47</v>
      </c>
      <c r="O40">
        <v>0</v>
      </c>
      <c r="P40" t="s">
        <v>46</v>
      </c>
      <c r="Q40" t="s">
        <v>47</v>
      </c>
      <c r="R40" t="s">
        <v>136</v>
      </c>
      <c r="S40" t="s">
        <v>49</v>
      </c>
      <c r="T40" t="b">
        <v>1</v>
      </c>
      <c r="U40" t="s">
        <v>50</v>
      </c>
      <c r="V40" t="s">
        <v>51</v>
      </c>
      <c r="W40">
        <v>4</v>
      </c>
      <c r="X40" t="b">
        <v>0</v>
      </c>
      <c r="Y40" t="s">
        <v>52</v>
      </c>
      <c r="Z40" t="s">
        <v>53</v>
      </c>
      <c r="AA40" t="s">
        <v>54</v>
      </c>
      <c r="AB40">
        <v>0</v>
      </c>
      <c r="AC40" t="s">
        <v>55</v>
      </c>
      <c r="AD40">
        <v>8</v>
      </c>
      <c r="AE40" t="s">
        <v>56</v>
      </c>
      <c r="AF40">
        <v>107</v>
      </c>
      <c r="AG40" t="b">
        <v>0</v>
      </c>
      <c r="AH40">
        <v>8</v>
      </c>
      <c r="AI40" t="s">
        <v>56</v>
      </c>
      <c r="AJ40">
        <v>107</v>
      </c>
      <c r="AK40" t="b">
        <v>0</v>
      </c>
      <c r="AL40">
        <v>107</v>
      </c>
      <c r="AM40" t="b">
        <v>0</v>
      </c>
      <c r="AN40">
        <v>0</v>
      </c>
      <c r="AO40" t="b">
        <v>0</v>
      </c>
      <c r="AQ40">
        <v>4647281.6830000002</v>
      </c>
      <c r="AR40">
        <v>4647281.6830000002</v>
      </c>
      <c r="AS40">
        <v>0</v>
      </c>
      <c r="AT40" t="b">
        <v>0</v>
      </c>
      <c r="AU40" t="b">
        <v>1</v>
      </c>
      <c r="AV40" t="b">
        <v>1</v>
      </c>
      <c r="AW40" t="b">
        <v>1</v>
      </c>
      <c r="BC40" t="str">
        <f t="shared" si="0"/>
        <v>Normal</v>
      </c>
    </row>
    <row r="41" spans="1:55" x14ac:dyDescent="0.2">
      <c r="A41" t="s">
        <v>39</v>
      </c>
      <c r="B41" t="s">
        <v>40</v>
      </c>
      <c r="C41">
        <v>20190101</v>
      </c>
      <c r="D41">
        <v>2019</v>
      </c>
      <c r="E41">
        <v>52</v>
      </c>
      <c r="F41" t="s">
        <v>41</v>
      </c>
      <c r="G41">
        <v>268</v>
      </c>
      <c r="H41" t="s">
        <v>137</v>
      </c>
      <c r="I41" t="s">
        <v>138</v>
      </c>
      <c r="J41" t="s">
        <v>44</v>
      </c>
      <c r="K41" t="s">
        <v>45</v>
      </c>
      <c r="L41">
        <v>0</v>
      </c>
      <c r="M41" t="s">
        <v>46</v>
      </c>
      <c r="N41" t="s">
        <v>47</v>
      </c>
      <c r="O41">
        <v>0</v>
      </c>
      <c r="P41" t="s">
        <v>46</v>
      </c>
      <c r="Q41" t="s">
        <v>47</v>
      </c>
      <c r="R41" t="s">
        <v>48</v>
      </c>
      <c r="S41" t="s">
        <v>49</v>
      </c>
      <c r="T41" t="b">
        <v>1</v>
      </c>
      <c r="U41" t="s">
        <v>50</v>
      </c>
      <c r="V41" t="s">
        <v>51</v>
      </c>
      <c r="W41">
        <v>4</v>
      </c>
      <c r="X41" t="b">
        <v>0</v>
      </c>
      <c r="Y41" t="s">
        <v>52</v>
      </c>
      <c r="Z41" t="s">
        <v>53</v>
      </c>
      <c r="AA41" t="s">
        <v>54</v>
      </c>
      <c r="AB41">
        <v>0</v>
      </c>
      <c r="AC41" t="s">
        <v>55</v>
      </c>
      <c r="AD41">
        <v>8</v>
      </c>
      <c r="AE41" t="s">
        <v>56</v>
      </c>
      <c r="AF41">
        <v>2618.7460000000001</v>
      </c>
      <c r="AG41" t="b">
        <v>0</v>
      </c>
      <c r="AH41">
        <v>15</v>
      </c>
      <c r="AI41" t="s">
        <v>59</v>
      </c>
      <c r="AJ41">
        <v>2618746.4</v>
      </c>
      <c r="AK41" t="b">
        <v>0</v>
      </c>
      <c r="AL41">
        <v>2619.48</v>
      </c>
      <c r="AM41" t="b">
        <v>0</v>
      </c>
      <c r="AN41">
        <v>0</v>
      </c>
      <c r="AO41" t="b">
        <v>0</v>
      </c>
      <c r="AQ41">
        <v>72832035.209999993</v>
      </c>
      <c r="AR41">
        <v>72832035.209999993</v>
      </c>
      <c r="AS41">
        <v>0</v>
      </c>
      <c r="AT41" t="b">
        <v>0</v>
      </c>
      <c r="AU41" t="b">
        <v>1</v>
      </c>
      <c r="AV41" t="b">
        <v>1</v>
      </c>
      <c r="AW41" t="b">
        <v>1</v>
      </c>
      <c r="BC41" t="str">
        <f t="shared" si="0"/>
        <v>Normal</v>
      </c>
    </row>
    <row r="42" spans="1:55" x14ac:dyDescent="0.2">
      <c r="A42" t="s">
        <v>39</v>
      </c>
      <c r="B42" t="s">
        <v>40</v>
      </c>
      <c r="C42">
        <v>20190101</v>
      </c>
      <c r="D42">
        <v>2019</v>
      </c>
      <c r="E42">
        <v>52</v>
      </c>
      <c r="F42" t="s">
        <v>41</v>
      </c>
      <c r="G42">
        <v>276</v>
      </c>
      <c r="H42" t="s">
        <v>139</v>
      </c>
      <c r="I42" t="s">
        <v>140</v>
      </c>
      <c r="J42" t="s">
        <v>44</v>
      </c>
      <c r="K42" t="s">
        <v>45</v>
      </c>
      <c r="L42">
        <v>0</v>
      </c>
      <c r="M42" t="s">
        <v>46</v>
      </c>
      <c r="N42" t="s">
        <v>47</v>
      </c>
      <c r="O42">
        <v>0</v>
      </c>
      <c r="P42" t="s">
        <v>46</v>
      </c>
      <c r="Q42" t="s">
        <v>47</v>
      </c>
      <c r="R42" t="s">
        <v>48</v>
      </c>
      <c r="S42" t="s">
        <v>49</v>
      </c>
      <c r="T42" t="b">
        <v>1</v>
      </c>
      <c r="U42" t="s">
        <v>50</v>
      </c>
      <c r="V42" t="s">
        <v>51</v>
      </c>
      <c r="W42">
        <v>4</v>
      </c>
      <c r="X42" t="b">
        <v>0</v>
      </c>
      <c r="Y42" t="s">
        <v>52</v>
      </c>
      <c r="Z42" t="s">
        <v>53</v>
      </c>
      <c r="AA42" t="s">
        <v>54</v>
      </c>
      <c r="AB42">
        <v>0</v>
      </c>
      <c r="AC42" t="s">
        <v>55</v>
      </c>
      <c r="AD42">
        <v>8</v>
      </c>
      <c r="AE42" t="s">
        <v>56</v>
      </c>
      <c r="AF42">
        <v>181397.83499999999</v>
      </c>
      <c r="AG42" t="b">
        <v>1</v>
      </c>
      <c r="AH42">
        <v>-1</v>
      </c>
      <c r="AI42" t="s">
        <v>64</v>
      </c>
      <c r="AJ42">
        <v>0</v>
      </c>
      <c r="AK42" t="b">
        <v>0</v>
      </c>
      <c r="AL42" s="1">
        <v>181304.068</v>
      </c>
      <c r="AM42" t="b">
        <v>1</v>
      </c>
      <c r="AN42">
        <v>0</v>
      </c>
      <c r="AO42" t="b">
        <v>0</v>
      </c>
      <c r="AQ42">
        <v>6730062732.941</v>
      </c>
      <c r="AR42">
        <v>6730062732.941</v>
      </c>
      <c r="AS42">
        <v>6</v>
      </c>
      <c r="AT42" t="b">
        <v>0</v>
      </c>
      <c r="AU42" t="b">
        <v>1</v>
      </c>
      <c r="AV42" t="b">
        <v>1</v>
      </c>
      <c r="AW42" t="b">
        <v>1</v>
      </c>
      <c r="BC42" t="str">
        <f t="shared" si="0"/>
        <v>Outlier</v>
      </c>
    </row>
    <row r="43" spans="1:55" x14ac:dyDescent="0.2">
      <c r="A43" t="s">
        <v>39</v>
      </c>
      <c r="B43" t="s">
        <v>40</v>
      </c>
      <c r="C43">
        <v>20190101</v>
      </c>
      <c r="D43">
        <v>2019</v>
      </c>
      <c r="E43">
        <v>52</v>
      </c>
      <c r="F43" t="s">
        <v>41</v>
      </c>
      <c r="G43">
        <v>288</v>
      </c>
      <c r="H43" t="s">
        <v>141</v>
      </c>
      <c r="I43" t="s">
        <v>142</v>
      </c>
      <c r="J43" t="s">
        <v>44</v>
      </c>
      <c r="K43" t="s">
        <v>45</v>
      </c>
      <c r="L43">
        <v>0</v>
      </c>
      <c r="M43" t="s">
        <v>46</v>
      </c>
      <c r="N43" t="s">
        <v>47</v>
      </c>
      <c r="O43">
        <v>0</v>
      </c>
      <c r="P43" t="s">
        <v>46</v>
      </c>
      <c r="Q43" t="s">
        <v>47</v>
      </c>
      <c r="R43" t="s">
        <v>48</v>
      </c>
      <c r="S43" t="s">
        <v>49</v>
      </c>
      <c r="T43" t="b">
        <v>1</v>
      </c>
      <c r="U43" t="s">
        <v>50</v>
      </c>
      <c r="V43" t="s">
        <v>51</v>
      </c>
      <c r="W43">
        <v>4</v>
      </c>
      <c r="X43" t="b">
        <v>0</v>
      </c>
      <c r="Y43" t="s">
        <v>52</v>
      </c>
      <c r="Z43" t="s">
        <v>53</v>
      </c>
      <c r="AA43" t="s">
        <v>54</v>
      </c>
      <c r="AB43">
        <v>0</v>
      </c>
      <c r="AC43" t="s">
        <v>55</v>
      </c>
      <c r="AD43">
        <v>-1</v>
      </c>
      <c r="AE43" t="s">
        <v>64</v>
      </c>
      <c r="AF43">
        <v>0</v>
      </c>
      <c r="AG43" t="b">
        <v>1</v>
      </c>
      <c r="AH43">
        <v>-1</v>
      </c>
      <c r="AI43" t="s">
        <v>64</v>
      </c>
      <c r="AJ43">
        <v>0</v>
      </c>
      <c r="AK43" t="b">
        <v>0</v>
      </c>
      <c r="AM43" t="b">
        <v>1</v>
      </c>
      <c r="AN43">
        <v>0</v>
      </c>
      <c r="AO43" t="b">
        <v>0</v>
      </c>
      <c r="AQ43">
        <v>6198864188.7150002</v>
      </c>
      <c r="AR43">
        <v>6198864188.7150002</v>
      </c>
      <c r="AS43">
        <v>6</v>
      </c>
      <c r="AT43" t="b">
        <v>0</v>
      </c>
      <c r="AU43" t="b">
        <v>1</v>
      </c>
      <c r="AV43" t="b">
        <v>1</v>
      </c>
      <c r="AW43" t="b">
        <v>1</v>
      </c>
      <c r="BC43" t="str">
        <f t="shared" si="0"/>
        <v>Normal</v>
      </c>
    </row>
    <row r="44" spans="1:55" x14ac:dyDescent="0.2">
      <c r="A44" t="s">
        <v>39</v>
      </c>
      <c r="B44" t="s">
        <v>40</v>
      </c>
      <c r="C44">
        <v>20190101</v>
      </c>
      <c r="D44">
        <v>2019</v>
      </c>
      <c r="E44">
        <v>52</v>
      </c>
      <c r="F44" t="s">
        <v>41</v>
      </c>
      <c r="G44">
        <v>300</v>
      </c>
      <c r="H44" t="s">
        <v>143</v>
      </c>
      <c r="I44" t="s">
        <v>144</v>
      </c>
      <c r="J44" t="s">
        <v>44</v>
      </c>
      <c r="K44" t="s">
        <v>45</v>
      </c>
      <c r="L44">
        <v>0</v>
      </c>
      <c r="M44" t="s">
        <v>46</v>
      </c>
      <c r="N44" t="s">
        <v>47</v>
      </c>
      <c r="O44">
        <v>0</v>
      </c>
      <c r="P44" t="s">
        <v>46</v>
      </c>
      <c r="Q44" t="s">
        <v>47</v>
      </c>
      <c r="R44" t="s">
        <v>48</v>
      </c>
      <c r="S44" t="s">
        <v>49</v>
      </c>
      <c r="T44" t="b">
        <v>1</v>
      </c>
      <c r="U44" t="s">
        <v>50</v>
      </c>
      <c r="V44" t="s">
        <v>51</v>
      </c>
      <c r="W44">
        <v>4</v>
      </c>
      <c r="X44" t="b">
        <v>0</v>
      </c>
      <c r="Y44" t="s">
        <v>52</v>
      </c>
      <c r="Z44" t="s">
        <v>53</v>
      </c>
      <c r="AA44" t="s">
        <v>54</v>
      </c>
      <c r="AB44">
        <v>0</v>
      </c>
      <c r="AC44" t="s">
        <v>55</v>
      </c>
      <c r="AD44">
        <v>-1</v>
      </c>
      <c r="AE44" t="s">
        <v>64</v>
      </c>
      <c r="AF44">
        <v>0</v>
      </c>
      <c r="AG44" t="b">
        <v>1</v>
      </c>
      <c r="AH44">
        <v>-1</v>
      </c>
      <c r="AI44" t="s">
        <v>64</v>
      </c>
      <c r="AJ44">
        <v>0</v>
      </c>
      <c r="AK44" t="b">
        <v>0</v>
      </c>
      <c r="AM44" t="b">
        <v>1</v>
      </c>
      <c r="AN44">
        <v>0</v>
      </c>
      <c r="AO44" t="b">
        <v>0</v>
      </c>
      <c r="AQ44">
        <v>24697513.771000002</v>
      </c>
      <c r="AR44">
        <v>24697513.771000002</v>
      </c>
      <c r="AS44">
        <v>6</v>
      </c>
      <c r="AT44" t="b">
        <v>0</v>
      </c>
      <c r="AU44" t="b">
        <v>1</v>
      </c>
      <c r="AV44" t="b">
        <v>1</v>
      </c>
      <c r="AW44" t="b">
        <v>1</v>
      </c>
      <c r="BC44" t="str">
        <f t="shared" si="0"/>
        <v>Normal</v>
      </c>
    </row>
    <row r="45" spans="1:55" x14ac:dyDescent="0.2">
      <c r="A45" t="s">
        <v>39</v>
      </c>
      <c r="B45" t="s">
        <v>40</v>
      </c>
      <c r="C45">
        <v>20190101</v>
      </c>
      <c r="D45">
        <v>2019</v>
      </c>
      <c r="E45">
        <v>52</v>
      </c>
      <c r="F45" t="s">
        <v>41</v>
      </c>
      <c r="G45">
        <v>328</v>
      </c>
      <c r="H45" t="s">
        <v>145</v>
      </c>
      <c r="I45" t="s">
        <v>146</v>
      </c>
      <c r="J45" t="s">
        <v>44</v>
      </c>
      <c r="K45" t="s">
        <v>45</v>
      </c>
      <c r="L45">
        <v>0</v>
      </c>
      <c r="M45" t="s">
        <v>46</v>
      </c>
      <c r="N45" t="s">
        <v>47</v>
      </c>
      <c r="O45">
        <v>0</v>
      </c>
      <c r="P45" t="s">
        <v>46</v>
      </c>
      <c r="Q45" t="s">
        <v>47</v>
      </c>
      <c r="R45" t="s">
        <v>48</v>
      </c>
      <c r="S45" t="s">
        <v>49</v>
      </c>
      <c r="T45" t="b">
        <v>1</v>
      </c>
      <c r="U45" t="s">
        <v>50</v>
      </c>
      <c r="V45" t="s">
        <v>51</v>
      </c>
      <c r="W45">
        <v>4</v>
      </c>
      <c r="X45" t="b">
        <v>0</v>
      </c>
      <c r="Y45" t="s">
        <v>52</v>
      </c>
      <c r="Z45" t="s">
        <v>53</v>
      </c>
      <c r="AA45" t="s">
        <v>54</v>
      </c>
      <c r="AB45">
        <v>0</v>
      </c>
      <c r="AC45" t="s">
        <v>55</v>
      </c>
      <c r="AD45">
        <v>-1</v>
      </c>
      <c r="AE45" t="s">
        <v>64</v>
      </c>
      <c r="AF45">
        <v>0</v>
      </c>
      <c r="AG45" t="b">
        <v>0</v>
      </c>
      <c r="AH45">
        <v>-1</v>
      </c>
      <c r="AI45" t="s">
        <v>64</v>
      </c>
      <c r="AJ45">
        <v>0</v>
      </c>
      <c r="AK45" t="b">
        <v>0</v>
      </c>
      <c r="AL45">
        <v>0</v>
      </c>
      <c r="AM45" t="b">
        <v>0</v>
      </c>
      <c r="AN45">
        <v>0</v>
      </c>
      <c r="AO45" t="b">
        <v>0</v>
      </c>
      <c r="AP45">
        <v>0</v>
      </c>
      <c r="AQ45">
        <v>882152916.38900006</v>
      </c>
      <c r="AR45">
        <v>882152916.38900006</v>
      </c>
      <c r="AS45">
        <v>0</v>
      </c>
      <c r="AT45" t="b">
        <v>0</v>
      </c>
      <c r="AU45" t="b">
        <v>1</v>
      </c>
      <c r="AV45" t="b">
        <v>1</v>
      </c>
      <c r="AW45" t="b">
        <v>1</v>
      </c>
      <c r="BC45" t="str">
        <f t="shared" si="0"/>
        <v>Normal</v>
      </c>
    </row>
    <row r="46" spans="1:55" x14ac:dyDescent="0.2">
      <c r="A46" t="s">
        <v>39</v>
      </c>
      <c r="B46" t="s">
        <v>40</v>
      </c>
      <c r="C46">
        <v>20190101</v>
      </c>
      <c r="D46">
        <v>2019</v>
      </c>
      <c r="E46">
        <v>52</v>
      </c>
      <c r="F46" t="s">
        <v>41</v>
      </c>
      <c r="G46">
        <v>340</v>
      </c>
      <c r="H46" t="s">
        <v>147</v>
      </c>
      <c r="I46" t="s">
        <v>148</v>
      </c>
      <c r="J46" t="s">
        <v>44</v>
      </c>
      <c r="K46" t="s">
        <v>45</v>
      </c>
      <c r="L46">
        <v>0</v>
      </c>
      <c r="M46" t="s">
        <v>46</v>
      </c>
      <c r="N46" t="s">
        <v>47</v>
      </c>
      <c r="O46">
        <v>0</v>
      </c>
      <c r="P46" t="s">
        <v>46</v>
      </c>
      <c r="Q46" t="s">
        <v>47</v>
      </c>
      <c r="R46" t="s">
        <v>48</v>
      </c>
      <c r="S46" t="s">
        <v>49</v>
      </c>
      <c r="T46" t="b">
        <v>1</v>
      </c>
      <c r="U46" t="s">
        <v>50</v>
      </c>
      <c r="V46" t="s">
        <v>51</v>
      </c>
      <c r="W46">
        <v>4</v>
      </c>
      <c r="X46" t="b">
        <v>0</v>
      </c>
      <c r="Y46" t="s">
        <v>52</v>
      </c>
      <c r="Z46" t="s">
        <v>53</v>
      </c>
      <c r="AA46" t="s">
        <v>54</v>
      </c>
      <c r="AB46">
        <v>0</v>
      </c>
      <c r="AC46" t="s">
        <v>55</v>
      </c>
      <c r="AD46">
        <v>8</v>
      </c>
      <c r="AE46" t="s">
        <v>56</v>
      </c>
      <c r="AF46">
        <v>2191.46</v>
      </c>
      <c r="AG46" t="b">
        <v>0</v>
      </c>
      <c r="AH46">
        <v>8</v>
      </c>
      <c r="AI46" t="s">
        <v>56</v>
      </c>
      <c r="AJ46">
        <v>2191.46</v>
      </c>
      <c r="AK46" t="b">
        <v>0</v>
      </c>
      <c r="AL46">
        <v>2191.46</v>
      </c>
      <c r="AM46" t="b">
        <v>0</v>
      </c>
      <c r="AN46">
        <v>0</v>
      </c>
      <c r="AO46" t="b">
        <v>0</v>
      </c>
      <c r="AQ46">
        <v>84204030.150000006</v>
      </c>
      <c r="AR46">
        <v>84204030.150000006</v>
      </c>
      <c r="AS46">
        <v>0</v>
      </c>
      <c r="AT46" t="b">
        <v>0</v>
      </c>
      <c r="AU46" t="b">
        <v>1</v>
      </c>
      <c r="AV46" t="b">
        <v>1</v>
      </c>
      <c r="AW46" t="b">
        <v>1</v>
      </c>
      <c r="BC46" t="str">
        <f t="shared" si="0"/>
        <v>Normal</v>
      </c>
    </row>
    <row r="47" spans="1:55" x14ac:dyDescent="0.2">
      <c r="A47" t="s">
        <v>39</v>
      </c>
      <c r="B47" t="s">
        <v>40</v>
      </c>
      <c r="C47">
        <v>20190101</v>
      </c>
      <c r="D47">
        <v>2019</v>
      </c>
      <c r="E47">
        <v>52</v>
      </c>
      <c r="F47" t="s">
        <v>41</v>
      </c>
      <c r="G47">
        <v>344</v>
      </c>
      <c r="H47" t="s">
        <v>149</v>
      </c>
      <c r="I47" t="s">
        <v>150</v>
      </c>
      <c r="J47" t="s">
        <v>44</v>
      </c>
      <c r="K47" t="s">
        <v>45</v>
      </c>
      <c r="L47">
        <v>0</v>
      </c>
      <c r="M47" t="s">
        <v>46</v>
      </c>
      <c r="N47" t="s">
        <v>47</v>
      </c>
      <c r="O47">
        <v>0</v>
      </c>
      <c r="P47" t="s">
        <v>46</v>
      </c>
      <c r="Q47" t="s">
        <v>47</v>
      </c>
      <c r="R47" t="s">
        <v>48</v>
      </c>
      <c r="S47" t="s">
        <v>49</v>
      </c>
      <c r="T47" t="b">
        <v>1</v>
      </c>
      <c r="U47" t="s">
        <v>50</v>
      </c>
      <c r="V47" t="s">
        <v>51</v>
      </c>
      <c r="W47">
        <v>4</v>
      </c>
      <c r="X47" t="b">
        <v>0</v>
      </c>
      <c r="Y47" t="s">
        <v>52</v>
      </c>
      <c r="Z47" t="s">
        <v>53</v>
      </c>
      <c r="AA47" t="s">
        <v>54</v>
      </c>
      <c r="AB47">
        <v>0</v>
      </c>
      <c r="AC47" t="s">
        <v>55</v>
      </c>
      <c r="AD47">
        <v>8</v>
      </c>
      <c r="AE47" t="s">
        <v>56</v>
      </c>
      <c r="AF47">
        <v>575125.02300000004</v>
      </c>
      <c r="AG47" t="b">
        <v>1</v>
      </c>
      <c r="AH47">
        <v>-1</v>
      </c>
      <c r="AI47" t="s">
        <v>64</v>
      </c>
      <c r="AJ47">
        <v>0</v>
      </c>
      <c r="AK47" t="b">
        <v>0</v>
      </c>
      <c r="AL47" s="1">
        <v>575125.02300000004</v>
      </c>
      <c r="AM47" t="b">
        <v>1</v>
      </c>
      <c r="AN47">
        <v>0</v>
      </c>
      <c r="AO47" t="b">
        <v>0</v>
      </c>
      <c r="AQ47">
        <v>25192103910.978001</v>
      </c>
      <c r="AR47">
        <v>25192103910.978001</v>
      </c>
      <c r="AS47">
        <v>6</v>
      </c>
      <c r="AT47" t="b">
        <v>0</v>
      </c>
      <c r="AU47" t="b">
        <v>1</v>
      </c>
      <c r="AV47" t="b">
        <v>1</v>
      </c>
      <c r="AW47" t="b">
        <v>1</v>
      </c>
      <c r="BC47" t="str">
        <f t="shared" si="0"/>
        <v>Outlier</v>
      </c>
    </row>
    <row r="48" spans="1:55" x14ac:dyDescent="0.2">
      <c r="A48" t="s">
        <v>39</v>
      </c>
      <c r="B48" t="s">
        <v>40</v>
      </c>
      <c r="C48">
        <v>20190101</v>
      </c>
      <c r="D48">
        <v>2019</v>
      </c>
      <c r="E48">
        <v>52</v>
      </c>
      <c r="F48" t="s">
        <v>41</v>
      </c>
      <c r="G48">
        <v>348</v>
      </c>
      <c r="H48" t="s">
        <v>151</v>
      </c>
      <c r="I48" t="s">
        <v>152</v>
      </c>
      <c r="J48" t="s">
        <v>44</v>
      </c>
      <c r="K48" t="s">
        <v>45</v>
      </c>
      <c r="L48">
        <v>0</v>
      </c>
      <c r="M48" t="s">
        <v>46</v>
      </c>
      <c r="N48" t="s">
        <v>47</v>
      </c>
      <c r="O48">
        <v>0</v>
      </c>
      <c r="P48" t="s">
        <v>46</v>
      </c>
      <c r="Q48" t="s">
        <v>47</v>
      </c>
      <c r="R48" t="s">
        <v>48</v>
      </c>
      <c r="S48" t="s">
        <v>49</v>
      </c>
      <c r="T48" t="b">
        <v>1</v>
      </c>
      <c r="U48" t="s">
        <v>50</v>
      </c>
      <c r="V48" t="s">
        <v>51</v>
      </c>
      <c r="W48">
        <v>4</v>
      </c>
      <c r="X48" t="b">
        <v>0</v>
      </c>
      <c r="Y48" t="s">
        <v>52</v>
      </c>
      <c r="Z48" t="s">
        <v>53</v>
      </c>
      <c r="AA48" t="s">
        <v>54</v>
      </c>
      <c r="AB48">
        <v>0</v>
      </c>
      <c r="AC48" t="s">
        <v>55</v>
      </c>
      <c r="AD48">
        <v>-1</v>
      </c>
      <c r="AE48" t="s">
        <v>64</v>
      </c>
      <c r="AF48">
        <v>0</v>
      </c>
      <c r="AG48" t="b">
        <v>1</v>
      </c>
      <c r="AH48">
        <v>-1</v>
      </c>
      <c r="AI48" t="s">
        <v>64</v>
      </c>
      <c r="AJ48">
        <v>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Q48">
        <v>74455832</v>
      </c>
      <c r="AR48">
        <v>74455832</v>
      </c>
      <c r="AS48">
        <v>6</v>
      </c>
      <c r="AT48" t="b">
        <v>0</v>
      </c>
      <c r="AU48" t="b">
        <v>1</v>
      </c>
      <c r="AV48" t="b">
        <v>1</v>
      </c>
      <c r="AW48" t="b">
        <v>1</v>
      </c>
      <c r="BC48" t="str">
        <f t="shared" si="0"/>
        <v>Normal</v>
      </c>
    </row>
    <row r="49" spans="1:55" x14ac:dyDescent="0.2">
      <c r="A49" t="s">
        <v>39</v>
      </c>
      <c r="B49" t="s">
        <v>40</v>
      </c>
      <c r="C49">
        <v>20190101</v>
      </c>
      <c r="D49">
        <v>2019</v>
      </c>
      <c r="E49">
        <v>52</v>
      </c>
      <c r="F49" t="s">
        <v>41</v>
      </c>
      <c r="G49">
        <v>352</v>
      </c>
      <c r="H49" t="s">
        <v>153</v>
      </c>
      <c r="I49" t="s">
        <v>154</v>
      </c>
      <c r="J49" t="s">
        <v>44</v>
      </c>
      <c r="K49" t="s">
        <v>45</v>
      </c>
      <c r="L49">
        <v>0</v>
      </c>
      <c r="M49" t="s">
        <v>46</v>
      </c>
      <c r="N49" t="s">
        <v>47</v>
      </c>
      <c r="O49">
        <v>0</v>
      </c>
      <c r="P49" t="s">
        <v>46</v>
      </c>
      <c r="Q49" t="s">
        <v>47</v>
      </c>
      <c r="R49" t="s">
        <v>48</v>
      </c>
      <c r="S49" t="s">
        <v>49</v>
      </c>
      <c r="T49" t="b">
        <v>1</v>
      </c>
      <c r="U49" t="s">
        <v>50</v>
      </c>
      <c r="V49" t="s">
        <v>51</v>
      </c>
      <c r="W49">
        <v>4</v>
      </c>
      <c r="X49" t="b">
        <v>0</v>
      </c>
      <c r="Y49" t="s">
        <v>52</v>
      </c>
      <c r="Z49" t="s">
        <v>53</v>
      </c>
      <c r="AA49" t="s">
        <v>54</v>
      </c>
      <c r="AB49">
        <v>0</v>
      </c>
      <c r="AC49" t="s">
        <v>55</v>
      </c>
      <c r="AD49">
        <v>8</v>
      </c>
      <c r="AE49" t="s">
        <v>56</v>
      </c>
      <c r="AF49">
        <v>2</v>
      </c>
      <c r="AG49" t="b">
        <v>0</v>
      </c>
      <c r="AH49">
        <v>8</v>
      </c>
      <c r="AI49" t="s">
        <v>56</v>
      </c>
      <c r="AJ49">
        <v>2</v>
      </c>
      <c r="AK49" t="b">
        <v>0</v>
      </c>
      <c r="AL49">
        <v>2</v>
      </c>
      <c r="AM49" t="b">
        <v>0</v>
      </c>
      <c r="AN49">
        <v>0</v>
      </c>
      <c r="AO49" t="b">
        <v>0</v>
      </c>
      <c r="AQ49">
        <v>20005.900000000001</v>
      </c>
      <c r="AR49">
        <v>20005.900000000001</v>
      </c>
      <c r="AS49">
        <v>0</v>
      </c>
      <c r="AT49" t="b">
        <v>0</v>
      </c>
      <c r="AU49" t="b">
        <v>1</v>
      </c>
      <c r="AV49" t="b">
        <v>1</v>
      </c>
      <c r="AW49" t="b">
        <v>1</v>
      </c>
      <c r="BC49" t="str">
        <f t="shared" si="0"/>
        <v>Normal</v>
      </c>
    </row>
    <row r="50" spans="1:55" x14ac:dyDescent="0.2">
      <c r="A50" t="s">
        <v>39</v>
      </c>
      <c r="B50" t="s">
        <v>40</v>
      </c>
      <c r="C50">
        <v>20190101</v>
      </c>
      <c r="D50">
        <v>2019</v>
      </c>
      <c r="E50">
        <v>52</v>
      </c>
      <c r="F50" t="s">
        <v>41</v>
      </c>
      <c r="G50">
        <v>360</v>
      </c>
      <c r="H50" t="s">
        <v>155</v>
      </c>
      <c r="I50" t="s">
        <v>156</v>
      </c>
      <c r="J50" t="s">
        <v>44</v>
      </c>
      <c r="K50" t="s">
        <v>45</v>
      </c>
      <c r="L50">
        <v>0</v>
      </c>
      <c r="M50" t="s">
        <v>46</v>
      </c>
      <c r="N50" t="s">
        <v>47</v>
      </c>
      <c r="O50">
        <v>0</v>
      </c>
      <c r="P50" t="s">
        <v>46</v>
      </c>
      <c r="Q50" t="s">
        <v>47</v>
      </c>
      <c r="R50" t="s">
        <v>48</v>
      </c>
      <c r="S50" t="s">
        <v>49</v>
      </c>
      <c r="T50" t="b">
        <v>1</v>
      </c>
      <c r="U50" t="s">
        <v>50</v>
      </c>
      <c r="V50" t="s">
        <v>51</v>
      </c>
      <c r="W50">
        <v>4</v>
      </c>
      <c r="X50" t="b">
        <v>0</v>
      </c>
      <c r="Y50" t="s">
        <v>52</v>
      </c>
      <c r="Z50" t="s">
        <v>53</v>
      </c>
      <c r="AA50" t="s">
        <v>54</v>
      </c>
      <c r="AB50">
        <v>0</v>
      </c>
      <c r="AC50" t="s">
        <v>55</v>
      </c>
      <c r="AD50">
        <v>8</v>
      </c>
      <c r="AE50" t="s">
        <v>56</v>
      </c>
      <c r="AF50">
        <v>79661.626999999993</v>
      </c>
      <c r="AG50" t="b">
        <v>0</v>
      </c>
      <c r="AH50">
        <v>8</v>
      </c>
      <c r="AI50" t="s">
        <v>56</v>
      </c>
      <c r="AJ50">
        <v>79661.626999999993</v>
      </c>
      <c r="AK50" t="b">
        <v>0</v>
      </c>
      <c r="AL50" s="1">
        <v>79661.626999999993</v>
      </c>
      <c r="AM50" t="b">
        <v>0</v>
      </c>
      <c r="AN50">
        <v>0</v>
      </c>
      <c r="AO50" t="b">
        <v>0</v>
      </c>
      <c r="AP50">
        <v>0</v>
      </c>
      <c r="AQ50">
        <v>3552075597.8400002</v>
      </c>
      <c r="AR50">
        <v>3552075597.8400002</v>
      </c>
      <c r="AS50">
        <v>0</v>
      </c>
      <c r="AT50" t="b">
        <v>0</v>
      </c>
      <c r="AU50" t="b">
        <v>1</v>
      </c>
      <c r="AV50" t="b">
        <v>1</v>
      </c>
      <c r="AW50" t="b">
        <v>1</v>
      </c>
      <c r="BC50" t="str">
        <f t="shared" si="0"/>
        <v>Outlier</v>
      </c>
    </row>
    <row r="51" spans="1:55" x14ac:dyDescent="0.2">
      <c r="A51" t="s">
        <v>39</v>
      </c>
      <c r="B51" t="s">
        <v>40</v>
      </c>
      <c r="C51">
        <v>20190101</v>
      </c>
      <c r="D51">
        <v>2019</v>
      </c>
      <c r="E51">
        <v>52</v>
      </c>
      <c r="F51" t="s">
        <v>41</v>
      </c>
      <c r="G51">
        <v>372</v>
      </c>
      <c r="H51" t="s">
        <v>157</v>
      </c>
      <c r="I51" t="s">
        <v>158</v>
      </c>
      <c r="J51" t="s">
        <v>44</v>
      </c>
      <c r="K51" t="s">
        <v>45</v>
      </c>
      <c r="L51">
        <v>0</v>
      </c>
      <c r="M51" t="s">
        <v>46</v>
      </c>
      <c r="N51" t="s">
        <v>47</v>
      </c>
      <c r="O51">
        <v>0</v>
      </c>
      <c r="P51" t="s">
        <v>46</v>
      </c>
      <c r="Q51" t="s">
        <v>47</v>
      </c>
      <c r="R51" t="s">
        <v>48</v>
      </c>
      <c r="S51" t="s">
        <v>49</v>
      </c>
      <c r="T51" t="b">
        <v>1</v>
      </c>
      <c r="U51" t="s">
        <v>50</v>
      </c>
      <c r="V51" t="s">
        <v>51</v>
      </c>
      <c r="W51">
        <v>4</v>
      </c>
      <c r="X51" t="b">
        <v>0</v>
      </c>
      <c r="Y51" t="s">
        <v>52</v>
      </c>
      <c r="Z51" t="s">
        <v>53</v>
      </c>
      <c r="AA51" t="s">
        <v>54</v>
      </c>
      <c r="AB51">
        <v>0</v>
      </c>
      <c r="AC51" t="s">
        <v>55</v>
      </c>
      <c r="AD51">
        <v>8</v>
      </c>
      <c r="AE51" t="s">
        <v>56</v>
      </c>
      <c r="AF51">
        <v>44.61</v>
      </c>
      <c r="AG51" t="b">
        <v>0</v>
      </c>
      <c r="AH51">
        <v>15</v>
      </c>
      <c r="AI51" t="s">
        <v>59</v>
      </c>
      <c r="AJ51">
        <v>44610</v>
      </c>
      <c r="AK51" t="b">
        <v>0</v>
      </c>
      <c r="AL51">
        <v>0</v>
      </c>
      <c r="AM51" t="b">
        <v>0</v>
      </c>
      <c r="AN51">
        <v>0</v>
      </c>
      <c r="AO51" t="b">
        <v>0</v>
      </c>
      <c r="AP51">
        <v>0</v>
      </c>
      <c r="AQ51">
        <v>6759437.068</v>
      </c>
      <c r="AR51">
        <v>6759437.068</v>
      </c>
      <c r="AS51">
        <v>0</v>
      </c>
      <c r="AT51" t="b">
        <v>0</v>
      </c>
      <c r="AU51" t="b">
        <v>1</v>
      </c>
      <c r="AV51" t="b">
        <v>1</v>
      </c>
      <c r="AW51" t="b">
        <v>1</v>
      </c>
      <c r="BC51" t="str">
        <f t="shared" si="0"/>
        <v>Normal</v>
      </c>
    </row>
    <row r="52" spans="1:55" x14ac:dyDescent="0.2">
      <c r="A52" t="s">
        <v>39</v>
      </c>
      <c r="B52" t="s">
        <v>40</v>
      </c>
      <c r="C52">
        <v>20190101</v>
      </c>
      <c r="D52">
        <v>2019</v>
      </c>
      <c r="E52">
        <v>52</v>
      </c>
      <c r="F52" t="s">
        <v>41</v>
      </c>
      <c r="G52">
        <v>376</v>
      </c>
      <c r="H52" t="s">
        <v>159</v>
      </c>
      <c r="I52" t="s">
        <v>160</v>
      </c>
      <c r="J52" t="s">
        <v>44</v>
      </c>
      <c r="K52" t="s">
        <v>45</v>
      </c>
      <c r="L52">
        <v>0</v>
      </c>
      <c r="M52" t="s">
        <v>46</v>
      </c>
      <c r="N52" t="s">
        <v>47</v>
      </c>
      <c r="O52">
        <v>0</v>
      </c>
      <c r="P52" t="s">
        <v>46</v>
      </c>
      <c r="Q52" t="s">
        <v>47</v>
      </c>
      <c r="R52" t="s">
        <v>48</v>
      </c>
      <c r="S52" t="s">
        <v>49</v>
      </c>
      <c r="T52" t="b">
        <v>1</v>
      </c>
      <c r="U52" t="s">
        <v>50</v>
      </c>
      <c r="V52" t="s">
        <v>51</v>
      </c>
      <c r="W52">
        <v>4</v>
      </c>
      <c r="X52" t="b">
        <v>0</v>
      </c>
      <c r="Y52" t="s">
        <v>52</v>
      </c>
      <c r="Z52" t="s">
        <v>53</v>
      </c>
      <c r="AA52" t="s">
        <v>54</v>
      </c>
      <c r="AB52">
        <v>0</v>
      </c>
      <c r="AC52" t="s">
        <v>55</v>
      </c>
      <c r="AD52">
        <v>8</v>
      </c>
      <c r="AE52" t="s">
        <v>56</v>
      </c>
      <c r="AF52">
        <v>50.585999999999999</v>
      </c>
      <c r="AG52" t="b">
        <v>1</v>
      </c>
      <c r="AH52">
        <v>-1</v>
      </c>
      <c r="AI52" t="s">
        <v>64</v>
      </c>
      <c r="AJ52">
        <v>0</v>
      </c>
      <c r="AK52" t="b">
        <v>0</v>
      </c>
      <c r="AL52">
        <v>50.585999999999999</v>
      </c>
      <c r="AM52" t="b">
        <v>1</v>
      </c>
      <c r="AN52">
        <v>0</v>
      </c>
      <c r="AO52" t="b">
        <v>0</v>
      </c>
      <c r="AQ52">
        <v>2131000</v>
      </c>
      <c r="AR52">
        <v>2131000</v>
      </c>
      <c r="AS52">
        <v>6</v>
      </c>
      <c r="AT52" t="b">
        <v>0</v>
      </c>
      <c r="AU52" t="b">
        <v>1</v>
      </c>
      <c r="AV52" t="b">
        <v>1</v>
      </c>
      <c r="AW52" t="b">
        <v>1</v>
      </c>
      <c r="BC52" t="str">
        <f t="shared" si="0"/>
        <v>Normal</v>
      </c>
    </row>
    <row r="53" spans="1:55" x14ac:dyDescent="0.2">
      <c r="A53" t="s">
        <v>39</v>
      </c>
      <c r="B53" t="s">
        <v>40</v>
      </c>
      <c r="C53">
        <v>20190101</v>
      </c>
      <c r="D53">
        <v>2019</v>
      </c>
      <c r="E53">
        <v>52</v>
      </c>
      <c r="F53" t="s">
        <v>41</v>
      </c>
      <c r="G53">
        <v>380</v>
      </c>
      <c r="H53" t="s">
        <v>161</v>
      </c>
      <c r="I53" t="s">
        <v>162</v>
      </c>
      <c r="J53" t="s">
        <v>44</v>
      </c>
      <c r="K53" t="s">
        <v>45</v>
      </c>
      <c r="L53">
        <v>0</v>
      </c>
      <c r="M53" t="s">
        <v>46</v>
      </c>
      <c r="N53" t="s">
        <v>47</v>
      </c>
      <c r="O53">
        <v>0</v>
      </c>
      <c r="P53" t="s">
        <v>46</v>
      </c>
      <c r="Q53" t="s">
        <v>47</v>
      </c>
      <c r="R53" t="s">
        <v>48</v>
      </c>
      <c r="S53" t="s">
        <v>49</v>
      </c>
      <c r="T53" t="b">
        <v>1</v>
      </c>
      <c r="U53" t="s">
        <v>50</v>
      </c>
      <c r="V53" t="s">
        <v>51</v>
      </c>
      <c r="W53">
        <v>4</v>
      </c>
      <c r="X53" t="b">
        <v>0</v>
      </c>
      <c r="Y53" t="s">
        <v>52</v>
      </c>
      <c r="Z53" t="s">
        <v>53</v>
      </c>
      <c r="AA53" t="s">
        <v>54</v>
      </c>
      <c r="AB53">
        <v>0</v>
      </c>
      <c r="AC53" t="s">
        <v>55</v>
      </c>
      <c r="AD53">
        <v>-1</v>
      </c>
      <c r="AE53" t="s">
        <v>64</v>
      </c>
      <c r="AF53">
        <v>0</v>
      </c>
      <c r="AG53" t="b">
        <v>1</v>
      </c>
      <c r="AH53">
        <v>-1</v>
      </c>
      <c r="AI53" t="s">
        <v>64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Q53">
        <v>4018800488.0149999</v>
      </c>
      <c r="AR53">
        <v>4018800488.0149999</v>
      </c>
      <c r="AS53">
        <v>6</v>
      </c>
      <c r="AT53" t="b">
        <v>0</v>
      </c>
      <c r="AU53" t="b">
        <v>1</v>
      </c>
      <c r="AV53" t="b">
        <v>1</v>
      </c>
      <c r="AW53" t="b">
        <v>1</v>
      </c>
      <c r="BC53" t="str">
        <f t="shared" si="0"/>
        <v>Normal</v>
      </c>
    </row>
    <row r="54" spans="1:55" x14ac:dyDescent="0.2">
      <c r="A54" t="s">
        <v>39</v>
      </c>
      <c r="B54" t="s">
        <v>40</v>
      </c>
      <c r="C54">
        <v>20190101</v>
      </c>
      <c r="D54">
        <v>2019</v>
      </c>
      <c r="E54">
        <v>52</v>
      </c>
      <c r="F54" t="s">
        <v>41</v>
      </c>
      <c r="G54">
        <v>384</v>
      </c>
      <c r="H54" t="s">
        <v>163</v>
      </c>
      <c r="I54" t="s">
        <v>164</v>
      </c>
      <c r="J54" t="s">
        <v>44</v>
      </c>
      <c r="K54" t="s">
        <v>45</v>
      </c>
      <c r="L54">
        <v>0</v>
      </c>
      <c r="M54" t="s">
        <v>46</v>
      </c>
      <c r="N54" t="s">
        <v>47</v>
      </c>
      <c r="O54">
        <v>0</v>
      </c>
      <c r="P54" t="s">
        <v>46</v>
      </c>
      <c r="Q54" t="s">
        <v>47</v>
      </c>
      <c r="R54" t="s">
        <v>48</v>
      </c>
      <c r="S54" t="s">
        <v>49</v>
      </c>
      <c r="T54" t="b">
        <v>1</v>
      </c>
      <c r="U54" t="s">
        <v>50</v>
      </c>
      <c r="V54" t="s">
        <v>51</v>
      </c>
      <c r="W54">
        <v>4</v>
      </c>
      <c r="X54" t="b">
        <v>0</v>
      </c>
      <c r="Y54" t="s">
        <v>52</v>
      </c>
      <c r="Z54" t="s">
        <v>53</v>
      </c>
      <c r="AA54" t="s">
        <v>54</v>
      </c>
      <c r="AB54">
        <v>0</v>
      </c>
      <c r="AC54" t="s">
        <v>55</v>
      </c>
      <c r="AD54">
        <v>8</v>
      </c>
      <c r="AE54" t="s">
        <v>56</v>
      </c>
      <c r="AF54">
        <v>32233</v>
      </c>
      <c r="AG54" t="b">
        <v>0</v>
      </c>
      <c r="AH54">
        <v>8</v>
      </c>
      <c r="AI54" t="s">
        <v>56</v>
      </c>
      <c r="AJ54">
        <v>32233</v>
      </c>
      <c r="AK54" t="b">
        <v>0</v>
      </c>
      <c r="AL54">
        <v>32233</v>
      </c>
      <c r="AM54" t="b">
        <v>0</v>
      </c>
      <c r="AN54">
        <v>0</v>
      </c>
      <c r="AO54" t="b">
        <v>0</v>
      </c>
      <c r="AQ54">
        <v>1077532280.6459999</v>
      </c>
      <c r="AR54">
        <v>1077532280.6459999</v>
      </c>
      <c r="AS54">
        <v>0</v>
      </c>
      <c r="AT54" t="b">
        <v>0</v>
      </c>
      <c r="AU54" t="b">
        <v>1</v>
      </c>
      <c r="AV54" t="b">
        <v>1</v>
      </c>
      <c r="AW54" t="b">
        <v>1</v>
      </c>
      <c r="BC54" t="str">
        <f t="shared" si="0"/>
        <v>Normal</v>
      </c>
    </row>
    <row r="55" spans="1:55" x14ac:dyDescent="0.2">
      <c r="A55" t="s">
        <v>39</v>
      </c>
      <c r="B55" t="s">
        <v>40</v>
      </c>
      <c r="C55">
        <v>20190101</v>
      </c>
      <c r="D55">
        <v>2019</v>
      </c>
      <c r="E55">
        <v>52</v>
      </c>
      <c r="F55" t="s">
        <v>41</v>
      </c>
      <c r="G55">
        <v>392</v>
      </c>
      <c r="H55" t="s">
        <v>165</v>
      </c>
      <c r="I55" t="s">
        <v>166</v>
      </c>
      <c r="J55" t="s">
        <v>44</v>
      </c>
      <c r="K55" t="s">
        <v>45</v>
      </c>
      <c r="L55">
        <v>0</v>
      </c>
      <c r="M55" t="s">
        <v>46</v>
      </c>
      <c r="N55" t="s">
        <v>47</v>
      </c>
      <c r="O55">
        <v>0</v>
      </c>
      <c r="P55" t="s">
        <v>46</v>
      </c>
      <c r="Q55" t="s">
        <v>47</v>
      </c>
      <c r="R55" t="s">
        <v>48</v>
      </c>
      <c r="S55" t="s">
        <v>49</v>
      </c>
      <c r="T55" t="b">
        <v>1</v>
      </c>
      <c r="U55" t="s">
        <v>50</v>
      </c>
      <c r="V55" t="s">
        <v>51</v>
      </c>
      <c r="W55">
        <v>4</v>
      </c>
      <c r="X55" t="b">
        <v>0</v>
      </c>
      <c r="Y55" t="s">
        <v>52</v>
      </c>
      <c r="Z55" t="s">
        <v>53</v>
      </c>
      <c r="AA55" t="s">
        <v>54</v>
      </c>
      <c r="AB55">
        <v>0</v>
      </c>
      <c r="AC55" t="s">
        <v>55</v>
      </c>
      <c r="AD55">
        <v>8</v>
      </c>
      <c r="AE55" t="s">
        <v>56</v>
      </c>
      <c r="AF55">
        <v>146304.40599999999</v>
      </c>
      <c r="AG55" t="b">
        <v>0</v>
      </c>
      <c r="AH55">
        <v>15</v>
      </c>
      <c r="AI55" t="s">
        <v>59</v>
      </c>
      <c r="AJ55">
        <v>146304406</v>
      </c>
      <c r="AK55" t="b">
        <v>0</v>
      </c>
      <c r="AL55" s="1">
        <v>146304.40599999999</v>
      </c>
      <c r="AM55" t="b">
        <v>0</v>
      </c>
      <c r="AN55">
        <v>0</v>
      </c>
      <c r="AO55" t="b">
        <v>0</v>
      </c>
      <c r="AP55">
        <v>0</v>
      </c>
      <c r="AQ55">
        <v>6408724651.5889997</v>
      </c>
      <c r="AR55">
        <v>6408724651.5889997</v>
      </c>
      <c r="AS55">
        <v>0</v>
      </c>
      <c r="AT55" t="b">
        <v>0</v>
      </c>
      <c r="AU55" t="b">
        <v>1</v>
      </c>
      <c r="AV55" t="b">
        <v>1</v>
      </c>
      <c r="AW55" t="b">
        <v>1</v>
      </c>
      <c r="BC55" t="str">
        <f t="shared" si="0"/>
        <v>Outlier</v>
      </c>
    </row>
    <row r="56" spans="1:55" x14ac:dyDescent="0.2">
      <c r="A56" t="s">
        <v>39</v>
      </c>
      <c r="B56" t="s">
        <v>40</v>
      </c>
      <c r="C56">
        <v>20190101</v>
      </c>
      <c r="D56">
        <v>2019</v>
      </c>
      <c r="E56">
        <v>52</v>
      </c>
      <c r="F56" t="s">
        <v>41</v>
      </c>
      <c r="G56">
        <v>398</v>
      </c>
      <c r="H56" t="s">
        <v>167</v>
      </c>
      <c r="I56" t="s">
        <v>168</v>
      </c>
      <c r="J56" t="s">
        <v>44</v>
      </c>
      <c r="K56" t="s">
        <v>45</v>
      </c>
      <c r="L56">
        <v>0</v>
      </c>
      <c r="M56" t="s">
        <v>46</v>
      </c>
      <c r="N56" t="s">
        <v>47</v>
      </c>
      <c r="O56">
        <v>0</v>
      </c>
      <c r="P56" t="s">
        <v>46</v>
      </c>
      <c r="Q56" t="s">
        <v>47</v>
      </c>
      <c r="R56" t="s">
        <v>48</v>
      </c>
      <c r="S56" t="s">
        <v>49</v>
      </c>
      <c r="T56" t="b">
        <v>1</v>
      </c>
      <c r="U56" t="s">
        <v>50</v>
      </c>
      <c r="V56" t="s">
        <v>51</v>
      </c>
      <c r="W56">
        <v>4</v>
      </c>
      <c r="X56" t="b">
        <v>0</v>
      </c>
      <c r="Y56" t="s">
        <v>52</v>
      </c>
      <c r="Z56" t="s">
        <v>53</v>
      </c>
      <c r="AA56" t="s">
        <v>54</v>
      </c>
      <c r="AB56">
        <v>0</v>
      </c>
      <c r="AC56" t="s">
        <v>55</v>
      </c>
      <c r="AD56">
        <v>-1</v>
      </c>
      <c r="AE56" t="s">
        <v>64</v>
      </c>
      <c r="AF56">
        <v>0</v>
      </c>
      <c r="AG56" t="b">
        <v>0</v>
      </c>
      <c r="AH56">
        <v>-1</v>
      </c>
      <c r="AI56" t="s">
        <v>64</v>
      </c>
      <c r="AJ56">
        <v>0</v>
      </c>
      <c r="AK56" t="b">
        <v>0</v>
      </c>
      <c r="AM56" t="b">
        <v>0</v>
      </c>
      <c r="AN56">
        <v>0</v>
      </c>
      <c r="AO56" t="b">
        <v>0</v>
      </c>
      <c r="AQ56">
        <v>5336122.54</v>
      </c>
      <c r="AR56">
        <v>5336122.54</v>
      </c>
      <c r="AS56">
        <v>0</v>
      </c>
      <c r="AT56" t="b">
        <v>0</v>
      </c>
      <c r="AU56" t="b">
        <v>1</v>
      </c>
      <c r="AV56" t="b">
        <v>1</v>
      </c>
      <c r="AW56" t="b">
        <v>1</v>
      </c>
      <c r="BC56" t="str">
        <f t="shared" si="0"/>
        <v>Normal</v>
      </c>
    </row>
    <row r="57" spans="1:55" x14ac:dyDescent="0.2">
      <c r="A57" t="s">
        <v>39</v>
      </c>
      <c r="B57" t="s">
        <v>40</v>
      </c>
      <c r="C57">
        <v>20190101</v>
      </c>
      <c r="D57">
        <v>2019</v>
      </c>
      <c r="E57">
        <v>52</v>
      </c>
      <c r="F57" t="s">
        <v>41</v>
      </c>
      <c r="G57">
        <v>400</v>
      </c>
      <c r="H57" t="s">
        <v>169</v>
      </c>
      <c r="I57" t="s">
        <v>170</v>
      </c>
      <c r="J57" t="s">
        <v>44</v>
      </c>
      <c r="K57" t="s">
        <v>45</v>
      </c>
      <c r="L57">
        <v>0</v>
      </c>
      <c r="M57" t="s">
        <v>46</v>
      </c>
      <c r="N57" t="s">
        <v>47</v>
      </c>
      <c r="O57">
        <v>0</v>
      </c>
      <c r="P57" t="s">
        <v>46</v>
      </c>
      <c r="Q57" t="s">
        <v>47</v>
      </c>
      <c r="R57" t="s">
        <v>48</v>
      </c>
      <c r="S57" t="s">
        <v>49</v>
      </c>
      <c r="T57" t="b">
        <v>1</v>
      </c>
      <c r="U57" t="s">
        <v>50</v>
      </c>
      <c r="V57" t="s">
        <v>51</v>
      </c>
      <c r="W57">
        <v>4</v>
      </c>
      <c r="X57" t="b">
        <v>0</v>
      </c>
      <c r="Y57" t="s">
        <v>52</v>
      </c>
      <c r="Z57" t="s">
        <v>53</v>
      </c>
      <c r="AA57" t="s">
        <v>54</v>
      </c>
      <c r="AB57">
        <v>0</v>
      </c>
      <c r="AC57" t="s">
        <v>55</v>
      </c>
      <c r="AD57">
        <v>8</v>
      </c>
      <c r="AE57" t="s">
        <v>56</v>
      </c>
      <c r="AF57">
        <v>4931</v>
      </c>
      <c r="AG57" t="b">
        <v>0</v>
      </c>
      <c r="AH57">
        <v>8</v>
      </c>
      <c r="AI57" t="s">
        <v>56</v>
      </c>
      <c r="AJ57">
        <v>4931</v>
      </c>
      <c r="AK57" t="b">
        <v>0</v>
      </c>
      <c r="AL57">
        <v>4931</v>
      </c>
      <c r="AM57" t="b">
        <v>0</v>
      </c>
      <c r="AN57">
        <v>0</v>
      </c>
      <c r="AO57" t="b">
        <v>0</v>
      </c>
      <c r="AQ57">
        <v>206979901.21200001</v>
      </c>
      <c r="AR57">
        <v>206979901.21200001</v>
      </c>
      <c r="AS57">
        <v>0</v>
      </c>
      <c r="AT57" t="b">
        <v>0</v>
      </c>
      <c r="AU57" t="b">
        <v>1</v>
      </c>
      <c r="AV57" t="b">
        <v>1</v>
      </c>
      <c r="AW57" t="b">
        <v>1</v>
      </c>
      <c r="BC57" t="str">
        <f t="shared" si="0"/>
        <v>Normal</v>
      </c>
    </row>
    <row r="58" spans="1:55" x14ac:dyDescent="0.2">
      <c r="A58" t="s">
        <v>39</v>
      </c>
      <c r="B58" t="s">
        <v>40</v>
      </c>
      <c r="C58">
        <v>20190101</v>
      </c>
      <c r="D58">
        <v>2019</v>
      </c>
      <c r="E58">
        <v>52</v>
      </c>
      <c r="F58" t="s">
        <v>41</v>
      </c>
      <c r="G58">
        <v>404</v>
      </c>
      <c r="H58" t="s">
        <v>171</v>
      </c>
      <c r="I58" t="s">
        <v>172</v>
      </c>
      <c r="J58" t="s">
        <v>44</v>
      </c>
      <c r="K58" t="s">
        <v>45</v>
      </c>
      <c r="L58">
        <v>0</v>
      </c>
      <c r="M58" t="s">
        <v>46</v>
      </c>
      <c r="N58" t="s">
        <v>47</v>
      </c>
      <c r="O58">
        <v>0</v>
      </c>
      <c r="P58" t="s">
        <v>46</v>
      </c>
      <c r="Q58" t="s">
        <v>47</v>
      </c>
      <c r="R58" t="s">
        <v>48</v>
      </c>
      <c r="S58" t="s">
        <v>49</v>
      </c>
      <c r="T58" t="b">
        <v>1</v>
      </c>
      <c r="U58" t="s">
        <v>50</v>
      </c>
      <c r="V58" t="s">
        <v>51</v>
      </c>
      <c r="W58">
        <v>4</v>
      </c>
      <c r="X58" t="b">
        <v>0</v>
      </c>
      <c r="Y58" t="s">
        <v>52</v>
      </c>
      <c r="Z58" t="s">
        <v>53</v>
      </c>
      <c r="AA58" t="s">
        <v>54</v>
      </c>
      <c r="AB58">
        <v>0</v>
      </c>
      <c r="AC58" t="s">
        <v>55</v>
      </c>
      <c r="AD58">
        <v>8</v>
      </c>
      <c r="AE58" t="s">
        <v>56</v>
      </c>
      <c r="AF58">
        <v>453.98599999999999</v>
      </c>
      <c r="AG58" t="b">
        <v>1</v>
      </c>
      <c r="AH58">
        <v>-1</v>
      </c>
      <c r="AI58" t="s">
        <v>64</v>
      </c>
      <c r="AJ58">
        <v>0</v>
      </c>
      <c r="AK58" t="b">
        <v>0</v>
      </c>
      <c r="AL58">
        <v>453.98599999999999</v>
      </c>
      <c r="AM58" t="b">
        <v>1</v>
      </c>
      <c r="AN58">
        <v>0</v>
      </c>
      <c r="AO58" t="b">
        <v>0</v>
      </c>
      <c r="AQ58">
        <v>16843465.789999999</v>
      </c>
      <c r="AR58">
        <v>16843465.789999999</v>
      </c>
      <c r="AS58">
        <v>6</v>
      </c>
      <c r="AT58" t="b">
        <v>0</v>
      </c>
      <c r="AU58" t="b">
        <v>1</v>
      </c>
      <c r="AV58" t="b">
        <v>1</v>
      </c>
      <c r="AW58" t="b">
        <v>1</v>
      </c>
      <c r="BC58" t="str">
        <f t="shared" si="0"/>
        <v>Normal</v>
      </c>
    </row>
    <row r="59" spans="1:55" x14ac:dyDescent="0.2">
      <c r="A59" t="s">
        <v>39</v>
      </c>
      <c r="B59" t="s">
        <v>40</v>
      </c>
      <c r="C59">
        <v>20190101</v>
      </c>
      <c r="D59">
        <v>2019</v>
      </c>
      <c r="E59">
        <v>52</v>
      </c>
      <c r="F59" t="s">
        <v>41</v>
      </c>
      <c r="G59">
        <v>410</v>
      </c>
      <c r="H59" t="s">
        <v>173</v>
      </c>
      <c r="I59" t="s">
        <v>174</v>
      </c>
      <c r="J59" t="s">
        <v>44</v>
      </c>
      <c r="K59" t="s">
        <v>45</v>
      </c>
      <c r="L59">
        <v>0</v>
      </c>
      <c r="M59" t="s">
        <v>46</v>
      </c>
      <c r="N59" t="s">
        <v>47</v>
      </c>
      <c r="O59">
        <v>0</v>
      </c>
      <c r="P59" t="s">
        <v>46</v>
      </c>
      <c r="Q59" t="s">
        <v>47</v>
      </c>
      <c r="R59" t="s">
        <v>48</v>
      </c>
      <c r="S59" t="s">
        <v>49</v>
      </c>
      <c r="T59" t="b">
        <v>1</v>
      </c>
      <c r="U59" t="s">
        <v>50</v>
      </c>
      <c r="V59" t="s">
        <v>51</v>
      </c>
      <c r="W59">
        <v>4</v>
      </c>
      <c r="X59" t="b">
        <v>0</v>
      </c>
      <c r="Y59" t="s">
        <v>52</v>
      </c>
      <c r="Z59" t="s">
        <v>53</v>
      </c>
      <c r="AA59" t="s">
        <v>54</v>
      </c>
      <c r="AB59">
        <v>0</v>
      </c>
      <c r="AC59" t="s">
        <v>55</v>
      </c>
      <c r="AD59">
        <v>-1</v>
      </c>
      <c r="AE59" t="s">
        <v>64</v>
      </c>
      <c r="AF59">
        <v>0</v>
      </c>
      <c r="AG59" t="b">
        <v>0</v>
      </c>
      <c r="AH59">
        <v>-1</v>
      </c>
      <c r="AI59" t="s">
        <v>64</v>
      </c>
      <c r="AJ59">
        <v>0</v>
      </c>
      <c r="AK59" t="b">
        <v>0</v>
      </c>
      <c r="AM59" t="b">
        <v>0</v>
      </c>
      <c r="AN59">
        <v>0</v>
      </c>
      <c r="AO59" t="b">
        <v>0</v>
      </c>
      <c r="AQ59">
        <v>885384626</v>
      </c>
      <c r="AR59">
        <v>885384626</v>
      </c>
      <c r="AS59">
        <v>0</v>
      </c>
      <c r="AT59" t="b">
        <v>0</v>
      </c>
      <c r="AU59" t="b">
        <v>1</v>
      </c>
      <c r="AV59" t="b">
        <v>1</v>
      </c>
      <c r="AW59" t="b">
        <v>1</v>
      </c>
      <c r="BC59" t="str">
        <f t="shared" si="0"/>
        <v>Normal</v>
      </c>
    </row>
    <row r="60" spans="1:55" x14ac:dyDescent="0.2">
      <c r="A60" t="s">
        <v>39</v>
      </c>
      <c r="B60" t="s">
        <v>40</v>
      </c>
      <c r="C60">
        <v>20190101</v>
      </c>
      <c r="D60">
        <v>2019</v>
      </c>
      <c r="E60">
        <v>52</v>
      </c>
      <c r="F60" t="s">
        <v>41</v>
      </c>
      <c r="G60">
        <v>414</v>
      </c>
      <c r="H60" t="s">
        <v>175</v>
      </c>
      <c r="I60" t="s">
        <v>176</v>
      </c>
      <c r="J60" t="s">
        <v>44</v>
      </c>
      <c r="K60" t="s">
        <v>45</v>
      </c>
      <c r="L60">
        <v>0</v>
      </c>
      <c r="M60" t="s">
        <v>46</v>
      </c>
      <c r="N60" t="s">
        <v>47</v>
      </c>
      <c r="O60">
        <v>0</v>
      </c>
      <c r="P60" t="s">
        <v>46</v>
      </c>
      <c r="Q60" t="s">
        <v>47</v>
      </c>
      <c r="R60" t="s">
        <v>48</v>
      </c>
      <c r="S60" t="s">
        <v>49</v>
      </c>
      <c r="T60" t="b">
        <v>1</v>
      </c>
      <c r="U60" t="s">
        <v>50</v>
      </c>
      <c r="V60" t="s">
        <v>51</v>
      </c>
      <c r="W60">
        <v>4</v>
      </c>
      <c r="X60" t="b">
        <v>0</v>
      </c>
      <c r="Y60" t="s">
        <v>52</v>
      </c>
      <c r="Z60" t="s">
        <v>53</v>
      </c>
      <c r="AA60" t="s">
        <v>54</v>
      </c>
      <c r="AB60">
        <v>0</v>
      </c>
      <c r="AC60" t="s">
        <v>55</v>
      </c>
      <c r="AD60">
        <v>-1</v>
      </c>
      <c r="AE60" t="s">
        <v>64</v>
      </c>
      <c r="AF60">
        <v>0</v>
      </c>
      <c r="AG60" t="b">
        <v>0</v>
      </c>
      <c r="AH60">
        <v>-1</v>
      </c>
      <c r="AI60" t="s">
        <v>64</v>
      </c>
      <c r="AJ60">
        <v>0</v>
      </c>
      <c r="AK60" t="b">
        <v>0</v>
      </c>
      <c r="AL60">
        <v>0</v>
      </c>
      <c r="AM60" t="b">
        <v>0</v>
      </c>
      <c r="AN60">
        <v>0</v>
      </c>
      <c r="AO60" t="b">
        <v>0</v>
      </c>
      <c r="AQ60">
        <v>60335474</v>
      </c>
      <c r="AR60">
        <v>60335474</v>
      </c>
      <c r="AS60">
        <v>0</v>
      </c>
      <c r="AT60" t="b">
        <v>0</v>
      </c>
      <c r="AU60" t="b">
        <v>1</v>
      </c>
      <c r="AV60" t="b">
        <v>1</v>
      </c>
      <c r="AW60" t="b">
        <v>1</v>
      </c>
      <c r="BC60" t="str">
        <f t="shared" si="0"/>
        <v>Normal</v>
      </c>
    </row>
    <row r="61" spans="1:55" x14ac:dyDescent="0.2">
      <c r="A61" t="s">
        <v>39</v>
      </c>
      <c r="B61" t="s">
        <v>40</v>
      </c>
      <c r="C61">
        <v>20190101</v>
      </c>
      <c r="D61">
        <v>2019</v>
      </c>
      <c r="E61">
        <v>52</v>
      </c>
      <c r="F61" t="s">
        <v>41</v>
      </c>
      <c r="G61">
        <v>417</v>
      </c>
      <c r="H61" t="s">
        <v>177</v>
      </c>
      <c r="I61" t="s">
        <v>178</v>
      </c>
      <c r="J61" t="s">
        <v>44</v>
      </c>
      <c r="K61" t="s">
        <v>45</v>
      </c>
      <c r="L61">
        <v>0</v>
      </c>
      <c r="M61" t="s">
        <v>46</v>
      </c>
      <c r="N61" t="s">
        <v>47</v>
      </c>
      <c r="O61">
        <v>0</v>
      </c>
      <c r="P61" t="s">
        <v>46</v>
      </c>
      <c r="Q61" t="s">
        <v>47</v>
      </c>
      <c r="R61" t="s">
        <v>48</v>
      </c>
      <c r="S61" t="s">
        <v>49</v>
      </c>
      <c r="T61" t="b">
        <v>1</v>
      </c>
      <c r="U61" t="s">
        <v>50</v>
      </c>
      <c r="V61" t="s">
        <v>51</v>
      </c>
      <c r="W61">
        <v>4</v>
      </c>
      <c r="X61" t="b">
        <v>0</v>
      </c>
      <c r="Y61" t="s">
        <v>52</v>
      </c>
      <c r="Z61" t="s">
        <v>53</v>
      </c>
      <c r="AA61" t="s">
        <v>54</v>
      </c>
      <c r="AB61">
        <v>0</v>
      </c>
      <c r="AC61" t="s">
        <v>55</v>
      </c>
      <c r="AD61">
        <v>8</v>
      </c>
      <c r="AE61" t="s">
        <v>56</v>
      </c>
      <c r="AF61">
        <v>8695.6730000000007</v>
      </c>
      <c r="AG61" t="b">
        <v>1</v>
      </c>
      <c r="AH61">
        <v>-1</v>
      </c>
      <c r="AI61" t="s">
        <v>64</v>
      </c>
      <c r="AJ61">
        <v>0</v>
      </c>
      <c r="AK61" t="b">
        <v>0</v>
      </c>
      <c r="AL61">
        <v>18726</v>
      </c>
      <c r="AM61" t="b">
        <v>1</v>
      </c>
      <c r="AN61">
        <v>0</v>
      </c>
      <c r="AO61" t="b">
        <v>0</v>
      </c>
      <c r="AQ61">
        <v>832878078</v>
      </c>
      <c r="AR61">
        <v>832878078</v>
      </c>
      <c r="AS61">
        <v>6</v>
      </c>
      <c r="AT61" t="b">
        <v>0</v>
      </c>
      <c r="AU61" t="b">
        <v>1</v>
      </c>
      <c r="AV61" t="b">
        <v>1</v>
      </c>
      <c r="AW61" t="b">
        <v>1</v>
      </c>
      <c r="BC61" t="str">
        <f t="shared" si="0"/>
        <v>Normal</v>
      </c>
    </row>
    <row r="62" spans="1:55" x14ac:dyDescent="0.2">
      <c r="A62" t="s">
        <v>39</v>
      </c>
      <c r="B62" t="s">
        <v>40</v>
      </c>
      <c r="C62">
        <v>20190101</v>
      </c>
      <c r="D62">
        <v>2019</v>
      </c>
      <c r="E62">
        <v>52</v>
      </c>
      <c r="F62" t="s">
        <v>41</v>
      </c>
      <c r="G62">
        <v>418</v>
      </c>
      <c r="H62" t="s">
        <v>179</v>
      </c>
      <c r="I62" t="s">
        <v>180</v>
      </c>
      <c r="J62" t="s">
        <v>44</v>
      </c>
      <c r="K62" t="s">
        <v>45</v>
      </c>
      <c r="L62">
        <v>0</v>
      </c>
      <c r="M62" t="s">
        <v>46</v>
      </c>
      <c r="N62" t="s">
        <v>47</v>
      </c>
      <c r="O62">
        <v>0</v>
      </c>
      <c r="P62" t="s">
        <v>46</v>
      </c>
      <c r="Q62" t="s">
        <v>47</v>
      </c>
      <c r="R62" t="s">
        <v>48</v>
      </c>
      <c r="S62" t="s">
        <v>49</v>
      </c>
      <c r="T62" t="b">
        <v>1</v>
      </c>
      <c r="U62" t="s">
        <v>50</v>
      </c>
      <c r="V62" t="s">
        <v>51</v>
      </c>
      <c r="W62">
        <v>4</v>
      </c>
      <c r="X62" t="b">
        <v>0</v>
      </c>
      <c r="Y62" t="s">
        <v>52</v>
      </c>
      <c r="Z62" t="s">
        <v>53</v>
      </c>
      <c r="AA62" t="s">
        <v>54</v>
      </c>
      <c r="AB62">
        <v>0</v>
      </c>
      <c r="AC62" t="s">
        <v>55</v>
      </c>
      <c r="AD62">
        <v>8</v>
      </c>
      <c r="AE62" t="s">
        <v>56</v>
      </c>
      <c r="AF62">
        <v>26265.837</v>
      </c>
      <c r="AG62" t="b">
        <v>0</v>
      </c>
      <c r="AH62">
        <v>8</v>
      </c>
      <c r="AI62" t="s">
        <v>56</v>
      </c>
      <c r="AJ62">
        <v>26265.837</v>
      </c>
      <c r="AK62" t="b">
        <v>0</v>
      </c>
      <c r="AL62">
        <v>26265.837</v>
      </c>
      <c r="AM62" t="b">
        <v>0</v>
      </c>
      <c r="AN62">
        <v>0</v>
      </c>
      <c r="AO62" t="b">
        <v>0</v>
      </c>
      <c r="AQ62">
        <v>192308828.31999999</v>
      </c>
      <c r="AR62">
        <v>192308828.31999999</v>
      </c>
      <c r="AS62">
        <v>0</v>
      </c>
      <c r="AT62" t="b">
        <v>0</v>
      </c>
      <c r="AU62" t="b">
        <v>1</v>
      </c>
      <c r="AV62" t="b">
        <v>1</v>
      </c>
      <c r="AW62" t="b">
        <v>1</v>
      </c>
      <c r="BC62" t="str">
        <f t="shared" si="0"/>
        <v>Normal</v>
      </c>
    </row>
    <row r="63" spans="1:55" x14ac:dyDescent="0.2">
      <c r="A63" t="s">
        <v>39</v>
      </c>
      <c r="B63" t="s">
        <v>40</v>
      </c>
      <c r="C63">
        <v>20190101</v>
      </c>
      <c r="D63">
        <v>2019</v>
      </c>
      <c r="E63">
        <v>52</v>
      </c>
      <c r="F63" t="s">
        <v>41</v>
      </c>
      <c r="G63">
        <v>422</v>
      </c>
      <c r="H63" t="s">
        <v>181</v>
      </c>
      <c r="I63" t="s">
        <v>182</v>
      </c>
      <c r="J63" t="s">
        <v>44</v>
      </c>
      <c r="K63" t="s">
        <v>45</v>
      </c>
      <c r="L63">
        <v>0</v>
      </c>
      <c r="M63" t="s">
        <v>46</v>
      </c>
      <c r="N63" t="s">
        <v>47</v>
      </c>
      <c r="O63">
        <v>0</v>
      </c>
      <c r="P63" t="s">
        <v>46</v>
      </c>
      <c r="Q63" t="s">
        <v>47</v>
      </c>
      <c r="R63" t="s">
        <v>48</v>
      </c>
      <c r="S63" t="s">
        <v>49</v>
      </c>
      <c r="T63" t="b">
        <v>1</v>
      </c>
      <c r="U63" t="s">
        <v>50</v>
      </c>
      <c r="V63" t="s">
        <v>51</v>
      </c>
      <c r="W63">
        <v>4</v>
      </c>
      <c r="X63" t="b">
        <v>0</v>
      </c>
      <c r="Y63" t="s">
        <v>52</v>
      </c>
      <c r="Z63" t="s">
        <v>53</v>
      </c>
      <c r="AA63" t="s">
        <v>54</v>
      </c>
      <c r="AB63">
        <v>0</v>
      </c>
      <c r="AC63" t="s">
        <v>55</v>
      </c>
      <c r="AD63">
        <v>8</v>
      </c>
      <c r="AE63" t="s">
        <v>56</v>
      </c>
      <c r="AF63">
        <v>26856.45</v>
      </c>
      <c r="AG63" t="b">
        <v>0</v>
      </c>
      <c r="AH63">
        <v>8</v>
      </c>
      <c r="AI63" t="s">
        <v>56</v>
      </c>
      <c r="AJ63">
        <v>26856.45</v>
      </c>
      <c r="AK63" t="b">
        <v>0</v>
      </c>
      <c r="AL63">
        <v>26856.45</v>
      </c>
      <c r="AM63" t="b">
        <v>0</v>
      </c>
      <c r="AN63">
        <v>0</v>
      </c>
      <c r="AO63" t="b">
        <v>0</v>
      </c>
      <c r="AP63">
        <v>0</v>
      </c>
      <c r="AQ63">
        <v>1134972925.98</v>
      </c>
      <c r="AR63">
        <v>1134972925.98</v>
      </c>
      <c r="AS63">
        <v>0</v>
      </c>
      <c r="AT63" t="b">
        <v>0</v>
      </c>
      <c r="AU63" t="b">
        <v>1</v>
      </c>
      <c r="AV63" t="b">
        <v>1</v>
      </c>
      <c r="AW63" t="b">
        <v>1</v>
      </c>
      <c r="BC63" t="str">
        <f t="shared" si="0"/>
        <v>Normal</v>
      </c>
    </row>
    <row r="64" spans="1:55" x14ac:dyDescent="0.2">
      <c r="A64" t="s">
        <v>39</v>
      </c>
      <c r="B64" t="s">
        <v>40</v>
      </c>
      <c r="C64">
        <v>20190101</v>
      </c>
      <c r="D64">
        <v>2019</v>
      </c>
      <c r="E64">
        <v>52</v>
      </c>
      <c r="F64" t="s">
        <v>41</v>
      </c>
      <c r="G64">
        <v>428</v>
      </c>
      <c r="H64" t="s">
        <v>183</v>
      </c>
      <c r="I64" t="s">
        <v>184</v>
      </c>
      <c r="J64" t="s">
        <v>44</v>
      </c>
      <c r="K64" t="s">
        <v>45</v>
      </c>
      <c r="L64">
        <v>0</v>
      </c>
      <c r="M64" t="s">
        <v>46</v>
      </c>
      <c r="N64" t="s">
        <v>47</v>
      </c>
      <c r="O64">
        <v>0</v>
      </c>
      <c r="P64" t="s">
        <v>46</v>
      </c>
      <c r="Q64" t="s">
        <v>47</v>
      </c>
      <c r="R64" t="s">
        <v>48</v>
      </c>
      <c r="S64" t="s">
        <v>49</v>
      </c>
      <c r="T64" t="b">
        <v>1</v>
      </c>
      <c r="U64" t="s">
        <v>50</v>
      </c>
      <c r="V64" t="s">
        <v>51</v>
      </c>
      <c r="W64">
        <v>4</v>
      </c>
      <c r="X64" t="b">
        <v>0</v>
      </c>
      <c r="Y64" t="s">
        <v>52</v>
      </c>
      <c r="Z64" t="s">
        <v>53</v>
      </c>
      <c r="AA64" t="s">
        <v>54</v>
      </c>
      <c r="AB64">
        <v>0</v>
      </c>
      <c r="AC64" t="s">
        <v>55</v>
      </c>
      <c r="AD64">
        <v>8</v>
      </c>
      <c r="AE64" t="s">
        <v>56</v>
      </c>
      <c r="AF64">
        <v>670.596</v>
      </c>
      <c r="AG64" t="b">
        <v>0</v>
      </c>
      <c r="AH64">
        <v>15</v>
      </c>
      <c r="AI64" t="s">
        <v>59</v>
      </c>
      <c r="AJ64">
        <v>670596</v>
      </c>
      <c r="AK64" t="b">
        <v>0</v>
      </c>
      <c r="AL64">
        <v>674.12199999999996</v>
      </c>
      <c r="AM64" t="b">
        <v>0</v>
      </c>
      <c r="AN64">
        <v>0</v>
      </c>
      <c r="AO64" t="b">
        <v>0</v>
      </c>
      <c r="AQ64">
        <v>22838375.969999999</v>
      </c>
      <c r="AR64">
        <v>22838375.969999999</v>
      </c>
      <c r="AS64">
        <v>0</v>
      </c>
      <c r="AT64" t="b">
        <v>0</v>
      </c>
      <c r="AU64" t="b">
        <v>1</v>
      </c>
      <c r="AV64" t="b">
        <v>1</v>
      </c>
      <c r="AW64" t="b">
        <v>1</v>
      </c>
      <c r="BC64" t="str">
        <f t="shared" si="0"/>
        <v>Normal</v>
      </c>
    </row>
    <row r="65" spans="1:55" x14ac:dyDescent="0.2">
      <c r="A65" t="s">
        <v>39</v>
      </c>
      <c r="B65" t="s">
        <v>40</v>
      </c>
      <c r="C65">
        <v>20190101</v>
      </c>
      <c r="D65">
        <v>2019</v>
      </c>
      <c r="E65">
        <v>52</v>
      </c>
      <c r="F65" t="s">
        <v>41</v>
      </c>
      <c r="G65">
        <v>430</v>
      </c>
      <c r="H65" t="s">
        <v>185</v>
      </c>
      <c r="I65" t="s">
        <v>186</v>
      </c>
      <c r="J65" t="s">
        <v>44</v>
      </c>
      <c r="K65" t="s">
        <v>45</v>
      </c>
      <c r="L65">
        <v>0</v>
      </c>
      <c r="M65" t="s">
        <v>46</v>
      </c>
      <c r="N65" t="s">
        <v>47</v>
      </c>
      <c r="O65">
        <v>0</v>
      </c>
      <c r="P65" t="s">
        <v>46</v>
      </c>
      <c r="Q65" t="s">
        <v>47</v>
      </c>
      <c r="R65" t="s">
        <v>48</v>
      </c>
      <c r="S65" t="s">
        <v>49</v>
      </c>
      <c r="T65" t="b">
        <v>1</v>
      </c>
      <c r="U65" t="s">
        <v>50</v>
      </c>
      <c r="V65" t="s">
        <v>51</v>
      </c>
      <c r="W65">
        <v>4</v>
      </c>
      <c r="X65" t="b">
        <v>0</v>
      </c>
      <c r="Y65" t="s">
        <v>52</v>
      </c>
      <c r="Z65" t="s">
        <v>53</v>
      </c>
      <c r="AA65" t="s">
        <v>54</v>
      </c>
      <c r="AB65">
        <v>0</v>
      </c>
      <c r="AC65" t="s">
        <v>55</v>
      </c>
      <c r="AD65">
        <v>8</v>
      </c>
      <c r="AE65" t="s">
        <v>56</v>
      </c>
      <c r="AF65">
        <v>1473.2239999999999</v>
      </c>
      <c r="AG65" t="b">
        <v>1</v>
      </c>
      <c r="AH65">
        <v>-1</v>
      </c>
      <c r="AI65" t="s">
        <v>64</v>
      </c>
      <c r="AJ65">
        <v>0</v>
      </c>
      <c r="AK65" t="b">
        <v>0</v>
      </c>
      <c r="AL65">
        <v>1473.2239999999999</v>
      </c>
      <c r="AM65" t="b">
        <v>1</v>
      </c>
      <c r="AN65">
        <v>0</v>
      </c>
      <c r="AO65" t="b">
        <v>0</v>
      </c>
      <c r="AQ65">
        <v>62376007.299999997</v>
      </c>
      <c r="AR65">
        <v>62376007.299999997</v>
      </c>
      <c r="AS65">
        <v>6</v>
      </c>
      <c r="AT65" t="b">
        <v>0</v>
      </c>
      <c r="AU65" t="b">
        <v>1</v>
      </c>
      <c r="AV65" t="b">
        <v>1</v>
      </c>
      <c r="AW65" t="b">
        <v>1</v>
      </c>
      <c r="BC65" t="str">
        <f t="shared" si="0"/>
        <v>Normal</v>
      </c>
    </row>
    <row r="66" spans="1:55" x14ac:dyDescent="0.2">
      <c r="A66" t="s">
        <v>39</v>
      </c>
      <c r="B66" t="s">
        <v>40</v>
      </c>
      <c r="C66">
        <v>20190101</v>
      </c>
      <c r="D66">
        <v>2019</v>
      </c>
      <c r="E66">
        <v>52</v>
      </c>
      <c r="F66" t="s">
        <v>41</v>
      </c>
      <c r="G66">
        <v>434</v>
      </c>
      <c r="H66" t="s">
        <v>187</v>
      </c>
      <c r="I66" t="s">
        <v>188</v>
      </c>
      <c r="J66" t="s">
        <v>44</v>
      </c>
      <c r="K66" t="s">
        <v>45</v>
      </c>
      <c r="L66">
        <v>0</v>
      </c>
      <c r="M66" t="s">
        <v>46</v>
      </c>
      <c r="N66" t="s">
        <v>47</v>
      </c>
      <c r="O66">
        <v>0</v>
      </c>
      <c r="P66" t="s">
        <v>46</v>
      </c>
      <c r="Q66" t="s">
        <v>47</v>
      </c>
      <c r="R66" t="s">
        <v>48</v>
      </c>
      <c r="S66" t="s">
        <v>49</v>
      </c>
      <c r="T66" t="b">
        <v>1</v>
      </c>
      <c r="U66" t="s">
        <v>50</v>
      </c>
      <c r="V66" t="s">
        <v>51</v>
      </c>
      <c r="W66">
        <v>4</v>
      </c>
      <c r="X66" t="b">
        <v>0</v>
      </c>
      <c r="Y66" t="s">
        <v>52</v>
      </c>
      <c r="Z66" t="s">
        <v>53</v>
      </c>
      <c r="AA66" t="s">
        <v>54</v>
      </c>
      <c r="AB66">
        <v>0</v>
      </c>
      <c r="AC66" t="s">
        <v>55</v>
      </c>
      <c r="AD66">
        <v>8</v>
      </c>
      <c r="AE66" t="s">
        <v>56</v>
      </c>
      <c r="AF66">
        <v>37496</v>
      </c>
      <c r="AG66" t="b">
        <v>0</v>
      </c>
      <c r="AH66">
        <v>8</v>
      </c>
      <c r="AI66" t="s">
        <v>56</v>
      </c>
      <c r="AJ66">
        <v>37496</v>
      </c>
      <c r="AK66" t="b">
        <v>0</v>
      </c>
      <c r="AL66">
        <v>37496</v>
      </c>
      <c r="AM66" t="b">
        <v>0</v>
      </c>
      <c r="AN66">
        <v>0</v>
      </c>
      <c r="AO66" t="b">
        <v>0</v>
      </c>
      <c r="AP66">
        <v>0</v>
      </c>
      <c r="AQ66">
        <v>1192136545</v>
      </c>
      <c r="AR66">
        <v>1192136545</v>
      </c>
      <c r="AS66">
        <v>0</v>
      </c>
      <c r="AT66" t="b">
        <v>0</v>
      </c>
      <c r="AU66" t="b">
        <v>1</v>
      </c>
      <c r="AV66" t="b">
        <v>1</v>
      </c>
      <c r="AW66" t="b">
        <v>1</v>
      </c>
      <c r="BC66" t="str">
        <f t="shared" si="0"/>
        <v>Normal</v>
      </c>
    </row>
    <row r="67" spans="1:55" x14ac:dyDescent="0.2">
      <c r="A67" t="s">
        <v>39</v>
      </c>
      <c r="B67" t="s">
        <v>40</v>
      </c>
      <c r="C67">
        <v>20190101</v>
      </c>
      <c r="D67">
        <v>2019</v>
      </c>
      <c r="E67">
        <v>52</v>
      </c>
      <c r="F67" t="s">
        <v>41</v>
      </c>
      <c r="G67">
        <v>440</v>
      </c>
      <c r="H67" t="s">
        <v>189</v>
      </c>
      <c r="I67" t="s">
        <v>190</v>
      </c>
      <c r="J67" t="s">
        <v>44</v>
      </c>
      <c r="K67" t="s">
        <v>45</v>
      </c>
      <c r="L67">
        <v>0</v>
      </c>
      <c r="M67" t="s">
        <v>46</v>
      </c>
      <c r="N67" t="s">
        <v>47</v>
      </c>
      <c r="O67">
        <v>0</v>
      </c>
      <c r="P67" t="s">
        <v>46</v>
      </c>
      <c r="Q67" t="s">
        <v>47</v>
      </c>
      <c r="R67" t="s">
        <v>48</v>
      </c>
      <c r="S67" t="s">
        <v>49</v>
      </c>
      <c r="T67" t="b">
        <v>1</v>
      </c>
      <c r="U67" t="s">
        <v>50</v>
      </c>
      <c r="V67" t="s">
        <v>51</v>
      </c>
      <c r="W67">
        <v>4</v>
      </c>
      <c r="X67" t="b">
        <v>0</v>
      </c>
      <c r="Y67" t="s">
        <v>52</v>
      </c>
      <c r="Z67" t="s">
        <v>53</v>
      </c>
      <c r="AA67" t="s">
        <v>54</v>
      </c>
      <c r="AB67">
        <v>0</v>
      </c>
      <c r="AC67" t="s">
        <v>55</v>
      </c>
      <c r="AD67">
        <v>8</v>
      </c>
      <c r="AE67" t="s">
        <v>56</v>
      </c>
      <c r="AF67">
        <v>11.933999999999999</v>
      </c>
      <c r="AG67" t="b">
        <v>0</v>
      </c>
      <c r="AH67">
        <v>15</v>
      </c>
      <c r="AI67" t="s">
        <v>59</v>
      </c>
      <c r="AJ67">
        <v>11934.33</v>
      </c>
      <c r="AK67" t="b">
        <v>0</v>
      </c>
      <c r="AL67">
        <v>11.923999999999999</v>
      </c>
      <c r="AM67" t="b">
        <v>0</v>
      </c>
      <c r="AN67">
        <v>0</v>
      </c>
      <c r="AO67" t="b">
        <v>0</v>
      </c>
      <c r="AQ67">
        <v>321770</v>
      </c>
      <c r="AR67">
        <v>321770</v>
      </c>
      <c r="AS67">
        <v>0</v>
      </c>
      <c r="AT67" t="b">
        <v>0</v>
      </c>
      <c r="AU67" t="b">
        <v>1</v>
      </c>
      <c r="AV67" t="b">
        <v>1</v>
      </c>
      <c r="AW67" t="b">
        <v>1</v>
      </c>
      <c r="BC67" t="str">
        <f t="shared" ref="BC67:BC130" si="1">IF(OR(AL67&lt;$BA$2,AL67&gt;$BB$2),"Outlier","Normal")</f>
        <v>Normal</v>
      </c>
    </row>
    <row r="68" spans="1:55" x14ac:dyDescent="0.2">
      <c r="A68" t="s">
        <v>39</v>
      </c>
      <c r="B68" t="s">
        <v>40</v>
      </c>
      <c r="C68">
        <v>20190101</v>
      </c>
      <c r="D68">
        <v>2019</v>
      </c>
      <c r="E68">
        <v>52</v>
      </c>
      <c r="F68" t="s">
        <v>41</v>
      </c>
      <c r="G68">
        <v>442</v>
      </c>
      <c r="H68" t="s">
        <v>191</v>
      </c>
      <c r="I68" t="s">
        <v>192</v>
      </c>
      <c r="J68" t="s">
        <v>44</v>
      </c>
      <c r="K68" t="s">
        <v>45</v>
      </c>
      <c r="L68">
        <v>0</v>
      </c>
      <c r="M68" t="s">
        <v>46</v>
      </c>
      <c r="N68" t="s">
        <v>47</v>
      </c>
      <c r="O68">
        <v>0</v>
      </c>
      <c r="P68" t="s">
        <v>46</v>
      </c>
      <c r="Q68" t="s">
        <v>47</v>
      </c>
      <c r="R68" t="s">
        <v>48</v>
      </c>
      <c r="S68" t="s">
        <v>49</v>
      </c>
      <c r="T68" t="b">
        <v>1</v>
      </c>
      <c r="U68" t="s">
        <v>50</v>
      </c>
      <c r="V68" t="s">
        <v>51</v>
      </c>
      <c r="W68">
        <v>4</v>
      </c>
      <c r="X68" t="b">
        <v>0</v>
      </c>
      <c r="Y68" t="s">
        <v>52</v>
      </c>
      <c r="Z68" t="s">
        <v>53</v>
      </c>
      <c r="AA68" t="s">
        <v>54</v>
      </c>
      <c r="AB68">
        <v>0</v>
      </c>
      <c r="AC68" t="s">
        <v>55</v>
      </c>
      <c r="AD68">
        <v>8</v>
      </c>
      <c r="AE68" t="s">
        <v>56</v>
      </c>
      <c r="AF68">
        <v>2385.6280000000002</v>
      </c>
      <c r="AG68" t="b">
        <v>1</v>
      </c>
      <c r="AH68">
        <v>-1</v>
      </c>
      <c r="AI68" t="s">
        <v>64</v>
      </c>
      <c r="AJ68">
        <v>0</v>
      </c>
      <c r="AK68" t="b">
        <v>0</v>
      </c>
      <c r="AL68">
        <v>2605.0610000000001</v>
      </c>
      <c r="AM68" t="b">
        <v>1</v>
      </c>
      <c r="AN68">
        <v>0</v>
      </c>
      <c r="AO68" t="b">
        <v>0</v>
      </c>
      <c r="AP68">
        <v>0</v>
      </c>
      <c r="AQ68">
        <v>84724927.550999999</v>
      </c>
      <c r="AR68">
        <v>84724927.550999999</v>
      </c>
      <c r="AS68">
        <v>6</v>
      </c>
      <c r="AT68" t="b">
        <v>0</v>
      </c>
      <c r="AU68" t="b">
        <v>1</v>
      </c>
      <c r="AV68" t="b">
        <v>1</v>
      </c>
      <c r="AW68" t="b">
        <v>1</v>
      </c>
      <c r="BC68" t="str">
        <f t="shared" si="1"/>
        <v>Normal</v>
      </c>
    </row>
    <row r="69" spans="1:55" x14ac:dyDescent="0.2">
      <c r="A69" t="s">
        <v>39</v>
      </c>
      <c r="B69" t="s">
        <v>40</v>
      </c>
      <c r="C69">
        <v>20190101</v>
      </c>
      <c r="D69">
        <v>2019</v>
      </c>
      <c r="E69">
        <v>52</v>
      </c>
      <c r="F69" t="s">
        <v>41</v>
      </c>
      <c r="G69">
        <v>450</v>
      </c>
      <c r="H69" t="s">
        <v>193</v>
      </c>
      <c r="I69" t="s">
        <v>194</v>
      </c>
      <c r="J69" t="s">
        <v>44</v>
      </c>
      <c r="K69" t="s">
        <v>45</v>
      </c>
      <c r="L69">
        <v>0</v>
      </c>
      <c r="M69" t="s">
        <v>46</v>
      </c>
      <c r="N69" t="s">
        <v>47</v>
      </c>
      <c r="O69">
        <v>0</v>
      </c>
      <c r="P69" t="s">
        <v>46</v>
      </c>
      <c r="Q69" t="s">
        <v>47</v>
      </c>
      <c r="R69" t="s">
        <v>48</v>
      </c>
      <c r="S69" t="s">
        <v>49</v>
      </c>
      <c r="T69" t="b">
        <v>1</v>
      </c>
      <c r="U69" t="s">
        <v>50</v>
      </c>
      <c r="V69" t="s">
        <v>51</v>
      </c>
      <c r="W69">
        <v>4</v>
      </c>
      <c r="X69" t="b">
        <v>0</v>
      </c>
      <c r="Y69" t="s">
        <v>52</v>
      </c>
      <c r="Z69" t="s">
        <v>53</v>
      </c>
      <c r="AA69" t="s">
        <v>54</v>
      </c>
      <c r="AB69">
        <v>0</v>
      </c>
      <c r="AC69" t="s">
        <v>55</v>
      </c>
      <c r="AD69">
        <v>8</v>
      </c>
      <c r="AE69" t="s">
        <v>56</v>
      </c>
      <c r="AF69">
        <v>2098.4499999999998</v>
      </c>
      <c r="AG69" t="b">
        <v>0</v>
      </c>
      <c r="AH69">
        <v>8</v>
      </c>
      <c r="AI69" t="s">
        <v>56</v>
      </c>
      <c r="AJ69">
        <v>2098.4499999999998</v>
      </c>
      <c r="AK69" t="b">
        <v>0</v>
      </c>
      <c r="AL69">
        <v>2098.4499999999998</v>
      </c>
      <c r="AM69" t="b">
        <v>0</v>
      </c>
      <c r="AN69">
        <v>0</v>
      </c>
      <c r="AO69" t="b">
        <v>0</v>
      </c>
      <c r="AQ69">
        <v>86768147.553000003</v>
      </c>
      <c r="AR69">
        <v>86768147.553000003</v>
      </c>
      <c r="AS69">
        <v>0</v>
      </c>
      <c r="AT69" t="b">
        <v>0</v>
      </c>
      <c r="AU69" t="b">
        <v>1</v>
      </c>
      <c r="AV69" t="b">
        <v>1</v>
      </c>
      <c r="AW69" t="b">
        <v>1</v>
      </c>
      <c r="BC69" t="str">
        <f t="shared" si="1"/>
        <v>Normal</v>
      </c>
    </row>
    <row r="70" spans="1:55" x14ac:dyDescent="0.2">
      <c r="A70" t="s">
        <v>39</v>
      </c>
      <c r="B70" t="s">
        <v>40</v>
      </c>
      <c r="C70">
        <v>20190101</v>
      </c>
      <c r="D70">
        <v>2019</v>
      </c>
      <c r="E70">
        <v>52</v>
      </c>
      <c r="F70" t="s">
        <v>41</v>
      </c>
      <c r="G70">
        <v>458</v>
      </c>
      <c r="H70" t="s">
        <v>195</v>
      </c>
      <c r="I70" t="s">
        <v>196</v>
      </c>
      <c r="J70" t="s">
        <v>44</v>
      </c>
      <c r="K70" t="s">
        <v>45</v>
      </c>
      <c r="L70">
        <v>0</v>
      </c>
      <c r="M70" t="s">
        <v>46</v>
      </c>
      <c r="N70" t="s">
        <v>47</v>
      </c>
      <c r="O70">
        <v>0</v>
      </c>
      <c r="P70" t="s">
        <v>46</v>
      </c>
      <c r="Q70" t="s">
        <v>47</v>
      </c>
      <c r="R70" t="s">
        <v>48</v>
      </c>
      <c r="S70" t="s">
        <v>49</v>
      </c>
      <c r="T70" t="b">
        <v>1</v>
      </c>
      <c r="U70" t="s">
        <v>50</v>
      </c>
      <c r="V70" t="s">
        <v>51</v>
      </c>
      <c r="W70">
        <v>4</v>
      </c>
      <c r="X70" t="b">
        <v>0</v>
      </c>
      <c r="Y70" t="s">
        <v>52</v>
      </c>
      <c r="Z70" t="s">
        <v>53</v>
      </c>
      <c r="AA70" t="s">
        <v>54</v>
      </c>
      <c r="AB70">
        <v>0</v>
      </c>
      <c r="AC70" t="s">
        <v>55</v>
      </c>
      <c r="AD70">
        <v>8</v>
      </c>
      <c r="AE70" t="s">
        <v>56</v>
      </c>
      <c r="AF70">
        <v>11033.26</v>
      </c>
      <c r="AG70" t="b">
        <v>0</v>
      </c>
      <c r="AH70">
        <v>8</v>
      </c>
      <c r="AI70" t="s">
        <v>56</v>
      </c>
      <c r="AJ70">
        <v>11033.26</v>
      </c>
      <c r="AK70" t="b">
        <v>0</v>
      </c>
      <c r="AL70">
        <v>11033.26</v>
      </c>
      <c r="AM70" t="b">
        <v>0</v>
      </c>
      <c r="AN70">
        <v>0</v>
      </c>
      <c r="AO70" t="b">
        <v>0</v>
      </c>
      <c r="AP70">
        <v>0</v>
      </c>
      <c r="AQ70">
        <v>448194927.40700001</v>
      </c>
      <c r="AR70">
        <v>448194927.40700001</v>
      </c>
      <c r="AS70">
        <v>0</v>
      </c>
      <c r="AT70" t="b">
        <v>0</v>
      </c>
      <c r="AU70" t="b">
        <v>1</v>
      </c>
      <c r="AV70" t="b">
        <v>1</v>
      </c>
      <c r="AW70" t="b">
        <v>1</v>
      </c>
      <c r="BC70" t="str">
        <f t="shared" si="1"/>
        <v>Normal</v>
      </c>
    </row>
    <row r="71" spans="1:55" x14ac:dyDescent="0.2">
      <c r="A71" t="s">
        <v>39</v>
      </c>
      <c r="B71" t="s">
        <v>40</v>
      </c>
      <c r="C71">
        <v>20190101</v>
      </c>
      <c r="D71">
        <v>2019</v>
      </c>
      <c r="E71">
        <v>52</v>
      </c>
      <c r="F71" t="s">
        <v>41</v>
      </c>
      <c r="G71">
        <v>466</v>
      </c>
      <c r="H71" t="s">
        <v>197</v>
      </c>
      <c r="I71" t="s">
        <v>198</v>
      </c>
      <c r="J71" t="s">
        <v>44</v>
      </c>
      <c r="K71" t="s">
        <v>45</v>
      </c>
      <c r="L71">
        <v>0</v>
      </c>
      <c r="M71" t="s">
        <v>46</v>
      </c>
      <c r="N71" t="s">
        <v>47</v>
      </c>
      <c r="O71">
        <v>0</v>
      </c>
      <c r="P71" t="s">
        <v>46</v>
      </c>
      <c r="Q71" t="s">
        <v>47</v>
      </c>
      <c r="R71" t="s">
        <v>48</v>
      </c>
      <c r="S71" t="s">
        <v>49</v>
      </c>
      <c r="T71" t="b">
        <v>1</v>
      </c>
      <c r="U71" t="s">
        <v>50</v>
      </c>
      <c r="V71" t="s">
        <v>51</v>
      </c>
      <c r="W71">
        <v>4</v>
      </c>
      <c r="X71" t="b">
        <v>0</v>
      </c>
      <c r="Y71" t="s">
        <v>52</v>
      </c>
      <c r="Z71" t="s">
        <v>53</v>
      </c>
      <c r="AA71" t="s">
        <v>54</v>
      </c>
      <c r="AB71">
        <v>0</v>
      </c>
      <c r="AC71" t="s">
        <v>55</v>
      </c>
      <c r="AD71">
        <v>8</v>
      </c>
      <c r="AE71" t="s">
        <v>56</v>
      </c>
      <c r="AF71">
        <v>65670.039999999994</v>
      </c>
      <c r="AG71" t="b">
        <v>0</v>
      </c>
      <c r="AH71">
        <v>8</v>
      </c>
      <c r="AI71" t="s">
        <v>56</v>
      </c>
      <c r="AJ71">
        <v>65670.039999999994</v>
      </c>
      <c r="AK71" t="b">
        <v>0</v>
      </c>
      <c r="AL71">
        <v>65670.039999999994</v>
      </c>
      <c r="AM71" t="b">
        <v>0</v>
      </c>
      <c r="AN71">
        <v>0</v>
      </c>
      <c r="AO71" t="b">
        <v>0</v>
      </c>
      <c r="AP71">
        <v>0</v>
      </c>
      <c r="AQ71">
        <v>2657101419.3899999</v>
      </c>
      <c r="AR71">
        <v>2657101419.3899999</v>
      </c>
      <c r="AS71">
        <v>0</v>
      </c>
      <c r="AT71" t="b">
        <v>0</v>
      </c>
      <c r="AU71" t="b">
        <v>1</v>
      </c>
      <c r="AV71" t="b">
        <v>1</v>
      </c>
      <c r="AW71" t="b">
        <v>1</v>
      </c>
      <c r="BC71" t="str">
        <f t="shared" si="1"/>
        <v>Normal</v>
      </c>
    </row>
    <row r="72" spans="1:55" x14ac:dyDescent="0.2">
      <c r="A72" t="s">
        <v>39</v>
      </c>
      <c r="B72" t="s">
        <v>40</v>
      </c>
      <c r="C72">
        <v>20190101</v>
      </c>
      <c r="D72">
        <v>2019</v>
      </c>
      <c r="E72">
        <v>52</v>
      </c>
      <c r="F72" t="s">
        <v>41</v>
      </c>
      <c r="G72">
        <v>470</v>
      </c>
      <c r="H72" t="s">
        <v>199</v>
      </c>
      <c r="I72" t="s">
        <v>200</v>
      </c>
      <c r="J72" t="s">
        <v>44</v>
      </c>
      <c r="K72" t="s">
        <v>45</v>
      </c>
      <c r="L72">
        <v>0</v>
      </c>
      <c r="M72" t="s">
        <v>46</v>
      </c>
      <c r="N72" t="s">
        <v>47</v>
      </c>
      <c r="O72">
        <v>0</v>
      </c>
      <c r="P72" t="s">
        <v>46</v>
      </c>
      <c r="Q72" t="s">
        <v>47</v>
      </c>
      <c r="R72" t="s">
        <v>48</v>
      </c>
      <c r="S72" t="s">
        <v>49</v>
      </c>
      <c r="T72" t="b">
        <v>1</v>
      </c>
      <c r="U72" t="s">
        <v>50</v>
      </c>
      <c r="V72" t="s">
        <v>51</v>
      </c>
      <c r="W72">
        <v>4</v>
      </c>
      <c r="X72" t="b">
        <v>0</v>
      </c>
      <c r="Y72" t="s">
        <v>52</v>
      </c>
      <c r="Z72" t="s">
        <v>53</v>
      </c>
      <c r="AA72" t="s">
        <v>54</v>
      </c>
      <c r="AB72">
        <v>0</v>
      </c>
      <c r="AC72" t="s">
        <v>55</v>
      </c>
      <c r="AD72">
        <v>8</v>
      </c>
      <c r="AE72" t="s">
        <v>56</v>
      </c>
      <c r="AF72">
        <v>89</v>
      </c>
      <c r="AG72" t="b">
        <v>0</v>
      </c>
      <c r="AH72">
        <v>15</v>
      </c>
      <c r="AI72" t="s">
        <v>59</v>
      </c>
      <c r="AJ72">
        <v>86316</v>
      </c>
      <c r="AK72" t="b">
        <v>0</v>
      </c>
      <c r="AL72">
        <v>89</v>
      </c>
      <c r="AM72" t="b">
        <v>0</v>
      </c>
      <c r="AN72">
        <v>0</v>
      </c>
      <c r="AO72" t="b">
        <v>0</v>
      </c>
      <c r="AQ72">
        <v>2896603.6910000001</v>
      </c>
      <c r="AR72">
        <v>2896603.6910000001</v>
      </c>
      <c r="AS72">
        <v>0</v>
      </c>
      <c r="AT72" t="b">
        <v>0</v>
      </c>
      <c r="AU72" t="b">
        <v>1</v>
      </c>
      <c r="AV72" t="b">
        <v>1</v>
      </c>
      <c r="AW72" t="b">
        <v>1</v>
      </c>
      <c r="BC72" t="str">
        <f t="shared" si="1"/>
        <v>Normal</v>
      </c>
    </row>
    <row r="73" spans="1:55" x14ac:dyDescent="0.2">
      <c r="A73" t="s">
        <v>39</v>
      </c>
      <c r="B73" t="s">
        <v>40</v>
      </c>
      <c r="C73">
        <v>20190101</v>
      </c>
      <c r="D73">
        <v>2019</v>
      </c>
      <c r="E73">
        <v>52</v>
      </c>
      <c r="F73" t="s">
        <v>41</v>
      </c>
      <c r="G73">
        <v>480</v>
      </c>
      <c r="H73" t="s">
        <v>201</v>
      </c>
      <c r="I73" t="s">
        <v>202</v>
      </c>
      <c r="J73" t="s">
        <v>44</v>
      </c>
      <c r="K73" t="s">
        <v>45</v>
      </c>
      <c r="L73">
        <v>0</v>
      </c>
      <c r="M73" t="s">
        <v>46</v>
      </c>
      <c r="N73" t="s">
        <v>47</v>
      </c>
      <c r="O73">
        <v>0</v>
      </c>
      <c r="P73" t="s">
        <v>46</v>
      </c>
      <c r="Q73" t="s">
        <v>47</v>
      </c>
      <c r="R73" t="s">
        <v>48</v>
      </c>
      <c r="S73" t="s">
        <v>49</v>
      </c>
      <c r="T73" t="b">
        <v>1</v>
      </c>
      <c r="U73" t="s">
        <v>50</v>
      </c>
      <c r="V73" t="s">
        <v>51</v>
      </c>
      <c r="W73">
        <v>4</v>
      </c>
      <c r="X73" t="b">
        <v>0</v>
      </c>
      <c r="Y73" t="s">
        <v>52</v>
      </c>
      <c r="Z73" t="s">
        <v>53</v>
      </c>
      <c r="AA73" t="s">
        <v>54</v>
      </c>
      <c r="AB73">
        <v>0</v>
      </c>
      <c r="AC73" t="s">
        <v>55</v>
      </c>
      <c r="AD73">
        <v>8</v>
      </c>
      <c r="AE73" t="s">
        <v>56</v>
      </c>
      <c r="AF73">
        <v>22</v>
      </c>
      <c r="AG73" t="b">
        <v>0</v>
      </c>
      <c r="AH73">
        <v>8</v>
      </c>
      <c r="AI73" t="s">
        <v>56</v>
      </c>
      <c r="AJ73">
        <v>22</v>
      </c>
      <c r="AK73" t="b">
        <v>0</v>
      </c>
      <c r="AL73">
        <v>22</v>
      </c>
      <c r="AM73" t="b">
        <v>0</v>
      </c>
      <c r="AN73">
        <v>0</v>
      </c>
      <c r="AO73" t="b">
        <v>0</v>
      </c>
      <c r="AQ73">
        <v>749392.696</v>
      </c>
      <c r="AR73">
        <v>749392.696</v>
      </c>
      <c r="AS73">
        <v>0</v>
      </c>
      <c r="AT73" t="b">
        <v>0</v>
      </c>
      <c r="AU73" t="b">
        <v>1</v>
      </c>
      <c r="AV73" t="b">
        <v>1</v>
      </c>
      <c r="AW73" t="b">
        <v>1</v>
      </c>
      <c r="BC73" t="str">
        <f t="shared" si="1"/>
        <v>Normal</v>
      </c>
    </row>
    <row r="74" spans="1:55" x14ac:dyDescent="0.2">
      <c r="A74" t="s">
        <v>39</v>
      </c>
      <c r="B74" t="s">
        <v>40</v>
      </c>
      <c r="C74">
        <v>20190101</v>
      </c>
      <c r="D74">
        <v>2019</v>
      </c>
      <c r="E74">
        <v>52</v>
      </c>
      <c r="F74" t="s">
        <v>41</v>
      </c>
      <c r="G74">
        <v>484</v>
      </c>
      <c r="H74" t="s">
        <v>203</v>
      </c>
      <c r="I74" t="s">
        <v>204</v>
      </c>
      <c r="J74" t="s">
        <v>44</v>
      </c>
      <c r="K74" t="s">
        <v>45</v>
      </c>
      <c r="L74">
        <v>0</v>
      </c>
      <c r="M74" t="s">
        <v>46</v>
      </c>
      <c r="N74" t="s">
        <v>47</v>
      </c>
      <c r="O74">
        <v>0</v>
      </c>
      <c r="P74" t="s">
        <v>46</v>
      </c>
      <c r="Q74" t="s">
        <v>47</v>
      </c>
      <c r="R74" t="s">
        <v>95</v>
      </c>
      <c r="S74" t="s">
        <v>49</v>
      </c>
      <c r="T74" t="b">
        <v>1</v>
      </c>
      <c r="U74" t="s">
        <v>50</v>
      </c>
      <c r="V74" t="s">
        <v>51</v>
      </c>
      <c r="W74">
        <v>4</v>
      </c>
      <c r="X74" t="b">
        <v>0</v>
      </c>
      <c r="Y74" t="s">
        <v>52</v>
      </c>
      <c r="Z74" t="s">
        <v>53</v>
      </c>
      <c r="AA74" t="s">
        <v>54</v>
      </c>
      <c r="AB74">
        <v>0</v>
      </c>
      <c r="AC74" t="s">
        <v>55</v>
      </c>
      <c r="AD74">
        <v>-1</v>
      </c>
      <c r="AE74" t="s">
        <v>64</v>
      </c>
      <c r="AF74">
        <v>0</v>
      </c>
      <c r="AG74" t="b">
        <v>1</v>
      </c>
      <c r="AH74">
        <v>-1</v>
      </c>
      <c r="AI74" t="s">
        <v>64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Q74">
        <v>3268151039</v>
      </c>
      <c r="AR74">
        <v>3268151039</v>
      </c>
      <c r="AS74">
        <v>6</v>
      </c>
      <c r="AT74" t="b">
        <v>0</v>
      </c>
      <c r="AU74" t="b">
        <v>1</v>
      </c>
      <c r="AV74" t="b">
        <v>1</v>
      </c>
      <c r="AW74" t="b">
        <v>1</v>
      </c>
      <c r="BC74" t="str">
        <f t="shared" si="1"/>
        <v>Normal</v>
      </c>
    </row>
    <row r="75" spans="1:55" x14ac:dyDescent="0.2">
      <c r="A75" t="s">
        <v>39</v>
      </c>
      <c r="B75" t="s">
        <v>40</v>
      </c>
      <c r="C75">
        <v>20190101</v>
      </c>
      <c r="D75">
        <v>2019</v>
      </c>
      <c r="E75">
        <v>52</v>
      </c>
      <c r="F75" t="s">
        <v>41</v>
      </c>
      <c r="G75">
        <v>490</v>
      </c>
      <c r="H75" t="s">
        <v>205</v>
      </c>
      <c r="I75" t="s">
        <v>206</v>
      </c>
      <c r="J75" t="s">
        <v>44</v>
      </c>
      <c r="K75" t="s">
        <v>45</v>
      </c>
      <c r="L75">
        <v>0</v>
      </c>
      <c r="M75" t="s">
        <v>46</v>
      </c>
      <c r="N75" t="s">
        <v>47</v>
      </c>
      <c r="O75">
        <v>0</v>
      </c>
      <c r="P75" t="s">
        <v>46</v>
      </c>
      <c r="Q75" t="s">
        <v>47</v>
      </c>
      <c r="R75" t="s">
        <v>48</v>
      </c>
      <c r="S75" t="s">
        <v>49</v>
      </c>
      <c r="T75" t="b">
        <v>1</v>
      </c>
      <c r="U75" t="s">
        <v>50</v>
      </c>
      <c r="V75" t="s">
        <v>51</v>
      </c>
      <c r="W75">
        <v>4</v>
      </c>
      <c r="X75" t="b">
        <v>0</v>
      </c>
      <c r="Y75" t="s">
        <v>52</v>
      </c>
      <c r="Z75" t="s">
        <v>53</v>
      </c>
      <c r="AA75" t="s">
        <v>54</v>
      </c>
      <c r="AB75">
        <v>0</v>
      </c>
      <c r="AC75" t="s">
        <v>55</v>
      </c>
      <c r="AD75">
        <v>8</v>
      </c>
      <c r="AE75" t="s">
        <v>56</v>
      </c>
      <c r="AF75">
        <v>19411.055</v>
      </c>
      <c r="AG75" t="b">
        <v>1</v>
      </c>
      <c r="AH75">
        <v>-1</v>
      </c>
      <c r="AI75" t="s">
        <v>64</v>
      </c>
      <c r="AJ75">
        <v>0</v>
      </c>
      <c r="AK75" t="b">
        <v>0</v>
      </c>
      <c r="AL75">
        <v>19411.055</v>
      </c>
      <c r="AM75" t="b">
        <v>1</v>
      </c>
      <c r="AN75">
        <v>0</v>
      </c>
      <c r="AO75" t="b">
        <v>0</v>
      </c>
      <c r="AQ75">
        <v>799380522.80999994</v>
      </c>
      <c r="AR75">
        <v>799380522.80999994</v>
      </c>
      <c r="AS75">
        <v>6</v>
      </c>
      <c r="AT75" t="b">
        <v>0</v>
      </c>
      <c r="AU75" t="b">
        <v>1</v>
      </c>
      <c r="AV75" t="b">
        <v>1</v>
      </c>
      <c r="AW75" t="b">
        <v>1</v>
      </c>
      <c r="BC75" t="str">
        <f t="shared" si="1"/>
        <v>Normal</v>
      </c>
    </row>
    <row r="76" spans="1:55" x14ac:dyDescent="0.2">
      <c r="A76" t="s">
        <v>39</v>
      </c>
      <c r="B76" t="s">
        <v>40</v>
      </c>
      <c r="C76">
        <v>20190101</v>
      </c>
      <c r="D76">
        <v>2019</v>
      </c>
      <c r="E76">
        <v>52</v>
      </c>
      <c r="F76" t="s">
        <v>41</v>
      </c>
      <c r="G76">
        <v>496</v>
      </c>
      <c r="H76" t="s">
        <v>207</v>
      </c>
      <c r="I76" t="s">
        <v>208</v>
      </c>
      <c r="J76" t="s">
        <v>44</v>
      </c>
      <c r="K76" t="s">
        <v>45</v>
      </c>
      <c r="L76">
        <v>0</v>
      </c>
      <c r="M76" t="s">
        <v>46</v>
      </c>
      <c r="N76" t="s">
        <v>47</v>
      </c>
      <c r="O76">
        <v>0</v>
      </c>
      <c r="P76" t="s">
        <v>46</v>
      </c>
      <c r="Q76" t="s">
        <v>47</v>
      </c>
      <c r="R76" t="s">
        <v>48</v>
      </c>
      <c r="S76" t="s">
        <v>49</v>
      </c>
      <c r="T76" t="b">
        <v>1</v>
      </c>
      <c r="U76" t="s">
        <v>50</v>
      </c>
      <c r="V76" t="s">
        <v>51</v>
      </c>
      <c r="W76">
        <v>4</v>
      </c>
      <c r="X76" t="b">
        <v>0</v>
      </c>
      <c r="Y76" t="s">
        <v>52</v>
      </c>
      <c r="Z76" t="s">
        <v>53</v>
      </c>
      <c r="AA76" t="s">
        <v>54</v>
      </c>
      <c r="AB76">
        <v>0</v>
      </c>
      <c r="AC76" t="s">
        <v>55</v>
      </c>
      <c r="AD76">
        <v>8</v>
      </c>
      <c r="AE76" t="s">
        <v>56</v>
      </c>
      <c r="AF76">
        <v>9069.44</v>
      </c>
      <c r="AG76" t="b">
        <v>0</v>
      </c>
      <c r="AH76">
        <v>8</v>
      </c>
      <c r="AI76" t="s">
        <v>56</v>
      </c>
      <c r="AJ76">
        <v>9069.44</v>
      </c>
      <c r="AK76" t="b">
        <v>0</v>
      </c>
      <c r="AL76">
        <v>9069.44</v>
      </c>
      <c r="AM76" t="b">
        <v>0</v>
      </c>
      <c r="AN76">
        <v>0</v>
      </c>
      <c r="AO76" t="b">
        <v>0</v>
      </c>
      <c r="AQ76">
        <v>418394400</v>
      </c>
      <c r="AR76">
        <v>418394400</v>
      </c>
      <c r="AS76">
        <v>0</v>
      </c>
      <c r="AT76" t="b">
        <v>0</v>
      </c>
      <c r="AU76" t="b">
        <v>1</v>
      </c>
      <c r="AV76" t="b">
        <v>1</v>
      </c>
      <c r="AW76" t="b">
        <v>1</v>
      </c>
      <c r="BC76" t="str">
        <f t="shared" si="1"/>
        <v>Normal</v>
      </c>
    </row>
    <row r="77" spans="1:55" x14ac:dyDescent="0.2">
      <c r="A77" t="s">
        <v>39</v>
      </c>
      <c r="B77" t="s">
        <v>40</v>
      </c>
      <c r="C77">
        <v>20190101</v>
      </c>
      <c r="D77">
        <v>2019</v>
      </c>
      <c r="E77">
        <v>52</v>
      </c>
      <c r="F77" t="s">
        <v>41</v>
      </c>
      <c r="G77">
        <v>498</v>
      </c>
      <c r="H77" t="s">
        <v>209</v>
      </c>
      <c r="I77" t="s">
        <v>210</v>
      </c>
      <c r="J77" t="s">
        <v>44</v>
      </c>
      <c r="K77" t="s">
        <v>45</v>
      </c>
      <c r="L77">
        <v>0</v>
      </c>
      <c r="M77" t="s">
        <v>46</v>
      </c>
      <c r="N77" t="s">
        <v>47</v>
      </c>
      <c r="O77">
        <v>0</v>
      </c>
      <c r="P77" t="s">
        <v>46</v>
      </c>
      <c r="Q77" t="s">
        <v>47</v>
      </c>
      <c r="R77" t="s">
        <v>95</v>
      </c>
      <c r="S77" t="s">
        <v>49</v>
      </c>
      <c r="T77" t="b">
        <v>1</v>
      </c>
      <c r="U77" t="s">
        <v>50</v>
      </c>
      <c r="V77" t="s">
        <v>51</v>
      </c>
      <c r="W77">
        <v>4</v>
      </c>
      <c r="X77" t="b">
        <v>0</v>
      </c>
      <c r="Y77" t="s">
        <v>52</v>
      </c>
      <c r="Z77" t="s">
        <v>53</v>
      </c>
      <c r="AA77" t="s">
        <v>54</v>
      </c>
      <c r="AB77">
        <v>0</v>
      </c>
      <c r="AC77" t="s">
        <v>55</v>
      </c>
      <c r="AD77">
        <v>8</v>
      </c>
      <c r="AE77" t="s">
        <v>56</v>
      </c>
      <c r="AF77">
        <v>32.792000000000002</v>
      </c>
      <c r="AG77" t="b">
        <v>0</v>
      </c>
      <c r="AH77">
        <v>15</v>
      </c>
      <c r="AI77" t="s">
        <v>59</v>
      </c>
      <c r="AJ77">
        <v>32792</v>
      </c>
      <c r="AK77" t="b">
        <v>0</v>
      </c>
      <c r="AL77">
        <v>33</v>
      </c>
      <c r="AM77" t="b">
        <v>0</v>
      </c>
      <c r="AN77">
        <v>0</v>
      </c>
      <c r="AO77" t="b">
        <v>0</v>
      </c>
      <c r="AQ77">
        <v>879330</v>
      </c>
      <c r="AR77">
        <v>879330</v>
      </c>
      <c r="AS77">
        <v>0</v>
      </c>
      <c r="AT77" t="b">
        <v>0</v>
      </c>
      <c r="AU77" t="b">
        <v>1</v>
      </c>
      <c r="AV77" t="b">
        <v>1</v>
      </c>
      <c r="AW77" t="b">
        <v>1</v>
      </c>
      <c r="BC77" t="str">
        <f t="shared" si="1"/>
        <v>Normal</v>
      </c>
    </row>
    <row r="78" spans="1:55" x14ac:dyDescent="0.2">
      <c r="A78" t="s">
        <v>39</v>
      </c>
      <c r="B78" t="s">
        <v>40</v>
      </c>
      <c r="C78">
        <v>20190101</v>
      </c>
      <c r="D78">
        <v>2019</v>
      </c>
      <c r="E78">
        <v>52</v>
      </c>
      <c r="F78" t="s">
        <v>41</v>
      </c>
      <c r="G78">
        <v>504</v>
      </c>
      <c r="H78" t="s">
        <v>211</v>
      </c>
      <c r="I78" t="s">
        <v>212</v>
      </c>
      <c r="J78" t="s">
        <v>44</v>
      </c>
      <c r="K78" t="s">
        <v>45</v>
      </c>
      <c r="L78">
        <v>0</v>
      </c>
      <c r="M78" t="s">
        <v>46</v>
      </c>
      <c r="N78" t="s">
        <v>47</v>
      </c>
      <c r="O78">
        <v>0</v>
      </c>
      <c r="P78" t="s">
        <v>46</v>
      </c>
      <c r="Q78" t="s">
        <v>47</v>
      </c>
      <c r="R78" t="s">
        <v>48</v>
      </c>
      <c r="S78" t="s">
        <v>49</v>
      </c>
      <c r="T78" t="b">
        <v>1</v>
      </c>
      <c r="U78" t="s">
        <v>50</v>
      </c>
      <c r="V78" t="s">
        <v>51</v>
      </c>
      <c r="W78">
        <v>4</v>
      </c>
      <c r="X78" t="b">
        <v>0</v>
      </c>
      <c r="Y78" t="s">
        <v>52</v>
      </c>
      <c r="Z78" t="s">
        <v>53</v>
      </c>
      <c r="AA78" t="s">
        <v>54</v>
      </c>
      <c r="AB78">
        <v>0</v>
      </c>
      <c r="AC78" t="s">
        <v>55</v>
      </c>
      <c r="AD78">
        <v>-1</v>
      </c>
      <c r="AE78" t="s">
        <v>64</v>
      </c>
      <c r="AF78">
        <v>0</v>
      </c>
      <c r="AG78" t="b">
        <v>0</v>
      </c>
      <c r="AH78">
        <v>15</v>
      </c>
      <c r="AI78" t="s">
        <v>59</v>
      </c>
      <c r="AJ78">
        <v>1116843</v>
      </c>
      <c r="AK78" t="b">
        <v>0</v>
      </c>
      <c r="AL78">
        <v>1533.01</v>
      </c>
      <c r="AM78" t="b">
        <v>0</v>
      </c>
      <c r="AN78">
        <v>0</v>
      </c>
      <c r="AO78" t="b">
        <v>0</v>
      </c>
      <c r="AP78">
        <v>0</v>
      </c>
      <c r="AQ78">
        <v>63599105.365999997</v>
      </c>
      <c r="AR78">
        <v>63599105.365999997</v>
      </c>
      <c r="AS78">
        <v>0</v>
      </c>
      <c r="AT78" t="b">
        <v>0</v>
      </c>
      <c r="AU78" t="b">
        <v>1</v>
      </c>
      <c r="AV78" t="b">
        <v>1</v>
      </c>
      <c r="AW78" t="b">
        <v>1</v>
      </c>
      <c r="BC78" t="str">
        <f t="shared" si="1"/>
        <v>Normal</v>
      </c>
    </row>
    <row r="79" spans="1:55" x14ac:dyDescent="0.2">
      <c r="A79" t="s">
        <v>39</v>
      </c>
      <c r="B79" t="s">
        <v>40</v>
      </c>
      <c r="C79">
        <v>20190101</v>
      </c>
      <c r="D79">
        <v>2019</v>
      </c>
      <c r="E79">
        <v>52</v>
      </c>
      <c r="F79" t="s">
        <v>41</v>
      </c>
      <c r="G79">
        <v>508</v>
      </c>
      <c r="H79" t="s">
        <v>213</v>
      </c>
      <c r="I79" t="s">
        <v>214</v>
      </c>
      <c r="J79" t="s">
        <v>44</v>
      </c>
      <c r="K79" t="s">
        <v>45</v>
      </c>
      <c r="L79">
        <v>0</v>
      </c>
      <c r="M79" t="s">
        <v>46</v>
      </c>
      <c r="N79" t="s">
        <v>47</v>
      </c>
      <c r="O79">
        <v>0</v>
      </c>
      <c r="P79" t="s">
        <v>46</v>
      </c>
      <c r="Q79" t="s">
        <v>47</v>
      </c>
      <c r="R79" t="s">
        <v>48</v>
      </c>
      <c r="S79" t="s">
        <v>49</v>
      </c>
      <c r="T79" t="b">
        <v>1</v>
      </c>
      <c r="U79" t="s">
        <v>50</v>
      </c>
      <c r="V79" t="s">
        <v>51</v>
      </c>
      <c r="W79">
        <v>4</v>
      </c>
      <c r="X79" t="b">
        <v>0</v>
      </c>
      <c r="Y79" t="s">
        <v>52</v>
      </c>
      <c r="Z79" t="s">
        <v>53</v>
      </c>
      <c r="AA79" t="s">
        <v>54</v>
      </c>
      <c r="AB79">
        <v>0</v>
      </c>
      <c r="AC79" t="s">
        <v>55</v>
      </c>
      <c r="AD79">
        <v>8</v>
      </c>
      <c r="AE79" t="s">
        <v>56</v>
      </c>
      <c r="AF79">
        <v>75.632999999999996</v>
      </c>
      <c r="AG79" t="b">
        <v>0</v>
      </c>
      <c r="AH79">
        <v>15</v>
      </c>
      <c r="AI79" t="s">
        <v>59</v>
      </c>
      <c r="AJ79">
        <v>69651</v>
      </c>
      <c r="AK79" t="b">
        <v>0</v>
      </c>
      <c r="AM79" t="b">
        <v>0</v>
      </c>
      <c r="AN79">
        <v>0</v>
      </c>
      <c r="AO79" t="b">
        <v>0</v>
      </c>
      <c r="AQ79">
        <v>2448331.5299999998</v>
      </c>
      <c r="AR79">
        <v>2448331.5299999998</v>
      </c>
      <c r="AS79">
        <v>0</v>
      </c>
      <c r="AT79" t="b">
        <v>0</v>
      </c>
      <c r="AU79" t="b">
        <v>1</v>
      </c>
      <c r="AV79" t="b">
        <v>1</v>
      </c>
      <c r="AW79" t="b">
        <v>1</v>
      </c>
      <c r="BC79" t="str">
        <f t="shared" si="1"/>
        <v>Normal</v>
      </c>
    </row>
    <row r="80" spans="1:55" x14ac:dyDescent="0.2">
      <c r="A80" t="s">
        <v>39</v>
      </c>
      <c r="B80" t="s">
        <v>40</v>
      </c>
      <c r="C80">
        <v>20190101</v>
      </c>
      <c r="D80">
        <v>2019</v>
      </c>
      <c r="E80">
        <v>52</v>
      </c>
      <c r="F80" t="s">
        <v>41</v>
      </c>
      <c r="G80">
        <v>512</v>
      </c>
      <c r="H80" t="s">
        <v>215</v>
      </c>
      <c r="I80" t="s">
        <v>216</v>
      </c>
      <c r="J80" t="s">
        <v>44</v>
      </c>
      <c r="K80" t="s">
        <v>45</v>
      </c>
      <c r="L80">
        <v>0</v>
      </c>
      <c r="M80" t="s">
        <v>46</v>
      </c>
      <c r="N80" t="s">
        <v>47</v>
      </c>
      <c r="O80">
        <v>0</v>
      </c>
      <c r="P80" t="s">
        <v>46</v>
      </c>
      <c r="Q80" t="s">
        <v>47</v>
      </c>
      <c r="R80" t="s">
        <v>48</v>
      </c>
      <c r="S80" t="s">
        <v>49</v>
      </c>
      <c r="T80" t="b">
        <v>1</v>
      </c>
      <c r="U80" t="s">
        <v>50</v>
      </c>
      <c r="V80" t="s">
        <v>51</v>
      </c>
      <c r="W80">
        <v>4</v>
      </c>
      <c r="X80" t="b">
        <v>0</v>
      </c>
      <c r="Y80" t="s">
        <v>52</v>
      </c>
      <c r="Z80" t="s">
        <v>53</v>
      </c>
      <c r="AA80" t="s">
        <v>54</v>
      </c>
      <c r="AB80">
        <v>0</v>
      </c>
      <c r="AC80" t="s">
        <v>55</v>
      </c>
      <c r="AD80">
        <v>8</v>
      </c>
      <c r="AE80" t="s">
        <v>56</v>
      </c>
      <c r="AF80">
        <v>2599</v>
      </c>
      <c r="AG80" t="b">
        <v>0</v>
      </c>
      <c r="AH80">
        <v>8</v>
      </c>
      <c r="AI80" t="s">
        <v>56</v>
      </c>
      <c r="AJ80">
        <v>2599</v>
      </c>
      <c r="AK80" t="b">
        <v>0</v>
      </c>
      <c r="AL80">
        <v>2599</v>
      </c>
      <c r="AM80" t="b">
        <v>0</v>
      </c>
      <c r="AN80">
        <v>0</v>
      </c>
      <c r="AO80" t="b">
        <v>0</v>
      </c>
      <c r="AQ80">
        <v>169909017.21799999</v>
      </c>
      <c r="AR80">
        <v>169909017.21799999</v>
      </c>
      <c r="AS80">
        <v>0</v>
      </c>
      <c r="AT80" t="b">
        <v>0</v>
      </c>
      <c r="AU80" t="b">
        <v>1</v>
      </c>
      <c r="AV80" t="b">
        <v>1</v>
      </c>
      <c r="AW80" t="b">
        <v>1</v>
      </c>
      <c r="BC80" t="str">
        <f t="shared" si="1"/>
        <v>Normal</v>
      </c>
    </row>
    <row r="81" spans="1:55" x14ac:dyDescent="0.2">
      <c r="A81" t="s">
        <v>39</v>
      </c>
      <c r="B81" t="s">
        <v>40</v>
      </c>
      <c r="C81">
        <v>20190101</v>
      </c>
      <c r="D81">
        <v>2019</v>
      </c>
      <c r="E81">
        <v>52</v>
      </c>
      <c r="F81" t="s">
        <v>41</v>
      </c>
      <c r="G81">
        <v>516</v>
      </c>
      <c r="H81" t="s">
        <v>217</v>
      </c>
      <c r="I81" t="s">
        <v>218</v>
      </c>
      <c r="J81" t="s">
        <v>44</v>
      </c>
      <c r="K81" t="s">
        <v>45</v>
      </c>
      <c r="L81">
        <v>0</v>
      </c>
      <c r="M81" t="s">
        <v>46</v>
      </c>
      <c r="N81" t="s">
        <v>47</v>
      </c>
      <c r="O81">
        <v>0</v>
      </c>
      <c r="P81" t="s">
        <v>46</v>
      </c>
      <c r="Q81" t="s">
        <v>47</v>
      </c>
      <c r="R81" t="s">
        <v>48</v>
      </c>
      <c r="S81" t="s">
        <v>49</v>
      </c>
      <c r="T81" t="b">
        <v>1</v>
      </c>
      <c r="U81" t="s">
        <v>50</v>
      </c>
      <c r="V81" t="s">
        <v>51</v>
      </c>
      <c r="W81">
        <v>4</v>
      </c>
      <c r="X81" t="b">
        <v>0</v>
      </c>
      <c r="Y81" t="s">
        <v>52</v>
      </c>
      <c r="Z81" t="s">
        <v>53</v>
      </c>
      <c r="AA81" t="s">
        <v>54</v>
      </c>
      <c r="AB81">
        <v>0</v>
      </c>
      <c r="AC81" t="s">
        <v>55</v>
      </c>
      <c r="AD81">
        <v>8</v>
      </c>
      <c r="AE81" t="s">
        <v>56</v>
      </c>
      <c r="AF81">
        <v>7963.94</v>
      </c>
      <c r="AG81" t="b">
        <v>0</v>
      </c>
      <c r="AH81">
        <v>8</v>
      </c>
      <c r="AI81" t="s">
        <v>56</v>
      </c>
      <c r="AJ81">
        <v>7963.94</v>
      </c>
      <c r="AK81" t="b">
        <v>0</v>
      </c>
      <c r="AL81">
        <v>7963.94</v>
      </c>
      <c r="AM81" t="b">
        <v>0</v>
      </c>
      <c r="AN81">
        <v>0</v>
      </c>
      <c r="AO81" t="b">
        <v>0</v>
      </c>
      <c r="AQ81">
        <v>324162714.40899998</v>
      </c>
      <c r="AR81">
        <v>324162714.40899998</v>
      </c>
      <c r="AS81">
        <v>0</v>
      </c>
      <c r="AT81" t="b">
        <v>0</v>
      </c>
      <c r="AU81" t="b">
        <v>1</v>
      </c>
      <c r="AV81" t="b">
        <v>1</v>
      </c>
      <c r="AW81" t="b">
        <v>1</v>
      </c>
      <c r="BC81" t="str">
        <f t="shared" si="1"/>
        <v>Normal</v>
      </c>
    </row>
    <row r="82" spans="1:55" x14ac:dyDescent="0.2">
      <c r="A82" t="s">
        <v>39</v>
      </c>
      <c r="B82" t="s">
        <v>40</v>
      </c>
      <c r="C82">
        <v>20190101</v>
      </c>
      <c r="D82">
        <v>2019</v>
      </c>
      <c r="E82">
        <v>52</v>
      </c>
      <c r="F82" t="s">
        <v>41</v>
      </c>
      <c r="G82">
        <v>528</v>
      </c>
      <c r="H82" t="s">
        <v>219</v>
      </c>
      <c r="I82" t="s">
        <v>220</v>
      </c>
      <c r="J82" t="s">
        <v>44</v>
      </c>
      <c r="K82" t="s">
        <v>45</v>
      </c>
      <c r="L82">
        <v>0</v>
      </c>
      <c r="M82" t="s">
        <v>46</v>
      </c>
      <c r="N82" t="s">
        <v>47</v>
      </c>
      <c r="O82">
        <v>0</v>
      </c>
      <c r="P82" t="s">
        <v>46</v>
      </c>
      <c r="Q82" t="s">
        <v>47</v>
      </c>
      <c r="R82" t="s">
        <v>48</v>
      </c>
      <c r="S82" t="s">
        <v>49</v>
      </c>
      <c r="T82" t="b">
        <v>1</v>
      </c>
      <c r="U82" t="s">
        <v>50</v>
      </c>
      <c r="V82" t="s">
        <v>51</v>
      </c>
      <c r="W82">
        <v>4</v>
      </c>
      <c r="X82" t="b">
        <v>0</v>
      </c>
      <c r="Y82" t="s">
        <v>52</v>
      </c>
      <c r="Z82" t="s">
        <v>53</v>
      </c>
      <c r="AA82" t="s">
        <v>54</v>
      </c>
      <c r="AB82">
        <v>0</v>
      </c>
      <c r="AC82" t="s">
        <v>55</v>
      </c>
      <c r="AD82">
        <v>8</v>
      </c>
      <c r="AE82" t="s">
        <v>56</v>
      </c>
      <c r="AF82">
        <v>2900.3910000000001</v>
      </c>
      <c r="AG82" t="b">
        <v>0</v>
      </c>
      <c r="AH82">
        <v>15</v>
      </c>
      <c r="AI82" t="s">
        <v>59</v>
      </c>
      <c r="AJ82">
        <v>2900391</v>
      </c>
      <c r="AK82" t="b">
        <v>0</v>
      </c>
      <c r="AL82">
        <v>2876.6570000000002</v>
      </c>
      <c r="AM82" t="b">
        <v>0</v>
      </c>
      <c r="AN82">
        <v>0</v>
      </c>
      <c r="AO82" t="b">
        <v>0</v>
      </c>
      <c r="AQ82">
        <v>120438001.723</v>
      </c>
      <c r="AR82">
        <v>120438001.723</v>
      </c>
      <c r="AS82">
        <v>0</v>
      </c>
      <c r="AT82" t="b">
        <v>0</v>
      </c>
      <c r="AU82" t="b">
        <v>1</v>
      </c>
      <c r="AV82" t="b">
        <v>1</v>
      </c>
      <c r="AW82" t="b">
        <v>1</v>
      </c>
      <c r="BC82" t="str">
        <f t="shared" si="1"/>
        <v>Normal</v>
      </c>
    </row>
    <row r="83" spans="1:55" x14ac:dyDescent="0.2">
      <c r="A83" t="s">
        <v>39</v>
      </c>
      <c r="B83" t="s">
        <v>40</v>
      </c>
      <c r="C83">
        <v>20190101</v>
      </c>
      <c r="D83">
        <v>2019</v>
      </c>
      <c r="E83">
        <v>52</v>
      </c>
      <c r="F83" t="s">
        <v>41</v>
      </c>
      <c r="G83">
        <v>531</v>
      </c>
      <c r="H83" t="s">
        <v>221</v>
      </c>
      <c r="I83" t="s">
        <v>222</v>
      </c>
      <c r="J83" t="s">
        <v>44</v>
      </c>
      <c r="K83" t="s">
        <v>45</v>
      </c>
      <c r="L83">
        <v>0</v>
      </c>
      <c r="M83" t="s">
        <v>46</v>
      </c>
      <c r="N83" t="s">
        <v>47</v>
      </c>
      <c r="O83">
        <v>0</v>
      </c>
      <c r="P83" t="s">
        <v>46</v>
      </c>
      <c r="Q83" t="s">
        <v>47</v>
      </c>
      <c r="R83" t="s">
        <v>95</v>
      </c>
      <c r="S83" t="s">
        <v>49</v>
      </c>
      <c r="T83" t="b">
        <v>1</v>
      </c>
      <c r="U83" t="s">
        <v>50</v>
      </c>
      <c r="V83" t="s">
        <v>51</v>
      </c>
      <c r="W83">
        <v>4</v>
      </c>
      <c r="X83" t="b">
        <v>0</v>
      </c>
      <c r="Y83" t="s">
        <v>52</v>
      </c>
      <c r="Z83" t="s">
        <v>53</v>
      </c>
      <c r="AA83" t="s">
        <v>54</v>
      </c>
      <c r="AB83">
        <v>0</v>
      </c>
      <c r="AC83" t="s">
        <v>55</v>
      </c>
      <c r="AD83">
        <v>8</v>
      </c>
      <c r="AE83" t="s">
        <v>56</v>
      </c>
      <c r="AF83">
        <v>3.9249999999999998</v>
      </c>
      <c r="AG83" t="b">
        <v>1</v>
      </c>
      <c r="AH83">
        <v>-1</v>
      </c>
      <c r="AI83" t="s">
        <v>64</v>
      </c>
      <c r="AJ83">
        <v>0</v>
      </c>
      <c r="AK83" t="b">
        <v>0</v>
      </c>
      <c r="AL83">
        <v>3.9249999999999998</v>
      </c>
      <c r="AM83" t="b">
        <v>1</v>
      </c>
      <c r="AN83">
        <v>0</v>
      </c>
      <c r="AO83" t="b">
        <v>0</v>
      </c>
      <c r="AQ83">
        <v>166199.94699999999</v>
      </c>
      <c r="AR83">
        <v>166199.94699999999</v>
      </c>
      <c r="AS83">
        <v>6</v>
      </c>
      <c r="AT83" t="b">
        <v>0</v>
      </c>
      <c r="AU83" t="b">
        <v>1</v>
      </c>
      <c r="AV83" t="b">
        <v>1</v>
      </c>
      <c r="AW83" t="b">
        <v>1</v>
      </c>
      <c r="BC83" t="str">
        <f t="shared" si="1"/>
        <v>Normal</v>
      </c>
    </row>
    <row r="84" spans="1:55" x14ac:dyDescent="0.2">
      <c r="A84" t="s">
        <v>39</v>
      </c>
      <c r="B84" t="s">
        <v>40</v>
      </c>
      <c r="C84">
        <v>20190101</v>
      </c>
      <c r="D84">
        <v>2019</v>
      </c>
      <c r="E84">
        <v>52</v>
      </c>
      <c r="F84" t="s">
        <v>41</v>
      </c>
      <c r="G84">
        <v>554</v>
      </c>
      <c r="H84" t="s">
        <v>223</v>
      </c>
      <c r="I84" t="s">
        <v>224</v>
      </c>
      <c r="J84" t="s">
        <v>44</v>
      </c>
      <c r="K84" t="s">
        <v>45</v>
      </c>
      <c r="L84">
        <v>0</v>
      </c>
      <c r="M84" t="s">
        <v>46</v>
      </c>
      <c r="N84" t="s">
        <v>47</v>
      </c>
      <c r="O84">
        <v>0</v>
      </c>
      <c r="P84" t="s">
        <v>46</v>
      </c>
      <c r="Q84" t="s">
        <v>47</v>
      </c>
      <c r="R84" t="s">
        <v>48</v>
      </c>
      <c r="S84" t="s">
        <v>49</v>
      </c>
      <c r="T84" t="b">
        <v>1</v>
      </c>
      <c r="U84" t="s">
        <v>50</v>
      </c>
      <c r="V84" t="s">
        <v>51</v>
      </c>
      <c r="W84">
        <v>4</v>
      </c>
      <c r="X84" t="b">
        <v>0</v>
      </c>
      <c r="Y84" t="s">
        <v>52</v>
      </c>
      <c r="Z84" t="s">
        <v>53</v>
      </c>
      <c r="AA84" t="s">
        <v>54</v>
      </c>
      <c r="AB84">
        <v>0</v>
      </c>
      <c r="AC84" t="s">
        <v>55</v>
      </c>
      <c r="AD84">
        <v>8</v>
      </c>
      <c r="AE84" t="s">
        <v>56</v>
      </c>
      <c r="AF84">
        <v>12963.596</v>
      </c>
      <c r="AG84" t="b">
        <v>0</v>
      </c>
      <c r="AH84">
        <v>-1</v>
      </c>
      <c r="AI84" t="s">
        <v>64</v>
      </c>
      <c r="AJ84">
        <v>0</v>
      </c>
      <c r="AK84" t="b">
        <v>0</v>
      </c>
      <c r="AL84">
        <v>12963.596</v>
      </c>
      <c r="AM84" t="b">
        <v>0</v>
      </c>
      <c r="AN84">
        <v>0</v>
      </c>
      <c r="AO84" t="b">
        <v>0</v>
      </c>
      <c r="AP84">
        <v>0</v>
      </c>
      <c r="AQ84">
        <v>388741592.26899999</v>
      </c>
      <c r="AR84">
        <v>388741592.26899999</v>
      </c>
      <c r="AS84">
        <v>0</v>
      </c>
      <c r="AT84" t="b">
        <v>0</v>
      </c>
      <c r="AU84" t="b">
        <v>1</v>
      </c>
      <c r="AV84" t="b">
        <v>1</v>
      </c>
      <c r="AW84" t="b">
        <v>1</v>
      </c>
      <c r="BC84" t="str">
        <f t="shared" si="1"/>
        <v>Normal</v>
      </c>
    </row>
    <row r="85" spans="1:55" x14ac:dyDescent="0.2">
      <c r="A85" t="s">
        <v>39</v>
      </c>
      <c r="B85" t="s">
        <v>40</v>
      </c>
      <c r="C85">
        <v>20190101</v>
      </c>
      <c r="D85">
        <v>2019</v>
      </c>
      <c r="E85">
        <v>52</v>
      </c>
      <c r="F85" t="s">
        <v>41</v>
      </c>
      <c r="G85">
        <v>558</v>
      </c>
      <c r="H85" t="s">
        <v>225</v>
      </c>
      <c r="I85" t="s">
        <v>226</v>
      </c>
      <c r="J85" t="s">
        <v>44</v>
      </c>
      <c r="K85" t="s">
        <v>45</v>
      </c>
      <c r="L85">
        <v>0</v>
      </c>
      <c r="M85" t="s">
        <v>46</v>
      </c>
      <c r="N85" t="s">
        <v>47</v>
      </c>
      <c r="O85">
        <v>0</v>
      </c>
      <c r="P85" t="s">
        <v>46</v>
      </c>
      <c r="Q85" t="s">
        <v>47</v>
      </c>
      <c r="R85" t="s">
        <v>48</v>
      </c>
      <c r="S85" t="s">
        <v>49</v>
      </c>
      <c r="T85" t="b">
        <v>1</v>
      </c>
      <c r="U85" t="s">
        <v>50</v>
      </c>
      <c r="V85" t="s">
        <v>51</v>
      </c>
      <c r="W85">
        <v>4</v>
      </c>
      <c r="X85" t="b">
        <v>0</v>
      </c>
      <c r="Y85" t="s">
        <v>52</v>
      </c>
      <c r="Z85" t="s">
        <v>53</v>
      </c>
      <c r="AA85" t="s">
        <v>54</v>
      </c>
      <c r="AB85">
        <v>0</v>
      </c>
      <c r="AC85" t="s">
        <v>55</v>
      </c>
      <c r="AD85">
        <v>8</v>
      </c>
      <c r="AE85" t="s">
        <v>56</v>
      </c>
      <c r="AF85">
        <v>19794.95</v>
      </c>
      <c r="AG85" t="b">
        <v>0</v>
      </c>
      <c r="AH85">
        <v>8</v>
      </c>
      <c r="AI85" t="s">
        <v>56</v>
      </c>
      <c r="AJ85">
        <v>19794.95</v>
      </c>
      <c r="AK85" t="b">
        <v>0</v>
      </c>
      <c r="AL85">
        <v>19794.95</v>
      </c>
      <c r="AM85" t="b">
        <v>0</v>
      </c>
      <c r="AN85">
        <v>0</v>
      </c>
      <c r="AO85" t="b">
        <v>0</v>
      </c>
      <c r="AP85">
        <v>0</v>
      </c>
      <c r="AQ85">
        <v>498974433.27999997</v>
      </c>
      <c r="AR85">
        <v>498974433.27999997</v>
      </c>
      <c r="AS85">
        <v>0</v>
      </c>
      <c r="AT85" t="b">
        <v>0</v>
      </c>
      <c r="AU85" t="b">
        <v>1</v>
      </c>
      <c r="AV85" t="b">
        <v>1</v>
      </c>
      <c r="AW85" t="b">
        <v>1</v>
      </c>
      <c r="BC85" t="str">
        <f t="shared" si="1"/>
        <v>Normal</v>
      </c>
    </row>
    <row r="86" spans="1:55" x14ac:dyDescent="0.2">
      <c r="A86" t="s">
        <v>39</v>
      </c>
      <c r="B86" t="s">
        <v>40</v>
      </c>
      <c r="C86">
        <v>20190101</v>
      </c>
      <c r="D86">
        <v>2019</v>
      </c>
      <c r="E86">
        <v>52</v>
      </c>
      <c r="F86" t="s">
        <v>41</v>
      </c>
      <c r="G86">
        <v>562</v>
      </c>
      <c r="H86" t="s">
        <v>227</v>
      </c>
      <c r="I86" t="s">
        <v>228</v>
      </c>
      <c r="J86" t="s">
        <v>44</v>
      </c>
      <c r="K86" t="s">
        <v>45</v>
      </c>
      <c r="L86">
        <v>0</v>
      </c>
      <c r="M86" t="s">
        <v>46</v>
      </c>
      <c r="N86" t="s">
        <v>47</v>
      </c>
      <c r="O86">
        <v>0</v>
      </c>
      <c r="P86" t="s">
        <v>46</v>
      </c>
      <c r="Q86" t="s">
        <v>47</v>
      </c>
      <c r="R86" t="s">
        <v>48</v>
      </c>
      <c r="S86" t="s">
        <v>49</v>
      </c>
      <c r="T86" t="b">
        <v>1</v>
      </c>
      <c r="U86" t="s">
        <v>50</v>
      </c>
      <c r="V86" t="s">
        <v>51</v>
      </c>
      <c r="W86">
        <v>4</v>
      </c>
      <c r="X86" t="b">
        <v>0</v>
      </c>
      <c r="Y86" t="s">
        <v>52</v>
      </c>
      <c r="Z86" t="s">
        <v>53</v>
      </c>
      <c r="AA86" t="s">
        <v>54</v>
      </c>
      <c r="AB86">
        <v>0</v>
      </c>
      <c r="AC86" t="s">
        <v>55</v>
      </c>
      <c r="AD86">
        <v>8</v>
      </c>
      <c r="AE86" t="s">
        <v>56</v>
      </c>
      <c r="AF86">
        <v>1067</v>
      </c>
      <c r="AG86" t="b">
        <v>0</v>
      </c>
      <c r="AH86">
        <v>8</v>
      </c>
      <c r="AI86" t="s">
        <v>56</v>
      </c>
      <c r="AJ86">
        <v>1067</v>
      </c>
      <c r="AK86" t="b">
        <v>0</v>
      </c>
      <c r="AL86">
        <v>1067</v>
      </c>
      <c r="AM86" t="b">
        <v>0</v>
      </c>
      <c r="AN86">
        <v>0</v>
      </c>
      <c r="AO86" t="b">
        <v>0</v>
      </c>
      <c r="AQ86">
        <v>38190014.240000002</v>
      </c>
      <c r="AR86">
        <v>38190014.240000002</v>
      </c>
      <c r="AS86">
        <v>0</v>
      </c>
      <c r="AT86" t="b">
        <v>0</v>
      </c>
      <c r="AU86" t="b">
        <v>1</v>
      </c>
      <c r="AV86" t="b">
        <v>1</v>
      </c>
      <c r="AW86" t="b">
        <v>1</v>
      </c>
      <c r="BC86" t="str">
        <f t="shared" si="1"/>
        <v>Normal</v>
      </c>
    </row>
    <row r="87" spans="1:55" x14ac:dyDescent="0.2">
      <c r="A87" t="s">
        <v>39</v>
      </c>
      <c r="B87" t="s">
        <v>40</v>
      </c>
      <c r="C87">
        <v>20190101</v>
      </c>
      <c r="D87">
        <v>2019</v>
      </c>
      <c r="E87">
        <v>52</v>
      </c>
      <c r="F87" t="s">
        <v>41</v>
      </c>
      <c r="G87">
        <v>579</v>
      </c>
      <c r="H87" t="s">
        <v>229</v>
      </c>
      <c r="I87" t="s">
        <v>230</v>
      </c>
      <c r="J87" t="s">
        <v>44</v>
      </c>
      <c r="K87" t="s">
        <v>45</v>
      </c>
      <c r="L87">
        <v>0</v>
      </c>
      <c r="M87" t="s">
        <v>46</v>
      </c>
      <c r="N87" t="s">
        <v>47</v>
      </c>
      <c r="O87">
        <v>0</v>
      </c>
      <c r="P87" t="s">
        <v>46</v>
      </c>
      <c r="Q87" t="s">
        <v>47</v>
      </c>
      <c r="R87" t="s">
        <v>48</v>
      </c>
      <c r="S87" t="s">
        <v>49</v>
      </c>
      <c r="T87" t="b">
        <v>1</v>
      </c>
      <c r="U87" t="s">
        <v>50</v>
      </c>
      <c r="V87" t="s">
        <v>51</v>
      </c>
      <c r="W87">
        <v>4</v>
      </c>
      <c r="X87" t="b">
        <v>0</v>
      </c>
      <c r="Y87" t="s">
        <v>52</v>
      </c>
      <c r="Z87" t="s">
        <v>53</v>
      </c>
      <c r="AA87" t="s">
        <v>54</v>
      </c>
      <c r="AB87">
        <v>0</v>
      </c>
      <c r="AC87" t="s">
        <v>55</v>
      </c>
      <c r="AD87">
        <v>8</v>
      </c>
      <c r="AE87" t="s">
        <v>56</v>
      </c>
      <c r="AF87">
        <v>2458</v>
      </c>
      <c r="AG87" t="b">
        <v>0</v>
      </c>
      <c r="AH87">
        <v>8</v>
      </c>
      <c r="AI87" t="s">
        <v>56</v>
      </c>
      <c r="AJ87">
        <v>2458</v>
      </c>
      <c r="AK87" t="b">
        <v>0</v>
      </c>
      <c r="AL87">
        <v>2458</v>
      </c>
      <c r="AM87" t="b">
        <v>0</v>
      </c>
      <c r="AN87">
        <v>0</v>
      </c>
      <c r="AO87" t="b">
        <v>0</v>
      </c>
      <c r="AQ87">
        <v>109775641.031</v>
      </c>
      <c r="AR87">
        <v>109775641.031</v>
      </c>
      <c r="AS87">
        <v>0</v>
      </c>
      <c r="AT87" t="b">
        <v>0</v>
      </c>
      <c r="AU87" t="b">
        <v>1</v>
      </c>
      <c r="AV87" t="b">
        <v>1</v>
      </c>
      <c r="AW87" t="b">
        <v>1</v>
      </c>
      <c r="BC87" t="str">
        <f t="shared" si="1"/>
        <v>Normal</v>
      </c>
    </row>
    <row r="88" spans="1:55" x14ac:dyDescent="0.2">
      <c r="A88" t="s">
        <v>39</v>
      </c>
      <c r="B88" t="s">
        <v>40</v>
      </c>
      <c r="C88">
        <v>20190101</v>
      </c>
      <c r="D88">
        <v>2019</v>
      </c>
      <c r="E88">
        <v>52</v>
      </c>
      <c r="F88" t="s">
        <v>41</v>
      </c>
      <c r="G88">
        <v>591</v>
      </c>
      <c r="H88" t="s">
        <v>231</v>
      </c>
      <c r="I88" t="s">
        <v>232</v>
      </c>
      <c r="J88" t="s">
        <v>44</v>
      </c>
      <c r="K88" t="s">
        <v>45</v>
      </c>
      <c r="L88">
        <v>0</v>
      </c>
      <c r="M88" t="s">
        <v>46</v>
      </c>
      <c r="N88" t="s">
        <v>47</v>
      </c>
      <c r="O88">
        <v>0</v>
      </c>
      <c r="P88" t="s">
        <v>46</v>
      </c>
      <c r="Q88" t="s">
        <v>47</v>
      </c>
      <c r="R88" t="s">
        <v>48</v>
      </c>
      <c r="S88" t="s">
        <v>49</v>
      </c>
      <c r="T88" t="b">
        <v>1</v>
      </c>
      <c r="U88" t="s">
        <v>50</v>
      </c>
      <c r="V88" t="s">
        <v>51</v>
      </c>
      <c r="W88">
        <v>4</v>
      </c>
      <c r="X88" t="b">
        <v>0</v>
      </c>
      <c r="Y88" t="s">
        <v>52</v>
      </c>
      <c r="Z88" t="s">
        <v>53</v>
      </c>
      <c r="AA88" t="s">
        <v>54</v>
      </c>
      <c r="AB88">
        <v>0</v>
      </c>
      <c r="AC88" t="s">
        <v>55</v>
      </c>
      <c r="AD88">
        <v>8</v>
      </c>
      <c r="AE88" t="s">
        <v>56</v>
      </c>
      <c r="AF88">
        <v>1453.3</v>
      </c>
      <c r="AG88" t="b">
        <v>1</v>
      </c>
      <c r="AH88">
        <v>-1</v>
      </c>
      <c r="AI88" t="s">
        <v>64</v>
      </c>
      <c r="AJ88">
        <v>0</v>
      </c>
      <c r="AK88" t="b">
        <v>0</v>
      </c>
      <c r="AL88">
        <v>1453.3</v>
      </c>
      <c r="AM88" t="b">
        <v>1</v>
      </c>
      <c r="AN88">
        <v>2083</v>
      </c>
      <c r="AO88" t="b">
        <v>0</v>
      </c>
      <c r="AP88">
        <v>0</v>
      </c>
      <c r="AQ88">
        <v>61532447</v>
      </c>
      <c r="AR88">
        <v>61532447</v>
      </c>
      <c r="AS88">
        <v>6</v>
      </c>
      <c r="AT88" t="b">
        <v>0</v>
      </c>
      <c r="AU88" t="b">
        <v>1</v>
      </c>
      <c r="AV88" t="b">
        <v>1</v>
      </c>
      <c r="AW88" t="b">
        <v>1</v>
      </c>
      <c r="BC88" t="str">
        <f t="shared" si="1"/>
        <v>Normal</v>
      </c>
    </row>
    <row r="89" spans="1:55" x14ac:dyDescent="0.2">
      <c r="A89" t="s">
        <v>39</v>
      </c>
      <c r="B89" t="s">
        <v>40</v>
      </c>
      <c r="C89">
        <v>20190101</v>
      </c>
      <c r="D89">
        <v>2019</v>
      </c>
      <c r="E89">
        <v>52</v>
      </c>
      <c r="F89" t="s">
        <v>41</v>
      </c>
      <c r="G89">
        <v>600</v>
      </c>
      <c r="H89" t="s">
        <v>233</v>
      </c>
      <c r="I89" t="s">
        <v>234</v>
      </c>
      <c r="J89" t="s">
        <v>44</v>
      </c>
      <c r="K89" t="s">
        <v>45</v>
      </c>
      <c r="L89">
        <v>0</v>
      </c>
      <c r="M89" t="s">
        <v>46</v>
      </c>
      <c r="N89" t="s">
        <v>47</v>
      </c>
      <c r="O89">
        <v>0</v>
      </c>
      <c r="P89" t="s">
        <v>46</v>
      </c>
      <c r="Q89" t="s">
        <v>47</v>
      </c>
      <c r="R89" t="s">
        <v>48</v>
      </c>
      <c r="S89" t="s">
        <v>49</v>
      </c>
      <c r="T89" t="b">
        <v>1</v>
      </c>
      <c r="U89" t="s">
        <v>50</v>
      </c>
      <c r="V89" t="s">
        <v>51</v>
      </c>
      <c r="W89">
        <v>4</v>
      </c>
      <c r="X89" t="b">
        <v>0</v>
      </c>
      <c r="Y89" t="s">
        <v>52</v>
      </c>
      <c r="Z89" t="s">
        <v>53</v>
      </c>
      <c r="AA89" t="s">
        <v>54</v>
      </c>
      <c r="AB89">
        <v>0</v>
      </c>
      <c r="AC89" t="s">
        <v>55</v>
      </c>
      <c r="AD89">
        <v>8</v>
      </c>
      <c r="AE89" t="s">
        <v>56</v>
      </c>
      <c r="AF89">
        <v>218</v>
      </c>
      <c r="AG89" t="b">
        <v>0</v>
      </c>
      <c r="AH89">
        <v>8</v>
      </c>
      <c r="AI89" t="s">
        <v>56</v>
      </c>
      <c r="AJ89">
        <v>218</v>
      </c>
      <c r="AK89" t="b">
        <v>0</v>
      </c>
      <c r="AL89">
        <v>218</v>
      </c>
      <c r="AM89" t="b">
        <v>0</v>
      </c>
      <c r="AN89">
        <v>0</v>
      </c>
      <c r="AO89" t="b">
        <v>0</v>
      </c>
      <c r="AQ89">
        <v>8848127</v>
      </c>
      <c r="AR89">
        <v>8848127</v>
      </c>
      <c r="AS89">
        <v>0</v>
      </c>
      <c r="AT89" t="b">
        <v>0</v>
      </c>
      <c r="AU89" t="b">
        <v>1</v>
      </c>
      <c r="AV89" t="b">
        <v>1</v>
      </c>
      <c r="AW89" t="b">
        <v>1</v>
      </c>
      <c r="BC89" t="str">
        <f t="shared" si="1"/>
        <v>Normal</v>
      </c>
    </row>
    <row r="90" spans="1:55" x14ac:dyDescent="0.2">
      <c r="A90" t="s">
        <v>39</v>
      </c>
      <c r="B90" t="s">
        <v>40</v>
      </c>
      <c r="C90">
        <v>20190101</v>
      </c>
      <c r="D90">
        <v>2019</v>
      </c>
      <c r="E90">
        <v>52</v>
      </c>
      <c r="F90" t="s">
        <v>41</v>
      </c>
      <c r="G90">
        <v>604</v>
      </c>
      <c r="H90" t="s">
        <v>235</v>
      </c>
      <c r="I90" t="s">
        <v>236</v>
      </c>
      <c r="J90" t="s">
        <v>44</v>
      </c>
      <c r="K90" t="s">
        <v>45</v>
      </c>
      <c r="L90">
        <v>0</v>
      </c>
      <c r="M90" t="s">
        <v>46</v>
      </c>
      <c r="N90" t="s">
        <v>47</v>
      </c>
      <c r="O90">
        <v>0</v>
      </c>
      <c r="P90" t="s">
        <v>46</v>
      </c>
      <c r="Q90" t="s">
        <v>47</v>
      </c>
      <c r="R90" t="s">
        <v>48</v>
      </c>
      <c r="S90" t="s">
        <v>49</v>
      </c>
      <c r="T90" t="b">
        <v>1</v>
      </c>
      <c r="U90" t="s">
        <v>50</v>
      </c>
      <c r="V90" t="s">
        <v>51</v>
      </c>
      <c r="W90">
        <v>4</v>
      </c>
      <c r="X90" t="b">
        <v>0</v>
      </c>
      <c r="Y90" t="s">
        <v>52</v>
      </c>
      <c r="Z90" t="s">
        <v>53</v>
      </c>
      <c r="AA90" t="s">
        <v>54</v>
      </c>
      <c r="AB90">
        <v>0</v>
      </c>
      <c r="AC90" t="s">
        <v>55</v>
      </c>
      <c r="AD90">
        <v>8</v>
      </c>
      <c r="AE90" t="s">
        <v>56</v>
      </c>
      <c r="AF90">
        <v>395438.61</v>
      </c>
      <c r="AG90" t="b">
        <v>0</v>
      </c>
      <c r="AH90">
        <v>8</v>
      </c>
      <c r="AI90" t="s">
        <v>56</v>
      </c>
      <c r="AJ90">
        <v>395438.61</v>
      </c>
      <c r="AK90" t="b">
        <v>0</v>
      </c>
      <c r="AL90" s="1">
        <v>395438.61</v>
      </c>
      <c r="AM90" t="b">
        <v>0</v>
      </c>
      <c r="AN90">
        <v>0</v>
      </c>
      <c r="AO90" t="b">
        <v>0</v>
      </c>
      <c r="AQ90">
        <v>6750540738.3699999</v>
      </c>
      <c r="AR90">
        <v>6750540738.3699999</v>
      </c>
      <c r="AS90">
        <v>0</v>
      </c>
      <c r="AT90" t="b">
        <v>0</v>
      </c>
      <c r="AU90" t="b">
        <v>1</v>
      </c>
      <c r="AV90" t="b">
        <v>1</v>
      </c>
      <c r="AW90" t="b">
        <v>1</v>
      </c>
      <c r="BC90" t="str">
        <f t="shared" si="1"/>
        <v>Outlier</v>
      </c>
    </row>
    <row r="91" spans="1:55" x14ac:dyDescent="0.2">
      <c r="A91" t="s">
        <v>39</v>
      </c>
      <c r="B91" t="s">
        <v>40</v>
      </c>
      <c r="C91">
        <v>20190101</v>
      </c>
      <c r="D91">
        <v>2019</v>
      </c>
      <c r="E91">
        <v>52</v>
      </c>
      <c r="F91" t="s">
        <v>41</v>
      </c>
      <c r="G91">
        <v>608</v>
      </c>
      <c r="H91" t="s">
        <v>237</v>
      </c>
      <c r="I91" t="s">
        <v>238</v>
      </c>
      <c r="J91" t="s">
        <v>44</v>
      </c>
      <c r="K91" t="s">
        <v>45</v>
      </c>
      <c r="L91">
        <v>0</v>
      </c>
      <c r="M91" t="s">
        <v>46</v>
      </c>
      <c r="N91" t="s">
        <v>47</v>
      </c>
      <c r="O91">
        <v>0</v>
      </c>
      <c r="P91" t="s">
        <v>46</v>
      </c>
      <c r="Q91" t="s">
        <v>47</v>
      </c>
      <c r="R91" t="s">
        <v>48</v>
      </c>
      <c r="S91" t="s">
        <v>49</v>
      </c>
      <c r="T91" t="b">
        <v>1</v>
      </c>
      <c r="U91" t="s">
        <v>50</v>
      </c>
      <c r="V91" t="s">
        <v>51</v>
      </c>
      <c r="W91">
        <v>4</v>
      </c>
      <c r="X91" t="b">
        <v>0</v>
      </c>
      <c r="Y91" t="s">
        <v>52</v>
      </c>
      <c r="Z91" t="s">
        <v>53</v>
      </c>
      <c r="AA91" t="s">
        <v>54</v>
      </c>
      <c r="AB91">
        <v>0</v>
      </c>
      <c r="AC91" t="s">
        <v>55</v>
      </c>
      <c r="AD91">
        <v>8</v>
      </c>
      <c r="AE91" t="s">
        <v>56</v>
      </c>
      <c r="AF91">
        <v>185721.98499999999</v>
      </c>
      <c r="AG91" t="b">
        <v>1</v>
      </c>
      <c r="AH91">
        <v>-1</v>
      </c>
      <c r="AI91" t="s">
        <v>64</v>
      </c>
      <c r="AJ91">
        <v>0</v>
      </c>
      <c r="AK91" t="b">
        <v>0</v>
      </c>
      <c r="AL91" s="1">
        <v>185721.98499999999</v>
      </c>
      <c r="AM91" t="b">
        <v>1</v>
      </c>
      <c r="AN91">
        <v>199810.49</v>
      </c>
      <c r="AO91" t="b">
        <v>0</v>
      </c>
      <c r="AP91">
        <v>0</v>
      </c>
      <c r="AQ91">
        <v>1418480888</v>
      </c>
      <c r="AR91">
        <v>1418480888</v>
      </c>
      <c r="AS91">
        <v>6</v>
      </c>
      <c r="AT91" t="b">
        <v>0</v>
      </c>
      <c r="AU91" t="b">
        <v>1</v>
      </c>
      <c r="AV91" t="b">
        <v>1</v>
      </c>
      <c r="AW91" t="b">
        <v>1</v>
      </c>
      <c r="BC91" t="str">
        <f t="shared" si="1"/>
        <v>Outlier</v>
      </c>
    </row>
    <row r="92" spans="1:55" x14ac:dyDescent="0.2">
      <c r="A92" t="s">
        <v>39</v>
      </c>
      <c r="B92" t="s">
        <v>40</v>
      </c>
      <c r="C92">
        <v>20190101</v>
      </c>
      <c r="D92">
        <v>2019</v>
      </c>
      <c r="E92">
        <v>52</v>
      </c>
      <c r="F92" t="s">
        <v>41</v>
      </c>
      <c r="G92">
        <v>616</v>
      </c>
      <c r="H92" t="s">
        <v>239</v>
      </c>
      <c r="I92" t="s">
        <v>240</v>
      </c>
      <c r="J92" t="s">
        <v>44</v>
      </c>
      <c r="K92" t="s">
        <v>45</v>
      </c>
      <c r="L92">
        <v>0</v>
      </c>
      <c r="M92" t="s">
        <v>46</v>
      </c>
      <c r="N92" t="s">
        <v>47</v>
      </c>
      <c r="O92">
        <v>0</v>
      </c>
      <c r="P92" t="s">
        <v>46</v>
      </c>
      <c r="Q92" t="s">
        <v>47</v>
      </c>
      <c r="R92" t="s">
        <v>48</v>
      </c>
      <c r="S92" t="s">
        <v>49</v>
      </c>
      <c r="T92" t="b">
        <v>1</v>
      </c>
      <c r="U92" t="s">
        <v>50</v>
      </c>
      <c r="V92" t="s">
        <v>51</v>
      </c>
      <c r="W92">
        <v>4</v>
      </c>
      <c r="X92" t="b">
        <v>0</v>
      </c>
      <c r="Y92" t="s">
        <v>52</v>
      </c>
      <c r="Z92" t="s">
        <v>53</v>
      </c>
      <c r="AA92" t="s">
        <v>54</v>
      </c>
      <c r="AB92">
        <v>0</v>
      </c>
      <c r="AC92" t="s">
        <v>55</v>
      </c>
      <c r="AD92">
        <v>8</v>
      </c>
      <c r="AE92" t="s">
        <v>56</v>
      </c>
      <c r="AF92">
        <v>6184.4709999999995</v>
      </c>
      <c r="AG92" t="b">
        <v>0</v>
      </c>
      <c r="AH92">
        <v>15</v>
      </c>
      <c r="AI92" t="s">
        <v>59</v>
      </c>
      <c r="AJ92">
        <v>6153782</v>
      </c>
      <c r="AK92" t="b">
        <v>0</v>
      </c>
      <c r="AL92">
        <v>6184.4709999999995</v>
      </c>
      <c r="AM92" t="b">
        <v>0</v>
      </c>
      <c r="AN92">
        <v>0</v>
      </c>
      <c r="AO92" t="b">
        <v>0</v>
      </c>
      <c r="AQ92">
        <v>215358876</v>
      </c>
      <c r="AR92">
        <v>215358876</v>
      </c>
      <c r="AS92">
        <v>0</v>
      </c>
      <c r="AT92" t="b">
        <v>0</v>
      </c>
      <c r="AU92" t="b">
        <v>1</v>
      </c>
      <c r="AV92" t="b">
        <v>1</v>
      </c>
      <c r="AW92" t="b">
        <v>1</v>
      </c>
      <c r="BC92" t="str">
        <f t="shared" si="1"/>
        <v>Normal</v>
      </c>
    </row>
    <row r="93" spans="1:55" x14ac:dyDescent="0.2">
      <c r="A93" t="s">
        <v>39</v>
      </c>
      <c r="B93" t="s">
        <v>40</v>
      </c>
      <c r="C93">
        <v>20190101</v>
      </c>
      <c r="D93">
        <v>2019</v>
      </c>
      <c r="E93">
        <v>52</v>
      </c>
      <c r="F93" t="s">
        <v>41</v>
      </c>
      <c r="G93">
        <v>620</v>
      </c>
      <c r="H93" t="s">
        <v>241</v>
      </c>
      <c r="I93" t="s">
        <v>242</v>
      </c>
      <c r="J93" t="s">
        <v>44</v>
      </c>
      <c r="K93" t="s">
        <v>45</v>
      </c>
      <c r="L93">
        <v>0</v>
      </c>
      <c r="M93" t="s">
        <v>46</v>
      </c>
      <c r="N93" t="s">
        <v>47</v>
      </c>
      <c r="O93">
        <v>0</v>
      </c>
      <c r="P93" t="s">
        <v>46</v>
      </c>
      <c r="Q93" t="s">
        <v>47</v>
      </c>
      <c r="R93" t="s">
        <v>48</v>
      </c>
      <c r="S93" t="s">
        <v>49</v>
      </c>
      <c r="T93" t="b">
        <v>1</v>
      </c>
      <c r="U93" t="s">
        <v>50</v>
      </c>
      <c r="V93" t="s">
        <v>51</v>
      </c>
      <c r="W93">
        <v>4</v>
      </c>
      <c r="X93" t="b">
        <v>0</v>
      </c>
      <c r="Y93" t="s">
        <v>52</v>
      </c>
      <c r="Z93" t="s">
        <v>53</v>
      </c>
      <c r="AA93" t="s">
        <v>54</v>
      </c>
      <c r="AB93">
        <v>0</v>
      </c>
      <c r="AC93" t="s">
        <v>55</v>
      </c>
      <c r="AD93">
        <v>8</v>
      </c>
      <c r="AE93" t="s">
        <v>56</v>
      </c>
      <c r="AF93">
        <v>4709.1589999999997</v>
      </c>
      <c r="AG93" t="b">
        <v>0</v>
      </c>
      <c r="AH93">
        <v>15</v>
      </c>
      <c r="AI93" t="s">
        <v>59</v>
      </c>
      <c r="AJ93">
        <v>4709159</v>
      </c>
      <c r="AK93" t="b">
        <v>0</v>
      </c>
      <c r="AL93">
        <v>4709.8490000000002</v>
      </c>
      <c r="AM93" t="b">
        <v>0</v>
      </c>
      <c r="AN93">
        <v>0</v>
      </c>
      <c r="AO93" t="b">
        <v>0</v>
      </c>
      <c r="AQ93">
        <v>201196992.12799999</v>
      </c>
      <c r="AR93">
        <v>201196992.12799999</v>
      </c>
      <c r="AS93">
        <v>0</v>
      </c>
      <c r="AT93" t="b">
        <v>0</v>
      </c>
      <c r="AU93" t="b">
        <v>1</v>
      </c>
      <c r="AV93" t="b">
        <v>1</v>
      </c>
      <c r="AW93" t="b">
        <v>1</v>
      </c>
      <c r="BC93" t="str">
        <f t="shared" si="1"/>
        <v>Normal</v>
      </c>
    </row>
    <row r="94" spans="1:55" x14ac:dyDescent="0.2">
      <c r="A94" t="s">
        <v>39</v>
      </c>
      <c r="B94" t="s">
        <v>40</v>
      </c>
      <c r="C94">
        <v>20190101</v>
      </c>
      <c r="D94">
        <v>2019</v>
      </c>
      <c r="E94">
        <v>52</v>
      </c>
      <c r="F94" t="s">
        <v>41</v>
      </c>
      <c r="G94">
        <v>634</v>
      </c>
      <c r="H94" t="s">
        <v>243</v>
      </c>
      <c r="I94" t="s">
        <v>244</v>
      </c>
      <c r="J94" t="s">
        <v>44</v>
      </c>
      <c r="K94" t="s">
        <v>45</v>
      </c>
      <c r="L94">
        <v>0</v>
      </c>
      <c r="M94" t="s">
        <v>46</v>
      </c>
      <c r="N94" t="s">
        <v>47</v>
      </c>
      <c r="O94">
        <v>0</v>
      </c>
      <c r="P94" t="s">
        <v>46</v>
      </c>
      <c r="Q94" t="s">
        <v>47</v>
      </c>
      <c r="R94" t="s">
        <v>95</v>
      </c>
      <c r="S94" t="s">
        <v>49</v>
      </c>
      <c r="T94" t="b">
        <v>1</v>
      </c>
      <c r="U94" t="s">
        <v>50</v>
      </c>
      <c r="V94" t="s">
        <v>51</v>
      </c>
      <c r="W94">
        <v>4</v>
      </c>
      <c r="X94" t="b">
        <v>0</v>
      </c>
      <c r="Y94" t="s">
        <v>52</v>
      </c>
      <c r="Z94" t="s">
        <v>53</v>
      </c>
      <c r="AA94" t="s">
        <v>54</v>
      </c>
      <c r="AB94">
        <v>0</v>
      </c>
      <c r="AC94" t="s">
        <v>55</v>
      </c>
      <c r="AD94">
        <v>-1</v>
      </c>
      <c r="AE94" t="s">
        <v>64</v>
      </c>
      <c r="AF94">
        <v>0</v>
      </c>
      <c r="AG94" t="b">
        <v>0</v>
      </c>
      <c r="AH94">
        <v>-1</v>
      </c>
      <c r="AI94" t="s">
        <v>64</v>
      </c>
      <c r="AJ94">
        <v>0</v>
      </c>
      <c r="AK94" t="b">
        <v>0</v>
      </c>
      <c r="AL94">
        <v>0</v>
      </c>
      <c r="AM94" t="b">
        <v>0</v>
      </c>
      <c r="AN94">
        <v>0</v>
      </c>
      <c r="AO94" t="b">
        <v>0</v>
      </c>
      <c r="AQ94">
        <v>2229578.5019999999</v>
      </c>
      <c r="AR94">
        <v>2229578.5019999999</v>
      </c>
      <c r="AS94">
        <v>0</v>
      </c>
      <c r="AT94" t="b">
        <v>0</v>
      </c>
      <c r="AU94" t="b">
        <v>1</v>
      </c>
      <c r="AV94" t="b">
        <v>1</v>
      </c>
      <c r="AW94" t="b">
        <v>1</v>
      </c>
      <c r="BC94" t="str">
        <f t="shared" si="1"/>
        <v>Normal</v>
      </c>
    </row>
    <row r="95" spans="1:55" x14ac:dyDescent="0.2">
      <c r="A95" t="s">
        <v>39</v>
      </c>
      <c r="B95" t="s">
        <v>40</v>
      </c>
      <c r="C95">
        <v>20190101</v>
      </c>
      <c r="D95">
        <v>2019</v>
      </c>
      <c r="E95">
        <v>52</v>
      </c>
      <c r="F95" t="s">
        <v>41</v>
      </c>
      <c r="G95">
        <v>643</v>
      </c>
      <c r="H95" t="s">
        <v>245</v>
      </c>
      <c r="I95" t="s">
        <v>246</v>
      </c>
      <c r="J95" t="s">
        <v>44</v>
      </c>
      <c r="K95" t="s">
        <v>45</v>
      </c>
      <c r="L95">
        <v>0</v>
      </c>
      <c r="M95" t="s">
        <v>46</v>
      </c>
      <c r="N95" t="s">
        <v>47</v>
      </c>
      <c r="O95">
        <v>0</v>
      </c>
      <c r="P95" t="s">
        <v>46</v>
      </c>
      <c r="Q95" t="s">
        <v>47</v>
      </c>
      <c r="R95" t="s">
        <v>48</v>
      </c>
      <c r="S95" t="s">
        <v>49</v>
      </c>
      <c r="T95" t="b">
        <v>1</v>
      </c>
      <c r="U95" t="s">
        <v>50</v>
      </c>
      <c r="V95" t="s">
        <v>51</v>
      </c>
      <c r="W95">
        <v>4</v>
      </c>
      <c r="X95" t="b">
        <v>0</v>
      </c>
      <c r="Y95" t="s">
        <v>52</v>
      </c>
      <c r="Z95" t="s">
        <v>53</v>
      </c>
      <c r="AA95" t="s">
        <v>54</v>
      </c>
      <c r="AB95">
        <v>0</v>
      </c>
      <c r="AC95" t="s">
        <v>55</v>
      </c>
      <c r="AD95">
        <v>8</v>
      </c>
      <c r="AE95" t="s">
        <v>56</v>
      </c>
      <c r="AF95">
        <v>124104.696</v>
      </c>
      <c r="AG95" t="b">
        <v>1</v>
      </c>
      <c r="AH95">
        <v>-1</v>
      </c>
      <c r="AI95" t="s">
        <v>64</v>
      </c>
      <c r="AJ95">
        <v>0</v>
      </c>
      <c r="AK95" t="b">
        <v>0</v>
      </c>
      <c r="AL95" s="1">
        <v>124104.696</v>
      </c>
      <c r="AM95" t="b">
        <v>1</v>
      </c>
      <c r="AN95">
        <v>0</v>
      </c>
      <c r="AO95" t="b">
        <v>0</v>
      </c>
      <c r="AQ95">
        <v>5763420129.6899996</v>
      </c>
      <c r="AR95">
        <v>5763420129.6899996</v>
      </c>
      <c r="AS95">
        <v>6</v>
      </c>
      <c r="AT95" t="b">
        <v>0</v>
      </c>
      <c r="AU95" t="b">
        <v>1</v>
      </c>
      <c r="AV95" t="b">
        <v>1</v>
      </c>
      <c r="AW95" t="b">
        <v>1</v>
      </c>
      <c r="BC95" t="str">
        <f t="shared" si="1"/>
        <v>Outlier</v>
      </c>
    </row>
    <row r="96" spans="1:55" x14ac:dyDescent="0.2">
      <c r="A96" t="s">
        <v>39</v>
      </c>
      <c r="B96" t="s">
        <v>40</v>
      </c>
      <c r="C96">
        <v>20190101</v>
      </c>
      <c r="D96">
        <v>2019</v>
      </c>
      <c r="E96">
        <v>52</v>
      </c>
      <c r="F96" t="s">
        <v>41</v>
      </c>
      <c r="G96">
        <v>646</v>
      </c>
      <c r="H96" t="s">
        <v>247</v>
      </c>
      <c r="I96" t="s">
        <v>248</v>
      </c>
      <c r="J96" t="s">
        <v>44</v>
      </c>
      <c r="K96" t="s">
        <v>45</v>
      </c>
      <c r="L96">
        <v>0</v>
      </c>
      <c r="M96" t="s">
        <v>46</v>
      </c>
      <c r="N96" t="s">
        <v>47</v>
      </c>
      <c r="O96">
        <v>0</v>
      </c>
      <c r="P96" t="s">
        <v>46</v>
      </c>
      <c r="Q96" t="s">
        <v>47</v>
      </c>
      <c r="R96" t="s">
        <v>95</v>
      </c>
      <c r="S96" t="s">
        <v>49</v>
      </c>
      <c r="T96" t="b">
        <v>1</v>
      </c>
      <c r="U96" t="s">
        <v>50</v>
      </c>
      <c r="V96" t="s">
        <v>51</v>
      </c>
      <c r="W96">
        <v>4</v>
      </c>
      <c r="X96" t="b">
        <v>0</v>
      </c>
      <c r="Y96" t="s">
        <v>52</v>
      </c>
      <c r="Z96" t="s">
        <v>53</v>
      </c>
      <c r="AA96" t="s">
        <v>54</v>
      </c>
      <c r="AB96">
        <v>0</v>
      </c>
      <c r="AC96" t="s">
        <v>55</v>
      </c>
      <c r="AD96">
        <v>-1</v>
      </c>
      <c r="AE96" t="s">
        <v>64</v>
      </c>
      <c r="AF96">
        <v>0</v>
      </c>
      <c r="AG96" t="b">
        <v>0</v>
      </c>
      <c r="AH96">
        <v>-1</v>
      </c>
      <c r="AI96" t="s">
        <v>64</v>
      </c>
      <c r="AJ96">
        <v>0</v>
      </c>
      <c r="AK96" t="b">
        <v>0</v>
      </c>
      <c r="AL96">
        <v>0</v>
      </c>
      <c r="AM96" t="b">
        <v>0</v>
      </c>
      <c r="AN96">
        <v>0</v>
      </c>
      <c r="AO96" t="b">
        <v>0</v>
      </c>
      <c r="AP96">
        <v>0</v>
      </c>
      <c r="AQ96">
        <v>301457509.29000002</v>
      </c>
      <c r="AR96">
        <v>301457509.29000002</v>
      </c>
      <c r="AS96">
        <v>0</v>
      </c>
      <c r="AT96" t="b">
        <v>0</v>
      </c>
      <c r="AU96" t="b">
        <v>1</v>
      </c>
      <c r="AV96" t="b">
        <v>1</v>
      </c>
      <c r="AW96" t="b">
        <v>1</v>
      </c>
      <c r="BC96" t="str">
        <f t="shared" si="1"/>
        <v>Normal</v>
      </c>
    </row>
    <row r="97" spans="1:55" x14ac:dyDescent="0.2">
      <c r="A97" t="s">
        <v>39</v>
      </c>
      <c r="B97" t="s">
        <v>40</v>
      </c>
      <c r="C97">
        <v>20190101</v>
      </c>
      <c r="D97">
        <v>2019</v>
      </c>
      <c r="E97">
        <v>52</v>
      </c>
      <c r="F97" t="s">
        <v>41</v>
      </c>
      <c r="G97">
        <v>682</v>
      </c>
      <c r="H97" t="s">
        <v>249</v>
      </c>
      <c r="I97" t="s">
        <v>250</v>
      </c>
      <c r="J97" t="s">
        <v>44</v>
      </c>
      <c r="K97" t="s">
        <v>45</v>
      </c>
      <c r="L97">
        <v>0</v>
      </c>
      <c r="M97" t="s">
        <v>46</v>
      </c>
      <c r="N97" t="s">
        <v>47</v>
      </c>
      <c r="O97">
        <v>0</v>
      </c>
      <c r="P97" t="s">
        <v>46</v>
      </c>
      <c r="Q97" t="s">
        <v>47</v>
      </c>
      <c r="R97" t="s">
        <v>95</v>
      </c>
      <c r="S97" t="s">
        <v>49</v>
      </c>
      <c r="T97" t="b">
        <v>1</v>
      </c>
      <c r="U97" t="s">
        <v>50</v>
      </c>
      <c r="V97" t="s">
        <v>51</v>
      </c>
      <c r="W97">
        <v>4</v>
      </c>
      <c r="X97" t="b">
        <v>0</v>
      </c>
      <c r="Y97" t="s">
        <v>52</v>
      </c>
      <c r="Z97" t="s">
        <v>53</v>
      </c>
      <c r="AA97" t="s">
        <v>54</v>
      </c>
      <c r="AB97">
        <v>0</v>
      </c>
      <c r="AC97" t="s">
        <v>55</v>
      </c>
      <c r="AD97">
        <v>8</v>
      </c>
      <c r="AE97" t="s">
        <v>56</v>
      </c>
      <c r="AF97">
        <v>20031.046999999999</v>
      </c>
      <c r="AG97" t="b">
        <v>1</v>
      </c>
      <c r="AH97">
        <v>-1</v>
      </c>
      <c r="AI97" t="s">
        <v>64</v>
      </c>
      <c r="AJ97">
        <v>0</v>
      </c>
      <c r="AK97" t="b">
        <v>0</v>
      </c>
      <c r="AL97">
        <v>20031.046999999999</v>
      </c>
      <c r="AM97" t="b">
        <v>1</v>
      </c>
      <c r="AN97">
        <v>0</v>
      </c>
      <c r="AO97" t="b">
        <v>0</v>
      </c>
      <c r="AQ97">
        <v>847490094.546</v>
      </c>
      <c r="AR97">
        <v>847490094.546</v>
      </c>
      <c r="AS97">
        <v>6</v>
      </c>
      <c r="AT97" t="b">
        <v>0</v>
      </c>
      <c r="AU97" t="b">
        <v>1</v>
      </c>
      <c r="AV97" t="b">
        <v>1</v>
      </c>
      <c r="AW97" t="b">
        <v>1</v>
      </c>
      <c r="BC97" t="str">
        <f t="shared" si="1"/>
        <v>Normal</v>
      </c>
    </row>
    <row r="98" spans="1:55" x14ac:dyDescent="0.2">
      <c r="A98" t="s">
        <v>39</v>
      </c>
      <c r="B98" t="s">
        <v>40</v>
      </c>
      <c r="C98">
        <v>20190101</v>
      </c>
      <c r="D98">
        <v>2019</v>
      </c>
      <c r="E98">
        <v>52</v>
      </c>
      <c r="F98" t="s">
        <v>41</v>
      </c>
      <c r="G98">
        <v>686</v>
      </c>
      <c r="H98" t="s">
        <v>251</v>
      </c>
      <c r="I98" t="s">
        <v>252</v>
      </c>
      <c r="J98" t="s">
        <v>44</v>
      </c>
      <c r="K98" t="s">
        <v>45</v>
      </c>
      <c r="L98">
        <v>0</v>
      </c>
      <c r="M98" t="s">
        <v>46</v>
      </c>
      <c r="N98" t="s">
        <v>47</v>
      </c>
      <c r="O98">
        <v>0</v>
      </c>
      <c r="P98" t="s">
        <v>46</v>
      </c>
      <c r="Q98" t="s">
        <v>47</v>
      </c>
      <c r="R98" t="s">
        <v>48</v>
      </c>
      <c r="S98" t="s">
        <v>49</v>
      </c>
      <c r="T98" t="b">
        <v>1</v>
      </c>
      <c r="U98" t="s">
        <v>50</v>
      </c>
      <c r="V98" t="s">
        <v>51</v>
      </c>
      <c r="W98">
        <v>4</v>
      </c>
      <c r="X98" t="b">
        <v>0</v>
      </c>
      <c r="Y98" t="s">
        <v>52</v>
      </c>
      <c r="Z98" t="s">
        <v>53</v>
      </c>
      <c r="AA98" t="s">
        <v>54</v>
      </c>
      <c r="AB98">
        <v>0</v>
      </c>
      <c r="AC98" t="s">
        <v>55</v>
      </c>
      <c r="AD98">
        <v>8</v>
      </c>
      <c r="AE98" t="s">
        <v>56</v>
      </c>
      <c r="AF98">
        <v>16072</v>
      </c>
      <c r="AG98" t="b">
        <v>0</v>
      </c>
      <c r="AH98">
        <v>8</v>
      </c>
      <c r="AI98" t="s">
        <v>56</v>
      </c>
      <c r="AJ98">
        <v>16072</v>
      </c>
      <c r="AK98" t="b">
        <v>0</v>
      </c>
      <c r="AL98">
        <v>16072</v>
      </c>
      <c r="AM98" t="b">
        <v>0</v>
      </c>
      <c r="AN98">
        <v>0</v>
      </c>
      <c r="AO98" t="b">
        <v>0</v>
      </c>
      <c r="AQ98">
        <v>641693544.77400005</v>
      </c>
      <c r="AR98">
        <v>641693544.77400005</v>
      </c>
      <c r="AS98">
        <v>0</v>
      </c>
      <c r="AT98" t="b">
        <v>0</v>
      </c>
      <c r="AU98" t="b">
        <v>1</v>
      </c>
      <c r="AV98" t="b">
        <v>1</v>
      </c>
      <c r="AW98" t="b">
        <v>1</v>
      </c>
      <c r="BC98" t="str">
        <f t="shared" si="1"/>
        <v>Normal</v>
      </c>
    </row>
    <row r="99" spans="1:55" x14ac:dyDescent="0.2">
      <c r="A99" t="s">
        <v>39</v>
      </c>
      <c r="B99" t="s">
        <v>40</v>
      </c>
      <c r="C99">
        <v>20190101</v>
      </c>
      <c r="D99">
        <v>2019</v>
      </c>
      <c r="E99">
        <v>52</v>
      </c>
      <c r="F99" t="s">
        <v>41</v>
      </c>
      <c r="G99">
        <v>688</v>
      </c>
      <c r="H99" t="s">
        <v>253</v>
      </c>
      <c r="I99" t="s">
        <v>254</v>
      </c>
      <c r="J99" t="s">
        <v>44</v>
      </c>
      <c r="K99" t="s">
        <v>45</v>
      </c>
      <c r="L99">
        <v>0</v>
      </c>
      <c r="M99" t="s">
        <v>46</v>
      </c>
      <c r="N99" t="s">
        <v>47</v>
      </c>
      <c r="O99">
        <v>0</v>
      </c>
      <c r="P99" t="s">
        <v>46</v>
      </c>
      <c r="Q99" t="s">
        <v>47</v>
      </c>
      <c r="R99" t="s">
        <v>48</v>
      </c>
      <c r="S99" t="s">
        <v>49</v>
      </c>
      <c r="T99" t="b">
        <v>1</v>
      </c>
      <c r="U99" t="s">
        <v>50</v>
      </c>
      <c r="V99" t="s">
        <v>51</v>
      </c>
      <c r="W99">
        <v>4</v>
      </c>
      <c r="X99" t="b">
        <v>0</v>
      </c>
      <c r="Y99" t="s">
        <v>52</v>
      </c>
      <c r="Z99" t="s">
        <v>53</v>
      </c>
      <c r="AA99" t="s">
        <v>54</v>
      </c>
      <c r="AB99">
        <v>0</v>
      </c>
      <c r="AC99" t="s">
        <v>55</v>
      </c>
      <c r="AD99">
        <v>8</v>
      </c>
      <c r="AE99" t="s">
        <v>56</v>
      </c>
      <c r="AF99">
        <v>886.55200000000002</v>
      </c>
      <c r="AG99" t="b">
        <v>0</v>
      </c>
      <c r="AH99">
        <v>15</v>
      </c>
      <c r="AI99" t="s">
        <v>59</v>
      </c>
      <c r="AJ99">
        <v>886552</v>
      </c>
      <c r="AK99" t="b">
        <v>0</v>
      </c>
      <c r="AL99">
        <v>885.44</v>
      </c>
      <c r="AM99" t="b">
        <v>0</v>
      </c>
      <c r="AN99">
        <v>0</v>
      </c>
      <c r="AO99" t="b">
        <v>0</v>
      </c>
      <c r="AQ99">
        <v>27363301</v>
      </c>
      <c r="AR99">
        <v>27363301</v>
      </c>
      <c r="AS99">
        <v>0</v>
      </c>
      <c r="AT99" t="b">
        <v>0</v>
      </c>
      <c r="AU99" t="b">
        <v>1</v>
      </c>
      <c r="AV99" t="b">
        <v>1</v>
      </c>
      <c r="AW99" t="b">
        <v>1</v>
      </c>
      <c r="BC99" t="str">
        <f t="shared" si="1"/>
        <v>Normal</v>
      </c>
    </row>
    <row r="100" spans="1:55" x14ac:dyDescent="0.2">
      <c r="A100" t="s">
        <v>39</v>
      </c>
      <c r="B100" t="s">
        <v>40</v>
      </c>
      <c r="C100">
        <v>20190101</v>
      </c>
      <c r="D100">
        <v>2019</v>
      </c>
      <c r="E100">
        <v>52</v>
      </c>
      <c r="F100" t="s">
        <v>41</v>
      </c>
      <c r="G100">
        <v>699</v>
      </c>
      <c r="H100" t="s">
        <v>255</v>
      </c>
      <c r="I100" t="s">
        <v>256</v>
      </c>
      <c r="J100" t="s">
        <v>44</v>
      </c>
      <c r="K100" t="s">
        <v>45</v>
      </c>
      <c r="L100">
        <v>0</v>
      </c>
      <c r="M100" t="s">
        <v>46</v>
      </c>
      <c r="N100" t="s">
        <v>47</v>
      </c>
      <c r="O100">
        <v>0</v>
      </c>
      <c r="P100" t="s">
        <v>46</v>
      </c>
      <c r="Q100" t="s">
        <v>47</v>
      </c>
      <c r="R100" t="s">
        <v>48</v>
      </c>
      <c r="S100" t="s">
        <v>49</v>
      </c>
      <c r="T100" t="b">
        <v>1</v>
      </c>
      <c r="U100" t="s">
        <v>50</v>
      </c>
      <c r="V100" t="s">
        <v>51</v>
      </c>
      <c r="W100">
        <v>4</v>
      </c>
      <c r="X100" t="b">
        <v>0</v>
      </c>
      <c r="Y100" t="s">
        <v>52</v>
      </c>
      <c r="Z100" t="s">
        <v>53</v>
      </c>
      <c r="AA100" t="s">
        <v>54</v>
      </c>
      <c r="AB100">
        <v>0</v>
      </c>
      <c r="AC100" t="s">
        <v>55</v>
      </c>
      <c r="AD100">
        <v>8</v>
      </c>
      <c r="AE100" t="s">
        <v>56</v>
      </c>
      <c r="AF100">
        <v>2232.1759999999999</v>
      </c>
      <c r="AG100" t="b">
        <v>1</v>
      </c>
      <c r="AH100">
        <v>-1</v>
      </c>
      <c r="AI100" t="s">
        <v>64</v>
      </c>
      <c r="AJ100">
        <v>0</v>
      </c>
      <c r="AK100" t="b">
        <v>0</v>
      </c>
      <c r="AL100">
        <v>2232.1759999999999</v>
      </c>
      <c r="AM100" t="b">
        <v>1</v>
      </c>
      <c r="AN100">
        <v>0</v>
      </c>
      <c r="AO100" t="b">
        <v>0</v>
      </c>
      <c r="AP100">
        <v>0</v>
      </c>
      <c r="AQ100">
        <v>101796367.912</v>
      </c>
      <c r="AR100">
        <v>101796367.912</v>
      </c>
      <c r="AS100">
        <v>6</v>
      </c>
      <c r="AT100" t="b">
        <v>0</v>
      </c>
      <c r="AU100" t="b">
        <v>1</v>
      </c>
      <c r="AV100" t="b">
        <v>1</v>
      </c>
      <c r="AW100" t="b">
        <v>1</v>
      </c>
      <c r="BC100" t="str">
        <f t="shared" si="1"/>
        <v>Normal</v>
      </c>
    </row>
    <row r="101" spans="1:55" x14ac:dyDescent="0.2">
      <c r="A101" t="s">
        <v>39</v>
      </c>
      <c r="B101" t="s">
        <v>40</v>
      </c>
      <c r="C101">
        <v>20190101</v>
      </c>
      <c r="D101">
        <v>2019</v>
      </c>
      <c r="E101">
        <v>52</v>
      </c>
      <c r="F101" t="s">
        <v>41</v>
      </c>
      <c r="G101">
        <v>702</v>
      </c>
      <c r="H101" t="s">
        <v>257</v>
      </c>
      <c r="I101" t="s">
        <v>258</v>
      </c>
      <c r="J101" t="s">
        <v>44</v>
      </c>
      <c r="K101" t="s">
        <v>45</v>
      </c>
      <c r="L101">
        <v>0</v>
      </c>
      <c r="M101" t="s">
        <v>46</v>
      </c>
      <c r="N101" t="s">
        <v>47</v>
      </c>
      <c r="O101">
        <v>0</v>
      </c>
      <c r="P101" t="s">
        <v>46</v>
      </c>
      <c r="Q101" t="s">
        <v>47</v>
      </c>
      <c r="R101" t="s">
        <v>48</v>
      </c>
      <c r="S101" t="s">
        <v>49</v>
      </c>
      <c r="T101" t="b">
        <v>1</v>
      </c>
      <c r="U101" t="s">
        <v>50</v>
      </c>
      <c r="V101" t="s">
        <v>51</v>
      </c>
      <c r="W101">
        <v>4</v>
      </c>
      <c r="X101" t="b">
        <v>0</v>
      </c>
      <c r="Y101" t="s">
        <v>52</v>
      </c>
      <c r="Z101" t="s">
        <v>53</v>
      </c>
      <c r="AA101" t="s">
        <v>54</v>
      </c>
      <c r="AB101">
        <v>0</v>
      </c>
      <c r="AC101" t="s">
        <v>55</v>
      </c>
      <c r="AD101">
        <v>8</v>
      </c>
      <c r="AE101" t="s">
        <v>56</v>
      </c>
      <c r="AF101">
        <v>273823.03200000001</v>
      </c>
      <c r="AG101" t="b">
        <v>1</v>
      </c>
      <c r="AH101">
        <v>-1</v>
      </c>
      <c r="AI101" t="s">
        <v>64</v>
      </c>
      <c r="AJ101">
        <v>0</v>
      </c>
      <c r="AK101" t="b">
        <v>0</v>
      </c>
      <c r="AL101" s="1">
        <v>273823.03200000001</v>
      </c>
      <c r="AM101" t="b">
        <v>1</v>
      </c>
      <c r="AN101">
        <v>0</v>
      </c>
      <c r="AO101" t="b">
        <v>0</v>
      </c>
      <c r="AQ101">
        <v>11560641689.082001</v>
      </c>
      <c r="AR101">
        <v>11560641689.082001</v>
      </c>
      <c r="AS101">
        <v>6</v>
      </c>
      <c r="AT101" t="b">
        <v>0</v>
      </c>
      <c r="AU101" t="b">
        <v>1</v>
      </c>
      <c r="AV101" t="b">
        <v>1</v>
      </c>
      <c r="AW101" t="b">
        <v>1</v>
      </c>
      <c r="BC101" t="str">
        <f t="shared" si="1"/>
        <v>Outlier</v>
      </c>
    </row>
    <row r="102" spans="1:55" x14ac:dyDescent="0.2">
      <c r="A102" t="s">
        <v>39</v>
      </c>
      <c r="B102" t="s">
        <v>40</v>
      </c>
      <c r="C102">
        <v>20190101</v>
      </c>
      <c r="D102">
        <v>2019</v>
      </c>
      <c r="E102">
        <v>52</v>
      </c>
      <c r="F102" t="s">
        <v>41</v>
      </c>
      <c r="G102">
        <v>703</v>
      </c>
      <c r="H102" t="s">
        <v>259</v>
      </c>
      <c r="I102" t="s">
        <v>260</v>
      </c>
      <c r="J102" t="s">
        <v>44</v>
      </c>
      <c r="K102" t="s">
        <v>45</v>
      </c>
      <c r="L102">
        <v>0</v>
      </c>
      <c r="M102" t="s">
        <v>46</v>
      </c>
      <c r="N102" t="s">
        <v>47</v>
      </c>
      <c r="O102">
        <v>0</v>
      </c>
      <c r="P102" t="s">
        <v>46</v>
      </c>
      <c r="Q102" t="s">
        <v>47</v>
      </c>
      <c r="R102" t="s">
        <v>48</v>
      </c>
      <c r="S102" t="s">
        <v>49</v>
      </c>
      <c r="T102" t="b">
        <v>1</v>
      </c>
      <c r="U102" t="s">
        <v>50</v>
      </c>
      <c r="V102" t="s">
        <v>51</v>
      </c>
      <c r="W102">
        <v>4</v>
      </c>
      <c r="X102" t="b">
        <v>0</v>
      </c>
      <c r="Y102" t="s">
        <v>52</v>
      </c>
      <c r="Z102" t="s">
        <v>53</v>
      </c>
      <c r="AA102" t="s">
        <v>54</v>
      </c>
      <c r="AB102">
        <v>0</v>
      </c>
      <c r="AC102" t="s">
        <v>55</v>
      </c>
      <c r="AD102">
        <v>8</v>
      </c>
      <c r="AE102" t="s">
        <v>56</v>
      </c>
      <c r="AF102">
        <v>4780.0590000000002</v>
      </c>
      <c r="AG102" t="b">
        <v>0</v>
      </c>
      <c r="AH102">
        <v>15</v>
      </c>
      <c r="AI102" t="s">
        <v>59</v>
      </c>
      <c r="AJ102">
        <v>4780059</v>
      </c>
      <c r="AK102" t="b">
        <v>0</v>
      </c>
      <c r="AM102" t="b">
        <v>0</v>
      </c>
      <c r="AN102">
        <v>0</v>
      </c>
      <c r="AO102" t="b">
        <v>0</v>
      </c>
      <c r="AQ102">
        <v>149778851.19800001</v>
      </c>
      <c r="AR102">
        <v>149778851.19800001</v>
      </c>
      <c r="AS102">
        <v>0</v>
      </c>
      <c r="AT102" t="b">
        <v>0</v>
      </c>
      <c r="AU102" t="b">
        <v>1</v>
      </c>
      <c r="AV102" t="b">
        <v>1</v>
      </c>
      <c r="AW102" t="b">
        <v>1</v>
      </c>
      <c r="BC102" t="str">
        <f t="shared" si="1"/>
        <v>Normal</v>
      </c>
    </row>
    <row r="103" spans="1:55" x14ac:dyDescent="0.2">
      <c r="A103" t="s">
        <v>39</v>
      </c>
      <c r="B103" t="s">
        <v>40</v>
      </c>
      <c r="C103">
        <v>20190101</v>
      </c>
      <c r="D103">
        <v>2019</v>
      </c>
      <c r="E103">
        <v>52</v>
      </c>
      <c r="F103" t="s">
        <v>41</v>
      </c>
      <c r="G103">
        <v>704</v>
      </c>
      <c r="H103" t="s">
        <v>261</v>
      </c>
      <c r="I103" t="s">
        <v>262</v>
      </c>
      <c r="J103" t="s">
        <v>44</v>
      </c>
      <c r="K103" t="s">
        <v>45</v>
      </c>
      <c r="L103">
        <v>0</v>
      </c>
      <c r="M103" t="s">
        <v>46</v>
      </c>
      <c r="N103" t="s">
        <v>47</v>
      </c>
      <c r="O103">
        <v>0</v>
      </c>
      <c r="P103" t="s">
        <v>46</v>
      </c>
      <c r="Q103" t="s">
        <v>47</v>
      </c>
      <c r="R103" t="s">
        <v>48</v>
      </c>
      <c r="S103" t="s">
        <v>49</v>
      </c>
      <c r="T103" t="b">
        <v>1</v>
      </c>
      <c r="U103" t="s">
        <v>50</v>
      </c>
      <c r="V103" t="s">
        <v>51</v>
      </c>
      <c r="W103">
        <v>4</v>
      </c>
      <c r="X103" t="b">
        <v>0</v>
      </c>
      <c r="Y103" t="s">
        <v>52</v>
      </c>
      <c r="Z103" t="s">
        <v>53</v>
      </c>
      <c r="AA103" t="s">
        <v>54</v>
      </c>
      <c r="AB103">
        <v>0</v>
      </c>
      <c r="AC103" t="s">
        <v>55</v>
      </c>
      <c r="AD103">
        <v>8</v>
      </c>
      <c r="AE103" t="s">
        <v>56</v>
      </c>
      <c r="AF103">
        <v>157.04300000000001</v>
      </c>
      <c r="AG103" t="b">
        <v>1</v>
      </c>
      <c r="AH103">
        <v>-1</v>
      </c>
      <c r="AI103" t="s">
        <v>64</v>
      </c>
      <c r="AJ103">
        <v>0</v>
      </c>
      <c r="AK103" t="b">
        <v>0</v>
      </c>
      <c r="AL103">
        <v>157.04300000000001</v>
      </c>
      <c r="AM103" t="b">
        <v>1</v>
      </c>
      <c r="AN103">
        <v>0</v>
      </c>
      <c r="AO103" t="b">
        <v>0</v>
      </c>
      <c r="AQ103">
        <v>6798401.4699999997</v>
      </c>
      <c r="AR103">
        <v>6798401.4699999997</v>
      </c>
      <c r="AS103">
        <v>6</v>
      </c>
      <c r="AT103" t="b">
        <v>0</v>
      </c>
      <c r="AU103" t="b">
        <v>1</v>
      </c>
      <c r="AV103" t="b">
        <v>1</v>
      </c>
      <c r="AW103" t="b">
        <v>1</v>
      </c>
      <c r="BC103" t="str">
        <f t="shared" si="1"/>
        <v>Normal</v>
      </c>
    </row>
    <row r="104" spans="1:55" x14ac:dyDescent="0.2">
      <c r="A104" t="s">
        <v>39</v>
      </c>
      <c r="B104" t="s">
        <v>40</v>
      </c>
      <c r="C104">
        <v>20190101</v>
      </c>
      <c r="D104">
        <v>2019</v>
      </c>
      <c r="E104">
        <v>52</v>
      </c>
      <c r="F104" t="s">
        <v>41</v>
      </c>
      <c r="G104">
        <v>705</v>
      </c>
      <c r="H104" t="s">
        <v>263</v>
      </c>
      <c r="I104" t="s">
        <v>264</v>
      </c>
      <c r="J104" t="s">
        <v>44</v>
      </c>
      <c r="K104" t="s">
        <v>45</v>
      </c>
      <c r="L104">
        <v>0</v>
      </c>
      <c r="M104" t="s">
        <v>46</v>
      </c>
      <c r="N104" t="s">
        <v>47</v>
      </c>
      <c r="O104">
        <v>0</v>
      </c>
      <c r="P104" t="s">
        <v>46</v>
      </c>
      <c r="Q104" t="s">
        <v>47</v>
      </c>
      <c r="R104" t="s">
        <v>48</v>
      </c>
      <c r="S104" t="s">
        <v>49</v>
      </c>
      <c r="T104" t="b">
        <v>1</v>
      </c>
      <c r="U104" t="s">
        <v>50</v>
      </c>
      <c r="V104" t="s">
        <v>51</v>
      </c>
      <c r="W104">
        <v>4</v>
      </c>
      <c r="X104" t="b">
        <v>0</v>
      </c>
      <c r="Y104" t="s">
        <v>52</v>
      </c>
      <c r="Z104" t="s">
        <v>53</v>
      </c>
      <c r="AA104" t="s">
        <v>54</v>
      </c>
      <c r="AB104">
        <v>0</v>
      </c>
      <c r="AC104" t="s">
        <v>55</v>
      </c>
      <c r="AD104">
        <v>8</v>
      </c>
      <c r="AE104" t="s">
        <v>56</v>
      </c>
      <c r="AF104">
        <v>676.02</v>
      </c>
      <c r="AG104" t="b">
        <v>0</v>
      </c>
      <c r="AH104">
        <v>15</v>
      </c>
      <c r="AI104" t="s">
        <v>59</v>
      </c>
      <c r="AJ104">
        <v>676019.74</v>
      </c>
      <c r="AK104" t="b">
        <v>0</v>
      </c>
      <c r="AL104">
        <v>676.48199999999997</v>
      </c>
      <c r="AM104" t="b">
        <v>0</v>
      </c>
      <c r="AN104">
        <v>0</v>
      </c>
      <c r="AO104" t="b">
        <v>0</v>
      </c>
      <c r="AQ104">
        <v>29875767.640000001</v>
      </c>
      <c r="AR104">
        <v>29875767.640000001</v>
      </c>
      <c r="AS104">
        <v>0</v>
      </c>
      <c r="AT104" t="b">
        <v>0</v>
      </c>
      <c r="AU104" t="b">
        <v>1</v>
      </c>
      <c r="AV104" t="b">
        <v>1</v>
      </c>
      <c r="AW104" t="b">
        <v>1</v>
      </c>
      <c r="BC104" t="str">
        <f t="shared" si="1"/>
        <v>Normal</v>
      </c>
    </row>
    <row r="105" spans="1:55" x14ac:dyDescent="0.2">
      <c r="A105" t="s">
        <v>39</v>
      </c>
      <c r="B105" t="s">
        <v>40</v>
      </c>
      <c r="C105">
        <v>20190101</v>
      </c>
      <c r="D105">
        <v>2019</v>
      </c>
      <c r="E105">
        <v>52</v>
      </c>
      <c r="F105" t="s">
        <v>41</v>
      </c>
      <c r="G105">
        <v>710</v>
      </c>
      <c r="H105" t="s">
        <v>265</v>
      </c>
      <c r="I105" t="s">
        <v>266</v>
      </c>
      <c r="J105" t="s">
        <v>44</v>
      </c>
      <c r="K105" t="s">
        <v>45</v>
      </c>
      <c r="L105">
        <v>0</v>
      </c>
      <c r="M105" t="s">
        <v>46</v>
      </c>
      <c r="N105" t="s">
        <v>47</v>
      </c>
      <c r="O105">
        <v>0</v>
      </c>
      <c r="P105" t="s">
        <v>46</v>
      </c>
      <c r="Q105" t="s">
        <v>47</v>
      </c>
      <c r="R105" t="s">
        <v>48</v>
      </c>
      <c r="S105" t="s">
        <v>49</v>
      </c>
      <c r="T105" t="b">
        <v>1</v>
      </c>
      <c r="U105" t="s">
        <v>50</v>
      </c>
      <c r="V105" t="s">
        <v>51</v>
      </c>
      <c r="W105">
        <v>4</v>
      </c>
      <c r="X105" t="b">
        <v>0</v>
      </c>
      <c r="Y105" t="s">
        <v>52</v>
      </c>
      <c r="Z105" t="s">
        <v>53</v>
      </c>
      <c r="AA105" t="s">
        <v>54</v>
      </c>
      <c r="AB105">
        <v>0</v>
      </c>
      <c r="AC105" t="s">
        <v>55</v>
      </c>
      <c r="AD105">
        <v>-1</v>
      </c>
      <c r="AE105" t="s">
        <v>64</v>
      </c>
      <c r="AF105">
        <v>0</v>
      </c>
      <c r="AG105" t="b">
        <v>1</v>
      </c>
      <c r="AH105">
        <v>-1</v>
      </c>
      <c r="AI105" t="s">
        <v>64</v>
      </c>
      <c r="AJ105">
        <v>0</v>
      </c>
      <c r="AK105" t="b">
        <v>0</v>
      </c>
      <c r="AL105" s="1">
        <v>105043.83199999999</v>
      </c>
      <c r="AM105" t="b">
        <v>1</v>
      </c>
      <c r="AN105">
        <v>0</v>
      </c>
      <c r="AO105" t="b">
        <v>0</v>
      </c>
      <c r="AP105">
        <v>0</v>
      </c>
      <c r="AQ105">
        <v>4621604216.1639996</v>
      </c>
      <c r="AR105">
        <v>4621604216.1639996</v>
      </c>
      <c r="AS105">
        <v>6</v>
      </c>
      <c r="AT105" t="b">
        <v>0</v>
      </c>
      <c r="AU105" t="b">
        <v>1</v>
      </c>
      <c r="AV105" t="b">
        <v>1</v>
      </c>
      <c r="AW105" t="b">
        <v>1</v>
      </c>
      <c r="BC105" t="str">
        <f t="shared" si="1"/>
        <v>Outlier</v>
      </c>
    </row>
    <row r="106" spans="1:55" x14ac:dyDescent="0.2">
      <c r="A106" t="s">
        <v>39</v>
      </c>
      <c r="B106" t="s">
        <v>40</v>
      </c>
      <c r="C106">
        <v>20190101</v>
      </c>
      <c r="D106">
        <v>2019</v>
      </c>
      <c r="E106">
        <v>52</v>
      </c>
      <c r="F106" t="s">
        <v>41</v>
      </c>
      <c r="G106">
        <v>716</v>
      </c>
      <c r="H106" t="s">
        <v>267</v>
      </c>
      <c r="I106" t="s">
        <v>268</v>
      </c>
      <c r="J106" t="s">
        <v>44</v>
      </c>
      <c r="K106" t="s">
        <v>45</v>
      </c>
      <c r="L106">
        <v>0</v>
      </c>
      <c r="M106" t="s">
        <v>46</v>
      </c>
      <c r="N106" t="s">
        <v>47</v>
      </c>
      <c r="O106">
        <v>0</v>
      </c>
      <c r="P106" t="s">
        <v>46</v>
      </c>
      <c r="Q106" t="s">
        <v>47</v>
      </c>
      <c r="R106" t="s">
        <v>48</v>
      </c>
      <c r="S106" t="s">
        <v>49</v>
      </c>
      <c r="T106" t="b">
        <v>1</v>
      </c>
      <c r="U106" t="s">
        <v>50</v>
      </c>
      <c r="V106" t="s">
        <v>51</v>
      </c>
      <c r="W106">
        <v>4</v>
      </c>
      <c r="X106" t="b">
        <v>0</v>
      </c>
      <c r="Y106" t="s">
        <v>52</v>
      </c>
      <c r="Z106" t="s">
        <v>53</v>
      </c>
      <c r="AA106" t="s">
        <v>54</v>
      </c>
      <c r="AB106">
        <v>0</v>
      </c>
      <c r="AC106" t="s">
        <v>55</v>
      </c>
      <c r="AD106">
        <v>8</v>
      </c>
      <c r="AE106" t="s">
        <v>56</v>
      </c>
      <c r="AF106">
        <v>23580.18</v>
      </c>
      <c r="AG106" t="b">
        <v>0</v>
      </c>
      <c r="AH106">
        <v>15</v>
      </c>
      <c r="AI106" t="s">
        <v>59</v>
      </c>
      <c r="AJ106">
        <v>2480</v>
      </c>
      <c r="AK106" t="b">
        <v>0</v>
      </c>
      <c r="AL106">
        <v>23580.18</v>
      </c>
      <c r="AM106" t="b">
        <v>0</v>
      </c>
      <c r="AN106">
        <v>0</v>
      </c>
      <c r="AO106" t="b">
        <v>0</v>
      </c>
      <c r="AQ106">
        <v>1063914009.79</v>
      </c>
      <c r="AR106">
        <v>1063914009.79</v>
      </c>
      <c r="AS106">
        <v>0</v>
      </c>
      <c r="AT106" t="b">
        <v>0</v>
      </c>
      <c r="AU106" t="b">
        <v>1</v>
      </c>
      <c r="AV106" t="b">
        <v>1</v>
      </c>
      <c r="AW106" t="b">
        <v>1</v>
      </c>
      <c r="BC106" t="str">
        <f t="shared" si="1"/>
        <v>Normal</v>
      </c>
    </row>
    <row r="107" spans="1:55" x14ac:dyDescent="0.2">
      <c r="A107" t="s">
        <v>39</v>
      </c>
      <c r="B107" t="s">
        <v>40</v>
      </c>
      <c r="C107">
        <v>20190101</v>
      </c>
      <c r="D107">
        <v>2019</v>
      </c>
      <c r="E107">
        <v>52</v>
      </c>
      <c r="F107" t="s">
        <v>41</v>
      </c>
      <c r="G107">
        <v>724</v>
      </c>
      <c r="H107" t="s">
        <v>269</v>
      </c>
      <c r="I107" t="s">
        <v>270</v>
      </c>
      <c r="J107" t="s">
        <v>44</v>
      </c>
      <c r="K107" t="s">
        <v>45</v>
      </c>
      <c r="L107">
        <v>0</v>
      </c>
      <c r="M107" t="s">
        <v>46</v>
      </c>
      <c r="N107" t="s">
        <v>47</v>
      </c>
      <c r="O107">
        <v>0</v>
      </c>
      <c r="P107" t="s">
        <v>46</v>
      </c>
      <c r="Q107" t="s">
        <v>47</v>
      </c>
      <c r="R107" t="s">
        <v>48</v>
      </c>
      <c r="S107" t="s">
        <v>49</v>
      </c>
      <c r="T107" t="b">
        <v>1</v>
      </c>
      <c r="U107" t="s">
        <v>50</v>
      </c>
      <c r="V107" t="s">
        <v>51</v>
      </c>
      <c r="W107">
        <v>4</v>
      </c>
      <c r="X107" t="b">
        <v>0</v>
      </c>
      <c r="Y107" t="s">
        <v>52</v>
      </c>
      <c r="Z107" t="s">
        <v>53</v>
      </c>
      <c r="AA107" t="s">
        <v>54</v>
      </c>
      <c r="AB107">
        <v>0</v>
      </c>
      <c r="AC107" t="s">
        <v>55</v>
      </c>
      <c r="AD107">
        <v>-1</v>
      </c>
      <c r="AE107" t="s">
        <v>64</v>
      </c>
      <c r="AF107">
        <v>0</v>
      </c>
      <c r="AG107" t="b">
        <v>0</v>
      </c>
      <c r="AH107">
        <v>-1</v>
      </c>
      <c r="AI107" t="s">
        <v>64</v>
      </c>
      <c r="AJ107">
        <v>0</v>
      </c>
      <c r="AK107" t="b">
        <v>0</v>
      </c>
      <c r="AM107" t="b">
        <v>0</v>
      </c>
      <c r="AN107">
        <v>0</v>
      </c>
      <c r="AO107" t="b">
        <v>0</v>
      </c>
      <c r="AQ107">
        <v>1405195897.1240001</v>
      </c>
      <c r="AR107">
        <v>1405195897.1240001</v>
      </c>
      <c r="AS107">
        <v>0</v>
      </c>
      <c r="AT107" t="b">
        <v>0</v>
      </c>
      <c r="AU107" t="b">
        <v>1</v>
      </c>
      <c r="AV107" t="b">
        <v>1</v>
      </c>
      <c r="AW107" t="b">
        <v>1</v>
      </c>
      <c r="BC107" t="str">
        <f t="shared" si="1"/>
        <v>Normal</v>
      </c>
    </row>
    <row r="108" spans="1:55" x14ac:dyDescent="0.2">
      <c r="A108" t="s">
        <v>39</v>
      </c>
      <c r="B108" t="s">
        <v>40</v>
      </c>
      <c r="C108">
        <v>20190101</v>
      </c>
      <c r="D108">
        <v>2019</v>
      </c>
      <c r="E108">
        <v>52</v>
      </c>
      <c r="F108" t="s">
        <v>41</v>
      </c>
      <c r="G108">
        <v>740</v>
      </c>
      <c r="H108" t="s">
        <v>271</v>
      </c>
      <c r="I108" t="s">
        <v>272</v>
      </c>
      <c r="J108" t="s">
        <v>44</v>
      </c>
      <c r="K108" t="s">
        <v>45</v>
      </c>
      <c r="L108">
        <v>0</v>
      </c>
      <c r="M108" t="s">
        <v>46</v>
      </c>
      <c r="N108" t="s">
        <v>47</v>
      </c>
      <c r="O108">
        <v>0</v>
      </c>
      <c r="P108" t="s">
        <v>46</v>
      </c>
      <c r="Q108" t="s">
        <v>47</v>
      </c>
      <c r="R108" t="s">
        <v>136</v>
      </c>
      <c r="S108" t="s">
        <v>49</v>
      </c>
      <c r="T108" t="b">
        <v>1</v>
      </c>
      <c r="U108" t="s">
        <v>50</v>
      </c>
      <c r="V108" t="s">
        <v>51</v>
      </c>
      <c r="W108">
        <v>4</v>
      </c>
      <c r="X108" t="b">
        <v>0</v>
      </c>
      <c r="Y108" t="s">
        <v>52</v>
      </c>
      <c r="Z108" t="s">
        <v>53</v>
      </c>
      <c r="AA108" t="s">
        <v>54</v>
      </c>
      <c r="AB108">
        <v>0</v>
      </c>
      <c r="AC108" t="s">
        <v>55</v>
      </c>
      <c r="AD108">
        <v>8</v>
      </c>
      <c r="AE108" t="s">
        <v>56</v>
      </c>
      <c r="AF108">
        <v>31718.76</v>
      </c>
      <c r="AG108" t="b">
        <v>0</v>
      </c>
      <c r="AH108">
        <v>8</v>
      </c>
      <c r="AI108" t="s">
        <v>56</v>
      </c>
      <c r="AJ108">
        <v>31718.76</v>
      </c>
      <c r="AK108" t="b">
        <v>0</v>
      </c>
      <c r="AL108">
        <v>31718.76</v>
      </c>
      <c r="AM108" t="b">
        <v>0</v>
      </c>
      <c r="AN108">
        <v>33523.660000000003</v>
      </c>
      <c r="AO108" t="b">
        <v>0</v>
      </c>
      <c r="AP108">
        <v>0</v>
      </c>
      <c r="AQ108">
        <v>1374595123.7820001</v>
      </c>
      <c r="AR108">
        <v>1374595123.7820001</v>
      </c>
      <c r="AS108">
        <v>0</v>
      </c>
      <c r="AT108" t="b">
        <v>0</v>
      </c>
      <c r="AU108" t="b">
        <v>1</v>
      </c>
      <c r="AV108" t="b">
        <v>1</v>
      </c>
      <c r="AW108" t="b">
        <v>1</v>
      </c>
      <c r="BC108" t="str">
        <f t="shared" si="1"/>
        <v>Normal</v>
      </c>
    </row>
    <row r="109" spans="1:55" x14ac:dyDescent="0.2">
      <c r="A109" t="s">
        <v>39</v>
      </c>
      <c r="B109" t="s">
        <v>40</v>
      </c>
      <c r="C109">
        <v>20190101</v>
      </c>
      <c r="D109">
        <v>2019</v>
      </c>
      <c r="E109">
        <v>52</v>
      </c>
      <c r="F109" t="s">
        <v>41</v>
      </c>
      <c r="G109">
        <v>748</v>
      </c>
      <c r="H109" t="s">
        <v>273</v>
      </c>
      <c r="I109" t="s">
        <v>274</v>
      </c>
      <c r="J109" t="s">
        <v>44</v>
      </c>
      <c r="K109" t="s">
        <v>45</v>
      </c>
      <c r="L109">
        <v>0</v>
      </c>
      <c r="M109" t="s">
        <v>46</v>
      </c>
      <c r="N109" t="s">
        <v>47</v>
      </c>
      <c r="O109">
        <v>0</v>
      </c>
      <c r="P109" t="s">
        <v>46</v>
      </c>
      <c r="Q109" t="s">
        <v>47</v>
      </c>
      <c r="R109" t="s">
        <v>48</v>
      </c>
      <c r="S109" t="s">
        <v>49</v>
      </c>
      <c r="T109" t="b">
        <v>1</v>
      </c>
      <c r="U109" t="s">
        <v>50</v>
      </c>
      <c r="V109" t="s">
        <v>51</v>
      </c>
      <c r="W109">
        <v>4</v>
      </c>
      <c r="X109" t="b">
        <v>0</v>
      </c>
      <c r="Y109" t="s">
        <v>52</v>
      </c>
      <c r="Z109" t="s">
        <v>53</v>
      </c>
      <c r="AA109" t="s">
        <v>54</v>
      </c>
      <c r="AB109">
        <v>0</v>
      </c>
      <c r="AC109" t="s">
        <v>55</v>
      </c>
      <c r="AD109">
        <v>8</v>
      </c>
      <c r="AE109" t="s">
        <v>56</v>
      </c>
      <c r="AF109">
        <v>6.0709999999999997</v>
      </c>
      <c r="AG109" t="b">
        <v>1</v>
      </c>
      <c r="AH109">
        <v>-1</v>
      </c>
      <c r="AI109" t="s">
        <v>64</v>
      </c>
      <c r="AJ109">
        <v>0</v>
      </c>
      <c r="AK109" t="b">
        <v>0</v>
      </c>
      <c r="AM109" t="b">
        <v>1</v>
      </c>
      <c r="AN109">
        <v>0</v>
      </c>
      <c r="AO109" t="b">
        <v>0</v>
      </c>
      <c r="AQ109">
        <v>251556.57</v>
      </c>
      <c r="AR109">
        <v>251556.57</v>
      </c>
      <c r="AS109">
        <v>6</v>
      </c>
      <c r="AT109" t="b">
        <v>0</v>
      </c>
      <c r="AU109" t="b">
        <v>1</v>
      </c>
      <c r="AV109" t="b">
        <v>1</v>
      </c>
      <c r="AW109" t="b">
        <v>1</v>
      </c>
      <c r="BC109" t="str">
        <f t="shared" si="1"/>
        <v>Normal</v>
      </c>
    </row>
    <row r="110" spans="1:55" x14ac:dyDescent="0.2">
      <c r="A110" t="s">
        <v>39</v>
      </c>
      <c r="B110" t="s">
        <v>40</v>
      </c>
      <c r="C110">
        <v>20190101</v>
      </c>
      <c r="D110">
        <v>2019</v>
      </c>
      <c r="E110">
        <v>52</v>
      </c>
      <c r="F110" t="s">
        <v>41</v>
      </c>
      <c r="G110">
        <v>752</v>
      </c>
      <c r="H110" t="s">
        <v>275</v>
      </c>
      <c r="I110" t="s">
        <v>276</v>
      </c>
      <c r="J110" t="s">
        <v>44</v>
      </c>
      <c r="K110" t="s">
        <v>45</v>
      </c>
      <c r="L110">
        <v>0</v>
      </c>
      <c r="M110" t="s">
        <v>46</v>
      </c>
      <c r="N110" t="s">
        <v>47</v>
      </c>
      <c r="O110">
        <v>0</v>
      </c>
      <c r="P110" t="s">
        <v>46</v>
      </c>
      <c r="Q110" t="s">
        <v>47</v>
      </c>
      <c r="R110" t="s">
        <v>48</v>
      </c>
      <c r="S110" t="s">
        <v>49</v>
      </c>
      <c r="T110" t="b">
        <v>1</v>
      </c>
      <c r="U110" t="s">
        <v>50</v>
      </c>
      <c r="V110" t="s">
        <v>51</v>
      </c>
      <c r="W110">
        <v>4</v>
      </c>
      <c r="X110" t="b">
        <v>0</v>
      </c>
      <c r="Y110" t="s">
        <v>52</v>
      </c>
      <c r="Z110" t="s">
        <v>53</v>
      </c>
      <c r="AA110" t="s">
        <v>54</v>
      </c>
      <c r="AB110">
        <v>0</v>
      </c>
      <c r="AC110" t="s">
        <v>55</v>
      </c>
      <c r="AD110">
        <v>8</v>
      </c>
      <c r="AE110" t="s">
        <v>56</v>
      </c>
      <c r="AF110">
        <v>13957.944</v>
      </c>
      <c r="AG110" t="b">
        <v>1</v>
      </c>
      <c r="AH110">
        <v>-1</v>
      </c>
      <c r="AI110" t="s">
        <v>64</v>
      </c>
      <c r="AJ110">
        <v>0</v>
      </c>
      <c r="AK110" t="b">
        <v>0</v>
      </c>
      <c r="AL110">
        <v>13740.754999999999</v>
      </c>
      <c r="AM110" t="b">
        <v>1</v>
      </c>
      <c r="AN110">
        <v>0</v>
      </c>
      <c r="AO110" t="b">
        <v>0</v>
      </c>
      <c r="AQ110">
        <v>661873247.68799996</v>
      </c>
      <c r="AR110">
        <v>661873247.68799996</v>
      </c>
      <c r="AS110">
        <v>6</v>
      </c>
      <c r="AT110" t="b">
        <v>0</v>
      </c>
      <c r="AU110" t="b">
        <v>1</v>
      </c>
      <c r="AV110" t="b">
        <v>1</v>
      </c>
      <c r="AW110" t="b">
        <v>1</v>
      </c>
      <c r="BC110" t="str">
        <f t="shared" si="1"/>
        <v>Normal</v>
      </c>
    </row>
    <row r="111" spans="1:55" x14ac:dyDescent="0.2">
      <c r="A111" t="s">
        <v>39</v>
      </c>
      <c r="B111" t="s">
        <v>40</v>
      </c>
      <c r="C111">
        <v>20190101</v>
      </c>
      <c r="D111">
        <v>2019</v>
      </c>
      <c r="E111">
        <v>52</v>
      </c>
      <c r="F111" t="s">
        <v>41</v>
      </c>
      <c r="G111">
        <v>757</v>
      </c>
      <c r="H111" t="s">
        <v>277</v>
      </c>
      <c r="I111" t="s">
        <v>278</v>
      </c>
      <c r="J111" t="s">
        <v>44</v>
      </c>
      <c r="K111" t="s">
        <v>45</v>
      </c>
      <c r="L111">
        <v>0</v>
      </c>
      <c r="M111" t="s">
        <v>46</v>
      </c>
      <c r="N111" t="s">
        <v>47</v>
      </c>
      <c r="O111">
        <v>0</v>
      </c>
      <c r="P111" t="s">
        <v>46</v>
      </c>
      <c r="Q111" t="s">
        <v>47</v>
      </c>
      <c r="R111" t="s">
        <v>48</v>
      </c>
      <c r="S111" t="s">
        <v>49</v>
      </c>
      <c r="T111" t="b">
        <v>1</v>
      </c>
      <c r="U111" t="s">
        <v>50</v>
      </c>
      <c r="V111" t="s">
        <v>51</v>
      </c>
      <c r="W111">
        <v>4</v>
      </c>
      <c r="X111" t="b">
        <v>0</v>
      </c>
      <c r="Y111" t="s">
        <v>52</v>
      </c>
      <c r="Z111" t="s">
        <v>53</v>
      </c>
      <c r="AA111" t="s">
        <v>54</v>
      </c>
      <c r="AB111">
        <v>0</v>
      </c>
      <c r="AC111" t="s">
        <v>55</v>
      </c>
      <c r="AD111">
        <v>8</v>
      </c>
      <c r="AE111" t="s">
        <v>56</v>
      </c>
      <c r="AF111">
        <v>1401718.4439999999</v>
      </c>
      <c r="AG111" t="b">
        <v>1</v>
      </c>
      <c r="AH111">
        <v>-1</v>
      </c>
      <c r="AI111" t="s">
        <v>64</v>
      </c>
      <c r="AJ111">
        <v>0</v>
      </c>
      <c r="AK111" t="b">
        <v>0</v>
      </c>
      <c r="AL111" s="1">
        <v>1401718.4439999999</v>
      </c>
      <c r="AM111" t="b">
        <v>1</v>
      </c>
      <c r="AN111">
        <v>0</v>
      </c>
      <c r="AO111" t="b">
        <v>0</v>
      </c>
      <c r="AP111">
        <v>0</v>
      </c>
      <c r="AQ111">
        <v>61907448388.279999</v>
      </c>
      <c r="AR111">
        <v>61907448388.279999</v>
      </c>
      <c r="AS111">
        <v>6</v>
      </c>
      <c r="AT111" t="b">
        <v>0</v>
      </c>
      <c r="AU111" t="b">
        <v>1</v>
      </c>
      <c r="AV111" t="b">
        <v>1</v>
      </c>
      <c r="AW111" t="b">
        <v>1</v>
      </c>
      <c r="BC111" t="str">
        <f t="shared" si="1"/>
        <v>Outlier</v>
      </c>
    </row>
    <row r="112" spans="1:55" x14ac:dyDescent="0.2">
      <c r="A112" t="s">
        <v>39</v>
      </c>
      <c r="B112" t="s">
        <v>40</v>
      </c>
      <c r="C112">
        <v>20190101</v>
      </c>
      <c r="D112">
        <v>2019</v>
      </c>
      <c r="E112">
        <v>52</v>
      </c>
      <c r="F112" t="s">
        <v>41</v>
      </c>
      <c r="G112">
        <v>764</v>
      </c>
      <c r="H112" t="s">
        <v>279</v>
      </c>
      <c r="I112" t="s">
        <v>280</v>
      </c>
      <c r="J112" t="s">
        <v>44</v>
      </c>
      <c r="K112" t="s">
        <v>45</v>
      </c>
      <c r="L112">
        <v>0</v>
      </c>
      <c r="M112" t="s">
        <v>46</v>
      </c>
      <c r="N112" t="s">
        <v>47</v>
      </c>
      <c r="O112">
        <v>0</v>
      </c>
      <c r="P112" t="s">
        <v>46</v>
      </c>
      <c r="Q112" t="s">
        <v>47</v>
      </c>
      <c r="R112" t="s">
        <v>48</v>
      </c>
      <c r="S112" t="s">
        <v>49</v>
      </c>
      <c r="T112" t="b">
        <v>1</v>
      </c>
      <c r="U112" t="s">
        <v>50</v>
      </c>
      <c r="V112" t="s">
        <v>51</v>
      </c>
      <c r="W112">
        <v>4</v>
      </c>
      <c r="X112" t="b">
        <v>0</v>
      </c>
      <c r="Y112" t="s">
        <v>52</v>
      </c>
      <c r="Z112" t="s">
        <v>53</v>
      </c>
      <c r="AA112" t="s">
        <v>54</v>
      </c>
      <c r="AB112">
        <v>0</v>
      </c>
      <c r="AC112" t="s">
        <v>55</v>
      </c>
      <c r="AD112">
        <v>-1</v>
      </c>
      <c r="AE112" t="s">
        <v>64</v>
      </c>
      <c r="AF112">
        <v>0</v>
      </c>
      <c r="AG112" t="b">
        <v>0</v>
      </c>
      <c r="AH112">
        <v>-1</v>
      </c>
      <c r="AI112" t="s">
        <v>64</v>
      </c>
      <c r="AJ112">
        <v>0</v>
      </c>
      <c r="AK112" t="b">
        <v>0</v>
      </c>
      <c r="AM112" t="b">
        <v>0</v>
      </c>
      <c r="AN112">
        <v>0</v>
      </c>
      <c r="AO112" t="b">
        <v>0</v>
      </c>
      <c r="AQ112">
        <v>7593597931.4020004</v>
      </c>
      <c r="AR112">
        <v>7593597931.4020004</v>
      </c>
      <c r="AS112">
        <v>0</v>
      </c>
      <c r="AT112" t="b">
        <v>0</v>
      </c>
      <c r="AU112" t="b">
        <v>1</v>
      </c>
      <c r="AV112" t="b">
        <v>1</v>
      </c>
      <c r="AW112" t="b">
        <v>1</v>
      </c>
      <c r="BC112" t="str">
        <f t="shared" si="1"/>
        <v>Normal</v>
      </c>
    </row>
    <row r="113" spans="1:55" x14ac:dyDescent="0.2">
      <c r="A113" t="s">
        <v>39</v>
      </c>
      <c r="B113" t="s">
        <v>40</v>
      </c>
      <c r="C113">
        <v>20190101</v>
      </c>
      <c r="D113">
        <v>2019</v>
      </c>
      <c r="E113">
        <v>52</v>
      </c>
      <c r="F113" t="s">
        <v>41</v>
      </c>
      <c r="G113">
        <v>768</v>
      </c>
      <c r="H113" t="s">
        <v>281</v>
      </c>
      <c r="I113" t="s">
        <v>282</v>
      </c>
      <c r="J113" t="s">
        <v>44</v>
      </c>
      <c r="K113" t="s">
        <v>45</v>
      </c>
      <c r="L113">
        <v>0</v>
      </c>
      <c r="M113" t="s">
        <v>46</v>
      </c>
      <c r="N113" t="s">
        <v>47</v>
      </c>
      <c r="O113">
        <v>0</v>
      </c>
      <c r="P113" t="s">
        <v>46</v>
      </c>
      <c r="Q113" t="s">
        <v>47</v>
      </c>
      <c r="R113" t="s">
        <v>48</v>
      </c>
      <c r="S113" t="s">
        <v>49</v>
      </c>
      <c r="T113" t="b">
        <v>1</v>
      </c>
      <c r="U113" t="s">
        <v>50</v>
      </c>
      <c r="V113" t="s">
        <v>51</v>
      </c>
      <c r="W113">
        <v>4</v>
      </c>
      <c r="X113" t="b">
        <v>0</v>
      </c>
      <c r="Y113" t="s">
        <v>52</v>
      </c>
      <c r="Z113" t="s">
        <v>53</v>
      </c>
      <c r="AA113" t="s">
        <v>54</v>
      </c>
      <c r="AB113">
        <v>0</v>
      </c>
      <c r="AC113" t="s">
        <v>55</v>
      </c>
      <c r="AD113">
        <v>8</v>
      </c>
      <c r="AE113" t="s">
        <v>56</v>
      </c>
      <c r="AF113">
        <v>1</v>
      </c>
      <c r="AG113" t="b">
        <v>0</v>
      </c>
      <c r="AH113">
        <v>8</v>
      </c>
      <c r="AI113" t="s">
        <v>56</v>
      </c>
      <c r="AJ113">
        <v>1</v>
      </c>
      <c r="AK113" t="b">
        <v>0</v>
      </c>
      <c r="AL113">
        <v>1</v>
      </c>
      <c r="AM113" t="b">
        <v>0</v>
      </c>
      <c r="AN113">
        <v>0</v>
      </c>
      <c r="AO113" t="b">
        <v>0</v>
      </c>
      <c r="AQ113">
        <v>1709.232</v>
      </c>
      <c r="AR113">
        <v>1709.232</v>
      </c>
      <c r="AS113">
        <v>0</v>
      </c>
      <c r="AT113" t="b">
        <v>0</v>
      </c>
      <c r="AU113" t="b">
        <v>1</v>
      </c>
      <c r="AV113" t="b">
        <v>1</v>
      </c>
      <c r="AW113" t="b">
        <v>1</v>
      </c>
      <c r="BC113" t="str">
        <f t="shared" si="1"/>
        <v>Normal</v>
      </c>
    </row>
    <row r="114" spans="1:55" x14ac:dyDescent="0.2">
      <c r="A114" t="s">
        <v>39</v>
      </c>
      <c r="B114" t="s">
        <v>40</v>
      </c>
      <c r="C114">
        <v>20190101</v>
      </c>
      <c r="D114">
        <v>2019</v>
      </c>
      <c r="E114">
        <v>52</v>
      </c>
      <c r="F114" t="s">
        <v>41</v>
      </c>
      <c r="G114">
        <v>780</v>
      </c>
      <c r="H114" t="s">
        <v>283</v>
      </c>
      <c r="I114" t="s">
        <v>284</v>
      </c>
      <c r="J114" t="s">
        <v>44</v>
      </c>
      <c r="K114" t="s">
        <v>45</v>
      </c>
      <c r="L114">
        <v>0</v>
      </c>
      <c r="M114" t="s">
        <v>46</v>
      </c>
      <c r="N114" t="s">
        <v>47</v>
      </c>
      <c r="O114">
        <v>0</v>
      </c>
      <c r="P114" t="s">
        <v>46</v>
      </c>
      <c r="Q114" t="s">
        <v>47</v>
      </c>
      <c r="R114" t="s">
        <v>95</v>
      </c>
      <c r="S114" t="s">
        <v>49</v>
      </c>
      <c r="T114" t="b">
        <v>1</v>
      </c>
      <c r="U114" t="s">
        <v>50</v>
      </c>
      <c r="V114" t="s">
        <v>51</v>
      </c>
      <c r="W114">
        <v>4</v>
      </c>
      <c r="X114" t="b">
        <v>0</v>
      </c>
      <c r="Y114" t="s">
        <v>52</v>
      </c>
      <c r="Z114" t="s">
        <v>53</v>
      </c>
      <c r="AA114" t="s">
        <v>54</v>
      </c>
      <c r="AB114">
        <v>0</v>
      </c>
      <c r="AC114" t="s">
        <v>55</v>
      </c>
      <c r="AD114">
        <v>8</v>
      </c>
      <c r="AE114" t="s">
        <v>56</v>
      </c>
      <c r="AF114">
        <v>42</v>
      </c>
      <c r="AG114" t="b">
        <v>0</v>
      </c>
      <c r="AH114">
        <v>8</v>
      </c>
      <c r="AI114" t="s">
        <v>56</v>
      </c>
      <c r="AJ114">
        <v>42</v>
      </c>
      <c r="AK114" t="b">
        <v>0</v>
      </c>
      <c r="AL114">
        <v>42</v>
      </c>
      <c r="AM114" t="b">
        <v>0</v>
      </c>
      <c r="AN114">
        <v>0</v>
      </c>
      <c r="AO114" t="b">
        <v>0</v>
      </c>
      <c r="AP114">
        <v>0</v>
      </c>
      <c r="AQ114">
        <v>211715.68400000001</v>
      </c>
      <c r="AR114">
        <v>211715.68400000001</v>
      </c>
      <c r="AS114">
        <v>0</v>
      </c>
      <c r="AT114" t="b">
        <v>0</v>
      </c>
      <c r="AU114" t="b">
        <v>1</v>
      </c>
      <c r="AV114" t="b">
        <v>1</v>
      </c>
      <c r="AW114" t="b">
        <v>1</v>
      </c>
      <c r="BC114" t="str">
        <f t="shared" si="1"/>
        <v>Normal</v>
      </c>
    </row>
    <row r="115" spans="1:55" x14ac:dyDescent="0.2">
      <c r="A115" t="s">
        <v>39</v>
      </c>
      <c r="B115" t="s">
        <v>40</v>
      </c>
      <c r="C115">
        <v>20190101</v>
      </c>
      <c r="D115">
        <v>2019</v>
      </c>
      <c r="E115">
        <v>52</v>
      </c>
      <c r="F115" t="s">
        <v>41</v>
      </c>
      <c r="G115">
        <v>784</v>
      </c>
      <c r="H115" t="s">
        <v>285</v>
      </c>
      <c r="I115" t="s">
        <v>286</v>
      </c>
      <c r="J115" t="s">
        <v>44</v>
      </c>
      <c r="K115" t="s">
        <v>45</v>
      </c>
      <c r="L115">
        <v>0</v>
      </c>
      <c r="M115" t="s">
        <v>46</v>
      </c>
      <c r="N115" t="s">
        <v>47</v>
      </c>
      <c r="O115">
        <v>0</v>
      </c>
      <c r="P115" t="s">
        <v>46</v>
      </c>
      <c r="Q115" t="s">
        <v>47</v>
      </c>
      <c r="R115" t="s">
        <v>48</v>
      </c>
      <c r="S115" t="s">
        <v>49</v>
      </c>
      <c r="T115" t="b">
        <v>1</v>
      </c>
      <c r="U115" t="s">
        <v>50</v>
      </c>
      <c r="V115" t="s">
        <v>51</v>
      </c>
      <c r="W115">
        <v>4</v>
      </c>
      <c r="X115" t="b">
        <v>0</v>
      </c>
      <c r="Y115" t="s">
        <v>52</v>
      </c>
      <c r="Z115" t="s">
        <v>53</v>
      </c>
      <c r="AA115" t="s">
        <v>54</v>
      </c>
      <c r="AB115">
        <v>0</v>
      </c>
      <c r="AC115" t="s">
        <v>55</v>
      </c>
      <c r="AD115">
        <v>-1</v>
      </c>
      <c r="AE115" t="s">
        <v>64</v>
      </c>
      <c r="AF115">
        <v>0</v>
      </c>
      <c r="AG115" t="b">
        <v>0</v>
      </c>
      <c r="AH115">
        <v>-1</v>
      </c>
      <c r="AI115" t="s">
        <v>64</v>
      </c>
      <c r="AJ115">
        <v>0</v>
      </c>
      <c r="AK115" t="b">
        <v>0</v>
      </c>
      <c r="AL115">
        <v>0</v>
      </c>
      <c r="AM115" t="b">
        <v>0</v>
      </c>
      <c r="AN115">
        <v>0</v>
      </c>
      <c r="AO115" t="b">
        <v>0</v>
      </c>
      <c r="AP115">
        <v>0</v>
      </c>
      <c r="AQ115">
        <v>19113230537.414001</v>
      </c>
      <c r="AR115">
        <v>19113230537.414001</v>
      </c>
      <c r="AS115">
        <v>0</v>
      </c>
      <c r="AT115" t="b">
        <v>0</v>
      </c>
      <c r="AU115" t="b">
        <v>1</v>
      </c>
      <c r="AV115" t="b">
        <v>1</v>
      </c>
      <c r="AW115" t="b">
        <v>1</v>
      </c>
      <c r="BC115" t="str">
        <f t="shared" si="1"/>
        <v>Normal</v>
      </c>
    </row>
    <row r="116" spans="1:55" x14ac:dyDescent="0.2">
      <c r="A116" t="s">
        <v>39</v>
      </c>
      <c r="B116" t="s">
        <v>40</v>
      </c>
      <c r="C116">
        <v>20190101</v>
      </c>
      <c r="D116">
        <v>2019</v>
      </c>
      <c r="E116">
        <v>52</v>
      </c>
      <c r="F116" t="s">
        <v>41</v>
      </c>
      <c r="G116">
        <v>792</v>
      </c>
      <c r="H116" t="s">
        <v>287</v>
      </c>
      <c r="I116" t="s">
        <v>288</v>
      </c>
      <c r="J116" t="s">
        <v>44</v>
      </c>
      <c r="K116" t="s">
        <v>45</v>
      </c>
      <c r="L116">
        <v>0</v>
      </c>
      <c r="M116" t="s">
        <v>46</v>
      </c>
      <c r="N116" t="s">
        <v>47</v>
      </c>
      <c r="O116">
        <v>0</v>
      </c>
      <c r="P116" t="s">
        <v>46</v>
      </c>
      <c r="Q116" t="s">
        <v>47</v>
      </c>
      <c r="R116" t="s">
        <v>48</v>
      </c>
      <c r="S116" t="s">
        <v>49</v>
      </c>
      <c r="T116" t="b">
        <v>1</v>
      </c>
      <c r="U116" t="s">
        <v>50</v>
      </c>
      <c r="V116" t="s">
        <v>51</v>
      </c>
      <c r="W116">
        <v>4</v>
      </c>
      <c r="X116" t="b">
        <v>0</v>
      </c>
      <c r="Y116" t="s">
        <v>52</v>
      </c>
      <c r="Z116" t="s">
        <v>53</v>
      </c>
      <c r="AA116" t="s">
        <v>54</v>
      </c>
      <c r="AB116">
        <v>0</v>
      </c>
      <c r="AC116" t="s">
        <v>55</v>
      </c>
      <c r="AD116">
        <v>8</v>
      </c>
      <c r="AE116" t="s">
        <v>56</v>
      </c>
      <c r="AF116">
        <v>44137.964</v>
      </c>
      <c r="AG116" t="b">
        <v>0</v>
      </c>
      <c r="AH116">
        <v>15</v>
      </c>
      <c r="AI116" t="s">
        <v>59</v>
      </c>
      <c r="AJ116">
        <v>44137964</v>
      </c>
      <c r="AK116" t="b">
        <v>0</v>
      </c>
      <c r="AL116">
        <v>44256</v>
      </c>
      <c r="AM116" t="b">
        <v>0</v>
      </c>
      <c r="AN116">
        <v>0</v>
      </c>
      <c r="AO116" t="b">
        <v>0</v>
      </c>
      <c r="AP116">
        <v>0</v>
      </c>
      <c r="AQ116">
        <v>2000620267</v>
      </c>
      <c r="AR116">
        <v>2000620267</v>
      </c>
      <c r="AS116">
        <v>0</v>
      </c>
      <c r="AT116" t="b">
        <v>0</v>
      </c>
      <c r="AU116" t="b">
        <v>1</v>
      </c>
      <c r="AV116" t="b">
        <v>1</v>
      </c>
      <c r="AW116" t="b">
        <v>1</v>
      </c>
      <c r="BC116" t="str">
        <f t="shared" si="1"/>
        <v>Normal</v>
      </c>
    </row>
    <row r="117" spans="1:55" x14ac:dyDescent="0.2">
      <c r="A117" t="s">
        <v>39</v>
      </c>
      <c r="B117" t="s">
        <v>40</v>
      </c>
      <c r="C117">
        <v>20190101</v>
      </c>
      <c r="D117">
        <v>2019</v>
      </c>
      <c r="E117">
        <v>52</v>
      </c>
      <c r="F117" t="s">
        <v>41</v>
      </c>
      <c r="G117">
        <v>800</v>
      </c>
      <c r="H117" t="s">
        <v>289</v>
      </c>
      <c r="I117" t="s">
        <v>290</v>
      </c>
      <c r="J117" t="s">
        <v>44</v>
      </c>
      <c r="K117" t="s">
        <v>45</v>
      </c>
      <c r="L117">
        <v>0</v>
      </c>
      <c r="M117" t="s">
        <v>46</v>
      </c>
      <c r="N117" t="s">
        <v>47</v>
      </c>
      <c r="O117">
        <v>0</v>
      </c>
      <c r="P117" t="s">
        <v>46</v>
      </c>
      <c r="Q117" t="s">
        <v>47</v>
      </c>
      <c r="R117" t="s">
        <v>48</v>
      </c>
      <c r="S117" t="s">
        <v>49</v>
      </c>
      <c r="T117" t="b">
        <v>1</v>
      </c>
      <c r="U117" t="s">
        <v>50</v>
      </c>
      <c r="V117" t="s">
        <v>51</v>
      </c>
      <c r="W117">
        <v>4</v>
      </c>
      <c r="X117" t="b">
        <v>0</v>
      </c>
      <c r="Y117" t="s">
        <v>52</v>
      </c>
      <c r="Z117" t="s">
        <v>53</v>
      </c>
      <c r="AA117" t="s">
        <v>54</v>
      </c>
      <c r="AB117">
        <v>0</v>
      </c>
      <c r="AC117" t="s">
        <v>55</v>
      </c>
      <c r="AD117">
        <v>8</v>
      </c>
      <c r="AE117" t="s">
        <v>56</v>
      </c>
      <c r="AF117">
        <v>28782.530999999999</v>
      </c>
      <c r="AG117" t="b">
        <v>0</v>
      </c>
      <c r="AH117">
        <v>15</v>
      </c>
      <c r="AI117" t="s">
        <v>59</v>
      </c>
      <c r="AJ117">
        <v>28782531</v>
      </c>
      <c r="AK117" t="b">
        <v>0</v>
      </c>
      <c r="AL117">
        <v>0</v>
      </c>
      <c r="AM117" t="b">
        <v>0</v>
      </c>
      <c r="AN117">
        <v>0</v>
      </c>
      <c r="AO117" t="b">
        <v>0</v>
      </c>
      <c r="AP117">
        <v>0</v>
      </c>
      <c r="AQ117">
        <v>1256750587.76</v>
      </c>
      <c r="AR117">
        <v>1256750587.76</v>
      </c>
      <c r="AS117">
        <v>0</v>
      </c>
      <c r="AT117" t="b">
        <v>0</v>
      </c>
      <c r="AU117" t="b">
        <v>1</v>
      </c>
      <c r="AV117" t="b">
        <v>1</v>
      </c>
      <c r="AW117" t="b">
        <v>1</v>
      </c>
      <c r="BC117" t="str">
        <f t="shared" si="1"/>
        <v>Normal</v>
      </c>
    </row>
    <row r="118" spans="1:55" x14ac:dyDescent="0.2">
      <c r="A118" t="s">
        <v>39</v>
      </c>
      <c r="B118" t="s">
        <v>40</v>
      </c>
      <c r="C118">
        <v>20190101</v>
      </c>
      <c r="D118">
        <v>2019</v>
      </c>
      <c r="E118">
        <v>52</v>
      </c>
      <c r="F118" t="s">
        <v>41</v>
      </c>
      <c r="G118">
        <v>804</v>
      </c>
      <c r="H118" t="s">
        <v>291</v>
      </c>
      <c r="I118" t="s">
        <v>292</v>
      </c>
      <c r="J118" t="s">
        <v>44</v>
      </c>
      <c r="K118" t="s">
        <v>45</v>
      </c>
      <c r="L118">
        <v>0</v>
      </c>
      <c r="M118" t="s">
        <v>46</v>
      </c>
      <c r="N118" t="s">
        <v>47</v>
      </c>
      <c r="O118">
        <v>0</v>
      </c>
      <c r="P118" t="s">
        <v>46</v>
      </c>
      <c r="Q118" t="s">
        <v>47</v>
      </c>
      <c r="R118" t="s">
        <v>95</v>
      </c>
      <c r="S118" t="s">
        <v>49</v>
      </c>
      <c r="T118" t="b">
        <v>1</v>
      </c>
      <c r="U118" t="s">
        <v>50</v>
      </c>
      <c r="V118" t="s">
        <v>51</v>
      </c>
      <c r="W118">
        <v>4</v>
      </c>
      <c r="X118" t="b">
        <v>0</v>
      </c>
      <c r="Y118" t="s">
        <v>52</v>
      </c>
      <c r="Z118" t="s">
        <v>53</v>
      </c>
      <c r="AA118" t="s">
        <v>54</v>
      </c>
      <c r="AB118">
        <v>0</v>
      </c>
      <c r="AC118" t="s">
        <v>55</v>
      </c>
      <c r="AD118">
        <v>8</v>
      </c>
      <c r="AE118" t="s">
        <v>56</v>
      </c>
      <c r="AF118">
        <v>321.79500000000002</v>
      </c>
      <c r="AG118" t="b">
        <v>0</v>
      </c>
      <c r="AH118">
        <v>15</v>
      </c>
      <c r="AI118" t="s">
        <v>59</v>
      </c>
      <c r="AJ118">
        <v>321794.5</v>
      </c>
      <c r="AK118" t="b">
        <v>0</v>
      </c>
      <c r="AL118">
        <v>329.55</v>
      </c>
      <c r="AM118" t="b">
        <v>0</v>
      </c>
      <c r="AN118">
        <v>0</v>
      </c>
      <c r="AO118" t="b">
        <v>0</v>
      </c>
      <c r="AP118">
        <v>0</v>
      </c>
      <c r="AQ118">
        <v>15543706.800000001</v>
      </c>
      <c r="AR118">
        <v>15543706.800000001</v>
      </c>
      <c r="AS118">
        <v>0</v>
      </c>
      <c r="AT118" t="b">
        <v>0</v>
      </c>
      <c r="AU118" t="b">
        <v>1</v>
      </c>
      <c r="AV118" t="b">
        <v>1</v>
      </c>
      <c r="AW118" t="b">
        <v>1</v>
      </c>
      <c r="BC118" t="str">
        <f t="shared" si="1"/>
        <v>Normal</v>
      </c>
    </row>
    <row r="119" spans="1:55" x14ac:dyDescent="0.2">
      <c r="A119" t="s">
        <v>39</v>
      </c>
      <c r="B119" t="s">
        <v>40</v>
      </c>
      <c r="C119">
        <v>20190101</v>
      </c>
      <c r="D119">
        <v>2019</v>
      </c>
      <c r="E119">
        <v>52</v>
      </c>
      <c r="F119" t="s">
        <v>41</v>
      </c>
      <c r="G119">
        <v>818</v>
      </c>
      <c r="H119" t="s">
        <v>293</v>
      </c>
      <c r="I119" t="s">
        <v>294</v>
      </c>
      <c r="J119" t="s">
        <v>44</v>
      </c>
      <c r="K119" t="s">
        <v>45</v>
      </c>
      <c r="L119">
        <v>0</v>
      </c>
      <c r="M119" t="s">
        <v>46</v>
      </c>
      <c r="N119" t="s">
        <v>47</v>
      </c>
      <c r="O119">
        <v>0</v>
      </c>
      <c r="P119" t="s">
        <v>46</v>
      </c>
      <c r="Q119" t="s">
        <v>47</v>
      </c>
      <c r="R119" t="s">
        <v>95</v>
      </c>
      <c r="S119" t="s">
        <v>49</v>
      </c>
      <c r="T119" t="b">
        <v>1</v>
      </c>
      <c r="U119" t="s">
        <v>50</v>
      </c>
      <c r="V119" t="s">
        <v>51</v>
      </c>
      <c r="W119">
        <v>4</v>
      </c>
      <c r="X119" t="b">
        <v>0</v>
      </c>
      <c r="Y119" t="s">
        <v>52</v>
      </c>
      <c r="Z119" t="s">
        <v>53</v>
      </c>
      <c r="AA119" t="s">
        <v>54</v>
      </c>
      <c r="AB119">
        <v>0</v>
      </c>
      <c r="AC119" t="s">
        <v>55</v>
      </c>
      <c r="AD119">
        <v>8</v>
      </c>
      <c r="AE119" t="s">
        <v>56</v>
      </c>
      <c r="AF119">
        <v>48058.146999999997</v>
      </c>
      <c r="AG119" t="b">
        <v>1</v>
      </c>
      <c r="AH119">
        <v>-1</v>
      </c>
      <c r="AI119" t="s">
        <v>64</v>
      </c>
      <c r="AJ119">
        <v>0</v>
      </c>
      <c r="AK119" t="b">
        <v>0</v>
      </c>
      <c r="AL119">
        <v>48058.146999999997</v>
      </c>
      <c r="AM119" t="b">
        <v>1</v>
      </c>
      <c r="AN119">
        <v>0</v>
      </c>
      <c r="AO119" t="b">
        <v>0</v>
      </c>
      <c r="AQ119">
        <v>2034082290.99</v>
      </c>
      <c r="AR119">
        <v>2034082290.99</v>
      </c>
      <c r="AS119">
        <v>6</v>
      </c>
      <c r="AT119" t="b">
        <v>0</v>
      </c>
      <c r="AU119" t="b">
        <v>1</v>
      </c>
      <c r="AV119" t="b">
        <v>1</v>
      </c>
      <c r="AW119" t="b">
        <v>1</v>
      </c>
      <c r="BC119" t="str">
        <f t="shared" si="1"/>
        <v>Normal</v>
      </c>
    </row>
    <row r="120" spans="1:55" x14ac:dyDescent="0.2">
      <c r="A120" t="s">
        <v>39</v>
      </c>
      <c r="B120" t="s">
        <v>40</v>
      </c>
      <c r="C120">
        <v>20190101</v>
      </c>
      <c r="D120">
        <v>2019</v>
      </c>
      <c r="E120">
        <v>52</v>
      </c>
      <c r="F120" t="s">
        <v>41</v>
      </c>
      <c r="G120">
        <v>826</v>
      </c>
      <c r="H120" t="s">
        <v>295</v>
      </c>
      <c r="I120" t="s">
        <v>296</v>
      </c>
      <c r="J120" t="s">
        <v>44</v>
      </c>
      <c r="K120" t="s">
        <v>45</v>
      </c>
      <c r="L120">
        <v>0</v>
      </c>
      <c r="M120" t="s">
        <v>46</v>
      </c>
      <c r="N120" t="s">
        <v>47</v>
      </c>
      <c r="O120">
        <v>0</v>
      </c>
      <c r="P120" t="s">
        <v>46</v>
      </c>
      <c r="Q120" t="s">
        <v>47</v>
      </c>
      <c r="R120" t="s">
        <v>48</v>
      </c>
      <c r="S120" t="s">
        <v>49</v>
      </c>
      <c r="T120" t="b">
        <v>1</v>
      </c>
      <c r="U120" t="s">
        <v>50</v>
      </c>
      <c r="V120" t="s">
        <v>51</v>
      </c>
      <c r="W120">
        <v>4</v>
      </c>
      <c r="X120" t="b">
        <v>0</v>
      </c>
      <c r="Y120" t="s">
        <v>52</v>
      </c>
      <c r="Z120" t="s">
        <v>53</v>
      </c>
      <c r="AA120" t="s">
        <v>54</v>
      </c>
      <c r="AB120">
        <v>0</v>
      </c>
      <c r="AC120" t="s">
        <v>55</v>
      </c>
      <c r="AD120">
        <v>-1</v>
      </c>
      <c r="AE120" t="s">
        <v>64</v>
      </c>
      <c r="AF120">
        <v>0</v>
      </c>
      <c r="AG120" t="b">
        <v>1</v>
      </c>
      <c r="AH120">
        <v>-1</v>
      </c>
      <c r="AI120" t="s">
        <v>64</v>
      </c>
      <c r="AJ120">
        <v>0</v>
      </c>
      <c r="AK120" t="b">
        <v>0</v>
      </c>
      <c r="AL120" s="1">
        <v>531505.46100000001</v>
      </c>
      <c r="AM120" t="b">
        <v>1</v>
      </c>
      <c r="AN120">
        <v>0</v>
      </c>
      <c r="AO120" t="b">
        <v>0</v>
      </c>
      <c r="AQ120">
        <v>23322231297.373001</v>
      </c>
      <c r="AR120">
        <v>23322231297.373001</v>
      </c>
      <c r="AS120">
        <v>6</v>
      </c>
      <c r="AT120" t="b">
        <v>0</v>
      </c>
      <c r="AU120" t="b">
        <v>1</v>
      </c>
      <c r="AV120" t="b">
        <v>1</v>
      </c>
      <c r="AW120" t="b">
        <v>1</v>
      </c>
      <c r="BC120" t="str">
        <f t="shared" si="1"/>
        <v>Outlier</v>
      </c>
    </row>
    <row r="121" spans="1:55" x14ac:dyDescent="0.2">
      <c r="A121" t="s">
        <v>39</v>
      </c>
      <c r="B121" t="s">
        <v>40</v>
      </c>
      <c r="C121">
        <v>20190101</v>
      </c>
      <c r="D121">
        <v>2019</v>
      </c>
      <c r="E121">
        <v>52</v>
      </c>
      <c r="F121" t="s">
        <v>41</v>
      </c>
      <c r="G121">
        <v>834</v>
      </c>
      <c r="H121" t="s">
        <v>297</v>
      </c>
      <c r="I121" t="s">
        <v>298</v>
      </c>
      <c r="J121" t="s">
        <v>44</v>
      </c>
      <c r="K121" t="s">
        <v>45</v>
      </c>
      <c r="L121">
        <v>0</v>
      </c>
      <c r="M121" t="s">
        <v>46</v>
      </c>
      <c r="N121" t="s">
        <v>47</v>
      </c>
      <c r="O121">
        <v>0</v>
      </c>
      <c r="P121" t="s">
        <v>46</v>
      </c>
      <c r="Q121" t="s">
        <v>47</v>
      </c>
      <c r="R121" t="s">
        <v>48</v>
      </c>
      <c r="S121" t="s">
        <v>49</v>
      </c>
      <c r="T121" t="b">
        <v>1</v>
      </c>
      <c r="U121" t="s">
        <v>50</v>
      </c>
      <c r="V121" t="s">
        <v>51</v>
      </c>
      <c r="W121">
        <v>4</v>
      </c>
      <c r="X121" t="b">
        <v>0</v>
      </c>
      <c r="Y121" t="s">
        <v>52</v>
      </c>
      <c r="Z121" t="s">
        <v>53</v>
      </c>
      <c r="AA121" t="s">
        <v>54</v>
      </c>
      <c r="AB121">
        <v>0</v>
      </c>
      <c r="AC121" t="s">
        <v>55</v>
      </c>
      <c r="AD121">
        <v>-1</v>
      </c>
      <c r="AE121" t="s">
        <v>64</v>
      </c>
      <c r="AF121">
        <v>0</v>
      </c>
      <c r="AG121" t="b">
        <v>1</v>
      </c>
      <c r="AH121">
        <v>-1</v>
      </c>
      <c r="AI121" t="s">
        <v>64</v>
      </c>
      <c r="AJ121">
        <v>0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0</v>
      </c>
      <c r="AQ121">
        <v>2215096389.2199998</v>
      </c>
      <c r="AR121">
        <v>2215096389.2199998</v>
      </c>
      <c r="AS121">
        <v>6</v>
      </c>
      <c r="AT121" t="b">
        <v>0</v>
      </c>
      <c r="AU121" t="b">
        <v>1</v>
      </c>
      <c r="AV121" t="b">
        <v>1</v>
      </c>
      <c r="AW121" t="b">
        <v>1</v>
      </c>
      <c r="BC121" t="str">
        <f t="shared" si="1"/>
        <v>Normal</v>
      </c>
    </row>
    <row r="122" spans="1:55" x14ac:dyDescent="0.2">
      <c r="A122" t="s">
        <v>39</v>
      </c>
      <c r="B122" t="s">
        <v>40</v>
      </c>
      <c r="C122">
        <v>20190101</v>
      </c>
      <c r="D122">
        <v>2019</v>
      </c>
      <c r="E122">
        <v>52</v>
      </c>
      <c r="F122" t="s">
        <v>41</v>
      </c>
      <c r="G122">
        <v>842</v>
      </c>
      <c r="H122" t="s">
        <v>299</v>
      </c>
      <c r="I122" t="s">
        <v>299</v>
      </c>
      <c r="J122" t="s">
        <v>44</v>
      </c>
      <c r="K122" t="s">
        <v>45</v>
      </c>
      <c r="L122">
        <v>0</v>
      </c>
      <c r="M122" t="s">
        <v>46</v>
      </c>
      <c r="N122" t="s">
        <v>47</v>
      </c>
      <c r="O122">
        <v>0</v>
      </c>
      <c r="P122" t="s">
        <v>46</v>
      </c>
      <c r="Q122" t="s">
        <v>47</v>
      </c>
      <c r="R122" t="s">
        <v>48</v>
      </c>
      <c r="S122" t="s">
        <v>49</v>
      </c>
      <c r="T122" t="b">
        <v>1</v>
      </c>
      <c r="U122" t="s">
        <v>50</v>
      </c>
      <c r="V122" t="s">
        <v>51</v>
      </c>
      <c r="W122">
        <v>4</v>
      </c>
      <c r="X122" t="b">
        <v>0</v>
      </c>
      <c r="Y122" t="s">
        <v>52</v>
      </c>
      <c r="Z122" t="s">
        <v>53</v>
      </c>
      <c r="AA122" t="s">
        <v>54</v>
      </c>
      <c r="AB122">
        <v>0</v>
      </c>
      <c r="AC122" t="s">
        <v>55</v>
      </c>
      <c r="AD122">
        <v>8</v>
      </c>
      <c r="AE122" t="s">
        <v>56</v>
      </c>
      <c r="AF122">
        <v>391629.73100000003</v>
      </c>
      <c r="AG122" t="b">
        <v>1</v>
      </c>
      <c r="AH122">
        <v>-1</v>
      </c>
      <c r="AI122" t="s">
        <v>64</v>
      </c>
      <c r="AJ122">
        <v>0</v>
      </c>
      <c r="AK122" t="b">
        <v>0</v>
      </c>
      <c r="AL122" s="1">
        <v>391629.73100000003</v>
      </c>
      <c r="AM122" t="b">
        <v>1</v>
      </c>
      <c r="AN122">
        <v>0</v>
      </c>
      <c r="AO122" t="b">
        <v>0</v>
      </c>
      <c r="AP122">
        <v>0</v>
      </c>
      <c r="AQ122">
        <v>17173208199</v>
      </c>
      <c r="AR122">
        <v>17173208199</v>
      </c>
      <c r="AS122">
        <v>6</v>
      </c>
      <c r="AT122" t="b">
        <v>0</v>
      </c>
      <c r="AU122" t="b">
        <v>1</v>
      </c>
      <c r="AV122" t="b">
        <v>1</v>
      </c>
      <c r="AW122" t="b">
        <v>1</v>
      </c>
      <c r="BC122" t="str">
        <f t="shared" si="1"/>
        <v>Outlier</v>
      </c>
    </row>
    <row r="123" spans="1:55" x14ac:dyDescent="0.2">
      <c r="A123" t="s">
        <v>39</v>
      </c>
      <c r="B123" t="s">
        <v>40</v>
      </c>
      <c r="C123">
        <v>20190101</v>
      </c>
      <c r="D123">
        <v>2019</v>
      </c>
      <c r="E123">
        <v>52</v>
      </c>
      <c r="F123" t="s">
        <v>41</v>
      </c>
      <c r="G123">
        <v>854</v>
      </c>
      <c r="H123" t="s">
        <v>300</v>
      </c>
      <c r="I123" t="s">
        <v>301</v>
      </c>
      <c r="J123" t="s">
        <v>44</v>
      </c>
      <c r="K123" t="s">
        <v>45</v>
      </c>
      <c r="L123">
        <v>0</v>
      </c>
      <c r="M123" t="s">
        <v>46</v>
      </c>
      <c r="N123" t="s">
        <v>47</v>
      </c>
      <c r="O123">
        <v>0</v>
      </c>
      <c r="P123" t="s">
        <v>46</v>
      </c>
      <c r="Q123" t="s">
        <v>47</v>
      </c>
      <c r="R123" t="s">
        <v>48</v>
      </c>
      <c r="S123" t="s">
        <v>49</v>
      </c>
      <c r="T123" t="b">
        <v>1</v>
      </c>
      <c r="U123" t="s">
        <v>50</v>
      </c>
      <c r="V123" t="s">
        <v>51</v>
      </c>
      <c r="W123">
        <v>4</v>
      </c>
      <c r="X123" t="b">
        <v>0</v>
      </c>
      <c r="Y123" t="s">
        <v>52</v>
      </c>
      <c r="Z123" t="s">
        <v>53</v>
      </c>
      <c r="AA123" t="s">
        <v>54</v>
      </c>
      <c r="AB123">
        <v>0</v>
      </c>
      <c r="AC123" t="s">
        <v>55</v>
      </c>
      <c r="AD123">
        <v>8</v>
      </c>
      <c r="AE123" t="s">
        <v>56</v>
      </c>
      <c r="AF123">
        <v>50808</v>
      </c>
      <c r="AG123" t="b">
        <v>0</v>
      </c>
      <c r="AH123">
        <v>8</v>
      </c>
      <c r="AI123" t="s">
        <v>56</v>
      </c>
      <c r="AJ123">
        <v>50808</v>
      </c>
      <c r="AK123" t="b">
        <v>0</v>
      </c>
      <c r="AL123">
        <v>50808</v>
      </c>
      <c r="AM123" t="b">
        <v>0</v>
      </c>
      <c r="AN123">
        <v>0</v>
      </c>
      <c r="AO123" t="b">
        <v>0</v>
      </c>
      <c r="AP123">
        <v>0</v>
      </c>
      <c r="AQ123">
        <v>2268517760.5100002</v>
      </c>
      <c r="AR123">
        <v>2268517760.5100002</v>
      </c>
      <c r="AS123">
        <v>0</v>
      </c>
      <c r="AT123" t="b">
        <v>0</v>
      </c>
      <c r="AU123" t="b">
        <v>1</v>
      </c>
      <c r="AV123" t="b">
        <v>1</v>
      </c>
      <c r="AW123" t="b">
        <v>1</v>
      </c>
      <c r="BC123" t="str">
        <f t="shared" si="1"/>
        <v>Normal</v>
      </c>
    </row>
    <row r="124" spans="1:55" x14ac:dyDescent="0.2">
      <c r="A124" t="s">
        <v>39</v>
      </c>
      <c r="B124" t="s">
        <v>40</v>
      </c>
      <c r="C124">
        <v>20190101</v>
      </c>
      <c r="D124">
        <v>2019</v>
      </c>
      <c r="E124">
        <v>52</v>
      </c>
      <c r="F124" t="s">
        <v>41</v>
      </c>
      <c r="G124">
        <v>858</v>
      </c>
      <c r="H124" t="s">
        <v>302</v>
      </c>
      <c r="I124" t="s">
        <v>303</v>
      </c>
      <c r="J124" t="s">
        <v>44</v>
      </c>
      <c r="K124" t="s">
        <v>45</v>
      </c>
      <c r="L124">
        <v>0</v>
      </c>
      <c r="M124" t="s">
        <v>46</v>
      </c>
      <c r="N124" t="s">
        <v>47</v>
      </c>
      <c r="O124">
        <v>0</v>
      </c>
      <c r="P124" t="s">
        <v>46</v>
      </c>
      <c r="Q124" t="s">
        <v>47</v>
      </c>
      <c r="R124" t="s">
        <v>48</v>
      </c>
      <c r="S124" t="s">
        <v>49</v>
      </c>
      <c r="T124" t="b">
        <v>1</v>
      </c>
      <c r="U124" t="s">
        <v>50</v>
      </c>
      <c r="V124" t="s">
        <v>51</v>
      </c>
      <c r="W124">
        <v>4</v>
      </c>
      <c r="X124" t="b">
        <v>0</v>
      </c>
      <c r="Y124" t="s">
        <v>52</v>
      </c>
      <c r="Z124" t="s">
        <v>53</v>
      </c>
      <c r="AA124" t="s">
        <v>54</v>
      </c>
      <c r="AB124">
        <v>0</v>
      </c>
      <c r="AC124" t="s">
        <v>55</v>
      </c>
      <c r="AD124">
        <v>8</v>
      </c>
      <c r="AE124" t="s">
        <v>56</v>
      </c>
      <c r="AF124">
        <v>8.7899999999999991</v>
      </c>
      <c r="AG124" t="b">
        <v>0</v>
      </c>
      <c r="AH124">
        <v>8</v>
      </c>
      <c r="AI124" t="s">
        <v>56</v>
      </c>
      <c r="AJ124">
        <v>8.7899999999999991</v>
      </c>
      <c r="AK124" t="b">
        <v>0</v>
      </c>
      <c r="AL124">
        <v>8.7899999999999991</v>
      </c>
      <c r="AM124" t="b">
        <v>0</v>
      </c>
      <c r="AN124">
        <v>0</v>
      </c>
      <c r="AO124" t="b">
        <v>0</v>
      </c>
      <c r="AQ124">
        <v>209094</v>
      </c>
      <c r="AR124">
        <v>209094</v>
      </c>
      <c r="AS124">
        <v>0</v>
      </c>
      <c r="AT124" t="b">
        <v>0</v>
      </c>
      <c r="AU124" t="b">
        <v>1</v>
      </c>
      <c r="AV124" t="b">
        <v>1</v>
      </c>
      <c r="AW124" t="b">
        <v>1</v>
      </c>
      <c r="BC124" t="str">
        <f t="shared" si="1"/>
        <v>Normal</v>
      </c>
    </row>
    <row r="125" spans="1:55" x14ac:dyDescent="0.2">
      <c r="A125" t="s">
        <v>39</v>
      </c>
      <c r="B125" t="s">
        <v>40</v>
      </c>
      <c r="C125">
        <v>20190101</v>
      </c>
      <c r="D125">
        <v>2019</v>
      </c>
      <c r="E125">
        <v>52</v>
      </c>
      <c r="F125" t="s">
        <v>41</v>
      </c>
      <c r="G125">
        <v>860</v>
      </c>
      <c r="H125" t="s">
        <v>304</v>
      </c>
      <c r="I125" t="s">
        <v>305</v>
      </c>
      <c r="J125" t="s">
        <v>44</v>
      </c>
      <c r="K125" t="s">
        <v>45</v>
      </c>
      <c r="L125">
        <v>0</v>
      </c>
      <c r="M125" t="s">
        <v>46</v>
      </c>
      <c r="N125" t="s">
        <v>47</v>
      </c>
      <c r="O125">
        <v>0</v>
      </c>
      <c r="P125" t="s">
        <v>46</v>
      </c>
      <c r="Q125" t="s">
        <v>47</v>
      </c>
      <c r="R125" t="s">
        <v>48</v>
      </c>
      <c r="S125" t="s">
        <v>49</v>
      </c>
      <c r="T125" t="b">
        <v>1</v>
      </c>
      <c r="U125" t="s">
        <v>50</v>
      </c>
      <c r="V125" t="s">
        <v>51</v>
      </c>
      <c r="W125">
        <v>4</v>
      </c>
      <c r="X125" t="b">
        <v>0</v>
      </c>
      <c r="Y125" t="s">
        <v>52</v>
      </c>
      <c r="Z125" t="s">
        <v>53</v>
      </c>
      <c r="AA125" t="s">
        <v>54</v>
      </c>
      <c r="AB125">
        <v>0</v>
      </c>
      <c r="AC125" t="s">
        <v>55</v>
      </c>
      <c r="AD125">
        <v>8</v>
      </c>
      <c r="AE125" t="s">
        <v>56</v>
      </c>
      <c r="AF125">
        <v>110000</v>
      </c>
      <c r="AG125" t="b">
        <v>0</v>
      </c>
      <c r="AH125">
        <v>21</v>
      </c>
      <c r="AI125" t="s">
        <v>306</v>
      </c>
      <c r="AJ125">
        <v>110</v>
      </c>
      <c r="AK125" t="b">
        <v>0</v>
      </c>
      <c r="AL125" s="1">
        <v>110000</v>
      </c>
      <c r="AM125" t="b">
        <v>0</v>
      </c>
      <c r="AN125">
        <v>0</v>
      </c>
      <c r="AO125" t="b">
        <v>0</v>
      </c>
      <c r="AQ125">
        <v>4918250000</v>
      </c>
      <c r="AR125">
        <v>4918250000</v>
      </c>
      <c r="AS125">
        <v>0</v>
      </c>
      <c r="AT125" t="b">
        <v>0</v>
      </c>
      <c r="AU125" t="b">
        <v>1</v>
      </c>
      <c r="AV125" t="b">
        <v>1</v>
      </c>
      <c r="AW125" t="b">
        <v>1</v>
      </c>
      <c r="BC125" t="str">
        <f t="shared" si="1"/>
        <v>Outlier</v>
      </c>
    </row>
    <row r="126" spans="1:55" x14ac:dyDescent="0.2">
      <c r="A126" t="s">
        <v>39</v>
      </c>
      <c r="B126" t="s">
        <v>40</v>
      </c>
      <c r="C126">
        <v>20190101</v>
      </c>
      <c r="D126">
        <v>2019</v>
      </c>
      <c r="E126">
        <v>52</v>
      </c>
      <c r="F126" t="s">
        <v>41</v>
      </c>
      <c r="G126">
        <v>894</v>
      </c>
      <c r="H126" t="s">
        <v>307</v>
      </c>
      <c r="I126" t="s">
        <v>308</v>
      </c>
      <c r="J126" t="s">
        <v>44</v>
      </c>
      <c r="K126" t="s">
        <v>45</v>
      </c>
      <c r="L126">
        <v>0</v>
      </c>
      <c r="M126" t="s">
        <v>46</v>
      </c>
      <c r="N126" t="s">
        <v>47</v>
      </c>
      <c r="O126">
        <v>0</v>
      </c>
      <c r="P126" t="s">
        <v>46</v>
      </c>
      <c r="Q126" t="s">
        <v>47</v>
      </c>
      <c r="R126" t="s">
        <v>48</v>
      </c>
      <c r="S126" t="s">
        <v>49</v>
      </c>
      <c r="T126" t="b">
        <v>1</v>
      </c>
      <c r="U126" t="s">
        <v>50</v>
      </c>
      <c r="V126" t="s">
        <v>51</v>
      </c>
      <c r="W126">
        <v>4</v>
      </c>
      <c r="X126" t="b">
        <v>0</v>
      </c>
      <c r="Y126" t="s">
        <v>52</v>
      </c>
      <c r="Z126" t="s">
        <v>53</v>
      </c>
      <c r="AA126" t="s">
        <v>54</v>
      </c>
      <c r="AB126">
        <v>0</v>
      </c>
      <c r="AC126" t="s">
        <v>55</v>
      </c>
      <c r="AD126">
        <v>-1</v>
      </c>
      <c r="AE126" t="s">
        <v>64</v>
      </c>
      <c r="AF126">
        <v>0</v>
      </c>
      <c r="AG126" t="b">
        <v>0</v>
      </c>
      <c r="AH126">
        <v>-1</v>
      </c>
      <c r="AI126" t="s">
        <v>64</v>
      </c>
      <c r="AJ126">
        <v>0</v>
      </c>
      <c r="AK126" t="b">
        <v>0</v>
      </c>
      <c r="AM126" t="b">
        <v>0</v>
      </c>
      <c r="AN126">
        <v>0</v>
      </c>
      <c r="AO126" t="b">
        <v>0</v>
      </c>
      <c r="AQ126">
        <v>73182577.130999997</v>
      </c>
      <c r="AR126">
        <v>73182577.130999997</v>
      </c>
      <c r="AS126">
        <v>0</v>
      </c>
      <c r="AT126" t="b">
        <v>0</v>
      </c>
      <c r="AU126" t="b">
        <v>1</v>
      </c>
      <c r="AV126" t="b">
        <v>1</v>
      </c>
      <c r="AW126" t="b">
        <v>1</v>
      </c>
      <c r="BC126" t="str">
        <f t="shared" si="1"/>
        <v>Normal</v>
      </c>
    </row>
    <row r="127" spans="1:55" x14ac:dyDescent="0.2">
      <c r="A127" t="s">
        <v>39</v>
      </c>
      <c r="B127" t="s">
        <v>40</v>
      </c>
      <c r="C127">
        <v>20200101</v>
      </c>
      <c r="D127">
        <v>2020</v>
      </c>
      <c r="E127">
        <v>52</v>
      </c>
      <c r="F127" t="s">
        <v>309</v>
      </c>
      <c r="G127">
        <v>20</v>
      </c>
      <c r="H127" t="s">
        <v>42</v>
      </c>
      <c r="I127" t="s">
        <v>43</v>
      </c>
      <c r="J127" t="s">
        <v>44</v>
      </c>
      <c r="K127" t="s">
        <v>45</v>
      </c>
      <c r="L127">
        <v>0</v>
      </c>
      <c r="M127" t="s">
        <v>46</v>
      </c>
      <c r="N127" t="s">
        <v>47</v>
      </c>
      <c r="O127">
        <v>0</v>
      </c>
      <c r="P127" t="s">
        <v>46</v>
      </c>
      <c r="Q127" t="s">
        <v>47</v>
      </c>
      <c r="R127" t="s">
        <v>48</v>
      </c>
      <c r="S127" t="s">
        <v>49</v>
      </c>
      <c r="T127" t="b">
        <v>1</v>
      </c>
      <c r="U127" t="s">
        <v>50</v>
      </c>
      <c r="V127" t="s">
        <v>51</v>
      </c>
      <c r="W127">
        <v>4</v>
      </c>
      <c r="X127" t="b">
        <v>0</v>
      </c>
      <c r="Y127" t="s">
        <v>52</v>
      </c>
      <c r="Z127" t="s">
        <v>53</v>
      </c>
      <c r="AA127" t="s">
        <v>54</v>
      </c>
      <c r="AB127">
        <v>0</v>
      </c>
      <c r="AC127" t="s">
        <v>55</v>
      </c>
      <c r="AD127">
        <v>8</v>
      </c>
      <c r="AE127" t="s">
        <v>56</v>
      </c>
      <c r="AF127">
        <v>50.012999999999998</v>
      </c>
      <c r="AG127" t="b">
        <v>0</v>
      </c>
      <c r="AH127">
        <v>8</v>
      </c>
      <c r="AI127" t="s">
        <v>56</v>
      </c>
      <c r="AJ127">
        <v>50.012999999999998</v>
      </c>
      <c r="AK127" t="b">
        <v>0</v>
      </c>
      <c r="AL127">
        <v>50.012999999999998</v>
      </c>
      <c r="AM127" t="b">
        <v>0</v>
      </c>
      <c r="AN127">
        <v>0</v>
      </c>
      <c r="AO127" t="b">
        <v>0</v>
      </c>
      <c r="AQ127">
        <v>2476550.0440000002</v>
      </c>
      <c r="AR127">
        <v>2476550.0440000002</v>
      </c>
      <c r="AS127">
        <v>0</v>
      </c>
      <c r="AT127" t="b">
        <v>0</v>
      </c>
      <c r="AU127" t="b">
        <v>1</v>
      </c>
      <c r="AV127" t="b">
        <v>1</v>
      </c>
      <c r="AW127" t="b">
        <v>1</v>
      </c>
      <c r="BC127" t="str">
        <f t="shared" si="1"/>
        <v>Normal</v>
      </c>
    </row>
    <row r="128" spans="1:55" x14ac:dyDescent="0.2">
      <c r="A128" t="s">
        <v>39</v>
      </c>
      <c r="B128" t="s">
        <v>40</v>
      </c>
      <c r="C128">
        <v>20200101</v>
      </c>
      <c r="D128">
        <v>2020</v>
      </c>
      <c r="E128">
        <v>52</v>
      </c>
      <c r="F128" t="s">
        <v>309</v>
      </c>
      <c r="G128">
        <v>28</v>
      </c>
      <c r="H128" t="s">
        <v>310</v>
      </c>
      <c r="I128" t="s">
        <v>311</v>
      </c>
      <c r="J128" t="s">
        <v>44</v>
      </c>
      <c r="K128" t="s">
        <v>45</v>
      </c>
      <c r="L128">
        <v>0</v>
      </c>
      <c r="M128" t="s">
        <v>46</v>
      </c>
      <c r="N128" t="s">
        <v>47</v>
      </c>
      <c r="O128">
        <v>0</v>
      </c>
      <c r="P128" t="s">
        <v>46</v>
      </c>
      <c r="Q128" t="s">
        <v>47</v>
      </c>
      <c r="R128" t="s">
        <v>136</v>
      </c>
      <c r="S128" t="s">
        <v>49</v>
      </c>
      <c r="T128" t="b">
        <v>1</v>
      </c>
      <c r="U128" t="s">
        <v>50</v>
      </c>
      <c r="V128" t="s">
        <v>51</v>
      </c>
      <c r="W128">
        <v>4</v>
      </c>
      <c r="X128" t="b">
        <v>0</v>
      </c>
      <c r="Y128" t="s">
        <v>52</v>
      </c>
      <c r="Z128" t="s">
        <v>53</v>
      </c>
      <c r="AA128" t="s">
        <v>54</v>
      </c>
      <c r="AB128">
        <v>0</v>
      </c>
      <c r="AC128" t="s">
        <v>55</v>
      </c>
      <c r="AD128">
        <v>8</v>
      </c>
      <c r="AE128" t="s">
        <v>56</v>
      </c>
      <c r="AF128">
        <v>34.880000000000003</v>
      </c>
      <c r="AG128" t="b">
        <v>0</v>
      </c>
      <c r="AH128">
        <v>5</v>
      </c>
      <c r="AI128" t="s">
        <v>312</v>
      </c>
      <c r="AJ128">
        <v>1</v>
      </c>
      <c r="AK128" t="b">
        <v>0</v>
      </c>
      <c r="AL128">
        <v>34.880000000000003</v>
      </c>
      <c r="AM128" t="b">
        <v>0</v>
      </c>
      <c r="AN128">
        <v>0</v>
      </c>
      <c r="AO128" t="b">
        <v>0</v>
      </c>
      <c r="AQ128">
        <v>1611671.2879999999</v>
      </c>
      <c r="AR128">
        <v>1611671.2879999999</v>
      </c>
      <c r="AS128">
        <v>0</v>
      </c>
      <c r="AT128" t="b">
        <v>0</v>
      </c>
      <c r="AU128" t="b">
        <v>1</v>
      </c>
      <c r="AV128" t="b">
        <v>1</v>
      </c>
      <c r="AW128" t="b">
        <v>1</v>
      </c>
      <c r="BC128" t="str">
        <f t="shared" si="1"/>
        <v>Normal</v>
      </c>
    </row>
    <row r="129" spans="1:55" x14ac:dyDescent="0.2">
      <c r="A129" t="s">
        <v>39</v>
      </c>
      <c r="B129" t="s">
        <v>40</v>
      </c>
      <c r="C129">
        <v>20200101</v>
      </c>
      <c r="D129">
        <v>2020</v>
      </c>
      <c r="E129">
        <v>52</v>
      </c>
      <c r="F129" t="s">
        <v>309</v>
      </c>
      <c r="G129">
        <v>31</v>
      </c>
      <c r="H129" t="s">
        <v>57</v>
      </c>
      <c r="I129" t="s">
        <v>58</v>
      </c>
      <c r="J129" t="s">
        <v>44</v>
      </c>
      <c r="K129" t="s">
        <v>45</v>
      </c>
      <c r="L129">
        <v>0</v>
      </c>
      <c r="M129" t="s">
        <v>46</v>
      </c>
      <c r="N129" t="s">
        <v>47</v>
      </c>
      <c r="O129">
        <v>0</v>
      </c>
      <c r="P129" t="s">
        <v>46</v>
      </c>
      <c r="Q129" t="s">
        <v>47</v>
      </c>
      <c r="R129" t="s">
        <v>48</v>
      </c>
      <c r="S129" t="s">
        <v>49</v>
      </c>
      <c r="T129" t="b">
        <v>1</v>
      </c>
      <c r="U129" t="s">
        <v>50</v>
      </c>
      <c r="V129" t="s">
        <v>51</v>
      </c>
      <c r="W129">
        <v>4</v>
      </c>
      <c r="X129" t="b">
        <v>0</v>
      </c>
      <c r="Y129" t="s">
        <v>52</v>
      </c>
      <c r="Z129" t="s">
        <v>53</v>
      </c>
      <c r="AA129" t="s">
        <v>54</v>
      </c>
      <c r="AB129">
        <v>0</v>
      </c>
      <c r="AC129" t="s">
        <v>55</v>
      </c>
      <c r="AD129">
        <v>8</v>
      </c>
      <c r="AE129" t="s">
        <v>56</v>
      </c>
      <c r="AF129">
        <v>4272.76</v>
      </c>
      <c r="AG129" t="b">
        <v>0</v>
      </c>
      <c r="AH129">
        <v>15</v>
      </c>
      <c r="AI129" t="s">
        <v>59</v>
      </c>
      <c r="AJ129">
        <v>4272760</v>
      </c>
      <c r="AK129" t="b">
        <v>0</v>
      </c>
      <c r="AL129">
        <v>4272.76</v>
      </c>
      <c r="AM129" t="b">
        <v>0</v>
      </c>
      <c r="AN129">
        <v>0</v>
      </c>
      <c r="AO129" t="b">
        <v>0</v>
      </c>
      <c r="AQ129">
        <v>195906490.59999999</v>
      </c>
      <c r="AR129">
        <v>195906490.59999999</v>
      </c>
      <c r="AS129">
        <v>0</v>
      </c>
      <c r="AT129" t="b">
        <v>0</v>
      </c>
      <c r="AU129" t="b">
        <v>1</v>
      </c>
      <c r="AV129" t="b">
        <v>1</v>
      </c>
      <c r="AW129" t="b">
        <v>1</v>
      </c>
      <c r="BC129" t="str">
        <f t="shared" si="1"/>
        <v>Normal</v>
      </c>
    </row>
    <row r="130" spans="1:55" x14ac:dyDescent="0.2">
      <c r="A130" t="s">
        <v>39</v>
      </c>
      <c r="B130" t="s">
        <v>40</v>
      </c>
      <c r="C130">
        <v>20200101</v>
      </c>
      <c r="D130">
        <v>2020</v>
      </c>
      <c r="E130">
        <v>52</v>
      </c>
      <c r="F130" t="s">
        <v>309</v>
      </c>
      <c r="G130">
        <v>32</v>
      </c>
      <c r="H130" t="s">
        <v>60</v>
      </c>
      <c r="I130" t="s">
        <v>61</v>
      </c>
      <c r="J130" t="s">
        <v>44</v>
      </c>
      <c r="K130" t="s">
        <v>45</v>
      </c>
      <c r="L130">
        <v>0</v>
      </c>
      <c r="M130" t="s">
        <v>46</v>
      </c>
      <c r="N130" t="s">
        <v>47</v>
      </c>
      <c r="O130">
        <v>0</v>
      </c>
      <c r="P130" t="s">
        <v>46</v>
      </c>
      <c r="Q130" t="s">
        <v>47</v>
      </c>
      <c r="R130" t="s">
        <v>48</v>
      </c>
      <c r="S130" t="s">
        <v>49</v>
      </c>
      <c r="T130" t="b">
        <v>1</v>
      </c>
      <c r="U130" t="s">
        <v>50</v>
      </c>
      <c r="V130" t="s">
        <v>51</v>
      </c>
      <c r="W130">
        <v>4</v>
      </c>
      <c r="X130" t="b">
        <v>0</v>
      </c>
      <c r="Y130" t="s">
        <v>52</v>
      </c>
      <c r="Z130" t="s">
        <v>53</v>
      </c>
      <c r="AA130" t="s">
        <v>54</v>
      </c>
      <c r="AB130">
        <v>0</v>
      </c>
      <c r="AC130" t="s">
        <v>55</v>
      </c>
      <c r="AD130">
        <v>8</v>
      </c>
      <c r="AE130" t="s">
        <v>56</v>
      </c>
      <c r="AF130">
        <v>176026.1</v>
      </c>
      <c r="AG130" t="b">
        <v>0</v>
      </c>
      <c r="AH130">
        <v>8</v>
      </c>
      <c r="AI130" t="s">
        <v>56</v>
      </c>
      <c r="AJ130">
        <v>176026.1</v>
      </c>
      <c r="AK130" t="b">
        <v>0</v>
      </c>
      <c r="AL130" s="1">
        <v>176026.1</v>
      </c>
      <c r="AM130" t="b">
        <v>0</v>
      </c>
      <c r="AN130">
        <v>0</v>
      </c>
      <c r="AO130" t="b">
        <v>0</v>
      </c>
      <c r="AP130">
        <v>0</v>
      </c>
      <c r="AQ130">
        <v>1071168109.3</v>
      </c>
      <c r="AR130">
        <v>1071168109.3</v>
      </c>
      <c r="AS130">
        <v>0</v>
      </c>
      <c r="AT130" t="b">
        <v>0</v>
      </c>
      <c r="AU130" t="b">
        <v>1</v>
      </c>
      <c r="AV130" t="b">
        <v>1</v>
      </c>
      <c r="AW130" t="b">
        <v>1</v>
      </c>
      <c r="BC130" t="str">
        <f t="shared" si="1"/>
        <v>Outlier</v>
      </c>
    </row>
    <row r="131" spans="1:55" x14ac:dyDescent="0.2">
      <c r="A131" t="s">
        <v>39</v>
      </c>
      <c r="B131" t="s">
        <v>40</v>
      </c>
      <c r="C131">
        <v>20200101</v>
      </c>
      <c r="D131">
        <v>2020</v>
      </c>
      <c r="E131">
        <v>52</v>
      </c>
      <c r="F131" t="s">
        <v>309</v>
      </c>
      <c r="G131">
        <v>36</v>
      </c>
      <c r="H131" t="s">
        <v>62</v>
      </c>
      <c r="I131" t="s">
        <v>63</v>
      </c>
      <c r="J131" t="s">
        <v>44</v>
      </c>
      <c r="K131" t="s">
        <v>45</v>
      </c>
      <c r="L131">
        <v>0</v>
      </c>
      <c r="M131" t="s">
        <v>46</v>
      </c>
      <c r="N131" t="s">
        <v>47</v>
      </c>
      <c r="O131">
        <v>0</v>
      </c>
      <c r="P131" t="s">
        <v>46</v>
      </c>
      <c r="Q131" t="s">
        <v>47</v>
      </c>
      <c r="R131" t="s">
        <v>48</v>
      </c>
      <c r="S131" t="s">
        <v>49</v>
      </c>
      <c r="T131" t="b">
        <v>1</v>
      </c>
      <c r="U131" t="s">
        <v>50</v>
      </c>
      <c r="V131" t="s">
        <v>51</v>
      </c>
      <c r="W131">
        <v>4</v>
      </c>
      <c r="X131" t="b">
        <v>0</v>
      </c>
      <c r="Y131" t="s">
        <v>52</v>
      </c>
      <c r="Z131" t="s">
        <v>53</v>
      </c>
      <c r="AA131" t="s">
        <v>54</v>
      </c>
      <c r="AB131">
        <v>0</v>
      </c>
      <c r="AC131" t="s">
        <v>55</v>
      </c>
      <c r="AD131">
        <v>-1</v>
      </c>
      <c r="AE131" t="s">
        <v>64</v>
      </c>
      <c r="AF131">
        <v>0</v>
      </c>
      <c r="AG131" t="b">
        <v>0</v>
      </c>
      <c r="AH131">
        <v>-1</v>
      </c>
      <c r="AI131" t="s">
        <v>64</v>
      </c>
      <c r="AJ131">
        <v>0</v>
      </c>
      <c r="AK131" t="b">
        <v>0</v>
      </c>
      <c r="AM131" t="b">
        <v>0</v>
      </c>
      <c r="AN131">
        <v>330675.60600000003</v>
      </c>
      <c r="AO131" t="b">
        <v>0</v>
      </c>
      <c r="AQ131">
        <v>17517010781.862</v>
      </c>
      <c r="AR131">
        <v>17517010781.862</v>
      </c>
      <c r="AS131">
        <v>0</v>
      </c>
      <c r="AT131" t="b">
        <v>0</v>
      </c>
      <c r="AU131" t="b">
        <v>1</v>
      </c>
      <c r="AV131" t="b">
        <v>1</v>
      </c>
      <c r="AW131" t="b">
        <v>1</v>
      </c>
      <c r="BC131" t="str">
        <f t="shared" ref="BC131:BC194" si="2">IF(OR(AL131&lt;$BA$2,AL131&gt;$BB$2),"Outlier","Normal")</f>
        <v>Normal</v>
      </c>
    </row>
    <row r="132" spans="1:55" x14ac:dyDescent="0.2">
      <c r="A132" t="s">
        <v>39</v>
      </c>
      <c r="B132" t="s">
        <v>40</v>
      </c>
      <c r="C132">
        <v>20200101</v>
      </c>
      <c r="D132">
        <v>2020</v>
      </c>
      <c r="E132">
        <v>52</v>
      </c>
      <c r="F132" t="s">
        <v>309</v>
      </c>
      <c r="G132">
        <v>40</v>
      </c>
      <c r="H132" t="s">
        <v>65</v>
      </c>
      <c r="I132" t="s">
        <v>66</v>
      </c>
      <c r="J132" t="s">
        <v>44</v>
      </c>
      <c r="K132" t="s">
        <v>45</v>
      </c>
      <c r="L132">
        <v>0</v>
      </c>
      <c r="M132" t="s">
        <v>46</v>
      </c>
      <c r="N132" t="s">
        <v>47</v>
      </c>
      <c r="O132">
        <v>0</v>
      </c>
      <c r="P132" t="s">
        <v>46</v>
      </c>
      <c r="Q132" t="s">
        <v>47</v>
      </c>
      <c r="R132" t="s">
        <v>48</v>
      </c>
      <c r="S132" t="s">
        <v>49</v>
      </c>
      <c r="T132" t="b">
        <v>1</v>
      </c>
      <c r="U132" t="s">
        <v>50</v>
      </c>
      <c r="V132" t="s">
        <v>51</v>
      </c>
      <c r="W132">
        <v>4</v>
      </c>
      <c r="X132" t="b">
        <v>0</v>
      </c>
      <c r="Y132" t="s">
        <v>52</v>
      </c>
      <c r="Z132" t="s">
        <v>53</v>
      </c>
      <c r="AA132" t="s">
        <v>54</v>
      </c>
      <c r="AB132">
        <v>0</v>
      </c>
      <c r="AC132" t="s">
        <v>55</v>
      </c>
      <c r="AD132">
        <v>8</v>
      </c>
      <c r="AE132" t="s">
        <v>56</v>
      </c>
      <c r="AF132">
        <v>27625.764999999999</v>
      </c>
      <c r="AG132" t="b">
        <v>1</v>
      </c>
      <c r="AH132">
        <v>-1</v>
      </c>
      <c r="AI132" t="s">
        <v>64</v>
      </c>
      <c r="AJ132">
        <v>0</v>
      </c>
      <c r="AK132" t="b">
        <v>0</v>
      </c>
      <c r="AL132">
        <v>27625.764999999999</v>
      </c>
      <c r="AM132" t="b">
        <v>1</v>
      </c>
      <c r="AN132">
        <v>0</v>
      </c>
      <c r="AO132" t="b">
        <v>0</v>
      </c>
      <c r="AP132">
        <v>0</v>
      </c>
      <c r="AQ132">
        <v>1630308004.175</v>
      </c>
      <c r="AR132">
        <v>1630308004.175</v>
      </c>
      <c r="AS132">
        <v>6</v>
      </c>
      <c r="AT132" t="b">
        <v>0</v>
      </c>
      <c r="AU132" t="b">
        <v>1</v>
      </c>
      <c r="AV132" t="b">
        <v>1</v>
      </c>
      <c r="AW132" t="b">
        <v>1</v>
      </c>
      <c r="BC132" t="str">
        <f t="shared" si="2"/>
        <v>Normal</v>
      </c>
    </row>
    <row r="133" spans="1:55" x14ac:dyDescent="0.2">
      <c r="A133" t="s">
        <v>39</v>
      </c>
      <c r="B133" t="s">
        <v>40</v>
      </c>
      <c r="C133">
        <v>20200101</v>
      </c>
      <c r="D133">
        <v>2020</v>
      </c>
      <c r="E133">
        <v>52</v>
      </c>
      <c r="F133" t="s">
        <v>309</v>
      </c>
      <c r="G133">
        <v>48</v>
      </c>
      <c r="H133" t="s">
        <v>67</v>
      </c>
      <c r="I133" t="s">
        <v>68</v>
      </c>
      <c r="J133" t="s">
        <v>44</v>
      </c>
      <c r="K133" t="s">
        <v>45</v>
      </c>
      <c r="L133">
        <v>0</v>
      </c>
      <c r="M133" t="s">
        <v>46</v>
      </c>
      <c r="N133" t="s">
        <v>47</v>
      </c>
      <c r="O133">
        <v>0</v>
      </c>
      <c r="P133" t="s">
        <v>46</v>
      </c>
      <c r="Q133" t="s">
        <v>47</v>
      </c>
      <c r="R133" t="s">
        <v>48</v>
      </c>
      <c r="S133" t="s">
        <v>49</v>
      </c>
      <c r="T133" t="b">
        <v>1</v>
      </c>
      <c r="U133" t="s">
        <v>50</v>
      </c>
      <c r="V133" t="s">
        <v>51</v>
      </c>
      <c r="W133">
        <v>4</v>
      </c>
      <c r="X133" t="b">
        <v>0</v>
      </c>
      <c r="Y133" t="s">
        <v>52</v>
      </c>
      <c r="Z133" t="s">
        <v>53</v>
      </c>
      <c r="AA133" t="s">
        <v>54</v>
      </c>
      <c r="AB133">
        <v>0</v>
      </c>
      <c r="AC133" t="s">
        <v>55</v>
      </c>
      <c r="AD133">
        <v>8</v>
      </c>
      <c r="AE133" t="s">
        <v>56</v>
      </c>
      <c r="AF133">
        <v>3286.9270000000001</v>
      </c>
      <c r="AG133" t="b">
        <v>0</v>
      </c>
      <c r="AH133">
        <v>15</v>
      </c>
      <c r="AI133" t="s">
        <v>59</v>
      </c>
      <c r="AJ133">
        <v>3286927.06</v>
      </c>
      <c r="AK133" t="b">
        <v>0</v>
      </c>
      <c r="AL133">
        <v>3286.9</v>
      </c>
      <c r="AM133" t="b">
        <v>0</v>
      </c>
      <c r="AN133">
        <v>0</v>
      </c>
      <c r="AO133" t="b">
        <v>0</v>
      </c>
      <c r="AQ133">
        <v>173931073.13</v>
      </c>
      <c r="AR133">
        <v>173931073.13</v>
      </c>
      <c r="AS133">
        <v>0</v>
      </c>
      <c r="AT133" t="b">
        <v>0</v>
      </c>
      <c r="AU133" t="b">
        <v>1</v>
      </c>
      <c r="AV133" t="b">
        <v>1</v>
      </c>
      <c r="AW133" t="b">
        <v>1</v>
      </c>
      <c r="BC133" t="str">
        <f t="shared" si="2"/>
        <v>Normal</v>
      </c>
    </row>
    <row r="134" spans="1:55" x14ac:dyDescent="0.2">
      <c r="A134" t="s">
        <v>39</v>
      </c>
      <c r="B134" t="s">
        <v>40</v>
      </c>
      <c r="C134">
        <v>20200101</v>
      </c>
      <c r="D134">
        <v>2020</v>
      </c>
      <c r="E134">
        <v>52</v>
      </c>
      <c r="F134" t="s">
        <v>309</v>
      </c>
      <c r="G134">
        <v>51</v>
      </c>
      <c r="H134" t="s">
        <v>69</v>
      </c>
      <c r="I134" t="s">
        <v>70</v>
      </c>
      <c r="J134" t="s">
        <v>44</v>
      </c>
      <c r="K134" t="s">
        <v>45</v>
      </c>
      <c r="L134">
        <v>0</v>
      </c>
      <c r="M134" t="s">
        <v>46</v>
      </c>
      <c r="N134" t="s">
        <v>47</v>
      </c>
      <c r="O134">
        <v>0</v>
      </c>
      <c r="P134" t="s">
        <v>46</v>
      </c>
      <c r="Q134" t="s">
        <v>47</v>
      </c>
      <c r="R134" t="s">
        <v>48</v>
      </c>
      <c r="S134" t="s">
        <v>49</v>
      </c>
      <c r="T134" t="b">
        <v>1</v>
      </c>
      <c r="U134" t="s">
        <v>50</v>
      </c>
      <c r="V134" t="s">
        <v>51</v>
      </c>
      <c r="W134">
        <v>4</v>
      </c>
      <c r="X134" t="b">
        <v>0</v>
      </c>
      <c r="Y134" t="s">
        <v>52</v>
      </c>
      <c r="Z134" t="s">
        <v>53</v>
      </c>
      <c r="AA134" t="s">
        <v>54</v>
      </c>
      <c r="AB134">
        <v>0</v>
      </c>
      <c r="AC134" t="s">
        <v>55</v>
      </c>
      <c r="AD134">
        <v>8</v>
      </c>
      <c r="AE134" t="s">
        <v>56</v>
      </c>
      <c r="AF134">
        <v>5487.7070000000003</v>
      </c>
      <c r="AG134" t="b">
        <v>0</v>
      </c>
      <c r="AH134">
        <v>15</v>
      </c>
      <c r="AI134" t="s">
        <v>59</v>
      </c>
      <c r="AJ134">
        <v>5487707.1299999999</v>
      </c>
      <c r="AK134" t="b">
        <v>0</v>
      </c>
      <c r="AL134">
        <v>5487.22</v>
      </c>
      <c r="AM134" t="b">
        <v>0</v>
      </c>
      <c r="AN134">
        <v>0</v>
      </c>
      <c r="AO134" t="b">
        <v>0</v>
      </c>
      <c r="AP134">
        <v>0</v>
      </c>
      <c r="AQ134">
        <v>247012721.91</v>
      </c>
      <c r="AR134">
        <v>247012721.91</v>
      </c>
      <c r="AS134">
        <v>0</v>
      </c>
      <c r="AT134" t="b">
        <v>0</v>
      </c>
      <c r="AU134" t="b">
        <v>1</v>
      </c>
      <c r="AV134" t="b">
        <v>1</v>
      </c>
      <c r="AW134" t="b">
        <v>1</v>
      </c>
      <c r="BC134" t="str">
        <f t="shared" si="2"/>
        <v>Normal</v>
      </c>
    </row>
    <row r="135" spans="1:55" x14ac:dyDescent="0.2">
      <c r="A135" t="s">
        <v>39</v>
      </c>
      <c r="B135" t="s">
        <v>40</v>
      </c>
      <c r="C135">
        <v>20200101</v>
      </c>
      <c r="D135">
        <v>2020</v>
      </c>
      <c r="E135">
        <v>52</v>
      </c>
      <c r="F135" t="s">
        <v>309</v>
      </c>
      <c r="G135">
        <v>52</v>
      </c>
      <c r="H135" t="s">
        <v>71</v>
      </c>
      <c r="I135" t="s">
        <v>72</v>
      </c>
      <c r="J135" t="s">
        <v>44</v>
      </c>
      <c r="K135" t="s">
        <v>45</v>
      </c>
      <c r="L135">
        <v>0</v>
      </c>
      <c r="M135" t="s">
        <v>46</v>
      </c>
      <c r="N135" t="s">
        <v>47</v>
      </c>
      <c r="O135">
        <v>0</v>
      </c>
      <c r="P135" t="s">
        <v>46</v>
      </c>
      <c r="Q135" t="s">
        <v>47</v>
      </c>
      <c r="R135" t="s">
        <v>48</v>
      </c>
      <c r="S135" t="s">
        <v>49</v>
      </c>
      <c r="T135" t="b">
        <v>1</v>
      </c>
      <c r="U135" t="s">
        <v>50</v>
      </c>
      <c r="V135" t="s">
        <v>51</v>
      </c>
      <c r="W135">
        <v>4</v>
      </c>
      <c r="X135" t="b">
        <v>0</v>
      </c>
      <c r="Y135" t="s">
        <v>52</v>
      </c>
      <c r="Z135" t="s">
        <v>53</v>
      </c>
      <c r="AA135" t="s">
        <v>54</v>
      </c>
      <c r="AB135">
        <v>0</v>
      </c>
      <c r="AC135" t="s">
        <v>55</v>
      </c>
      <c r="AD135">
        <v>8</v>
      </c>
      <c r="AE135" t="s">
        <v>56</v>
      </c>
      <c r="AF135">
        <v>41</v>
      </c>
      <c r="AG135" t="b">
        <v>0</v>
      </c>
      <c r="AH135">
        <v>8</v>
      </c>
      <c r="AI135" t="s">
        <v>56</v>
      </c>
      <c r="AJ135">
        <v>41</v>
      </c>
      <c r="AK135" t="b">
        <v>0</v>
      </c>
      <c r="AL135">
        <v>41</v>
      </c>
      <c r="AM135" t="b">
        <v>0</v>
      </c>
      <c r="AN135">
        <v>0</v>
      </c>
      <c r="AO135" t="b">
        <v>0</v>
      </c>
      <c r="AP135">
        <v>0</v>
      </c>
      <c r="AQ135">
        <v>811986.5</v>
      </c>
      <c r="AR135">
        <v>811986.5</v>
      </c>
      <c r="AS135">
        <v>0</v>
      </c>
      <c r="AT135" t="b">
        <v>0</v>
      </c>
      <c r="AU135" t="b">
        <v>1</v>
      </c>
      <c r="AV135" t="b">
        <v>1</v>
      </c>
      <c r="AW135" t="b">
        <v>1</v>
      </c>
      <c r="BC135" t="str">
        <f t="shared" si="2"/>
        <v>Normal</v>
      </c>
    </row>
    <row r="136" spans="1:55" x14ac:dyDescent="0.2">
      <c r="A136" t="s">
        <v>39</v>
      </c>
      <c r="B136" t="s">
        <v>40</v>
      </c>
      <c r="C136">
        <v>20200101</v>
      </c>
      <c r="D136">
        <v>2020</v>
      </c>
      <c r="E136">
        <v>52</v>
      </c>
      <c r="F136" t="s">
        <v>309</v>
      </c>
      <c r="G136">
        <v>56</v>
      </c>
      <c r="H136" t="s">
        <v>73</v>
      </c>
      <c r="I136" t="s">
        <v>74</v>
      </c>
      <c r="J136" t="s">
        <v>44</v>
      </c>
      <c r="K136" t="s">
        <v>45</v>
      </c>
      <c r="L136">
        <v>0</v>
      </c>
      <c r="M136" t="s">
        <v>46</v>
      </c>
      <c r="N136" t="s">
        <v>47</v>
      </c>
      <c r="O136">
        <v>0</v>
      </c>
      <c r="P136" t="s">
        <v>46</v>
      </c>
      <c r="Q136" t="s">
        <v>47</v>
      </c>
      <c r="R136" t="s">
        <v>48</v>
      </c>
      <c r="S136" t="s">
        <v>49</v>
      </c>
      <c r="T136" t="b">
        <v>1</v>
      </c>
      <c r="U136" t="s">
        <v>50</v>
      </c>
      <c r="V136" t="s">
        <v>51</v>
      </c>
      <c r="W136">
        <v>4</v>
      </c>
      <c r="X136" t="b">
        <v>0</v>
      </c>
      <c r="Y136" t="s">
        <v>52</v>
      </c>
      <c r="Z136" t="s">
        <v>53</v>
      </c>
      <c r="AA136" t="s">
        <v>54</v>
      </c>
      <c r="AB136">
        <v>0</v>
      </c>
      <c r="AC136" t="s">
        <v>55</v>
      </c>
      <c r="AD136">
        <v>-1</v>
      </c>
      <c r="AE136" t="s">
        <v>64</v>
      </c>
      <c r="AF136">
        <v>0</v>
      </c>
      <c r="AG136" t="b">
        <v>0</v>
      </c>
      <c r="AH136">
        <v>-1</v>
      </c>
      <c r="AI136" t="s">
        <v>64</v>
      </c>
      <c r="AJ136">
        <v>0</v>
      </c>
      <c r="AK136" t="b">
        <v>0</v>
      </c>
      <c r="AM136" t="b">
        <v>0</v>
      </c>
      <c r="AN136">
        <v>0</v>
      </c>
      <c r="AO136" t="b">
        <v>0</v>
      </c>
      <c r="AQ136">
        <v>1545175481.1559999</v>
      </c>
      <c r="AR136">
        <v>1545175481.1559999</v>
      </c>
      <c r="AS136">
        <v>0</v>
      </c>
      <c r="AT136" t="b">
        <v>0</v>
      </c>
      <c r="AU136" t="b">
        <v>1</v>
      </c>
      <c r="AV136" t="b">
        <v>1</v>
      </c>
      <c r="AW136" t="b">
        <v>1</v>
      </c>
      <c r="BC136" t="str">
        <f t="shared" si="2"/>
        <v>Normal</v>
      </c>
    </row>
    <row r="137" spans="1:55" x14ac:dyDescent="0.2">
      <c r="A137" t="s">
        <v>39</v>
      </c>
      <c r="B137" t="s">
        <v>40</v>
      </c>
      <c r="C137">
        <v>20200101</v>
      </c>
      <c r="D137">
        <v>2020</v>
      </c>
      <c r="E137">
        <v>52</v>
      </c>
      <c r="F137" t="s">
        <v>309</v>
      </c>
      <c r="G137">
        <v>68</v>
      </c>
      <c r="H137" t="s">
        <v>75</v>
      </c>
      <c r="I137" t="s">
        <v>76</v>
      </c>
      <c r="J137" t="s">
        <v>44</v>
      </c>
      <c r="K137" t="s">
        <v>45</v>
      </c>
      <c r="L137">
        <v>0</v>
      </c>
      <c r="M137" t="s">
        <v>46</v>
      </c>
      <c r="N137" t="s">
        <v>47</v>
      </c>
      <c r="O137">
        <v>0</v>
      </c>
      <c r="P137" t="s">
        <v>46</v>
      </c>
      <c r="Q137" t="s">
        <v>47</v>
      </c>
      <c r="R137" t="s">
        <v>48</v>
      </c>
      <c r="S137" t="s">
        <v>49</v>
      </c>
      <c r="T137" t="b">
        <v>1</v>
      </c>
      <c r="U137" t="s">
        <v>50</v>
      </c>
      <c r="V137" t="s">
        <v>51</v>
      </c>
      <c r="W137">
        <v>4</v>
      </c>
      <c r="X137" t="b">
        <v>0</v>
      </c>
      <c r="Y137" t="s">
        <v>52</v>
      </c>
      <c r="Z137" t="s">
        <v>53</v>
      </c>
      <c r="AA137" t="s">
        <v>54</v>
      </c>
      <c r="AB137">
        <v>0</v>
      </c>
      <c r="AC137" t="s">
        <v>55</v>
      </c>
      <c r="AD137">
        <v>8</v>
      </c>
      <c r="AE137" t="s">
        <v>56</v>
      </c>
      <c r="AF137">
        <v>23867.85</v>
      </c>
      <c r="AG137" t="b">
        <v>0</v>
      </c>
      <c r="AH137">
        <v>8</v>
      </c>
      <c r="AI137" t="s">
        <v>56</v>
      </c>
      <c r="AJ137">
        <v>23867.85</v>
      </c>
      <c r="AK137" t="b">
        <v>0</v>
      </c>
      <c r="AL137">
        <v>22605.06</v>
      </c>
      <c r="AM137" t="b">
        <v>0</v>
      </c>
      <c r="AN137">
        <v>0</v>
      </c>
      <c r="AO137" t="b">
        <v>0</v>
      </c>
      <c r="AP137">
        <v>0</v>
      </c>
      <c r="AQ137">
        <v>1229638379.29</v>
      </c>
      <c r="AR137">
        <v>1229638379.29</v>
      </c>
      <c r="AS137">
        <v>0</v>
      </c>
      <c r="AT137" t="b">
        <v>0</v>
      </c>
      <c r="AU137" t="b">
        <v>1</v>
      </c>
      <c r="AV137" t="b">
        <v>1</v>
      </c>
      <c r="AW137" t="b">
        <v>1</v>
      </c>
      <c r="BC137" t="str">
        <f t="shared" si="2"/>
        <v>Normal</v>
      </c>
    </row>
    <row r="138" spans="1:55" x14ac:dyDescent="0.2">
      <c r="A138" t="s">
        <v>39</v>
      </c>
      <c r="B138" t="s">
        <v>40</v>
      </c>
      <c r="C138">
        <v>20200101</v>
      </c>
      <c r="D138">
        <v>2020</v>
      </c>
      <c r="E138">
        <v>52</v>
      </c>
      <c r="F138" t="s">
        <v>309</v>
      </c>
      <c r="G138">
        <v>70</v>
      </c>
      <c r="H138" t="s">
        <v>77</v>
      </c>
      <c r="I138" t="s">
        <v>78</v>
      </c>
      <c r="J138" t="s">
        <v>44</v>
      </c>
      <c r="K138" t="s">
        <v>45</v>
      </c>
      <c r="L138">
        <v>0</v>
      </c>
      <c r="M138" t="s">
        <v>46</v>
      </c>
      <c r="N138" t="s">
        <v>47</v>
      </c>
      <c r="O138">
        <v>0</v>
      </c>
      <c r="P138" t="s">
        <v>46</v>
      </c>
      <c r="Q138" t="s">
        <v>47</v>
      </c>
      <c r="R138" t="s">
        <v>48</v>
      </c>
      <c r="S138" t="s">
        <v>49</v>
      </c>
      <c r="T138" t="b">
        <v>1</v>
      </c>
      <c r="U138" t="s">
        <v>50</v>
      </c>
      <c r="V138" t="s">
        <v>51</v>
      </c>
      <c r="W138">
        <v>4</v>
      </c>
      <c r="X138" t="b">
        <v>0</v>
      </c>
      <c r="Y138" t="s">
        <v>52</v>
      </c>
      <c r="Z138" t="s">
        <v>53</v>
      </c>
      <c r="AA138" t="s">
        <v>54</v>
      </c>
      <c r="AB138">
        <v>0</v>
      </c>
      <c r="AC138" t="s">
        <v>55</v>
      </c>
      <c r="AD138">
        <v>8</v>
      </c>
      <c r="AE138" t="s">
        <v>56</v>
      </c>
      <c r="AF138">
        <v>18.247</v>
      </c>
      <c r="AG138" t="b">
        <v>1</v>
      </c>
      <c r="AH138">
        <v>-1</v>
      </c>
      <c r="AI138" t="s">
        <v>64</v>
      </c>
      <c r="AJ138">
        <v>0</v>
      </c>
      <c r="AK138" t="b">
        <v>0</v>
      </c>
      <c r="AL138">
        <v>18.247</v>
      </c>
      <c r="AM138" t="b">
        <v>1</v>
      </c>
      <c r="AN138">
        <v>0</v>
      </c>
      <c r="AO138" t="b">
        <v>0</v>
      </c>
      <c r="AQ138">
        <v>634012.05000000005</v>
      </c>
      <c r="AR138">
        <v>634012.05000000005</v>
      </c>
      <c r="AS138">
        <v>6</v>
      </c>
      <c r="AT138" t="b">
        <v>0</v>
      </c>
      <c r="AU138" t="b">
        <v>1</v>
      </c>
      <c r="AV138" t="b">
        <v>1</v>
      </c>
      <c r="AW138" t="b">
        <v>1</v>
      </c>
      <c r="BC138" t="str">
        <f t="shared" si="2"/>
        <v>Normal</v>
      </c>
    </row>
    <row r="139" spans="1:55" x14ac:dyDescent="0.2">
      <c r="A139" t="s">
        <v>39</v>
      </c>
      <c r="B139" t="s">
        <v>40</v>
      </c>
      <c r="C139">
        <v>20200101</v>
      </c>
      <c r="D139">
        <v>2020</v>
      </c>
      <c r="E139">
        <v>52</v>
      </c>
      <c r="F139" t="s">
        <v>309</v>
      </c>
      <c r="G139">
        <v>72</v>
      </c>
      <c r="H139" t="s">
        <v>79</v>
      </c>
      <c r="I139" t="s">
        <v>80</v>
      </c>
      <c r="J139" t="s">
        <v>44</v>
      </c>
      <c r="K139" t="s">
        <v>45</v>
      </c>
      <c r="L139">
        <v>0</v>
      </c>
      <c r="M139" t="s">
        <v>46</v>
      </c>
      <c r="N139" t="s">
        <v>47</v>
      </c>
      <c r="O139">
        <v>0</v>
      </c>
      <c r="P139" t="s">
        <v>46</v>
      </c>
      <c r="Q139" t="s">
        <v>47</v>
      </c>
      <c r="R139" t="s">
        <v>48</v>
      </c>
      <c r="S139" t="s">
        <v>49</v>
      </c>
      <c r="T139" t="b">
        <v>1</v>
      </c>
      <c r="U139" t="s">
        <v>50</v>
      </c>
      <c r="V139" t="s">
        <v>51</v>
      </c>
      <c r="W139">
        <v>4</v>
      </c>
      <c r="X139" t="b">
        <v>0</v>
      </c>
      <c r="Y139" t="s">
        <v>52</v>
      </c>
      <c r="Z139" t="s">
        <v>53</v>
      </c>
      <c r="AA139" t="s">
        <v>54</v>
      </c>
      <c r="AB139">
        <v>0</v>
      </c>
      <c r="AC139" t="s">
        <v>55</v>
      </c>
      <c r="AD139">
        <v>8</v>
      </c>
      <c r="AE139" t="s">
        <v>56</v>
      </c>
      <c r="AF139">
        <v>1196.366</v>
      </c>
      <c r="AG139" t="b">
        <v>0</v>
      </c>
      <c r="AH139">
        <v>8</v>
      </c>
      <c r="AI139" t="s">
        <v>56</v>
      </c>
      <c r="AJ139">
        <v>1196.366</v>
      </c>
      <c r="AK139" t="b">
        <v>0</v>
      </c>
      <c r="AL139">
        <v>881.67100000000005</v>
      </c>
      <c r="AM139" t="b">
        <v>0</v>
      </c>
      <c r="AN139">
        <v>0</v>
      </c>
      <c r="AO139" t="b">
        <v>0</v>
      </c>
      <c r="AQ139">
        <v>50493518.921999998</v>
      </c>
      <c r="AR139">
        <v>50493518.921999998</v>
      </c>
      <c r="AS139">
        <v>0</v>
      </c>
      <c r="AT139" t="b">
        <v>0</v>
      </c>
      <c r="AU139" t="b">
        <v>1</v>
      </c>
      <c r="AV139" t="b">
        <v>1</v>
      </c>
      <c r="AW139" t="b">
        <v>1</v>
      </c>
      <c r="BC139" t="str">
        <f t="shared" si="2"/>
        <v>Normal</v>
      </c>
    </row>
    <row r="140" spans="1:55" x14ac:dyDescent="0.2">
      <c r="A140" t="s">
        <v>39</v>
      </c>
      <c r="B140" t="s">
        <v>40</v>
      </c>
      <c r="C140">
        <v>20200101</v>
      </c>
      <c r="D140">
        <v>2020</v>
      </c>
      <c r="E140">
        <v>52</v>
      </c>
      <c r="F140" t="s">
        <v>309</v>
      </c>
      <c r="G140">
        <v>76</v>
      </c>
      <c r="H140" t="s">
        <v>81</v>
      </c>
      <c r="I140" t="s">
        <v>82</v>
      </c>
      <c r="J140" t="s">
        <v>44</v>
      </c>
      <c r="K140" t="s">
        <v>45</v>
      </c>
      <c r="L140">
        <v>0</v>
      </c>
      <c r="M140" t="s">
        <v>46</v>
      </c>
      <c r="N140" t="s">
        <v>47</v>
      </c>
      <c r="O140">
        <v>0</v>
      </c>
      <c r="P140" t="s">
        <v>46</v>
      </c>
      <c r="Q140" t="s">
        <v>47</v>
      </c>
      <c r="R140" t="s">
        <v>48</v>
      </c>
      <c r="S140" t="s">
        <v>49</v>
      </c>
      <c r="T140" t="b">
        <v>1</v>
      </c>
      <c r="U140" t="s">
        <v>50</v>
      </c>
      <c r="V140" t="s">
        <v>51</v>
      </c>
      <c r="W140">
        <v>4</v>
      </c>
      <c r="X140" t="b">
        <v>0</v>
      </c>
      <c r="Y140" t="s">
        <v>52</v>
      </c>
      <c r="Z140" t="s">
        <v>53</v>
      </c>
      <c r="AA140" t="s">
        <v>54</v>
      </c>
      <c r="AB140">
        <v>0</v>
      </c>
      <c r="AC140" t="s">
        <v>55</v>
      </c>
      <c r="AD140">
        <v>-1</v>
      </c>
      <c r="AE140" t="s">
        <v>64</v>
      </c>
      <c r="AF140">
        <v>0</v>
      </c>
      <c r="AG140" t="b">
        <v>0</v>
      </c>
      <c r="AH140">
        <v>-1</v>
      </c>
      <c r="AI140" t="s">
        <v>64</v>
      </c>
      <c r="AJ140">
        <v>0</v>
      </c>
      <c r="AK140" t="b">
        <v>0</v>
      </c>
      <c r="AM140" t="b">
        <v>0</v>
      </c>
      <c r="AN140">
        <v>0</v>
      </c>
      <c r="AO140" t="b">
        <v>0</v>
      </c>
      <c r="AQ140">
        <v>4903472709</v>
      </c>
      <c r="AR140">
        <v>4903472709</v>
      </c>
      <c r="AS140">
        <v>0</v>
      </c>
      <c r="AT140" t="b">
        <v>0</v>
      </c>
      <c r="AU140" t="b">
        <v>1</v>
      </c>
      <c r="AV140" t="b">
        <v>1</v>
      </c>
      <c r="AW140" t="b">
        <v>1</v>
      </c>
      <c r="BC140" t="str">
        <f t="shared" si="2"/>
        <v>Normal</v>
      </c>
    </row>
    <row r="141" spans="1:55" x14ac:dyDescent="0.2">
      <c r="A141" t="s">
        <v>39</v>
      </c>
      <c r="B141" t="s">
        <v>40</v>
      </c>
      <c r="C141">
        <v>20200101</v>
      </c>
      <c r="D141">
        <v>2020</v>
      </c>
      <c r="E141">
        <v>52</v>
      </c>
      <c r="F141" t="s">
        <v>309</v>
      </c>
      <c r="G141">
        <v>96</v>
      </c>
      <c r="H141" t="s">
        <v>313</v>
      </c>
      <c r="I141" t="s">
        <v>314</v>
      </c>
      <c r="J141" t="s">
        <v>44</v>
      </c>
      <c r="K141" t="s">
        <v>45</v>
      </c>
      <c r="L141">
        <v>0</v>
      </c>
      <c r="M141" t="s">
        <v>46</v>
      </c>
      <c r="N141" t="s">
        <v>47</v>
      </c>
      <c r="O141">
        <v>0</v>
      </c>
      <c r="P141" t="s">
        <v>46</v>
      </c>
      <c r="Q141" t="s">
        <v>47</v>
      </c>
      <c r="R141" t="s">
        <v>48</v>
      </c>
      <c r="S141" t="s">
        <v>49</v>
      </c>
      <c r="T141" t="b">
        <v>1</v>
      </c>
      <c r="U141" t="s">
        <v>50</v>
      </c>
      <c r="V141" t="s">
        <v>51</v>
      </c>
      <c r="W141">
        <v>4</v>
      </c>
      <c r="X141" t="b">
        <v>0</v>
      </c>
      <c r="Y141" t="s">
        <v>52</v>
      </c>
      <c r="Z141" t="s">
        <v>53</v>
      </c>
      <c r="AA141" t="s">
        <v>54</v>
      </c>
      <c r="AB141">
        <v>0</v>
      </c>
      <c r="AC141" t="s">
        <v>55</v>
      </c>
      <c r="AD141">
        <v>8</v>
      </c>
      <c r="AE141" t="s">
        <v>56</v>
      </c>
      <c r="AF141">
        <v>287</v>
      </c>
      <c r="AG141" t="b">
        <v>0</v>
      </c>
      <c r="AH141">
        <v>8</v>
      </c>
      <c r="AI141" t="s">
        <v>56</v>
      </c>
      <c r="AJ141">
        <v>287</v>
      </c>
      <c r="AK141" t="b">
        <v>0</v>
      </c>
      <c r="AL141">
        <v>287</v>
      </c>
      <c r="AM141" t="b">
        <v>0</v>
      </c>
      <c r="AN141">
        <v>0</v>
      </c>
      <c r="AO141" t="b">
        <v>0</v>
      </c>
      <c r="AP141">
        <v>0</v>
      </c>
      <c r="AQ141">
        <v>11712816.859999999</v>
      </c>
      <c r="AR141">
        <v>11712816.859999999</v>
      </c>
      <c r="AS141">
        <v>0</v>
      </c>
      <c r="AT141" t="b">
        <v>0</v>
      </c>
      <c r="AU141" t="b">
        <v>1</v>
      </c>
      <c r="AV141" t="b">
        <v>1</v>
      </c>
      <c r="AW141" t="b">
        <v>1</v>
      </c>
      <c r="BC141" t="str">
        <f t="shared" si="2"/>
        <v>Normal</v>
      </c>
    </row>
    <row r="142" spans="1:55" x14ac:dyDescent="0.2">
      <c r="A142" t="s">
        <v>39</v>
      </c>
      <c r="B142" t="s">
        <v>40</v>
      </c>
      <c r="C142">
        <v>20200101</v>
      </c>
      <c r="D142">
        <v>2020</v>
      </c>
      <c r="E142">
        <v>52</v>
      </c>
      <c r="F142" t="s">
        <v>309</v>
      </c>
      <c r="G142">
        <v>100</v>
      </c>
      <c r="H142" t="s">
        <v>83</v>
      </c>
      <c r="I142" t="s">
        <v>84</v>
      </c>
      <c r="J142" t="s">
        <v>44</v>
      </c>
      <c r="K142" t="s">
        <v>45</v>
      </c>
      <c r="L142">
        <v>0</v>
      </c>
      <c r="M142" t="s">
        <v>46</v>
      </c>
      <c r="N142" t="s">
        <v>47</v>
      </c>
      <c r="O142">
        <v>0</v>
      </c>
      <c r="P142" t="s">
        <v>46</v>
      </c>
      <c r="Q142" t="s">
        <v>47</v>
      </c>
      <c r="R142" t="s">
        <v>48</v>
      </c>
      <c r="S142" t="s">
        <v>49</v>
      </c>
      <c r="T142" t="b">
        <v>1</v>
      </c>
      <c r="U142" t="s">
        <v>50</v>
      </c>
      <c r="V142" t="s">
        <v>51</v>
      </c>
      <c r="W142">
        <v>4</v>
      </c>
      <c r="X142" t="b">
        <v>0</v>
      </c>
      <c r="Y142" t="s">
        <v>52</v>
      </c>
      <c r="Z142" t="s">
        <v>53</v>
      </c>
      <c r="AA142" t="s">
        <v>54</v>
      </c>
      <c r="AB142">
        <v>0</v>
      </c>
      <c r="AC142" t="s">
        <v>55</v>
      </c>
      <c r="AD142">
        <v>8</v>
      </c>
      <c r="AE142" t="s">
        <v>56</v>
      </c>
      <c r="AF142">
        <v>2049.4259999999999</v>
      </c>
      <c r="AG142" t="b">
        <v>0</v>
      </c>
      <c r="AH142">
        <v>15</v>
      </c>
      <c r="AI142" t="s">
        <v>59</v>
      </c>
      <c r="AJ142">
        <v>2049426</v>
      </c>
      <c r="AK142" t="b">
        <v>0</v>
      </c>
      <c r="AL142">
        <v>2049.0889999999999</v>
      </c>
      <c r="AM142" t="b">
        <v>0</v>
      </c>
      <c r="AN142">
        <v>0</v>
      </c>
      <c r="AO142" t="b">
        <v>0</v>
      </c>
      <c r="AP142">
        <v>0</v>
      </c>
      <c r="AQ142">
        <v>29119575.767999999</v>
      </c>
      <c r="AR142">
        <v>29119575.767999999</v>
      </c>
      <c r="AS142">
        <v>0</v>
      </c>
      <c r="AT142" t="b">
        <v>0</v>
      </c>
      <c r="AU142" t="b">
        <v>1</v>
      </c>
      <c r="AV142" t="b">
        <v>1</v>
      </c>
      <c r="AW142" t="b">
        <v>1</v>
      </c>
      <c r="BC142" t="str">
        <f t="shared" si="2"/>
        <v>Normal</v>
      </c>
    </row>
    <row r="143" spans="1:55" x14ac:dyDescent="0.2">
      <c r="A143" t="s">
        <v>39</v>
      </c>
      <c r="B143" t="s">
        <v>40</v>
      </c>
      <c r="C143">
        <v>20200101</v>
      </c>
      <c r="D143">
        <v>2020</v>
      </c>
      <c r="E143">
        <v>52</v>
      </c>
      <c r="F143" t="s">
        <v>309</v>
      </c>
      <c r="G143">
        <v>108</v>
      </c>
      <c r="H143" t="s">
        <v>85</v>
      </c>
      <c r="I143" t="s">
        <v>86</v>
      </c>
      <c r="J143" t="s">
        <v>44</v>
      </c>
      <c r="K143" t="s">
        <v>45</v>
      </c>
      <c r="L143">
        <v>0</v>
      </c>
      <c r="M143" t="s">
        <v>46</v>
      </c>
      <c r="N143" t="s">
        <v>47</v>
      </c>
      <c r="O143">
        <v>0</v>
      </c>
      <c r="P143" t="s">
        <v>46</v>
      </c>
      <c r="Q143" t="s">
        <v>47</v>
      </c>
      <c r="R143" t="s">
        <v>48</v>
      </c>
      <c r="S143" t="s">
        <v>49</v>
      </c>
      <c r="T143" t="b">
        <v>1</v>
      </c>
      <c r="U143" t="s">
        <v>50</v>
      </c>
      <c r="V143" t="s">
        <v>51</v>
      </c>
      <c r="W143">
        <v>4</v>
      </c>
      <c r="X143" t="b">
        <v>0</v>
      </c>
      <c r="Y143" t="s">
        <v>52</v>
      </c>
      <c r="Z143" t="s">
        <v>53</v>
      </c>
      <c r="AA143" t="s">
        <v>54</v>
      </c>
      <c r="AB143">
        <v>0</v>
      </c>
      <c r="AC143" t="s">
        <v>55</v>
      </c>
      <c r="AD143">
        <v>8</v>
      </c>
      <c r="AE143" t="s">
        <v>56</v>
      </c>
      <c r="AF143">
        <v>863</v>
      </c>
      <c r="AG143" t="b">
        <v>0</v>
      </c>
      <c r="AH143">
        <v>8</v>
      </c>
      <c r="AI143" t="s">
        <v>56</v>
      </c>
      <c r="AJ143">
        <v>863</v>
      </c>
      <c r="AK143" t="b">
        <v>0</v>
      </c>
      <c r="AL143">
        <v>863</v>
      </c>
      <c r="AM143" t="b">
        <v>0</v>
      </c>
      <c r="AN143">
        <v>0</v>
      </c>
      <c r="AO143" t="b">
        <v>0</v>
      </c>
      <c r="AQ143">
        <v>45970920.243000001</v>
      </c>
      <c r="AR143">
        <v>45970920.243000001</v>
      </c>
      <c r="AS143">
        <v>0</v>
      </c>
      <c r="AT143" t="b">
        <v>0</v>
      </c>
      <c r="AU143" t="b">
        <v>1</v>
      </c>
      <c r="AV143" t="b">
        <v>1</v>
      </c>
      <c r="AW143" t="b">
        <v>1</v>
      </c>
      <c r="BC143" t="str">
        <f t="shared" si="2"/>
        <v>Normal</v>
      </c>
    </row>
    <row r="144" spans="1:55" x14ac:dyDescent="0.2">
      <c r="A144" t="s">
        <v>39</v>
      </c>
      <c r="B144" t="s">
        <v>40</v>
      </c>
      <c r="C144">
        <v>20200101</v>
      </c>
      <c r="D144">
        <v>2020</v>
      </c>
      <c r="E144">
        <v>52</v>
      </c>
      <c r="F144" t="s">
        <v>309</v>
      </c>
      <c r="G144">
        <v>116</v>
      </c>
      <c r="H144" t="s">
        <v>87</v>
      </c>
      <c r="I144" t="s">
        <v>88</v>
      </c>
      <c r="J144" t="s">
        <v>44</v>
      </c>
      <c r="K144" t="s">
        <v>45</v>
      </c>
      <c r="L144">
        <v>0</v>
      </c>
      <c r="M144" t="s">
        <v>46</v>
      </c>
      <c r="N144" t="s">
        <v>47</v>
      </c>
      <c r="O144">
        <v>0</v>
      </c>
      <c r="P144" t="s">
        <v>46</v>
      </c>
      <c r="Q144" t="s">
        <v>47</v>
      </c>
      <c r="R144" t="s">
        <v>48</v>
      </c>
      <c r="S144" t="s">
        <v>49</v>
      </c>
      <c r="T144" t="b">
        <v>1</v>
      </c>
      <c r="U144" t="s">
        <v>50</v>
      </c>
      <c r="V144" t="s">
        <v>51</v>
      </c>
      <c r="W144">
        <v>4</v>
      </c>
      <c r="X144" t="b">
        <v>0</v>
      </c>
      <c r="Y144" t="s">
        <v>52</v>
      </c>
      <c r="Z144" t="s">
        <v>53</v>
      </c>
      <c r="AA144" t="s">
        <v>54</v>
      </c>
      <c r="AB144">
        <v>0</v>
      </c>
      <c r="AC144" t="s">
        <v>55</v>
      </c>
      <c r="AD144">
        <v>8</v>
      </c>
      <c r="AE144" t="s">
        <v>56</v>
      </c>
      <c r="AF144">
        <v>52721</v>
      </c>
      <c r="AG144" t="b">
        <v>0</v>
      </c>
      <c r="AH144">
        <v>8</v>
      </c>
      <c r="AI144" t="s">
        <v>56</v>
      </c>
      <c r="AJ144">
        <v>52721</v>
      </c>
      <c r="AK144" t="b">
        <v>0</v>
      </c>
      <c r="AL144">
        <v>52721</v>
      </c>
      <c r="AM144" t="b">
        <v>0</v>
      </c>
      <c r="AN144">
        <v>0</v>
      </c>
      <c r="AO144" t="b">
        <v>0</v>
      </c>
      <c r="AP144">
        <v>0</v>
      </c>
      <c r="AQ144">
        <v>3011284884</v>
      </c>
      <c r="AR144">
        <v>3011284884</v>
      </c>
      <c r="AS144">
        <v>0</v>
      </c>
      <c r="AT144" t="b">
        <v>0</v>
      </c>
      <c r="AU144" t="b">
        <v>1</v>
      </c>
      <c r="AV144" t="b">
        <v>1</v>
      </c>
      <c r="AW144" t="b">
        <v>1</v>
      </c>
      <c r="BC144" t="str">
        <f t="shared" si="2"/>
        <v>Normal</v>
      </c>
    </row>
    <row r="145" spans="1:55" x14ac:dyDescent="0.2">
      <c r="A145" t="s">
        <v>39</v>
      </c>
      <c r="B145" t="s">
        <v>40</v>
      </c>
      <c r="C145">
        <v>20200101</v>
      </c>
      <c r="D145">
        <v>2020</v>
      </c>
      <c r="E145">
        <v>52</v>
      </c>
      <c r="F145" t="s">
        <v>309</v>
      </c>
      <c r="G145">
        <v>120</v>
      </c>
      <c r="H145" t="s">
        <v>89</v>
      </c>
      <c r="I145" t="s">
        <v>90</v>
      </c>
      <c r="J145" t="s">
        <v>44</v>
      </c>
      <c r="K145" t="s">
        <v>45</v>
      </c>
      <c r="L145">
        <v>0</v>
      </c>
      <c r="M145" t="s">
        <v>46</v>
      </c>
      <c r="N145" t="s">
        <v>47</v>
      </c>
      <c r="O145">
        <v>0</v>
      </c>
      <c r="P145" t="s">
        <v>46</v>
      </c>
      <c r="Q145" t="s">
        <v>47</v>
      </c>
      <c r="R145" t="s">
        <v>48</v>
      </c>
      <c r="S145" t="s">
        <v>49</v>
      </c>
      <c r="T145" t="b">
        <v>1</v>
      </c>
      <c r="U145" t="s">
        <v>50</v>
      </c>
      <c r="V145" t="s">
        <v>51</v>
      </c>
      <c r="W145">
        <v>4</v>
      </c>
      <c r="X145" t="b">
        <v>0</v>
      </c>
      <c r="Y145" t="s">
        <v>52</v>
      </c>
      <c r="Z145" t="s">
        <v>53</v>
      </c>
      <c r="AA145" t="s">
        <v>54</v>
      </c>
      <c r="AB145">
        <v>0</v>
      </c>
      <c r="AC145" t="s">
        <v>55</v>
      </c>
      <c r="AD145">
        <v>8</v>
      </c>
      <c r="AE145" t="s">
        <v>56</v>
      </c>
      <c r="AF145">
        <v>5.32</v>
      </c>
      <c r="AG145" t="b">
        <v>0</v>
      </c>
      <c r="AH145">
        <v>8</v>
      </c>
      <c r="AI145" t="s">
        <v>56</v>
      </c>
      <c r="AJ145">
        <v>5.32</v>
      </c>
      <c r="AK145" t="b">
        <v>0</v>
      </c>
      <c r="AL145">
        <v>5.32</v>
      </c>
      <c r="AM145" t="b">
        <v>0</v>
      </c>
      <c r="AN145">
        <v>0</v>
      </c>
      <c r="AO145" t="b">
        <v>0</v>
      </c>
      <c r="AQ145">
        <v>162247.48000000001</v>
      </c>
      <c r="AR145">
        <v>162247.48000000001</v>
      </c>
      <c r="AS145">
        <v>0</v>
      </c>
      <c r="AT145" t="b">
        <v>0</v>
      </c>
      <c r="AU145" t="b">
        <v>1</v>
      </c>
      <c r="AV145" t="b">
        <v>1</v>
      </c>
      <c r="AW145" t="b">
        <v>1</v>
      </c>
      <c r="BC145" t="str">
        <f t="shared" si="2"/>
        <v>Normal</v>
      </c>
    </row>
    <row r="146" spans="1:55" x14ac:dyDescent="0.2">
      <c r="A146" t="s">
        <v>39</v>
      </c>
      <c r="B146" t="s">
        <v>40</v>
      </c>
      <c r="C146">
        <v>20200101</v>
      </c>
      <c r="D146">
        <v>2020</v>
      </c>
      <c r="E146">
        <v>52</v>
      </c>
      <c r="F146" t="s">
        <v>309</v>
      </c>
      <c r="G146">
        <v>124</v>
      </c>
      <c r="H146" t="s">
        <v>91</v>
      </c>
      <c r="I146" t="s">
        <v>92</v>
      </c>
      <c r="J146" t="s">
        <v>44</v>
      </c>
      <c r="K146" t="s">
        <v>45</v>
      </c>
      <c r="L146">
        <v>0</v>
      </c>
      <c r="M146" t="s">
        <v>46</v>
      </c>
      <c r="N146" t="s">
        <v>47</v>
      </c>
      <c r="O146">
        <v>0</v>
      </c>
      <c r="P146" t="s">
        <v>46</v>
      </c>
      <c r="Q146" t="s">
        <v>47</v>
      </c>
      <c r="R146" t="s">
        <v>48</v>
      </c>
      <c r="S146" t="s">
        <v>49</v>
      </c>
      <c r="T146" t="b">
        <v>1</v>
      </c>
      <c r="U146" t="s">
        <v>50</v>
      </c>
      <c r="V146" t="s">
        <v>51</v>
      </c>
      <c r="W146">
        <v>4</v>
      </c>
      <c r="X146" t="b">
        <v>0</v>
      </c>
      <c r="Y146" t="s">
        <v>52</v>
      </c>
      <c r="Z146" t="s">
        <v>53</v>
      </c>
      <c r="AA146" t="s">
        <v>54</v>
      </c>
      <c r="AB146">
        <v>0</v>
      </c>
      <c r="AC146" t="s">
        <v>55</v>
      </c>
      <c r="AD146">
        <v>8</v>
      </c>
      <c r="AE146" t="s">
        <v>56</v>
      </c>
      <c r="AF146">
        <v>290000.06199999998</v>
      </c>
      <c r="AG146" t="b">
        <v>0</v>
      </c>
      <c r="AH146">
        <v>15</v>
      </c>
      <c r="AI146" t="s">
        <v>59</v>
      </c>
      <c r="AJ146">
        <v>290000062</v>
      </c>
      <c r="AK146" t="b">
        <v>0</v>
      </c>
      <c r="AL146" s="1">
        <v>290000.06199999998</v>
      </c>
      <c r="AM146" t="b">
        <v>0</v>
      </c>
      <c r="AN146">
        <v>0</v>
      </c>
      <c r="AO146" t="b">
        <v>0</v>
      </c>
      <c r="AQ146">
        <v>16012899883.027</v>
      </c>
      <c r="AR146">
        <v>16012899883.027</v>
      </c>
      <c r="AS146">
        <v>0</v>
      </c>
      <c r="AT146" t="b">
        <v>0</v>
      </c>
      <c r="AU146" t="b">
        <v>1</v>
      </c>
      <c r="AV146" t="b">
        <v>1</v>
      </c>
      <c r="AW146" t="b">
        <v>1</v>
      </c>
      <c r="BC146" t="str">
        <f t="shared" si="2"/>
        <v>Outlier</v>
      </c>
    </row>
    <row r="147" spans="1:55" x14ac:dyDescent="0.2">
      <c r="A147" t="s">
        <v>39</v>
      </c>
      <c r="B147" t="s">
        <v>40</v>
      </c>
      <c r="C147">
        <v>20200101</v>
      </c>
      <c r="D147">
        <v>2020</v>
      </c>
      <c r="E147">
        <v>52</v>
      </c>
      <c r="F147" t="s">
        <v>309</v>
      </c>
      <c r="G147">
        <v>136</v>
      </c>
      <c r="H147" t="s">
        <v>315</v>
      </c>
      <c r="I147" t="s">
        <v>316</v>
      </c>
      <c r="J147" t="s">
        <v>44</v>
      </c>
      <c r="K147" t="s">
        <v>45</v>
      </c>
      <c r="L147">
        <v>0</v>
      </c>
      <c r="M147" t="s">
        <v>46</v>
      </c>
      <c r="N147" t="s">
        <v>47</v>
      </c>
      <c r="O147">
        <v>0</v>
      </c>
      <c r="P147" t="s">
        <v>46</v>
      </c>
      <c r="Q147" t="s">
        <v>47</v>
      </c>
      <c r="R147" t="s">
        <v>48</v>
      </c>
      <c r="S147" t="s">
        <v>49</v>
      </c>
      <c r="T147" t="b">
        <v>1</v>
      </c>
      <c r="U147" t="s">
        <v>50</v>
      </c>
      <c r="V147" t="s">
        <v>51</v>
      </c>
      <c r="W147">
        <v>4</v>
      </c>
      <c r="X147" t="b">
        <v>0</v>
      </c>
      <c r="Y147" t="s">
        <v>52</v>
      </c>
      <c r="Z147" t="s">
        <v>53</v>
      </c>
      <c r="AA147" t="s">
        <v>54</v>
      </c>
      <c r="AB147">
        <v>0</v>
      </c>
      <c r="AC147" t="s">
        <v>55</v>
      </c>
      <c r="AD147">
        <v>-1</v>
      </c>
      <c r="AE147" t="s">
        <v>64</v>
      </c>
      <c r="AF147">
        <v>0</v>
      </c>
      <c r="AG147" t="b">
        <v>0</v>
      </c>
      <c r="AH147">
        <v>-1</v>
      </c>
      <c r="AI147" t="s">
        <v>64</v>
      </c>
      <c r="AJ147">
        <v>0</v>
      </c>
      <c r="AK147" t="b">
        <v>0</v>
      </c>
      <c r="AL147">
        <v>0</v>
      </c>
      <c r="AM147" t="b">
        <v>0</v>
      </c>
      <c r="AN147">
        <v>0</v>
      </c>
      <c r="AO147" t="b">
        <v>0</v>
      </c>
      <c r="AP147">
        <v>0</v>
      </c>
      <c r="AQ147">
        <v>36330.150999999998</v>
      </c>
      <c r="AR147">
        <v>36330.150999999998</v>
      </c>
      <c r="AS147">
        <v>0</v>
      </c>
      <c r="AT147" t="b">
        <v>0</v>
      </c>
      <c r="AU147" t="b">
        <v>1</v>
      </c>
      <c r="AV147" t="b">
        <v>1</v>
      </c>
      <c r="AW147" t="b">
        <v>1</v>
      </c>
      <c r="BC147" t="str">
        <f t="shared" si="2"/>
        <v>Normal</v>
      </c>
    </row>
    <row r="148" spans="1:55" x14ac:dyDescent="0.2">
      <c r="A148" t="s">
        <v>39</v>
      </c>
      <c r="B148" t="s">
        <v>40</v>
      </c>
      <c r="C148">
        <v>20200101</v>
      </c>
      <c r="D148">
        <v>2020</v>
      </c>
      <c r="E148">
        <v>52</v>
      </c>
      <c r="F148" t="s">
        <v>309</v>
      </c>
      <c r="G148">
        <v>140</v>
      </c>
      <c r="H148" t="s">
        <v>93</v>
      </c>
      <c r="I148" t="s">
        <v>94</v>
      </c>
      <c r="J148" t="s">
        <v>44</v>
      </c>
      <c r="K148" t="s">
        <v>45</v>
      </c>
      <c r="L148">
        <v>0</v>
      </c>
      <c r="M148" t="s">
        <v>46</v>
      </c>
      <c r="N148" t="s">
        <v>47</v>
      </c>
      <c r="O148">
        <v>0</v>
      </c>
      <c r="P148" t="s">
        <v>46</v>
      </c>
      <c r="Q148" t="s">
        <v>47</v>
      </c>
      <c r="R148" t="s">
        <v>95</v>
      </c>
      <c r="S148" t="s">
        <v>49</v>
      </c>
      <c r="T148" t="b">
        <v>1</v>
      </c>
      <c r="U148" t="s">
        <v>50</v>
      </c>
      <c r="V148" t="s">
        <v>51</v>
      </c>
      <c r="W148">
        <v>4</v>
      </c>
      <c r="X148" t="b">
        <v>0</v>
      </c>
      <c r="Y148" t="s">
        <v>52</v>
      </c>
      <c r="Z148" t="s">
        <v>53</v>
      </c>
      <c r="AA148" t="s">
        <v>54</v>
      </c>
      <c r="AB148">
        <v>0</v>
      </c>
      <c r="AC148" t="s">
        <v>55</v>
      </c>
      <c r="AD148">
        <v>8</v>
      </c>
      <c r="AE148" t="s">
        <v>56</v>
      </c>
      <c r="AF148">
        <v>226</v>
      </c>
      <c r="AG148" t="b">
        <v>0</v>
      </c>
      <c r="AH148">
        <v>8</v>
      </c>
      <c r="AI148" t="s">
        <v>56</v>
      </c>
      <c r="AJ148">
        <v>226</v>
      </c>
      <c r="AK148" t="b">
        <v>0</v>
      </c>
      <c r="AL148">
        <v>226</v>
      </c>
      <c r="AM148" t="b">
        <v>0</v>
      </c>
      <c r="AN148">
        <v>0</v>
      </c>
      <c r="AO148" t="b">
        <v>0</v>
      </c>
      <c r="AP148">
        <v>0</v>
      </c>
      <c r="AQ148">
        <v>9826211.0150000006</v>
      </c>
      <c r="AR148">
        <v>9826211.0150000006</v>
      </c>
      <c r="AS148">
        <v>0</v>
      </c>
      <c r="AT148" t="b">
        <v>0</v>
      </c>
      <c r="AU148" t="b">
        <v>1</v>
      </c>
      <c r="AV148" t="b">
        <v>1</v>
      </c>
      <c r="AW148" t="b">
        <v>1</v>
      </c>
      <c r="BC148" t="str">
        <f t="shared" si="2"/>
        <v>Normal</v>
      </c>
    </row>
    <row r="149" spans="1:55" x14ac:dyDescent="0.2">
      <c r="A149" t="s">
        <v>39</v>
      </c>
      <c r="B149" t="s">
        <v>40</v>
      </c>
      <c r="C149">
        <v>20200101</v>
      </c>
      <c r="D149">
        <v>2020</v>
      </c>
      <c r="E149">
        <v>52</v>
      </c>
      <c r="F149" t="s">
        <v>309</v>
      </c>
      <c r="G149">
        <v>144</v>
      </c>
      <c r="H149" t="s">
        <v>317</v>
      </c>
      <c r="I149" t="s">
        <v>318</v>
      </c>
      <c r="J149" t="s">
        <v>44</v>
      </c>
      <c r="K149" t="s">
        <v>45</v>
      </c>
      <c r="L149">
        <v>0</v>
      </c>
      <c r="M149" t="s">
        <v>46</v>
      </c>
      <c r="N149" t="s">
        <v>47</v>
      </c>
      <c r="O149">
        <v>0</v>
      </c>
      <c r="P149" t="s">
        <v>46</v>
      </c>
      <c r="Q149" t="s">
        <v>47</v>
      </c>
      <c r="R149" t="s">
        <v>48</v>
      </c>
      <c r="S149" t="s">
        <v>49</v>
      </c>
      <c r="T149" t="b">
        <v>1</v>
      </c>
      <c r="U149" t="s">
        <v>50</v>
      </c>
      <c r="V149" t="s">
        <v>51</v>
      </c>
      <c r="W149">
        <v>4</v>
      </c>
      <c r="X149" t="b">
        <v>0</v>
      </c>
      <c r="Y149" t="s">
        <v>52</v>
      </c>
      <c r="Z149" t="s">
        <v>53</v>
      </c>
      <c r="AA149" t="s">
        <v>54</v>
      </c>
      <c r="AB149">
        <v>0</v>
      </c>
      <c r="AC149" t="s">
        <v>55</v>
      </c>
      <c r="AD149">
        <v>-1</v>
      </c>
      <c r="AE149" t="s">
        <v>64</v>
      </c>
      <c r="AF149">
        <v>0</v>
      </c>
      <c r="AG149" t="b">
        <v>1</v>
      </c>
      <c r="AH149">
        <v>-1</v>
      </c>
      <c r="AI149" t="s">
        <v>64</v>
      </c>
      <c r="AJ149">
        <v>0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P149">
        <v>0</v>
      </c>
      <c r="AQ149">
        <v>4758.3819999999996</v>
      </c>
      <c r="AR149">
        <v>4758.3819999999996</v>
      </c>
      <c r="AS149">
        <v>6</v>
      </c>
      <c r="AT149" t="b">
        <v>0</v>
      </c>
      <c r="AU149" t="b">
        <v>1</v>
      </c>
      <c r="AV149" t="b">
        <v>1</v>
      </c>
      <c r="AW149" t="b">
        <v>1</v>
      </c>
      <c r="BC149" t="str">
        <f t="shared" si="2"/>
        <v>Normal</v>
      </c>
    </row>
    <row r="150" spans="1:55" x14ac:dyDescent="0.2">
      <c r="A150" t="s">
        <v>39</v>
      </c>
      <c r="B150" t="s">
        <v>40</v>
      </c>
      <c r="C150">
        <v>20200101</v>
      </c>
      <c r="D150">
        <v>2020</v>
      </c>
      <c r="E150">
        <v>52</v>
      </c>
      <c r="F150" t="s">
        <v>309</v>
      </c>
      <c r="G150">
        <v>152</v>
      </c>
      <c r="H150" t="s">
        <v>96</v>
      </c>
      <c r="I150" t="s">
        <v>97</v>
      </c>
      <c r="J150" t="s">
        <v>44</v>
      </c>
      <c r="K150" t="s">
        <v>45</v>
      </c>
      <c r="L150">
        <v>0</v>
      </c>
      <c r="M150" t="s">
        <v>46</v>
      </c>
      <c r="N150" t="s">
        <v>47</v>
      </c>
      <c r="O150">
        <v>0</v>
      </c>
      <c r="P150" t="s">
        <v>46</v>
      </c>
      <c r="Q150" t="s">
        <v>47</v>
      </c>
      <c r="R150" t="s">
        <v>48</v>
      </c>
      <c r="S150" t="s">
        <v>49</v>
      </c>
      <c r="T150" t="b">
        <v>1</v>
      </c>
      <c r="U150" t="s">
        <v>50</v>
      </c>
      <c r="V150" t="s">
        <v>51</v>
      </c>
      <c r="W150">
        <v>4</v>
      </c>
      <c r="X150" t="b">
        <v>0</v>
      </c>
      <c r="Y150" t="s">
        <v>52</v>
      </c>
      <c r="Z150" t="s">
        <v>53</v>
      </c>
      <c r="AA150" t="s">
        <v>54</v>
      </c>
      <c r="AB150">
        <v>0</v>
      </c>
      <c r="AC150" t="s">
        <v>55</v>
      </c>
      <c r="AD150">
        <v>8</v>
      </c>
      <c r="AE150" t="s">
        <v>56</v>
      </c>
      <c r="AF150">
        <v>15380.914000000001</v>
      </c>
      <c r="AG150" t="b">
        <v>0</v>
      </c>
      <c r="AH150">
        <v>8</v>
      </c>
      <c r="AI150" t="s">
        <v>56</v>
      </c>
      <c r="AJ150">
        <v>15380.914000000001</v>
      </c>
      <c r="AK150" t="b">
        <v>0</v>
      </c>
      <c r="AL150">
        <v>15380.914000000001</v>
      </c>
      <c r="AM150" t="b">
        <v>0</v>
      </c>
      <c r="AN150">
        <v>0</v>
      </c>
      <c r="AO150" t="b">
        <v>0</v>
      </c>
      <c r="AP150">
        <v>0</v>
      </c>
      <c r="AQ150">
        <v>839699790.27699995</v>
      </c>
      <c r="AR150">
        <v>839699790.27699995</v>
      </c>
      <c r="AS150">
        <v>0</v>
      </c>
      <c r="AT150" t="b">
        <v>0</v>
      </c>
      <c r="AU150" t="b">
        <v>1</v>
      </c>
      <c r="AV150" t="b">
        <v>1</v>
      </c>
      <c r="AW150" t="b">
        <v>1</v>
      </c>
      <c r="BC150" t="str">
        <f t="shared" si="2"/>
        <v>Normal</v>
      </c>
    </row>
    <row r="151" spans="1:55" x14ac:dyDescent="0.2">
      <c r="A151" t="s">
        <v>39</v>
      </c>
      <c r="B151" t="s">
        <v>40</v>
      </c>
      <c r="C151">
        <v>20200101</v>
      </c>
      <c r="D151">
        <v>2020</v>
      </c>
      <c r="E151">
        <v>52</v>
      </c>
      <c r="F151" t="s">
        <v>309</v>
      </c>
      <c r="G151">
        <v>156</v>
      </c>
      <c r="H151" t="s">
        <v>98</v>
      </c>
      <c r="I151" t="s">
        <v>99</v>
      </c>
      <c r="J151" t="s">
        <v>44</v>
      </c>
      <c r="K151" t="s">
        <v>45</v>
      </c>
      <c r="L151">
        <v>0</v>
      </c>
      <c r="M151" t="s">
        <v>46</v>
      </c>
      <c r="N151" t="s">
        <v>47</v>
      </c>
      <c r="O151">
        <v>0</v>
      </c>
      <c r="P151" t="s">
        <v>46</v>
      </c>
      <c r="Q151" t="s">
        <v>47</v>
      </c>
      <c r="R151" t="s">
        <v>48</v>
      </c>
      <c r="S151" t="s">
        <v>49</v>
      </c>
      <c r="T151" t="b">
        <v>1</v>
      </c>
      <c r="U151" t="s">
        <v>50</v>
      </c>
      <c r="V151" t="s">
        <v>51</v>
      </c>
      <c r="W151">
        <v>4</v>
      </c>
      <c r="X151" t="b">
        <v>0</v>
      </c>
      <c r="Y151" t="s">
        <v>52</v>
      </c>
      <c r="Z151" t="s">
        <v>53</v>
      </c>
      <c r="AA151" t="s">
        <v>54</v>
      </c>
      <c r="AB151">
        <v>0</v>
      </c>
      <c r="AC151" t="s">
        <v>55</v>
      </c>
      <c r="AD151">
        <v>8</v>
      </c>
      <c r="AE151" t="s">
        <v>56</v>
      </c>
      <c r="AF151">
        <v>63226.601000000002</v>
      </c>
      <c r="AG151" t="b">
        <v>0</v>
      </c>
      <c r="AH151">
        <v>15</v>
      </c>
      <c r="AI151" t="s">
        <v>59</v>
      </c>
      <c r="AJ151">
        <v>63226601</v>
      </c>
      <c r="AK151" t="b">
        <v>0</v>
      </c>
      <c r="AL151">
        <v>63226.601000000002</v>
      </c>
      <c r="AM151" t="b">
        <v>0</v>
      </c>
      <c r="AN151">
        <v>0</v>
      </c>
      <c r="AO151" t="b">
        <v>0</v>
      </c>
      <c r="AP151">
        <v>0</v>
      </c>
      <c r="AQ151">
        <v>3545015055</v>
      </c>
      <c r="AR151">
        <v>3545015055</v>
      </c>
      <c r="AS151">
        <v>0</v>
      </c>
      <c r="AT151" t="b">
        <v>0</v>
      </c>
      <c r="AU151" t="b">
        <v>1</v>
      </c>
      <c r="AV151" t="b">
        <v>1</v>
      </c>
      <c r="AW151" t="b">
        <v>1</v>
      </c>
      <c r="BC151" t="str">
        <f t="shared" si="2"/>
        <v>Normal</v>
      </c>
    </row>
    <row r="152" spans="1:55" x14ac:dyDescent="0.2">
      <c r="A152" t="s">
        <v>39</v>
      </c>
      <c r="B152" t="s">
        <v>40</v>
      </c>
      <c r="C152">
        <v>20200101</v>
      </c>
      <c r="D152">
        <v>2020</v>
      </c>
      <c r="E152">
        <v>52</v>
      </c>
      <c r="F152" t="s">
        <v>309</v>
      </c>
      <c r="G152">
        <v>170</v>
      </c>
      <c r="H152" t="s">
        <v>100</v>
      </c>
      <c r="I152" t="s">
        <v>101</v>
      </c>
      <c r="J152" t="s">
        <v>44</v>
      </c>
      <c r="K152" t="s">
        <v>45</v>
      </c>
      <c r="L152">
        <v>0</v>
      </c>
      <c r="M152" t="s">
        <v>46</v>
      </c>
      <c r="N152" t="s">
        <v>47</v>
      </c>
      <c r="O152">
        <v>0</v>
      </c>
      <c r="P152" t="s">
        <v>46</v>
      </c>
      <c r="Q152" t="s">
        <v>47</v>
      </c>
      <c r="R152" t="s">
        <v>48</v>
      </c>
      <c r="S152" t="s">
        <v>49</v>
      </c>
      <c r="T152" t="b">
        <v>1</v>
      </c>
      <c r="U152" t="s">
        <v>50</v>
      </c>
      <c r="V152" t="s">
        <v>51</v>
      </c>
      <c r="W152">
        <v>4</v>
      </c>
      <c r="X152" t="b">
        <v>0</v>
      </c>
      <c r="Y152" t="s">
        <v>52</v>
      </c>
      <c r="Z152" t="s">
        <v>53</v>
      </c>
      <c r="AA152" t="s">
        <v>54</v>
      </c>
      <c r="AB152">
        <v>0</v>
      </c>
      <c r="AC152" t="s">
        <v>55</v>
      </c>
      <c r="AD152">
        <v>8</v>
      </c>
      <c r="AE152" t="s">
        <v>56</v>
      </c>
      <c r="AF152">
        <v>68876.479999999996</v>
      </c>
      <c r="AG152" t="b">
        <v>0</v>
      </c>
      <c r="AH152">
        <v>8</v>
      </c>
      <c r="AI152" t="s">
        <v>56</v>
      </c>
      <c r="AJ152">
        <v>68876.479999999996</v>
      </c>
      <c r="AK152" t="b">
        <v>0</v>
      </c>
      <c r="AL152" s="1">
        <v>68876.479999999996</v>
      </c>
      <c r="AM152" t="b">
        <v>0</v>
      </c>
      <c r="AN152">
        <v>0</v>
      </c>
      <c r="AO152" t="b">
        <v>0</v>
      </c>
      <c r="AP152">
        <v>0</v>
      </c>
      <c r="AQ152">
        <v>2901983481.0700002</v>
      </c>
      <c r="AR152">
        <v>2901983481.0700002</v>
      </c>
      <c r="AS152">
        <v>0</v>
      </c>
      <c r="AT152" t="b">
        <v>0</v>
      </c>
      <c r="AU152" t="b">
        <v>1</v>
      </c>
      <c r="AV152" t="b">
        <v>1</v>
      </c>
      <c r="AW152" t="b">
        <v>1</v>
      </c>
      <c r="BC152" t="str">
        <f t="shared" si="2"/>
        <v>Outlier</v>
      </c>
    </row>
    <row r="153" spans="1:55" x14ac:dyDescent="0.2">
      <c r="A153" t="s">
        <v>39</v>
      </c>
      <c r="B153" t="s">
        <v>40</v>
      </c>
      <c r="C153">
        <v>20200101</v>
      </c>
      <c r="D153">
        <v>2020</v>
      </c>
      <c r="E153">
        <v>52</v>
      </c>
      <c r="F153" t="s">
        <v>309</v>
      </c>
      <c r="G153">
        <v>178</v>
      </c>
      <c r="H153" t="s">
        <v>102</v>
      </c>
      <c r="I153" t="s">
        <v>103</v>
      </c>
      <c r="J153" t="s">
        <v>44</v>
      </c>
      <c r="K153" t="s">
        <v>45</v>
      </c>
      <c r="L153">
        <v>0</v>
      </c>
      <c r="M153" t="s">
        <v>46</v>
      </c>
      <c r="N153" t="s">
        <v>47</v>
      </c>
      <c r="O153">
        <v>0</v>
      </c>
      <c r="P153" t="s">
        <v>46</v>
      </c>
      <c r="Q153" t="s">
        <v>47</v>
      </c>
      <c r="R153" t="s">
        <v>48</v>
      </c>
      <c r="S153" t="s">
        <v>49</v>
      </c>
      <c r="T153" t="b">
        <v>1</v>
      </c>
      <c r="U153" t="s">
        <v>50</v>
      </c>
      <c r="V153" t="s">
        <v>51</v>
      </c>
      <c r="W153">
        <v>4</v>
      </c>
      <c r="X153" t="b">
        <v>0</v>
      </c>
      <c r="Y153" t="s">
        <v>52</v>
      </c>
      <c r="Z153" t="s">
        <v>53</v>
      </c>
      <c r="AA153" t="s">
        <v>54</v>
      </c>
      <c r="AB153">
        <v>0</v>
      </c>
      <c r="AC153" t="s">
        <v>55</v>
      </c>
      <c r="AD153">
        <v>8</v>
      </c>
      <c r="AE153" t="s">
        <v>56</v>
      </c>
      <c r="AF153">
        <v>20</v>
      </c>
      <c r="AG153" t="b">
        <v>0</v>
      </c>
      <c r="AH153">
        <v>8</v>
      </c>
      <c r="AI153" t="s">
        <v>56</v>
      </c>
      <c r="AJ153">
        <v>20</v>
      </c>
      <c r="AK153" t="b">
        <v>0</v>
      </c>
      <c r="AL153">
        <v>20</v>
      </c>
      <c r="AM153" t="b">
        <v>0</v>
      </c>
      <c r="AN153">
        <v>0</v>
      </c>
      <c r="AO153" t="b">
        <v>0</v>
      </c>
      <c r="AP153">
        <v>0</v>
      </c>
      <c r="AQ153">
        <v>231247.58</v>
      </c>
      <c r="AR153">
        <v>231247.58</v>
      </c>
      <c r="AS153">
        <v>0</v>
      </c>
      <c r="AT153" t="b">
        <v>0</v>
      </c>
      <c r="AU153" t="b">
        <v>1</v>
      </c>
      <c r="AV153" t="b">
        <v>1</v>
      </c>
      <c r="AW153" t="b">
        <v>1</v>
      </c>
      <c r="BC153" t="str">
        <f t="shared" si="2"/>
        <v>Normal</v>
      </c>
    </row>
    <row r="154" spans="1:55" x14ac:dyDescent="0.2">
      <c r="A154" t="s">
        <v>39</v>
      </c>
      <c r="B154" t="s">
        <v>40</v>
      </c>
      <c r="C154">
        <v>20200101</v>
      </c>
      <c r="D154">
        <v>2020</v>
      </c>
      <c r="E154">
        <v>52</v>
      </c>
      <c r="F154" t="s">
        <v>309</v>
      </c>
      <c r="G154">
        <v>180</v>
      </c>
      <c r="H154" t="s">
        <v>104</v>
      </c>
      <c r="I154" t="s">
        <v>105</v>
      </c>
      <c r="J154" t="s">
        <v>44</v>
      </c>
      <c r="K154" t="s">
        <v>45</v>
      </c>
      <c r="L154">
        <v>0</v>
      </c>
      <c r="M154" t="s">
        <v>46</v>
      </c>
      <c r="N154" t="s">
        <v>47</v>
      </c>
      <c r="O154">
        <v>0</v>
      </c>
      <c r="P154" t="s">
        <v>46</v>
      </c>
      <c r="Q154" t="s">
        <v>47</v>
      </c>
      <c r="R154" t="s">
        <v>95</v>
      </c>
      <c r="S154" t="s">
        <v>49</v>
      </c>
      <c r="T154" t="b">
        <v>1</v>
      </c>
      <c r="U154" t="s">
        <v>50</v>
      </c>
      <c r="V154" t="s">
        <v>51</v>
      </c>
      <c r="W154">
        <v>4</v>
      </c>
      <c r="X154" t="b">
        <v>0</v>
      </c>
      <c r="Y154" t="s">
        <v>52</v>
      </c>
      <c r="Z154" t="s">
        <v>53</v>
      </c>
      <c r="AA154" t="s">
        <v>54</v>
      </c>
      <c r="AB154">
        <v>0</v>
      </c>
      <c r="AC154" t="s">
        <v>55</v>
      </c>
      <c r="AD154">
        <v>8</v>
      </c>
      <c r="AE154" t="s">
        <v>56</v>
      </c>
      <c r="AF154">
        <v>85</v>
      </c>
      <c r="AG154" t="b">
        <v>0</v>
      </c>
      <c r="AH154">
        <v>8</v>
      </c>
      <c r="AI154" t="s">
        <v>56</v>
      </c>
      <c r="AJ154">
        <v>85</v>
      </c>
      <c r="AK154" t="b">
        <v>0</v>
      </c>
      <c r="AL154">
        <v>85</v>
      </c>
      <c r="AM154" t="b">
        <v>0</v>
      </c>
      <c r="AN154">
        <v>0</v>
      </c>
      <c r="AO154" t="b">
        <v>0</v>
      </c>
      <c r="AQ154">
        <v>3959114.2390000001</v>
      </c>
      <c r="AR154">
        <v>3959114.2390000001</v>
      </c>
      <c r="AS154">
        <v>0</v>
      </c>
      <c r="AT154" t="b">
        <v>0</v>
      </c>
      <c r="AU154" t="b">
        <v>1</v>
      </c>
      <c r="AV154" t="b">
        <v>1</v>
      </c>
      <c r="AW154" t="b">
        <v>1</v>
      </c>
      <c r="BC154" t="str">
        <f t="shared" si="2"/>
        <v>Normal</v>
      </c>
    </row>
    <row r="155" spans="1:55" x14ac:dyDescent="0.2">
      <c r="A155" t="s">
        <v>39</v>
      </c>
      <c r="B155" t="s">
        <v>40</v>
      </c>
      <c r="C155">
        <v>20200101</v>
      </c>
      <c r="D155">
        <v>2020</v>
      </c>
      <c r="E155">
        <v>52</v>
      </c>
      <c r="F155" t="s">
        <v>309</v>
      </c>
      <c r="G155">
        <v>188</v>
      </c>
      <c r="H155" t="s">
        <v>106</v>
      </c>
      <c r="I155" t="s">
        <v>107</v>
      </c>
      <c r="J155" t="s">
        <v>44</v>
      </c>
      <c r="K155" t="s">
        <v>45</v>
      </c>
      <c r="L155">
        <v>0</v>
      </c>
      <c r="M155" t="s">
        <v>46</v>
      </c>
      <c r="N155" t="s">
        <v>47</v>
      </c>
      <c r="O155">
        <v>0</v>
      </c>
      <c r="P155" t="s">
        <v>46</v>
      </c>
      <c r="Q155" t="s">
        <v>47</v>
      </c>
      <c r="R155" t="s">
        <v>48</v>
      </c>
      <c r="S155" t="s">
        <v>49</v>
      </c>
      <c r="T155" t="b">
        <v>1</v>
      </c>
      <c r="U155" t="s">
        <v>50</v>
      </c>
      <c r="V155" t="s">
        <v>51</v>
      </c>
      <c r="W155">
        <v>4</v>
      </c>
      <c r="X155" t="b">
        <v>0</v>
      </c>
      <c r="Y155" t="s">
        <v>52</v>
      </c>
      <c r="Z155" t="s">
        <v>53</v>
      </c>
      <c r="AA155" t="s">
        <v>54</v>
      </c>
      <c r="AB155">
        <v>0</v>
      </c>
      <c r="AC155" t="s">
        <v>55</v>
      </c>
      <c r="AD155">
        <v>8</v>
      </c>
      <c r="AE155" t="s">
        <v>56</v>
      </c>
      <c r="AF155">
        <v>705</v>
      </c>
      <c r="AG155" t="b">
        <v>0</v>
      </c>
      <c r="AH155">
        <v>8</v>
      </c>
      <c r="AI155" t="s">
        <v>56</v>
      </c>
      <c r="AJ155">
        <v>705</v>
      </c>
      <c r="AK155" t="b">
        <v>0</v>
      </c>
      <c r="AL155">
        <v>705</v>
      </c>
      <c r="AM155" t="b">
        <v>0</v>
      </c>
      <c r="AN155">
        <v>0</v>
      </c>
      <c r="AO155" t="b">
        <v>0</v>
      </c>
      <c r="AP155">
        <v>0</v>
      </c>
      <c r="AQ155">
        <v>16059557.33</v>
      </c>
      <c r="AR155">
        <v>16059557.33</v>
      </c>
      <c r="AS155">
        <v>0</v>
      </c>
      <c r="AT155" t="b">
        <v>0</v>
      </c>
      <c r="AU155" t="b">
        <v>1</v>
      </c>
      <c r="AV155" t="b">
        <v>1</v>
      </c>
      <c r="AW155" t="b">
        <v>1</v>
      </c>
      <c r="BC155" t="str">
        <f t="shared" si="2"/>
        <v>Normal</v>
      </c>
    </row>
    <row r="156" spans="1:55" x14ac:dyDescent="0.2">
      <c r="A156" t="s">
        <v>39</v>
      </c>
      <c r="B156" t="s">
        <v>40</v>
      </c>
      <c r="C156">
        <v>20200101</v>
      </c>
      <c r="D156">
        <v>2020</v>
      </c>
      <c r="E156">
        <v>52</v>
      </c>
      <c r="F156" t="s">
        <v>309</v>
      </c>
      <c r="G156">
        <v>191</v>
      </c>
      <c r="H156" t="s">
        <v>108</v>
      </c>
      <c r="I156" t="s">
        <v>109</v>
      </c>
      <c r="J156" t="s">
        <v>44</v>
      </c>
      <c r="K156" t="s">
        <v>45</v>
      </c>
      <c r="L156">
        <v>0</v>
      </c>
      <c r="M156" t="s">
        <v>46</v>
      </c>
      <c r="N156" t="s">
        <v>47</v>
      </c>
      <c r="O156">
        <v>0</v>
      </c>
      <c r="P156" t="s">
        <v>46</v>
      </c>
      <c r="Q156" t="s">
        <v>47</v>
      </c>
      <c r="R156" t="s">
        <v>48</v>
      </c>
      <c r="S156" t="s">
        <v>49</v>
      </c>
      <c r="T156" t="b">
        <v>1</v>
      </c>
      <c r="U156" t="s">
        <v>50</v>
      </c>
      <c r="V156" t="s">
        <v>51</v>
      </c>
      <c r="W156">
        <v>4</v>
      </c>
      <c r="X156" t="b">
        <v>0</v>
      </c>
      <c r="Y156" t="s">
        <v>52</v>
      </c>
      <c r="Z156" t="s">
        <v>53</v>
      </c>
      <c r="AA156" t="s">
        <v>54</v>
      </c>
      <c r="AB156">
        <v>0</v>
      </c>
      <c r="AC156" t="s">
        <v>55</v>
      </c>
      <c r="AD156">
        <v>8</v>
      </c>
      <c r="AE156" t="s">
        <v>56</v>
      </c>
      <c r="AF156">
        <v>1404.923</v>
      </c>
      <c r="AG156" t="b">
        <v>0</v>
      </c>
      <c r="AH156">
        <v>15</v>
      </c>
      <c r="AI156" t="s">
        <v>59</v>
      </c>
      <c r="AJ156">
        <v>1404923.21</v>
      </c>
      <c r="AK156" t="b">
        <v>0</v>
      </c>
      <c r="AL156">
        <v>1424.7819999999999</v>
      </c>
      <c r="AM156" t="b">
        <v>0</v>
      </c>
      <c r="AN156">
        <v>0</v>
      </c>
      <c r="AO156" t="b">
        <v>0</v>
      </c>
      <c r="AP156">
        <v>0</v>
      </c>
      <c r="AQ156">
        <v>75666092</v>
      </c>
      <c r="AR156">
        <v>75666092</v>
      </c>
      <c r="AS156">
        <v>0</v>
      </c>
      <c r="AT156" t="b">
        <v>0</v>
      </c>
      <c r="AU156" t="b">
        <v>1</v>
      </c>
      <c r="AV156" t="b">
        <v>1</v>
      </c>
      <c r="AW156" t="b">
        <v>1</v>
      </c>
      <c r="BC156" t="str">
        <f t="shared" si="2"/>
        <v>Normal</v>
      </c>
    </row>
    <row r="157" spans="1:55" x14ac:dyDescent="0.2">
      <c r="A157" t="s">
        <v>39</v>
      </c>
      <c r="B157" t="s">
        <v>40</v>
      </c>
      <c r="C157">
        <v>20200101</v>
      </c>
      <c r="D157">
        <v>2020</v>
      </c>
      <c r="E157">
        <v>52</v>
      </c>
      <c r="F157" t="s">
        <v>309</v>
      </c>
      <c r="G157">
        <v>196</v>
      </c>
      <c r="H157" t="s">
        <v>112</v>
      </c>
      <c r="I157" t="s">
        <v>113</v>
      </c>
      <c r="J157" t="s">
        <v>44</v>
      </c>
      <c r="K157" t="s">
        <v>45</v>
      </c>
      <c r="L157">
        <v>0</v>
      </c>
      <c r="M157" t="s">
        <v>46</v>
      </c>
      <c r="N157" t="s">
        <v>47</v>
      </c>
      <c r="O157">
        <v>0</v>
      </c>
      <c r="P157" t="s">
        <v>46</v>
      </c>
      <c r="Q157" t="s">
        <v>47</v>
      </c>
      <c r="R157" t="s">
        <v>48</v>
      </c>
      <c r="S157" t="s">
        <v>49</v>
      </c>
      <c r="T157" t="b">
        <v>1</v>
      </c>
      <c r="U157" t="s">
        <v>50</v>
      </c>
      <c r="V157" t="s">
        <v>51</v>
      </c>
      <c r="W157">
        <v>4</v>
      </c>
      <c r="X157" t="b">
        <v>0</v>
      </c>
      <c r="Y157" t="s">
        <v>52</v>
      </c>
      <c r="Z157" t="s">
        <v>53</v>
      </c>
      <c r="AA157" t="s">
        <v>54</v>
      </c>
      <c r="AB157">
        <v>0</v>
      </c>
      <c r="AC157" t="s">
        <v>55</v>
      </c>
      <c r="AD157">
        <v>-1</v>
      </c>
      <c r="AE157" t="s">
        <v>64</v>
      </c>
      <c r="AF157">
        <v>0</v>
      </c>
      <c r="AG157" t="b">
        <v>0</v>
      </c>
      <c r="AH157">
        <v>15</v>
      </c>
      <c r="AI157" t="s">
        <v>59</v>
      </c>
      <c r="AJ157">
        <v>276028</v>
      </c>
      <c r="AK157" t="b">
        <v>0</v>
      </c>
      <c r="AL157">
        <v>296</v>
      </c>
      <c r="AM157" t="b">
        <v>0</v>
      </c>
      <c r="AN157">
        <v>0</v>
      </c>
      <c r="AO157" t="b">
        <v>0</v>
      </c>
      <c r="AP157">
        <v>0</v>
      </c>
      <c r="AQ157">
        <v>13143066.620999999</v>
      </c>
      <c r="AR157">
        <v>13143066.620999999</v>
      </c>
      <c r="AS157">
        <v>0</v>
      </c>
      <c r="AT157" t="b">
        <v>0</v>
      </c>
      <c r="AU157" t="b">
        <v>1</v>
      </c>
      <c r="AV157" t="b">
        <v>1</v>
      </c>
      <c r="AW157" t="b">
        <v>1</v>
      </c>
      <c r="BC157" t="str">
        <f t="shared" si="2"/>
        <v>Normal</v>
      </c>
    </row>
    <row r="158" spans="1:55" x14ac:dyDescent="0.2">
      <c r="A158" t="s">
        <v>39</v>
      </c>
      <c r="B158" t="s">
        <v>40</v>
      </c>
      <c r="C158">
        <v>20200101</v>
      </c>
      <c r="D158">
        <v>2020</v>
      </c>
      <c r="E158">
        <v>52</v>
      </c>
      <c r="F158" t="s">
        <v>309</v>
      </c>
      <c r="G158">
        <v>203</v>
      </c>
      <c r="H158" t="s">
        <v>114</v>
      </c>
      <c r="I158" t="s">
        <v>115</v>
      </c>
      <c r="J158" t="s">
        <v>44</v>
      </c>
      <c r="K158" t="s">
        <v>45</v>
      </c>
      <c r="L158">
        <v>0</v>
      </c>
      <c r="M158" t="s">
        <v>46</v>
      </c>
      <c r="N158" t="s">
        <v>47</v>
      </c>
      <c r="O158">
        <v>0</v>
      </c>
      <c r="P158" t="s">
        <v>46</v>
      </c>
      <c r="Q158" t="s">
        <v>47</v>
      </c>
      <c r="R158" t="s">
        <v>48</v>
      </c>
      <c r="S158" t="s">
        <v>49</v>
      </c>
      <c r="T158" t="b">
        <v>1</v>
      </c>
      <c r="U158" t="s">
        <v>50</v>
      </c>
      <c r="V158" t="s">
        <v>51</v>
      </c>
      <c r="W158">
        <v>4</v>
      </c>
      <c r="X158" t="b">
        <v>0</v>
      </c>
      <c r="Y158" t="s">
        <v>52</v>
      </c>
      <c r="Z158" t="s">
        <v>53</v>
      </c>
      <c r="AA158" t="s">
        <v>54</v>
      </c>
      <c r="AB158">
        <v>0</v>
      </c>
      <c r="AC158" t="s">
        <v>55</v>
      </c>
      <c r="AD158">
        <v>-1</v>
      </c>
      <c r="AE158" t="s">
        <v>64</v>
      </c>
      <c r="AF158">
        <v>0</v>
      </c>
      <c r="AG158" t="b">
        <v>1</v>
      </c>
      <c r="AH158">
        <v>-1</v>
      </c>
      <c r="AI158" t="s">
        <v>64</v>
      </c>
      <c r="AJ158">
        <v>0</v>
      </c>
      <c r="AK158" t="b">
        <v>0</v>
      </c>
      <c r="AL158">
        <v>0</v>
      </c>
      <c r="AM158" t="b">
        <v>1</v>
      </c>
      <c r="AN158">
        <v>0</v>
      </c>
      <c r="AO158" t="b">
        <v>0</v>
      </c>
      <c r="AP158">
        <v>0</v>
      </c>
      <c r="AQ158">
        <v>92323744</v>
      </c>
      <c r="AR158">
        <v>92323744</v>
      </c>
      <c r="AS158">
        <v>6</v>
      </c>
      <c r="AT158" t="b">
        <v>0</v>
      </c>
      <c r="AU158" t="b">
        <v>1</v>
      </c>
      <c r="AV158" t="b">
        <v>1</v>
      </c>
      <c r="AW158" t="b">
        <v>1</v>
      </c>
      <c r="BC158" t="str">
        <f t="shared" si="2"/>
        <v>Normal</v>
      </c>
    </row>
    <row r="159" spans="1:55" x14ac:dyDescent="0.2">
      <c r="A159" t="s">
        <v>39</v>
      </c>
      <c r="B159" t="s">
        <v>40</v>
      </c>
      <c r="C159">
        <v>20200101</v>
      </c>
      <c r="D159">
        <v>2020</v>
      </c>
      <c r="E159">
        <v>52</v>
      </c>
      <c r="F159" t="s">
        <v>309</v>
      </c>
      <c r="G159">
        <v>204</v>
      </c>
      <c r="H159" t="s">
        <v>116</v>
      </c>
      <c r="I159" t="s">
        <v>117</v>
      </c>
      <c r="J159" t="s">
        <v>44</v>
      </c>
      <c r="K159" t="s">
        <v>45</v>
      </c>
      <c r="L159">
        <v>0</v>
      </c>
      <c r="M159" t="s">
        <v>46</v>
      </c>
      <c r="N159" t="s">
        <v>47</v>
      </c>
      <c r="O159">
        <v>0</v>
      </c>
      <c r="P159" t="s">
        <v>46</v>
      </c>
      <c r="Q159" t="s">
        <v>47</v>
      </c>
      <c r="R159" t="s">
        <v>48</v>
      </c>
      <c r="S159" t="s">
        <v>49</v>
      </c>
      <c r="T159" t="b">
        <v>1</v>
      </c>
      <c r="U159" t="s">
        <v>50</v>
      </c>
      <c r="V159" t="s">
        <v>51</v>
      </c>
      <c r="W159">
        <v>4</v>
      </c>
      <c r="X159" t="b">
        <v>0</v>
      </c>
      <c r="Y159" t="s">
        <v>52</v>
      </c>
      <c r="Z159" t="s">
        <v>53</v>
      </c>
      <c r="AA159" t="s">
        <v>54</v>
      </c>
      <c r="AB159">
        <v>0</v>
      </c>
      <c r="AC159" t="s">
        <v>55</v>
      </c>
      <c r="AD159">
        <v>8</v>
      </c>
      <c r="AE159" t="s">
        <v>56</v>
      </c>
      <c r="AF159">
        <v>8517.4590000000007</v>
      </c>
      <c r="AG159" t="b">
        <v>1</v>
      </c>
      <c r="AH159">
        <v>-1</v>
      </c>
      <c r="AI159" t="s">
        <v>64</v>
      </c>
      <c r="AJ159">
        <v>0</v>
      </c>
      <c r="AK159" t="b">
        <v>0</v>
      </c>
      <c r="AL159">
        <v>8517.4590000000007</v>
      </c>
      <c r="AM159" t="b">
        <v>1</v>
      </c>
      <c r="AN159">
        <v>0</v>
      </c>
      <c r="AO159" t="b">
        <v>0</v>
      </c>
      <c r="AQ159">
        <v>14767895.955</v>
      </c>
      <c r="AR159">
        <v>14767895.955</v>
      </c>
      <c r="AS159">
        <v>6</v>
      </c>
      <c r="AT159" t="b">
        <v>0</v>
      </c>
      <c r="AU159" t="b">
        <v>1</v>
      </c>
      <c r="AV159" t="b">
        <v>1</v>
      </c>
      <c r="AW159" t="b">
        <v>1</v>
      </c>
      <c r="BC159" t="str">
        <f t="shared" si="2"/>
        <v>Normal</v>
      </c>
    </row>
    <row r="160" spans="1:55" x14ac:dyDescent="0.2">
      <c r="A160" t="s">
        <v>39</v>
      </c>
      <c r="B160" t="s">
        <v>40</v>
      </c>
      <c r="C160">
        <v>20200101</v>
      </c>
      <c r="D160">
        <v>2020</v>
      </c>
      <c r="E160">
        <v>52</v>
      </c>
      <c r="F160" t="s">
        <v>309</v>
      </c>
      <c r="G160">
        <v>208</v>
      </c>
      <c r="H160" t="s">
        <v>118</v>
      </c>
      <c r="I160" t="s">
        <v>119</v>
      </c>
      <c r="J160" t="s">
        <v>44</v>
      </c>
      <c r="K160" t="s">
        <v>45</v>
      </c>
      <c r="L160">
        <v>0</v>
      </c>
      <c r="M160" t="s">
        <v>46</v>
      </c>
      <c r="N160" t="s">
        <v>47</v>
      </c>
      <c r="O160">
        <v>0</v>
      </c>
      <c r="P160" t="s">
        <v>46</v>
      </c>
      <c r="Q160" t="s">
        <v>47</v>
      </c>
      <c r="R160" t="s">
        <v>48</v>
      </c>
      <c r="S160" t="s">
        <v>49</v>
      </c>
      <c r="T160" t="b">
        <v>1</v>
      </c>
      <c r="U160" t="s">
        <v>50</v>
      </c>
      <c r="V160" t="s">
        <v>51</v>
      </c>
      <c r="W160">
        <v>4</v>
      </c>
      <c r="X160" t="b">
        <v>0</v>
      </c>
      <c r="Y160" t="s">
        <v>52</v>
      </c>
      <c r="Z160" t="s">
        <v>53</v>
      </c>
      <c r="AA160" t="s">
        <v>54</v>
      </c>
      <c r="AB160">
        <v>0</v>
      </c>
      <c r="AC160" t="s">
        <v>55</v>
      </c>
      <c r="AD160">
        <v>8</v>
      </c>
      <c r="AE160" t="s">
        <v>56</v>
      </c>
      <c r="AF160">
        <v>312.33800000000002</v>
      </c>
      <c r="AG160" t="b">
        <v>1</v>
      </c>
      <c r="AH160">
        <v>-1</v>
      </c>
      <c r="AI160" t="s">
        <v>64</v>
      </c>
      <c r="AJ160">
        <v>0</v>
      </c>
      <c r="AK160" t="b">
        <v>0</v>
      </c>
      <c r="AL160">
        <v>0</v>
      </c>
      <c r="AM160" t="b">
        <v>0</v>
      </c>
      <c r="AN160">
        <v>0</v>
      </c>
      <c r="AO160" t="b">
        <v>0</v>
      </c>
      <c r="AP160">
        <v>0</v>
      </c>
      <c r="AQ160">
        <v>15369503.639</v>
      </c>
      <c r="AR160">
        <v>15369503.639</v>
      </c>
      <c r="AS160">
        <v>2</v>
      </c>
      <c r="AT160" t="b">
        <v>0</v>
      </c>
      <c r="AU160" t="b">
        <v>1</v>
      </c>
      <c r="AV160" t="b">
        <v>1</v>
      </c>
      <c r="AW160" t="b">
        <v>1</v>
      </c>
      <c r="BC160" t="str">
        <f t="shared" si="2"/>
        <v>Normal</v>
      </c>
    </row>
    <row r="161" spans="1:55" x14ac:dyDescent="0.2">
      <c r="A161" t="s">
        <v>39</v>
      </c>
      <c r="B161" t="s">
        <v>40</v>
      </c>
      <c r="C161">
        <v>20200101</v>
      </c>
      <c r="D161">
        <v>2020</v>
      </c>
      <c r="E161">
        <v>52</v>
      </c>
      <c r="F161" t="s">
        <v>309</v>
      </c>
      <c r="G161">
        <v>214</v>
      </c>
      <c r="H161" t="s">
        <v>120</v>
      </c>
      <c r="I161" t="s">
        <v>121</v>
      </c>
      <c r="J161" t="s">
        <v>44</v>
      </c>
      <c r="K161" t="s">
        <v>45</v>
      </c>
      <c r="L161">
        <v>0</v>
      </c>
      <c r="M161" t="s">
        <v>46</v>
      </c>
      <c r="N161" t="s">
        <v>47</v>
      </c>
      <c r="O161">
        <v>0</v>
      </c>
      <c r="P161" t="s">
        <v>46</v>
      </c>
      <c r="Q161" t="s">
        <v>47</v>
      </c>
      <c r="R161" t="s">
        <v>48</v>
      </c>
      <c r="S161" t="s">
        <v>49</v>
      </c>
      <c r="T161" t="b">
        <v>1</v>
      </c>
      <c r="U161" t="s">
        <v>50</v>
      </c>
      <c r="V161" t="s">
        <v>51</v>
      </c>
      <c r="W161">
        <v>4</v>
      </c>
      <c r="X161" t="b">
        <v>0</v>
      </c>
      <c r="Y161" t="s">
        <v>52</v>
      </c>
      <c r="Z161" t="s">
        <v>53</v>
      </c>
      <c r="AA161" t="s">
        <v>54</v>
      </c>
      <c r="AB161">
        <v>0</v>
      </c>
      <c r="AC161" t="s">
        <v>55</v>
      </c>
      <c r="AD161">
        <v>8</v>
      </c>
      <c r="AE161" t="s">
        <v>56</v>
      </c>
      <c r="AF161">
        <v>124433.715</v>
      </c>
      <c r="AG161" t="b">
        <v>1</v>
      </c>
      <c r="AH161">
        <v>-1</v>
      </c>
      <c r="AI161" t="s">
        <v>64</v>
      </c>
      <c r="AJ161">
        <v>0</v>
      </c>
      <c r="AK161" t="b">
        <v>0</v>
      </c>
      <c r="AL161" s="1">
        <v>126749.947</v>
      </c>
      <c r="AM161" t="b">
        <v>1</v>
      </c>
      <c r="AN161">
        <v>0</v>
      </c>
      <c r="AO161" t="b">
        <v>0</v>
      </c>
      <c r="AQ161">
        <v>1766244583.6500001</v>
      </c>
      <c r="AR161">
        <v>1766244583.6500001</v>
      </c>
      <c r="AS161">
        <v>6</v>
      </c>
      <c r="AT161" t="b">
        <v>0</v>
      </c>
      <c r="AU161" t="b">
        <v>1</v>
      </c>
      <c r="AV161" t="b">
        <v>1</v>
      </c>
      <c r="AW161" t="b">
        <v>1</v>
      </c>
      <c r="BC161" t="str">
        <f t="shared" si="2"/>
        <v>Outlier</v>
      </c>
    </row>
    <row r="162" spans="1:55" x14ac:dyDescent="0.2">
      <c r="A162" t="s">
        <v>39</v>
      </c>
      <c r="B162" t="s">
        <v>40</v>
      </c>
      <c r="C162">
        <v>20200101</v>
      </c>
      <c r="D162">
        <v>2020</v>
      </c>
      <c r="E162">
        <v>52</v>
      </c>
      <c r="F162" t="s">
        <v>309</v>
      </c>
      <c r="G162">
        <v>218</v>
      </c>
      <c r="H162" t="s">
        <v>122</v>
      </c>
      <c r="I162" t="s">
        <v>123</v>
      </c>
      <c r="J162" t="s">
        <v>44</v>
      </c>
      <c r="K162" t="s">
        <v>45</v>
      </c>
      <c r="L162">
        <v>0</v>
      </c>
      <c r="M162" t="s">
        <v>46</v>
      </c>
      <c r="N162" t="s">
        <v>47</v>
      </c>
      <c r="O162">
        <v>0</v>
      </c>
      <c r="P162" t="s">
        <v>46</v>
      </c>
      <c r="Q162" t="s">
        <v>47</v>
      </c>
      <c r="R162" t="s">
        <v>48</v>
      </c>
      <c r="S162" t="s">
        <v>49</v>
      </c>
      <c r="T162" t="b">
        <v>1</v>
      </c>
      <c r="U162" t="s">
        <v>50</v>
      </c>
      <c r="V162" t="s">
        <v>51</v>
      </c>
      <c r="W162">
        <v>4</v>
      </c>
      <c r="X162" t="b">
        <v>0</v>
      </c>
      <c r="Y162" t="s">
        <v>52</v>
      </c>
      <c r="Z162" t="s">
        <v>53</v>
      </c>
      <c r="AA162" t="s">
        <v>54</v>
      </c>
      <c r="AB162">
        <v>0</v>
      </c>
      <c r="AC162" t="s">
        <v>55</v>
      </c>
      <c r="AD162">
        <v>8</v>
      </c>
      <c r="AE162" t="s">
        <v>56</v>
      </c>
      <c r="AF162">
        <v>8092.8869999999997</v>
      </c>
      <c r="AG162" t="b">
        <v>0</v>
      </c>
      <c r="AH162">
        <v>8</v>
      </c>
      <c r="AI162" t="s">
        <v>56</v>
      </c>
      <c r="AJ162">
        <v>8092.8869999999997</v>
      </c>
      <c r="AK162" t="b">
        <v>0</v>
      </c>
      <c r="AL162">
        <v>8092.8869999999997</v>
      </c>
      <c r="AM162" t="b">
        <v>0</v>
      </c>
      <c r="AN162">
        <v>0</v>
      </c>
      <c r="AO162" t="b">
        <v>0</v>
      </c>
      <c r="AP162">
        <v>0</v>
      </c>
      <c r="AQ162">
        <v>378490100.06</v>
      </c>
      <c r="AR162">
        <v>378490100.06</v>
      </c>
      <c r="AS162">
        <v>0</v>
      </c>
      <c r="AT162" t="b">
        <v>0</v>
      </c>
      <c r="AU162" t="b">
        <v>1</v>
      </c>
      <c r="AV162" t="b">
        <v>1</v>
      </c>
      <c r="AW162" t="b">
        <v>1</v>
      </c>
      <c r="BC162" t="str">
        <f t="shared" si="2"/>
        <v>Normal</v>
      </c>
    </row>
    <row r="163" spans="1:55" x14ac:dyDescent="0.2">
      <c r="A163" t="s">
        <v>39</v>
      </c>
      <c r="B163" t="s">
        <v>40</v>
      </c>
      <c r="C163">
        <v>20200101</v>
      </c>
      <c r="D163">
        <v>2020</v>
      </c>
      <c r="E163">
        <v>52</v>
      </c>
      <c r="F163" t="s">
        <v>309</v>
      </c>
      <c r="G163">
        <v>222</v>
      </c>
      <c r="H163" t="s">
        <v>319</v>
      </c>
      <c r="I163" t="s">
        <v>320</v>
      </c>
      <c r="J163" t="s">
        <v>44</v>
      </c>
      <c r="K163" t="s">
        <v>45</v>
      </c>
      <c r="L163">
        <v>0</v>
      </c>
      <c r="M163" t="s">
        <v>46</v>
      </c>
      <c r="N163" t="s">
        <v>47</v>
      </c>
      <c r="O163">
        <v>0</v>
      </c>
      <c r="P163" t="s">
        <v>46</v>
      </c>
      <c r="Q163" t="s">
        <v>47</v>
      </c>
      <c r="R163" t="s">
        <v>48</v>
      </c>
      <c r="S163" t="s">
        <v>49</v>
      </c>
      <c r="T163" t="b">
        <v>1</v>
      </c>
      <c r="U163" t="s">
        <v>50</v>
      </c>
      <c r="V163" t="s">
        <v>51</v>
      </c>
      <c r="W163">
        <v>4</v>
      </c>
      <c r="X163" t="b">
        <v>0</v>
      </c>
      <c r="Y163" t="s">
        <v>52</v>
      </c>
      <c r="Z163" t="s">
        <v>53</v>
      </c>
      <c r="AA163" t="s">
        <v>54</v>
      </c>
      <c r="AB163">
        <v>0</v>
      </c>
      <c r="AC163" t="s">
        <v>55</v>
      </c>
      <c r="AD163">
        <v>-1</v>
      </c>
      <c r="AE163" t="s">
        <v>64</v>
      </c>
      <c r="AF163">
        <v>0</v>
      </c>
      <c r="AG163" t="b">
        <v>0</v>
      </c>
      <c r="AH163">
        <v>-1</v>
      </c>
      <c r="AI163" t="s">
        <v>64</v>
      </c>
      <c r="AJ163">
        <v>0</v>
      </c>
      <c r="AK163" t="b">
        <v>0</v>
      </c>
      <c r="AL163">
        <v>0</v>
      </c>
      <c r="AM163" t="b">
        <v>0</v>
      </c>
      <c r="AN163">
        <v>0</v>
      </c>
      <c r="AO163" t="b">
        <v>0</v>
      </c>
      <c r="AP163">
        <v>0</v>
      </c>
      <c r="AQ163">
        <v>56539.91</v>
      </c>
      <c r="AR163">
        <v>56539.91</v>
      </c>
      <c r="AS163">
        <v>0</v>
      </c>
      <c r="AT163" t="b">
        <v>0</v>
      </c>
      <c r="AU163" t="b">
        <v>1</v>
      </c>
      <c r="AV163" t="b">
        <v>1</v>
      </c>
      <c r="AW163" t="b">
        <v>1</v>
      </c>
      <c r="BC163" t="str">
        <f t="shared" si="2"/>
        <v>Normal</v>
      </c>
    </row>
    <row r="164" spans="1:55" x14ac:dyDescent="0.2">
      <c r="A164" t="s">
        <v>39</v>
      </c>
      <c r="B164" t="s">
        <v>40</v>
      </c>
      <c r="C164">
        <v>20200101</v>
      </c>
      <c r="D164">
        <v>2020</v>
      </c>
      <c r="E164">
        <v>52</v>
      </c>
      <c r="F164" t="s">
        <v>309</v>
      </c>
      <c r="G164">
        <v>233</v>
      </c>
      <c r="H164" t="s">
        <v>124</v>
      </c>
      <c r="I164" t="s">
        <v>125</v>
      </c>
      <c r="J164" t="s">
        <v>44</v>
      </c>
      <c r="K164" t="s">
        <v>45</v>
      </c>
      <c r="L164">
        <v>0</v>
      </c>
      <c r="M164" t="s">
        <v>46</v>
      </c>
      <c r="N164" t="s">
        <v>47</v>
      </c>
      <c r="O164">
        <v>0</v>
      </c>
      <c r="P164" t="s">
        <v>46</v>
      </c>
      <c r="Q164" t="s">
        <v>47</v>
      </c>
      <c r="R164" t="s">
        <v>48</v>
      </c>
      <c r="S164" t="s">
        <v>49</v>
      </c>
      <c r="T164" t="b">
        <v>1</v>
      </c>
      <c r="U164" t="s">
        <v>50</v>
      </c>
      <c r="V164" t="s">
        <v>51</v>
      </c>
      <c r="W164">
        <v>4</v>
      </c>
      <c r="X164" t="b">
        <v>0</v>
      </c>
      <c r="Y164" t="s">
        <v>52</v>
      </c>
      <c r="Z164" t="s">
        <v>53</v>
      </c>
      <c r="AA164" t="s">
        <v>54</v>
      </c>
      <c r="AB164">
        <v>0</v>
      </c>
      <c r="AC164" t="s">
        <v>55</v>
      </c>
      <c r="AD164">
        <v>8</v>
      </c>
      <c r="AE164" t="s">
        <v>56</v>
      </c>
      <c r="AF164">
        <v>2094.652</v>
      </c>
      <c r="AG164" t="b">
        <v>0</v>
      </c>
      <c r="AH164">
        <v>15</v>
      </c>
      <c r="AI164" t="s">
        <v>59</v>
      </c>
      <c r="AJ164">
        <v>2094652.2</v>
      </c>
      <c r="AK164" t="b">
        <v>0</v>
      </c>
      <c r="AL164">
        <v>2094.6779999999999</v>
      </c>
      <c r="AM164" t="b">
        <v>0</v>
      </c>
      <c r="AN164">
        <v>0</v>
      </c>
      <c r="AO164" t="b">
        <v>0</v>
      </c>
      <c r="AQ164">
        <v>117408897.61</v>
      </c>
      <c r="AR164">
        <v>117408897.61</v>
      </c>
      <c r="AS164">
        <v>0</v>
      </c>
      <c r="AT164" t="b">
        <v>0</v>
      </c>
      <c r="AU164" t="b">
        <v>1</v>
      </c>
      <c r="AV164" t="b">
        <v>1</v>
      </c>
      <c r="AW164" t="b">
        <v>1</v>
      </c>
      <c r="BC164" t="str">
        <f t="shared" si="2"/>
        <v>Normal</v>
      </c>
    </row>
    <row r="165" spans="1:55" x14ac:dyDescent="0.2">
      <c r="A165" t="s">
        <v>39</v>
      </c>
      <c r="B165" t="s">
        <v>40</v>
      </c>
      <c r="C165">
        <v>20200101</v>
      </c>
      <c r="D165">
        <v>2020</v>
      </c>
      <c r="E165">
        <v>52</v>
      </c>
      <c r="F165" t="s">
        <v>309</v>
      </c>
      <c r="G165">
        <v>242</v>
      </c>
      <c r="H165" t="s">
        <v>126</v>
      </c>
      <c r="I165" t="s">
        <v>127</v>
      </c>
      <c r="J165" t="s">
        <v>44</v>
      </c>
      <c r="K165" t="s">
        <v>45</v>
      </c>
      <c r="L165">
        <v>0</v>
      </c>
      <c r="M165" t="s">
        <v>46</v>
      </c>
      <c r="N165" t="s">
        <v>47</v>
      </c>
      <c r="O165">
        <v>0</v>
      </c>
      <c r="P165" t="s">
        <v>46</v>
      </c>
      <c r="Q165" t="s">
        <v>47</v>
      </c>
      <c r="R165" t="s">
        <v>48</v>
      </c>
      <c r="S165" t="s">
        <v>49</v>
      </c>
      <c r="T165" t="b">
        <v>1</v>
      </c>
      <c r="U165" t="s">
        <v>50</v>
      </c>
      <c r="V165" t="s">
        <v>51</v>
      </c>
      <c r="W165">
        <v>4</v>
      </c>
      <c r="X165" t="b">
        <v>0</v>
      </c>
      <c r="Y165" t="s">
        <v>52</v>
      </c>
      <c r="Z165" t="s">
        <v>53</v>
      </c>
      <c r="AA165" t="s">
        <v>54</v>
      </c>
      <c r="AB165">
        <v>0</v>
      </c>
      <c r="AC165" t="s">
        <v>55</v>
      </c>
      <c r="AD165">
        <v>8</v>
      </c>
      <c r="AE165" t="s">
        <v>56</v>
      </c>
      <c r="AF165">
        <v>1052.99</v>
      </c>
      <c r="AG165" t="b">
        <v>0</v>
      </c>
      <c r="AH165">
        <v>8</v>
      </c>
      <c r="AI165" t="s">
        <v>56</v>
      </c>
      <c r="AJ165">
        <v>1052.99</v>
      </c>
      <c r="AK165" t="b">
        <v>0</v>
      </c>
      <c r="AL165">
        <v>1052.99</v>
      </c>
      <c r="AM165" t="b">
        <v>0</v>
      </c>
      <c r="AN165">
        <v>0</v>
      </c>
      <c r="AO165" t="b">
        <v>0</v>
      </c>
      <c r="AP165">
        <v>0</v>
      </c>
      <c r="AQ165">
        <v>58249083.202</v>
      </c>
      <c r="AR165">
        <v>58249083.202</v>
      </c>
      <c r="AS165">
        <v>0</v>
      </c>
      <c r="AT165" t="b">
        <v>0</v>
      </c>
      <c r="AU165" t="b">
        <v>1</v>
      </c>
      <c r="AV165" t="b">
        <v>1</v>
      </c>
      <c r="AW165" t="b">
        <v>1</v>
      </c>
      <c r="BC165" t="str">
        <f t="shared" si="2"/>
        <v>Normal</v>
      </c>
    </row>
    <row r="166" spans="1:55" x14ac:dyDescent="0.2">
      <c r="A166" t="s">
        <v>39</v>
      </c>
      <c r="B166" t="s">
        <v>40</v>
      </c>
      <c r="C166">
        <v>20200101</v>
      </c>
      <c r="D166">
        <v>2020</v>
      </c>
      <c r="E166">
        <v>52</v>
      </c>
      <c r="F166" t="s">
        <v>309</v>
      </c>
      <c r="G166">
        <v>246</v>
      </c>
      <c r="H166" t="s">
        <v>128</v>
      </c>
      <c r="I166" t="s">
        <v>129</v>
      </c>
      <c r="J166" t="s">
        <v>44</v>
      </c>
      <c r="K166" t="s">
        <v>45</v>
      </c>
      <c r="L166">
        <v>0</v>
      </c>
      <c r="M166" t="s">
        <v>46</v>
      </c>
      <c r="N166" t="s">
        <v>47</v>
      </c>
      <c r="O166">
        <v>0</v>
      </c>
      <c r="P166" t="s">
        <v>46</v>
      </c>
      <c r="Q166" t="s">
        <v>47</v>
      </c>
      <c r="R166" t="s">
        <v>48</v>
      </c>
      <c r="S166" t="s">
        <v>49</v>
      </c>
      <c r="T166" t="b">
        <v>1</v>
      </c>
      <c r="U166" t="s">
        <v>50</v>
      </c>
      <c r="V166" t="s">
        <v>51</v>
      </c>
      <c r="W166">
        <v>4</v>
      </c>
      <c r="X166" t="b">
        <v>0</v>
      </c>
      <c r="Y166" t="s">
        <v>52</v>
      </c>
      <c r="Z166" t="s">
        <v>53</v>
      </c>
      <c r="AA166" t="s">
        <v>54</v>
      </c>
      <c r="AB166">
        <v>0</v>
      </c>
      <c r="AC166" t="s">
        <v>55</v>
      </c>
      <c r="AD166">
        <v>-1</v>
      </c>
      <c r="AE166" t="s">
        <v>64</v>
      </c>
      <c r="AF166">
        <v>0</v>
      </c>
      <c r="AG166" t="b">
        <v>0</v>
      </c>
      <c r="AH166">
        <v>-1</v>
      </c>
      <c r="AI166" t="s">
        <v>64</v>
      </c>
      <c r="AJ166">
        <v>0</v>
      </c>
      <c r="AK166" t="b">
        <v>0</v>
      </c>
      <c r="AL166">
        <v>0</v>
      </c>
      <c r="AM166" t="b">
        <v>0</v>
      </c>
      <c r="AN166">
        <v>0</v>
      </c>
      <c r="AO166" t="b">
        <v>0</v>
      </c>
      <c r="AP166">
        <v>0</v>
      </c>
      <c r="AQ166">
        <v>72268013.326000005</v>
      </c>
      <c r="AR166">
        <v>72268013.326000005</v>
      </c>
      <c r="AS166">
        <v>0</v>
      </c>
      <c r="AT166" t="b">
        <v>0</v>
      </c>
      <c r="AU166" t="b">
        <v>1</v>
      </c>
      <c r="AV166" t="b">
        <v>1</v>
      </c>
      <c r="AW166" t="b">
        <v>1</v>
      </c>
      <c r="BC166" t="str">
        <f t="shared" si="2"/>
        <v>Normal</v>
      </c>
    </row>
    <row r="167" spans="1:55" x14ac:dyDescent="0.2">
      <c r="A167" t="s">
        <v>39</v>
      </c>
      <c r="B167" t="s">
        <v>40</v>
      </c>
      <c r="C167">
        <v>20200101</v>
      </c>
      <c r="D167">
        <v>2020</v>
      </c>
      <c r="E167">
        <v>52</v>
      </c>
      <c r="F167" t="s">
        <v>309</v>
      </c>
      <c r="G167">
        <v>251</v>
      </c>
      <c r="H167" t="s">
        <v>130</v>
      </c>
      <c r="I167" t="s">
        <v>131</v>
      </c>
      <c r="J167" t="s">
        <v>44</v>
      </c>
      <c r="K167" t="s">
        <v>45</v>
      </c>
      <c r="L167">
        <v>0</v>
      </c>
      <c r="M167" t="s">
        <v>46</v>
      </c>
      <c r="N167" t="s">
        <v>47</v>
      </c>
      <c r="O167">
        <v>0</v>
      </c>
      <c r="P167" t="s">
        <v>46</v>
      </c>
      <c r="Q167" t="s">
        <v>47</v>
      </c>
      <c r="R167" t="s">
        <v>48</v>
      </c>
      <c r="S167" t="s">
        <v>49</v>
      </c>
      <c r="T167" t="b">
        <v>1</v>
      </c>
      <c r="U167" t="s">
        <v>50</v>
      </c>
      <c r="V167" t="s">
        <v>51</v>
      </c>
      <c r="W167">
        <v>4</v>
      </c>
      <c r="X167" t="b">
        <v>0</v>
      </c>
      <c r="Y167" t="s">
        <v>52</v>
      </c>
      <c r="Z167" t="s">
        <v>53</v>
      </c>
      <c r="AA167" t="s">
        <v>54</v>
      </c>
      <c r="AB167">
        <v>0</v>
      </c>
      <c r="AC167" t="s">
        <v>55</v>
      </c>
      <c r="AD167">
        <v>8</v>
      </c>
      <c r="AE167" t="s">
        <v>56</v>
      </c>
      <c r="AF167">
        <v>31337.957999999999</v>
      </c>
      <c r="AG167" t="b">
        <v>0</v>
      </c>
      <c r="AH167">
        <v>15</v>
      </c>
      <c r="AI167" t="s">
        <v>59</v>
      </c>
      <c r="AJ167">
        <v>31332963</v>
      </c>
      <c r="AK167" t="b">
        <v>0</v>
      </c>
      <c r="AM167" t="b">
        <v>0</v>
      </c>
      <c r="AN167">
        <v>0</v>
      </c>
      <c r="AO167" t="b">
        <v>0</v>
      </c>
      <c r="AQ167">
        <v>1369338383.7850001</v>
      </c>
      <c r="AR167">
        <v>1369338383.7850001</v>
      </c>
      <c r="AS167">
        <v>0</v>
      </c>
      <c r="AT167" t="b">
        <v>0</v>
      </c>
      <c r="AU167" t="b">
        <v>1</v>
      </c>
      <c r="AV167" t="b">
        <v>1</v>
      </c>
      <c r="AW167" t="b">
        <v>1</v>
      </c>
      <c r="BC167" t="str">
        <f t="shared" si="2"/>
        <v>Normal</v>
      </c>
    </row>
    <row r="168" spans="1:55" x14ac:dyDescent="0.2">
      <c r="A168" t="s">
        <v>39</v>
      </c>
      <c r="B168" t="s">
        <v>40</v>
      </c>
      <c r="C168">
        <v>20200101</v>
      </c>
      <c r="D168">
        <v>2020</v>
      </c>
      <c r="E168">
        <v>52</v>
      </c>
      <c r="F168" t="s">
        <v>309</v>
      </c>
      <c r="G168">
        <v>258</v>
      </c>
      <c r="H168" t="s">
        <v>132</v>
      </c>
      <c r="I168" t="s">
        <v>133</v>
      </c>
      <c r="J168" t="s">
        <v>44</v>
      </c>
      <c r="K168" t="s">
        <v>45</v>
      </c>
      <c r="L168">
        <v>0</v>
      </c>
      <c r="M168" t="s">
        <v>46</v>
      </c>
      <c r="N168" t="s">
        <v>47</v>
      </c>
      <c r="O168">
        <v>0</v>
      </c>
      <c r="P168" t="s">
        <v>46</v>
      </c>
      <c r="Q168" t="s">
        <v>47</v>
      </c>
      <c r="R168" t="s">
        <v>48</v>
      </c>
      <c r="S168" t="s">
        <v>49</v>
      </c>
      <c r="T168" t="b">
        <v>1</v>
      </c>
      <c r="U168" t="s">
        <v>50</v>
      </c>
      <c r="V168" t="s">
        <v>51</v>
      </c>
      <c r="W168">
        <v>4</v>
      </c>
      <c r="X168" t="b">
        <v>0</v>
      </c>
      <c r="Y168" t="s">
        <v>52</v>
      </c>
      <c r="Z168" t="s">
        <v>53</v>
      </c>
      <c r="AA168" t="s">
        <v>54</v>
      </c>
      <c r="AB168">
        <v>0</v>
      </c>
      <c r="AC168" t="s">
        <v>55</v>
      </c>
      <c r="AD168">
        <v>-1</v>
      </c>
      <c r="AE168" t="s">
        <v>64</v>
      </c>
      <c r="AF168">
        <v>0</v>
      </c>
      <c r="AG168" t="b">
        <v>0</v>
      </c>
      <c r="AH168">
        <v>15</v>
      </c>
      <c r="AI168" t="s">
        <v>59</v>
      </c>
      <c r="AJ168">
        <v>18087</v>
      </c>
      <c r="AK168" t="b">
        <v>0</v>
      </c>
      <c r="AL168">
        <v>20.059999999999999</v>
      </c>
      <c r="AM168" t="b">
        <v>0</v>
      </c>
      <c r="AN168">
        <v>0</v>
      </c>
      <c r="AO168" t="b">
        <v>0</v>
      </c>
      <c r="AP168">
        <v>0</v>
      </c>
      <c r="AQ168">
        <v>672746.23499999999</v>
      </c>
      <c r="AR168">
        <v>672746.23499999999</v>
      </c>
      <c r="AS168">
        <v>0</v>
      </c>
      <c r="AT168" t="b">
        <v>0</v>
      </c>
      <c r="AU168" t="b">
        <v>1</v>
      </c>
      <c r="AV168" t="b">
        <v>1</v>
      </c>
      <c r="AW168" t="b">
        <v>1</v>
      </c>
      <c r="BC168" t="str">
        <f t="shared" si="2"/>
        <v>Normal</v>
      </c>
    </row>
    <row r="169" spans="1:55" x14ac:dyDescent="0.2">
      <c r="A169" t="s">
        <v>39</v>
      </c>
      <c r="B169" t="s">
        <v>40</v>
      </c>
      <c r="C169">
        <v>20200101</v>
      </c>
      <c r="D169">
        <v>2020</v>
      </c>
      <c r="E169">
        <v>52</v>
      </c>
      <c r="F169" t="s">
        <v>309</v>
      </c>
      <c r="G169">
        <v>266</v>
      </c>
      <c r="H169" t="s">
        <v>134</v>
      </c>
      <c r="I169" t="s">
        <v>135</v>
      </c>
      <c r="J169" t="s">
        <v>44</v>
      </c>
      <c r="K169" t="s">
        <v>45</v>
      </c>
      <c r="L169">
        <v>0</v>
      </c>
      <c r="M169" t="s">
        <v>46</v>
      </c>
      <c r="N169" t="s">
        <v>47</v>
      </c>
      <c r="O169">
        <v>0</v>
      </c>
      <c r="P169" t="s">
        <v>46</v>
      </c>
      <c r="Q169" t="s">
        <v>47</v>
      </c>
      <c r="R169" t="s">
        <v>48</v>
      </c>
      <c r="S169" t="s">
        <v>49</v>
      </c>
      <c r="T169" t="b">
        <v>1</v>
      </c>
      <c r="U169" t="s">
        <v>50</v>
      </c>
      <c r="V169" t="s">
        <v>51</v>
      </c>
      <c r="W169">
        <v>4</v>
      </c>
      <c r="X169" t="b">
        <v>0</v>
      </c>
      <c r="Y169" t="s">
        <v>52</v>
      </c>
      <c r="Z169" t="s">
        <v>53</v>
      </c>
      <c r="AA169" t="s">
        <v>54</v>
      </c>
      <c r="AB169">
        <v>0</v>
      </c>
      <c r="AC169" t="s">
        <v>55</v>
      </c>
      <c r="AD169">
        <v>8</v>
      </c>
      <c r="AE169" t="s">
        <v>56</v>
      </c>
      <c r="AF169">
        <v>55</v>
      </c>
      <c r="AG169" t="b">
        <v>0</v>
      </c>
      <c r="AH169">
        <v>8</v>
      </c>
      <c r="AI169" t="s">
        <v>56</v>
      </c>
      <c r="AJ169">
        <v>55</v>
      </c>
      <c r="AK169" t="b">
        <v>0</v>
      </c>
      <c r="AL169">
        <v>55</v>
      </c>
      <c r="AM169" t="b">
        <v>0</v>
      </c>
      <c r="AN169">
        <v>0</v>
      </c>
      <c r="AO169" t="b">
        <v>0</v>
      </c>
      <c r="AQ169">
        <v>2702667.3930000002</v>
      </c>
      <c r="AR169">
        <v>2702667.3930000002</v>
      </c>
      <c r="AS169">
        <v>0</v>
      </c>
      <c r="AT169" t="b">
        <v>0</v>
      </c>
      <c r="AU169" t="b">
        <v>1</v>
      </c>
      <c r="AV169" t="b">
        <v>1</v>
      </c>
      <c r="AW169" t="b">
        <v>1</v>
      </c>
      <c r="BC169" t="str">
        <f t="shared" si="2"/>
        <v>Normal</v>
      </c>
    </row>
    <row r="170" spans="1:55" x14ac:dyDescent="0.2">
      <c r="A170" t="s">
        <v>39</v>
      </c>
      <c r="B170" t="s">
        <v>40</v>
      </c>
      <c r="C170">
        <v>20200101</v>
      </c>
      <c r="D170">
        <v>2020</v>
      </c>
      <c r="E170">
        <v>52</v>
      </c>
      <c r="F170" t="s">
        <v>309</v>
      </c>
      <c r="G170">
        <v>268</v>
      </c>
      <c r="H170" t="s">
        <v>137</v>
      </c>
      <c r="I170" t="s">
        <v>138</v>
      </c>
      <c r="J170" t="s">
        <v>44</v>
      </c>
      <c r="K170" t="s">
        <v>45</v>
      </c>
      <c r="L170">
        <v>0</v>
      </c>
      <c r="M170" t="s">
        <v>46</v>
      </c>
      <c r="N170" t="s">
        <v>47</v>
      </c>
      <c r="O170">
        <v>0</v>
      </c>
      <c r="P170" t="s">
        <v>46</v>
      </c>
      <c r="Q170" t="s">
        <v>47</v>
      </c>
      <c r="R170" t="s">
        <v>48</v>
      </c>
      <c r="S170" t="s">
        <v>49</v>
      </c>
      <c r="T170" t="b">
        <v>1</v>
      </c>
      <c r="U170" t="s">
        <v>50</v>
      </c>
      <c r="V170" t="s">
        <v>51</v>
      </c>
      <c r="W170">
        <v>4</v>
      </c>
      <c r="X170" t="b">
        <v>0</v>
      </c>
      <c r="Y170" t="s">
        <v>52</v>
      </c>
      <c r="Z170" t="s">
        <v>53</v>
      </c>
      <c r="AA170" t="s">
        <v>54</v>
      </c>
      <c r="AB170">
        <v>0</v>
      </c>
      <c r="AC170" t="s">
        <v>55</v>
      </c>
      <c r="AD170">
        <v>8</v>
      </c>
      <c r="AE170" t="s">
        <v>56</v>
      </c>
      <c r="AF170">
        <v>2722.21</v>
      </c>
      <c r="AG170" t="b">
        <v>0</v>
      </c>
      <c r="AH170">
        <v>15</v>
      </c>
      <c r="AI170" t="s">
        <v>59</v>
      </c>
      <c r="AJ170">
        <v>2722209.8</v>
      </c>
      <c r="AK170" t="b">
        <v>0</v>
      </c>
      <c r="AL170">
        <v>2722.1489999999999</v>
      </c>
      <c r="AM170" t="b">
        <v>0</v>
      </c>
      <c r="AN170">
        <v>0</v>
      </c>
      <c r="AO170" t="b">
        <v>0</v>
      </c>
      <c r="AQ170">
        <v>97571530.010000005</v>
      </c>
      <c r="AR170">
        <v>97571530.010000005</v>
      </c>
      <c r="AS170">
        <v>0</v>
      </c>
      <c r="AT170" t="b">
        <v>0</v>
      </c>
      <c r="AU170" t="b">
        <v>1</v>
      </c>
      <c r="AV170" t="b">
        <v>1</v>
      </c>
      <c r="AW170" t="b">
        <v>1</v>
      </c>
      <c r="BC170" t="str">
        <f t="shared" si="2"/>
        <v>Normal</v>
      </c>
    </row>
    <row r="171" spans="1:55" x14ac:dyDescent="0.2">
      <c r="A171" t="s">
        <v>39</v>
      </c>
      <c r="B171" t="s">
        <v>40</v>
      </c>
      <c r="C171">
        <v>20200101</v>
      </c>
      <c r="D171">
        <v>2020</v>
      </c>
      <c r="E171">
        <v>52</v>
      </c>
      <c r="F171" t="s">
        <v>309</v>
      </c>
      <c r="G171">
        <v>276</v>
      </c>
      <c r="H171" t="s">
        <v>139</v>
      </c>
      <c r="I171" t="s">
        <v>140</v>
      </c>
      <c r="J171" t="s">
        <v>44</v>
      </c>
      <c r="K171" t="s">
        <v>45</v>
      </c>
      <c r="L171">
        <v>0</v>
      </c>
      <c r="M171" t="s">
        <v>46</v>
      </c>
      <c r="N171" t="s">
        <v>47</v>
      </c>
      <c r="O171">
        <v>0</v>
      </c>
      <c r="P171" t="s">
        <v>46</v>
      </c>
      <c r="Q171" t="s">
        <v>47</v>
      </c>
      <c r="R171" t="s">
        <v>48</v>
      </c>
      <c r="S171" t="s">
        <v>49</v>
      </c>
      <c r="T171" t="b">
        <v>1</v>
      </c>
      <c r="U171" t="s">
        <v>50</v>
      </c>
      <c r="V171" t="s">
        <v>51</v>
      </c>
      <c r="W171">
        <v>4</v>
      </c>
      <c r="X171" t="b">
        <v>0</v>
      </c>
      <c r="Y171" t="s">
        <v>52</v>
      </c>
      <c r="Z171" t="s">
        <v>53</v>
      </c>
      <c r="AA171" t="s">
        <v>54</v>
      </c>
      <c r="AB171">
        <v>0</v>
      </c>
      <c r="AC171" t="s">
        <v>55</v>
      </c>
      <c r="AD171">
        <v>8</v>
      </c>
      <c r="AE171" t="s">
        <v>56</v>
      </c>
      <c r="AF171">
        <v>180154.459</v>
      </c>
      <c r="AG171" t="b">
        <v>1</v>
      </c>
      <c r="AH171">
        <v>-1</v>
      </c>
      <c r="AI171" t="s">
        <v>64</v>
      </c>
      <c r="AJ171">
        <v>0</v>
      </c>
      <c r="AK171" t="b">
        <v>0</v>
      </c>
      <c r="AL171" s="1">
        <v>180052.52499999999</v>
      </c>
      <c r="AM171" t="b">
        <v>1</v>
      </c>
      <c r="AN171">
        <v>0</v>
      </c>
      <c r="AO171" t="b">
        <v>0</v>
      </c>
      <c r="AP171">
        <v>0</v>
      </c>
      <c r="AQ171">
        <v>8689651304.4009991</v>
      </c>
      <c r="AR171">
        <v>8689651304.4009991</v>
      </c>
      <c r="AS171">
        <v>6</v>
      </c>
      <c r="AT171" t="b">
        <v>0</v>
      </c>
      <c r="AU171" t="b">
        <v>1</v>
      </c>
      <c r="AV171" t="b">
        <v>1</v>
      </c>
      <c r="AW171" t="b">
        <v>1</v>
      </c>
      <c r="BC171" t="str">
        <f t="shared" si="2"/>
        <v>Outlier</v>
      </c>
    </row>
    <row r="172" spans="1:55" x14ac:dyDescent="0.2">
      <c r="A172" t="s">
        <v>39</v>
      </c>
      <c r="B172" t="s">
        <v>40</v>
      </c>
      <c r="C172">
        <v>20200101</v>
      </c>
      <c r="D172">
        <v>2020</v>
      </c>
      <c r="E172">
        <v>52</v>
      </c>
      <c r="F172" t="s">
        <v>309</v>
      </c>
      <c r="G172">
        <v>300</v>
      </c>
      <c r="H172" t="s">
        <v>143</v>
      </c>
      <c r="I172" t="s">
        <v>144</v>
      </c>
      <c r="J172" t="s">
        <v>44</v>
      </c>
      <c r="K172" t="s">
        <v>45</v>
      </c>
      <c r="L172">
        <v>0</v>
      </c>
      <c r="M172" t="s">
        <v>46</v>
      </c>
      <c r="N172" t="s">
        <v>47</v>
      </c>
      <c r="O172">
        <v>0</v>
      </c>
      <c r="P172" t="s">
        <v>46</v>
      </c>
      <c r="Q172" t="s">
        <v>47</v>
      </c>
      <c r="R172" t="s">
        <v>48</v>
      </c>
      <c r="S172" t="s">
        <v>49</v>
      </c>
      <c r="T172" t="b">
        <v>1</v>
      </c>
      <c r="U172" t="s">
        <v>50</v>
      </c>
      <c r="V172" t="s">
        <v>51</v>
      </c>
      <c r="W172">
        <v>4</v>
      </c>
      <c r="X172" t="b">
        <v>0</v>
      </c>
      <c r="Y172" t="s">
        <v>52</v>
      </c>
      <c r="Z172" t="s">
        <v>53</v>
      </c>
      <c r="AA172" t="s">
        <v>54</v>
      </c>
      <c r="AB172">
        <v>0</v>
      </c>
      <c r="AC172" t="s">
        <v>55</v>
      </c>
      <c r="AD172">
        <v>8</v>
      </c>
      <c r="AE172" t="s">
        <v>56</v>
      </c>
      <c r="AF172">
        <v>1298.8240000000001</v>
      </c>
      <c r="AG172" t="b">
        <v>0</v>
      </c>
      <c r="AH172">
        <v>15</v>
      </c>
      <c r="AI172" t="s">
        <v>59</v>
      </c>
      <c r="AJ172">
        <v>1298824</v>
      </c>
      <c r="AK172" t="b">
        <v>0</v>
      </c>
      <c r="AL172">
        <v>1320</v>
      </c>
      <c r="AM172" t="b">
        <v>0</v>
      </c>
      <c r="AN172">
        <v>0</v>
      </c>
      <c r="AO172" t="b">
        <v>0</v>
      </c>
      <c r="AP172">
        <v>0</v>
      </c>
      <c r="AQ172">
        <v>30894903.239</v>
      </c>
      <c r="AR172">
        <v>30894903.239</v>
      </c>
      <c r="AS172">
        <v>0</v>
      </c>
      <c r="AT172" t="b">
        <v>0</v>
      </c>
      <c r="AU172" t="b">
        <v>1</v>
      </c>
      <c r="AV172" t="b">
        <v>1</v>
      </c>
      <c r="AW172" t="b">
        <v>1</v>
      </c>
      <c r="BC172" t="str">
        <f t="shared" si="2"/>
        <v>Normal</v>
      </c>
    </row>
    <row r="173" spans="1:55" x14ac:dyDescent="0.2">
      <c r="A173" t="s">
        <v>39</v>
      </c>
      <c r="B173" t="s">
        <v>40</v>
      </c>
      <c r="C173">
        <v>20200101</v>
      </c>
      <c r="D173">
        <v>2020</v>
      </c>
      <c r="E173">
        <v>52</v>
      </c>
      <c r="F173" t="s">
        <v>309</v>
      </c>
      <c r="G173">
        <v>320</v>
      </c>
      <c r="H173" t="s">
        <v>321</v>
      </c>
      <c r="I173" t="s">
        <v>322</v>
      </c>
      <c r="J173" t="s">
        <v>44</v>
      </c>
      <c r="K173" t="s">
        <v>45</v>
      </c>
      <c r="L173">
        <v>0</v>
      </c>
      <c r="M173" t="s">
        <v>46</v>
      </c>
      <c r="N173" t="s">
        <v>47</v>
      </c>
      <c r="O173">
        <v>0</v>
      </c>
      <c r="P173" t="s">
        <v>46</v>
      </c>
      <c r="Q173" t="s">
        <v>47</v>
      </c>
      <c r="R173" t="s">
        <v>48</v>
      </c>
      <c r="S173" t="s">
        <v>49</v>
      </c>
      <c r="T173" t="b">
        <v>1</v>
      </c>
      <c r="U173" t="s">
        <v>50</v>
      </c>
      <c r="V173" t="s">
        <v>51</v>
      </c>
      <c r="W173">
        <v>4</v>
      </c>
      <c r="X173" t="b">
        <v>0</v>
      </c>
      <c r="Y173" t="s">
        <v>52</v>
      </c>
      <c r="Z173" t="s">
        <v>53</v>
      </c>
      <c r="AA173" t="s">
        <v>54</v>
      </c>
      <c r="AB173">
        <v>0</v>
      </c>
      <c r="AC173" t="s">
        <v>55</v>
      </c>
      <c r="AD173">
        <v>8</v>
      </c>
      <c r="AE173" t="s">
        <v>56</v>
      </c>
      <c r="AF173">
        <v>1</v>
      </c>
      <c r="AG173" t="b">
        <v>0</v>
      </c>
      <c r="AH173">
        <v>8</v>
      </c>
      <c r="AI173" t="s">
        <v>56</v>
      </c>
      <c r="AJ173">
        <v>1</v>
      </c>
      <c r="AK173" t="b">
        <v>0</v>
      </c>
      <c r="AL173">
        <v>1</v>
      </c>
      <c r="AM173" t="b">
        <v>0</v>
      </c>
      <c r="AN173">
        <v>0</v>
      </c>
      <c r="AO173" t="b">
        <v>0</v>
      </c>
      <c r="AP173">
        <v>0</v>
      </c>
      <c r="AQ173">
        <v>2106</v>
      </c>
      <c r="AR173">
        <v>2106</v>
      </c>
      <c r="AS173">
        <v>0</v>
      </c>
      <c r="AT173" t="b">
        <v>0</v>
      </c>
      <c r="AU173" t="b">
        <v>1</v>
      </c>
      <c r="AV173" t="b">
        <v>1</v>
      </c>
      <c r="AW173" t="b">
        <v>1</v>
      </c>
      <c r="BC173" t="str">
        <f t="shared" si="2"/>
        <v>Normal</v>
      </c>
    </row>
    <row r="174" spans="1:55" x14ac:dyDescent="0.2">
      <c r="A174" t="s">
        <v>39</v>
      </c>
      <c r="B174" t="s">
        <v>40</v>
      </c>
      <c r="C174">
        <v>20200101</v>
      </c>
      <c r="D174">
        <v>2020</v>
      </c>
      <c r="E174">
        <v>52</v>
      </c>
      <c r="F174" t="s">
        <v>309</v>
      </c>
      <c r="G174">
        <v>328</v>
      </c>
      <c r="H174" t="s">
        <v>145</v>
      </c>
      <c r="I174" t="s">
        <v>146</v>
      </c>
      <c r="J174" t="s">
        <v>44</v>
      </c>
      <c r="K174" t="s">
        <v>45</v>
      </c>
      <c r="L174">
        <v>0</v>
      </c>
      <c r="M174" t="s">
        <v>46</v>
      </c>
      <c r="N174" t="s">
        <v>47</v>
      </c>
      <c r="O174">
        <v>0</v>
      </c>
      <c r="P174" t="s">
        <v>46</v>
      </c>
      <c r="Q174" t="s">
        <v>47</v>
      </c>
      <c r="R174" t="s">
        <v>48</v>
      </c>
      <c r="S174" t="s">
        <v>49</v>
      </c>
      <c r="T174" t="b">
        <v>1</v>
      </c>
      <c r="U174" t="s">
        <v>50</v>
      </c>
      <c r="V174" t="s">
        <v>51</v>
      </c>
      <c r="W174">
        <v>4</v>
      </c>
      <c r="X174" t="b">
        <v>0</v>
      </c>
      <c r="Y174" t="s">
        <v>52</v>
      </c>
      <c r="Z174" t="s">
        <v>53</v>
      </c>
      <c r="AA174" t="s">
        <v>54</v>
      </c>
      <c r="AB174">
        <v>0</v>
      </c>
      <c r="AC174" t="s">
        <v>55</v>
      </c>
      <c r="AD174">
        <v>8</v>
      </c>
      <c r="AE174" t="s">
        <v>56</v>
      </c>
      <c r="AF174">
        <v>37447.040000000001</v>
      </c>
      <c r="AG174" t="b">
        <v>0</v>
      </c>
      <c r="AH174">
        <v>8</v>
      </c>
      <c r="AI174" t="s">
        <v>56</v>
      </c>
      <c r="AJ174">
        <v>37447.040000000001</v>
      </c>
      <c r="AK174" t="b">
        <v>0</v>
      </c>
      <c r="AL174">
        <v>37447.040000000001</v>
      </c>
      <c r="AM174" t="b">
        <v>0</v>
      </c>
      <c r="AN174">
        <v>0</v>
      </c>
      <c r="AO174" t="b">
        <v>0</v>
      </c>
      <c r="AQ174">
        <v>1974860857.849</v>
      </c>
      <c r="AR174">
        <v>1974860857.849</v>
      </c>
      <c r="AS174">
        <v>0</v>
      </c>
      <c r="AT174" t="b">
        <v>0</v>
      </c>
      <c r="AU174" t="b">
        <v>1</v>
      </c>
      <c r="AV174" t="b">
        <v>1</v>
      </c>
      <c r="AW174" t="b">
        <v>1</v>
      </c>
      <c r="BC174" t="str">
        <f t="shared" si="2"/>
        <v>Normal</v>
      </c>
    </row>
    <row r="175" spans="1:55" x14ac:dyDescent="0.2">
      <c r="A175" t="s">
        <v>39</v>
      </c>
      <c r="B175" t="s">
        <v>40</v>
      </c>
      <c r="C175">
        <v>20200101</v>
      </c>
      <c r="D175">
        <v>2020</v>
      </c>
      <c r="E175">
        <v>52</v>
      </c>
      <c r="F175" t="s">
        <v>309</v>
      </c>
      <c r="G175">
        <v>340</v>
      </c>
      <c r="H175" t="s">
        <v>147</v>
      </c>
      <c r="I175" t="s">
        <v>148</v>
      </c>
      <c r="J175" t="s">
        <v>44</v>
      </c>
      <c r="K175" t="s">
        <v>45</v>
      </c>
      <c r="L175">
        <v>0</v>
      </c>
      <c r="M175" t="s">
        <v>46</v>
      </c>
      <c r="N175" t="s">
        <v>47</v>
      </c>
      <c r="O175">
        <v>0</v>
      </c>
      <c r="P175" t="s">
        <v>46</v>
      </c>
      <c r="Q175" t="s">
        <v>47</v>
      </c>
      <c r="R175" t="s">
        <v>48</v>
      </c>
      <c r="S175" t="s">
        <v>49</v>
      </c>
      <c r="T175" t="b">
        <v>1</v>
      </c>
      <c r="U175" t="s">
        <v>50</v>
      </c>
      <c r="V175" t="s">
        <v>51</v>
      </c>
      <c r="W175">
        <v>4</v>
      </c>
      <c r="X175" t="b">
        <v>0</v>
      </c>
      <c r="Y175" t="s">
        <v>52</v>
      </c>
      <c r="Z175" t="s">
        <v>53</v>
      </c>
      <c r="AA175" t="s">
        <v>54</v>
      </c>
      <c r="AB175">
        <v>0</v>
      </c>
      <c r="AC175" t="s">
        <v>55</v>
      </c>
      <c r="AD175">
        <v>8</v>
      </c>
      <c r="AE175" t="s">
        <v>56</v>
      </c>
      <c r="AF175">
        <v>2432.5100000000002</v>
      </c>
      <c r="AG175" t="b">
        <v>0</v>
      </c>
      <c r="AH175">
        <v>8</v>
      </c>
      <c r="AI175" t="s">
        <v>56</v>
      </c>
      <c r="AJ175">
        <v>2432.5100000000002</v>
      </c>
      <c r="AK175" t="b">
        <v>0</v>
      </c>
      <c r="AL175">
        <v>2432.5100000000002</v>
      </c>
      <c r="AM175" t="b">
        <v>0</v>
      </c>
      <c r="AN175">
        <v>0</v>
      </c>
      <c r="AO175" t="b">
        <v>0</v>
      </c>
      <c r="AP175">
        <v>0</v>
      </c>
      <c r="AQ175">
        <v>114841719.31</v>
      </c>
      <c r="AR175">
        <v>114841719.31</v>
      </c>
      <c r="AS175">
        <v>0</v>
      </c>
      <c r="AT175" t="b">
        <v>0</v>
      </c>
      <c r="AU175" t="b">
        <v>1</v>
      </c>
      <c r="AV175" t="b">
        <v>1</v>
      </c>
      <c r="AW175" t="b">
        <v>1</v>
      </c>
      <c r="BC175" t="str">
        <f t="shared" si="2"/>
        <v>Normal</v>
      </c>
    </row>
    <row r="176" spans="1:55" x14ac:dyDescent="0.2">
      <c r="A176" t="s">
        <v>39</v>
      </c>
      <c r="B176" t="s">
        <v>40</v>
      </c>
      <c r="C176">
        <v>20200101</v>
      </c>
      <c r="D176">
        <v>2020</v>
      </c>
      <c r="E176">
        <v>52</v>
      </c>
      <c r="F176" t="s">
        <v>309</v>
      </c>
      <c r="G176">
        <v>344</v>
      </c>
      <c r="H176" t="s">
        <v>149</v>
      </c>
      <c r="I176" t="s">
        <v>150</v>
      </c>
      <c r="J176" t="s">
        <v>44</v>
      </c>
      <c r="K176" t="s">
        <v>45</v>
      </c>
      <c r="L176">
        <v>0</v>
      </c>
      <c r="M176" t="s">
        <v>46</v>
      </c>
      <c r="N176" t="s">
        <v>47</v>
      </c>
      <c r="O176">
        <v>0</v>
      </c>
      <c r="P176" t="s">
        <v>46</v>
      </c>
      <c r="Q176" t="s">
        <v>47</v>
      </c>
      <c r="R176" t="s">
        <v>48</v>
      </c>
      <c r="S176" t="s">
        <v>49</v>
      </c>
      <c r="T176" t="b">
        <v>1</v>
      </c>
      <c r="U176" t="s">
        <v>50</v>
      </c>
      <c r="V176" t="s">
        <v>51</v>
      </c>
      <c r="W176">
        <v>4</v>
      </c>
      <c r="X176" t="b">
        <v>0</v>
      </c>
      <c r="Y176" t="s">
        <v>52</v>
      </c>
      <c r="Z176" t="s">
        <v>53</v>
      </c>
      <c r="AA176" t="s">
        <v>54</v>
      </c>
      <c r="AB176">
        <v>0</v>
      </c>
      <c r="AC176" t="s">
        <v>55</v>
      </c>
      <c r="AD176">
        <v>8</v>
      </c>
      <c r="AE176" t="s">
        <v>56</v>
      </c>
      <c r="AF176">
        <v>725788.01100000006</v>
      </c>
      <c r="AG176" t="b">
        <v>1</v>
      </c>
      <c r="AH176">
        <v>-1</v>
      </c>
      <c r="AI176" t="s">
        <v>64</v>
      </c>
      <c r="AJ176">
        <v>0</v>
      </c>
      <c r="AK176" t="b">
        <v>0</v>
      </c>
      <c r="AL176" s="1">
        <v>725788.01100000006</v>
      </c>
      <c r="AM176" t="b">
        <v>1</v>
      </c>
      <c r="AN176">
        <v>0</v>
      </c>
      <c r="AO176" t="b">
        <v>0</v>
      </c>
      <c r="AQ176">
        <v>41283352728.029999</v>
      </c>
      <c r="AR176">
        <v>41283352728.029999</v>
      </c>
      <c r="AS176">
        <v>6</v>
      </c>
      <c r="AT176" t="b">
        <v>0</v>
      </c>
      <c r="AU176" t="b">
        <v>1</v>
      </c>
      <c r="AV176" t="b">
        <v>1</v>
      </c>
      <c r="AW176" t="b">
        <v>1</v>
      </c>
      <c r="BC176" t="str">
        <f t="shared" si="2"/>
        <v>Outlier</v>
      </c>
    </row>
    <row r="177" spans="1:55" x14ac:dyDescent="0.2">
      <c r="A177" t="s">
        <v>39</v>
      </c>
      <c r="B177" t="s">
        <v>40</v>
      </c>
      <c r="C177">
        <v>20200101</v>
      </c>
      <c r="D177">
        <v>2020</v>
      </c>
      <c r="E177">
        <v>52</v>
      </c>
      <c r="F177" t="s">
        <v>309</v>
      </c>
      <c r="G177">
        <v>348</v>
      </c>
      <c r="H177" t="s">
        <v>151</v>
      </c>
      <c r="I177" t="s">
        <v>152</v>
      </c>
      <c r="J177" t="s">
        <v>44</v>
      </c>
      <c r="K177" t="s">
        <v>45</v>
      </c>
      <c r="L177">
        <v>0</v>
      </c>
      <c r="M177" t="s">
        <v>46</v>
      </c>
      <c r="N177" t="s">
        <v>47</v>
      </c>
      <c r="O177">
        <v>0</v>
      </c>
      <c r="P177" t="s">
        <v>46</v>
      </c>
      <c r="Q177" t="s">
        <v>47</v>
      </c>
      <c r="R177" t="s">
        <v>48</v>
      </c>
      <c r="S177" t="s">
        <v>49</v>
      </c>
      <c r="T177" t="b">
        <v>1</v>
      </c>
      <c r="U177" t="s">
        <v>50</v>
      </c>
      <c r="V177" t="s">
        <v>51</v>
      </c>
      <c r="W177">
        <v>4</v>
      </c>
      <c r="X177" t="b">
        <v>0</v>
      </c>
      <c r="Y177" t="s">
        <v>52</v>
      </c>
      <c r="Z177" t="s">
        <v>53</v>
      </c>
      <c r="AA177" t="s">
        <v>54</v>
      </c>
      <c r="AB177">
        <v>0</v>
      </c>
      <c r="AC177" t="s">
        <v>55</v>
      </c>
      <c r="AD177">
        <v>-1</v>
      </c>
      <c r="AE177" t="s">
        <v>64</v>
      </c>
      <c r="AF177">
        <v>0</v>
      </c>
      <c r="AG177" t="b">
        <v>0</v>
      </c>
      <c r="AH177">
        <v>-1</v>
      </c>
      <c r="AI177" t="s">
        <v>64</v>
      </c>
      <c r="AJ177">
        <v>0</v>
      </c>
      <c r="AK177" t="b">
        <v>0</v>
      </c>
      <c r="AL177">
        <v>0</v>
      </c>
      <c r="AM177" t="b">
        <v>0</v>
      </c>
      <c r="AN177">
        <v>0</v>
      </c>
      <c r="AO177" t="b">
        <v>0</v>
      </c>
      <c r="AP177">
        <v>0</v>
      </c>
      <c r="AQ177">
        <v>100454734</v>
      </c>
      <c r="AR177">
        <v>100454734</v>
      </c>
      <c r="AS177">
        <v>0</v>
      </c>
      <c r="AT177" t="b">
        <v>0</v>
      </c>
      <c r="AU177" t="b">
        <v>1</v>
      </c>
      <c r="AV177" t="b">
        <v>1</v>
      </c>
      <c r="AW177" t="b">
        <v>1</v>
      </c>
      <c r="BC177" t="str">
        <f t="shared" si="2"/>
        <v>Normal</v>
      </c>
    </row>
    <row r="178" spans="1:55" x14ac:dyDescent="0.2">
      <c r="A178" t="s">
        <v>39</v>
      </c>
      <c r="B178" t="s">
        <v>40</v>
      </c>
      <c r="C178">
        <v>20200101</v>
      </c>
      <c r="D178">
        <v>2020</v>
      </c>
      <c r="E178">
        <v>52</v>
      </c>
      <c r="F178" t="s">
        <v>309</v>
      </c>
      <c r="G178">
        <v>360</v>
      </c>
      <c r="H178" t="s">
        <v>155</v>
      </c>
      <c r="I178" t="s">
        <v>156</v>
      </c>
      <c r="J178" t="s">
        <v>44</v>
      </c>
      <c r="K178" t="s">
        <v>45</v>
      </c>
      <c r="L178">
        <v>0</v>
      </c>
      <c r="M178" t="s">
        <v>46</v>
      </c>
      <c r="N178" t="s">
        <v>47</v>
      </c>
      <c r="O178">
        <v>0</v>
      </c>
      <c r="P178" t="s">
        <v>46</v>
      </c>
      <c r="Q178" t="s">
        <v>47</v>
      </c>
      <c r="R178" t="s">
        <v>48</v>
      </c>
      <c r="S178" t="s">
        <v>49</v>
      </c>
      <c r="T178" t="b">
        <v>1</v>
      </c>
      <c r="U178" t="s">
        <v>50</v>
      </c>
      <c r="V178" t="s">
        <v>51</v>
      </c>
      <c r="W178">
        <v>4</v>
      </c>
      <c r="X178" t="b">
        <v>0</v>
      </c>
      <c r="Y178" t="s">
        <v>52</v>
      </c>
      <c r="Z178" t="s">
        <v>53</v>
      </c>
      <c r="AA178" t="s">
        <v>54</v>
      </c>
      <c r="AB178">
        <v>0</v>
      </c>
      <c r="AC178" t="s">
        <v>55</v>
      </c>
      <c r="AD178">
        <v>8</v>
      </c>
      <c r="AE178" t="s">
        <v>56</v>
      </c>
      <c r="AF178">
        <v>101009.59600000001</v>
      </c>
      <c r="AG178" t="b">
        <v>0</v>
      </c>
      <c r="AH178">
        <v>8</v>
      </c>
      <c r="AI178" t="s">
        <v>56</v>
      </c>
      <c r="AJ178">
        <v>101009.59600000001</v>
      </c>
      <c r="AK178" t="b">
        <v>0</v>
      </c>
      <c r="AL178" s="1">
        <v>101009.59600000001</v>
      </c>
      <c r="AM178" t="b">
        <v>0</v>
      </c>
      <c r="AN178">
        <v>0</v>
      </c>
      <c r="AO178" t="b">
        <v>0</v>
      </c>
      <c r="AP178">
        <v>0</v>
      </c>
      <c r="AQ178">
        <v>5541877857.3900003</v>
      </c>
      <c r="AR178">
        <v>5541877857.3900003</v>
      </c>
      <c r="AS178">
        <v>0</v>
      </c>
      <c r="AT178" t="b">
        <v>0</v>
      </c>
      <c r="AU178" t="b">
        <v>1</v>
      </c>
      <c r="AV178" t="b">
        <v>1</v>
      </c>
      <c r="AW178" t="b">
        <v>1</v>
      </c>
      <c r="BC178" t="str">
        <f t="shared" si="2"/>
        <v>Outlier</v>
      </c>
    </row>
    <row r="179" spans="1:55" x14ac:dyDescent="0.2">
      <c r="A179" t="s">
        <v>39</v>
      </c>
      <c r="B179" t="s">
        <v>40</v>
      </c>
      <c r="C179">
        <v>20200101</v>
      </c>
      <c r="D179">
        <v>2020</v>
      </c>
      <c r="E179">
        <v>52</v>
      </c>
      <c r="F179" t="s">
        <v>309</v>
      </c>
      <c r="G179">
        <v>372</v>
      </c>
      <c r="H179" t="s">
        <v>157</v>
      </c>
      <c r="I179" t="s">
        <v>158</v>
      </c>
      <c r="J179" t="s">
        <v>44</v>
      </c>
      <c r="K179" t="s">
        <v>45</v>
      </c>
      <c r="L179">
        <v>0</v>
      </c>
      <c r="M179" t="s">
        <v>46</v>
      </c>
      <c r="N179" t="s">
        <v>47</v>
      </c>
      <c r="O179">
        <v>0</v>
      </c>
      <c r="P179" t="s">
        <v>46</v>
      </c>
      <c r="Q179" t="s">
        <v>47</v>
      </c>
      <c r="R179" t="s">
        <v>48</v>
      </c>
      <c r="S179" t="s">
        <v>49</v>
      </c>
      <c r="T179" t="b">
        <v>1</v>
      </c>
      <c r="U179" t="s">
        <v>50</v>
      </c>
      <c r="V179" t="s">
        <v>51</v>
      </c>
      <c r="W179">
        <v>4</v>
      </c>
      <c r="X179" t="b">
        <v>0</v>
      </c>
      <c r="Y179" t="s">
        <v>52</v>
      </c>
      <c r="Z179" t="s">
        <v>53</v>
      </c>
      <c r="AA179" t="s">
        <v>54</v>
      </c>
      <c r="AB179">
        <v>0</v>
      </c>
      <c r="AC179" t="s">
        <v>55</v>
      </c>
      <c r="AD179">
        <v>8</v>
      </c>
      <c r="AE179" t="s">
        <v>56</v>
      </c>
      <c r="AF179">
        <v>236.52600000000001</v>
      </c>
      <c r="AG179" t="b">
        <v>1</v>
      </c>
      <c r="AH179">
        <v>-1</v>
      </c>
      <c r="AI179" t="s">
        <v>64</v>
      </c>
      <c r="AJ179">
        <v>0</v>
      </c>
      <c r="AK179" t="b">
        <v>0</v>
      </c>
      <c r="AL179">
        <v>432.01499999999999</v>
      </c>
      <c r="AM179" t="b">
        <v>1</v>
      </c>
      <c r="AN179">
        <v>0</v>
      </c>
      <c r="AO179" t="b">
        <v>0</v>
      </c>
      <c r="AP179">
        <v>0</v>
      </c>
      <c r="AQ179">
        <v>8259111.9100000001</v>
      </c>
      <c r="AR179">
        <v>8259111.9100000001</v>
      </c>
      <c r="AS179">
        <v>6</v>
      </c>
      <c r="AT179" t="b">
        <v>0</v>
      </c>
      <c r="AU179" t="b">
        <v>1</v>
      </c>
      <c r="AV179" t="b">
        <v>1</v>
      </c>
      <c r="AW179" t="b">
        <v>1</v>
      </c>
      <c r="BC179" t="str">
        <f t="shared" si="2"/>
        <v>Normal</v>
      </c>
    </row>
    <row r="180" spans="1:55" x14ac:dyDescent="0.2">
      <c r="A180" t="s">
        <v>39</v>
      </c>
      <c r="B180" t="s">
        <v>40</v>
      </c>
      <c r="C180">
        <v>20200101</v>
      </c>
      <c r="D180">
        <v>2020</v>
      </c>
      <c r="E180">
        <v>52</v>
      </c>
      <c r="F180" t="s">
        <v>309</v>
      </c>
      <c r="G180">
        <v>376</v>
      </c>
      <c r="H180" t="s">
        <v>159</v>
      </c>
      <c r="I180" t="s">
        <v>160</v>
      </c>
      <c r="J180" t="s">
        <v>44</v>
      </c>
      <c r="K180" t="s">
        <v>45</v>
      </c>
      <c r="L180">
        <v>0</v>
      </c>
      <c r="M180" t="s">
        <v>46</v>
      </c>
      <c r="N180" t="s">
        <v>47</v>
      </c>
      <c r="O180">
        <v>0</v>
      </c>
      <c r="P180" t="s">
        <v>46</v>
      </c>
      <c r="Q180" t="s">
        <v>47</v>
      </c>
      <c r="R180" t="s">
        <v>48</v>
      </c>
      <c r="S180" t="s">
        <v>49</v>
      </c>
      <c r="T180" t="b">
        <v>1</v>
      </c>
      <c r="U180" t="s">
        <v>50</v>
      </c>
      <c r="V180" t="s">
        <v>51</v>
      </c>
      <c r="W180">
        <v>4</v>
      </c>
      <c r="X180" t="b">
        <v>0</v>
      </c>
      <c r="Y180" t="s">
        <v>52</v>
      </c>
      <c r="Z180" t="s">
        <v>53</v>
      </c>
      <c r="AA180" t="s">
        <v>54</v>
      </c>
      <c r="AB180">
        <v>0</v>
      </c>
      <c r="AC180" t="s">
        <v>55</v>
      </c>
      <c r="AD180">
        <v>8</v>
      </c>
      <c r="AE180" t="s">
        <v>56</v>
      </c>
      <c r="AF180">
        <v>447.53300000000002</v>
      </c>
      <c r="AG180" t="b">
        <v>1</v>
      </c>
      <c r="AH180">
        <v>-1</v>
      </c>
      <c r="AI180" t="s">
        <v>64</v>
      </c>
      <c r="AJ180">
        <v>0</v>
      </c>
      <c r="AK180" t="b">
        <v>0</v>
      </c>
      <c r="AL180">
        <v>447.53300000000002</v>
      </c>
      <c r="AM180" t="b">
        <v>1</v>
      </c>
      <c r="AN180">
        <v>0</v>
      </c>
      <c r="AO180" t="b">
        <v>0</v>
      </c>
      <c r="AP180">
        <v>0</v>
      </c>
      <c r="AQ180">
        <v>24292000</v>
      </c>
      <c r="AR180">
        <v>24292000</v>
      </c>
      <c r="AS180">
        <v>6</v>
      </c>
      <c r="AT180" t="b">
        <v>0</v>
      </c>
      <c r="AU180" t="b">
        <v>1</v>
      </c>
      <c r="AV180" t="b">
        <v>1</v>
      </c>
      <c r="AW180" t="b">
        <v>1</v>
      </c>
      <c r="BC180" t="str">
        <f t="shared" si="2"/>
        <v>Normal</v>
      </c>
    </row>
    <row r="181" spans="1:55" x14ac:dyDescent="0.2">
      <c r="A181" t="s">
        <v>39</v>
      </c>
      <c r="B181" t="s">
        <v>40</v>
      </c>
      <c r="C181">
        <v>20200101</v>
      </c>
      <c r="D181">
        <v>2020</v>
      </c>
      <c r="E181">
        <v>52</v>
      </c>
      <c r="F181" t="s">
        <v>309</v>
      </c>
      <c r="G181">
        <v>380</v>
      </c>
      <c r="H181" t="s">
        <v>161</v>
      </c>
      <c r="I181" t="s">
        <v>162</v>
      </c>
      <c r="J181" t="s">
        <v>44</v>
      </c>
      <c r="K181" t="s">
        <v>45</v>
      </c>
      <c r="L181">
        <v>0</v>
      </c>
      <c r="M181" t="s">
        <v>46</v>
      </c>
      <c r="N181" t="s">
        <v>47</v>
      </c>
      <c r="O181">
        <v>0</v>
      </c>
      <c r="P181" t="s">
        <v>46</v>
      </c>
      <c r="Q181" t="s">
        <v>47</v>
      </c>
      <c r="R181" t="s">
        <v>48</v>
      </c>
      <c r="S181" t="s">
        <v>49</v>
      </c>
      <c r="T181" t="b">
        <v>1</v>
      </c>
      <c r="U181" t="s">
        <v>50</v>
      </c>
      <c r="V181" t="s">
        <v>51</v>
      </c>
      <c r="W181">
        <v>4</v>
      </c>
      <c r="X181" t="b">
        <v>0</v>
      </c>
      <c r="Y181" t="s">
        <v>52</v>
      </c>
      <c r="Z181" t="s">
        <v>53</v>
      </c>
      <c r="AA181" t="s">
        <v>54</v>
      </c>
      <c r="AB181">
        <v>0</v>
      </c>
      <c r="AC181" t="s">
        <v>55</v>
      </c>
      <c r="AD181">
        <v>-1</v>
      </c>
      <c r="AE181" t="s">
        <v>64</v>
      </c>
      <c r="AF181">
        <v>0</v>
      </c>
      <c r="AG181" t="b">
        <v>0</v>
      </c>
      <c r="AH181">
        <v>-1</v>
      </c>
      <c r="AI181" t="s">
        <v>64</v>
      </c>
      <c r="AJ181">
        <v>0</v>
      </c>
      <c r="AK181" t="b">
        <v>0</v>
      </c>
      <c r="AM181" t="b">
        <v>0</v>
      </c>
      <c r="AN181">
        <v>0</v>
      </c>
      <c r="AO181" t="b">
        <v>0</v>
      </c>
      <c r="AQ181">
        <v>6705588636.71</v>
      </c>
      <c r="AR181">
        <v>6705588636.71</v>
      </c>
      <c r="AS181">
        <v>0</v>
      </c>
      <c r="AT181" t="b">
        <v>0</v>
      </c>
      <c r="AU181" t="b">
        <v>1</v>
      </c>
      <c r="AV181" t="b">
        <v>1</v>
      </c>
      <c r="AW181" t="b">
        <v>1</v>
      </c>
      <c r="BC181" t="str">
        <f t="shared" si="2"/>
        <v>Normal</v>
      </c>
    </row>
    <row r="182" spans="1:55" x14ac:dyDescent="0.2">
      <c r="A182" t="s">
        <v>39</v>
      </c>
      <c r="B182" t="s">
        <v>40</v>
      </c>
      <c r="C182">
        <v>20200101</v>
      </c>
      <c r="D182">
        <v>2020</v>
      </c>
      <c r="E182">
        <v>52</v>
      </c>
      <c r="F182" t="s">
        <v>309</v>
      </c>
      <c r="G182">
        <v>384</v>
      </c>
      <c r="H182" t="s">
        <v>163</v>
      </c>
      <c r="I182" t="s">
        <v>164</v>
      </c>
      <c r="J182" t="s">
        <v>44</v>
      </c>
      <c r="K182" t="s">
        <v>45</v>
      </c>
      <c r="L182">
        <v>0</v>
      </c>
      <c r="M182" t="s">
        <v>46</v>
      </c>
      <c r="N182" t="s">
        <v>47</v>
      </c>
      <c r="O182">
        <v>0</v>
      </c>
      <c r="P182" t="s">
        <v>46</v>
      </c>
      <c r="Q182" t="s">
        <v>47</v>
      </c>
      <c r="R182" t="s">
        <v>48</v>
      </c>
      <c r="S182" t="s">
        <v>49</v>
      </c>
      <c r="T182" t="b">
        <v>1</v>
      </c>
      <c r="U182" t="s">
        <v>50</v>
      </c>
      <c r="V182" t="s">
        <v>51</v>
      </c>
      <c r="W182">
        <v>4</v>
      </c>
      <c r="X182" t="b">
        <v>0</v>
      </c>
      <c r="Y182" t="s">
        <v>52</v>
      </c>
      <c r="Z182" t="s">
        <v>53</v>
      </c>
      <c r="AA182" t="s">
        <v>54</v>
      </c>
      <c r="AB182">
        <v>0</v>
      </c>
      <c r="AC182" t="s">
        <v>55</v>
      </c>
      <c r="AD182">
        <v>8</v>
      </c>
      <c r="AE182" t="s">
        <v>56</v>
      </c>
      <c r="AF182">
        <v>38674</v>
      </c>
      <c r="AG182" t="b">
        <v>0</v>
      </c>
      <c r="AH182">
        <v>8</v>
      </c>
      <c r="AI182" t="s">
        <v>56</v>
      </c>
      <c r="AJ182">
        <v>38674</v>
      </c>
      <c r="AK182" t="b">
        <v>0</v>
      </c>
      <c r="AL182">
        <v>38674</v>
      </c>
      <c r="AM182" t="b">
        <v>0</v>
      </c>
      <c r="AN182">
        <v>0</v>
      </c>
      <c r="AO182" t="b">
        <v>0</v>
      </c>
      <c r="AP182">
        <v>0</v>
      </c>
      <c r="AQ182">
        <v>1465345844.6300001</v>
      </c>
      <c r="AR182">
        <v>1465345844.6300001</v>
      </c>
      <c r="AS182">
        <v>0</v>
      </c>
      <c r="AT182" t="b">
        <v>0</v>
      </c>
      <c r="AU182" t="b">
        <v>1</v>
      </c>
      <c r="AV182" t="b">
        <v>1</v>
      </c>
      <c r="AW182" t="b">
        <v>1</v>
      </c>
      <c r="BC182" t="str">
        <f t="shared" si="2"/>
        <v>Normal</v>
      </c>
    </row>
    <row r="183" spans="1:55" x14ac:dyDescent="0.2">
      <c r="A183" t="s">
        <v>39</v>
      </c>
      <c r="B183" t="s">
        <v>40</v>
      </c>
      <c r="C183">
        <v>20200101</v>
      </c>
      <c r="D183">
        <v>2020</v>
      </c>
      <c r="E183">
        <v>52</v>
      </c>
      <c r="F183" t="s">
        <v>309</v>
      </c>
      <c r="G183">
        <v>392</v>
      </c>
      <c r="H183" t="s">
        <v>165</v>
      </c>
      <c r="I183" t="s">
        <v>166</v>
      </c>
      <c r="J183" t="s">
        <v>44</v>
      </c>
      <c r="K183" t="s">
        <v>45</v>
      </c>
      <c r="L183">
        <v>0</v>
      </c>
      <c r="M183" t="s">
        <v>46</v>
      </c>
      <c r="N183" t="s">
        <v>47</v>
      </c>
      <c r="O183">
        <v>0</v>
      </c>
      <c r="P183" t="s">
        <v>46</v>
      </c>
      <c r="Q183" t="s">
        <v>47</v>
      </c>
      <c r="R183" t="s">
        <v>48</v>
      </c>
      <c r="S183" t="s">
        <v>49</v>
      </c>
      <c r="T183" t="b">
        <v>1</v>
      </c>
      <c r="U183" t="s">
        <v>50</v>
      </c>
      <c r="V183" t="s">
        <v>51</v>
      </c>
      <c r="W183">
        <v>4</v>
      </c>
      <c r="X183" t="b">
        <v>0</v>
      </c>
      <c r="Y183" t="s">
        <v>52</v>
      </c>
      <c r="Z183" t="s">
        <v>53</v>
      </c>
      <c r="AA183" t="s">
        <v>54</v>
      </c>
      <c r="AB183">
        <v>0</v>
      </c>
      <c r="AC183" t="s">
        <v>55</v>
      </c>
      <c r="AD183">
        <v>8</v>
      </c>
      <c r="AE183" t="s">
        <v>56</v>
      </c>
      <c r="AF183">
        <v>148377.75700000001</v>
      </c>
      <c r="AG183" t="b">
        <v>0</v>
      </c>
      <c r="AH183">
        <v>15</v>
      </c>
      <c r="AI183" t="s">
        <v>59</v>
      </c>
      <c r="AJ183">
        <v>148377757</v>
      </c>
      <c r="AK183" t="b">
        <v>0</v>
      </c>
      <c r="AL183" s="1">
        <v>148377.75700000001</v>
      </c>
      <c r="AM183" t="b">
        <v>0</v>
      </c>
      <c r="AN183">
        <v>0</v>
      </c>
      <c r="AO183" t="b">
        <v>0</v>
      </c>
      <c r="AP183">
        <v>0</v>
      </c>
      <c r="AQ183">
        <v>8324742799.7060003</v>
      </c>
      <c r="AR183">
        <v>8324742799.7060003</v>
      </c>
      <c r="AS183">
        <v>0</v>
      </c>
      <c r="AT183" t="b">
        <v>0</v>
      </c>
      <c r="AU183" t="b">
        <v>1</v>
      </c>
      <c r="AV183" t="b">
        <v>1</v>
      </c>
      <c r="AW183" t="b">
        <v>1</v>
      </c>
      <c r="BC183" t="str">
        <f t="shared" si="2"/>
        <v>Outlier</v>
      </c>
    </row>
    <row r="184" spans="1:55" x14ac:dyDescent="0.2">
      <c r="A184" t="s">
        <v>39</v>
      </c>
      <c r="B184" t="s">
        <v>40</v>
      </c>
      <c r="C184">
        <v>20200101</v>
      </c>
      <c r="D184">
        <v>2020</v>
      </c>
      <c r="E184">
        <v>52</v>
      </c>
      <c r="F184" t="s">
        <v>309</v>
      </c>
      <c r="G184">
        <v>398</v>
      </c>
      <c r="H184" t="s">
        <v>167</v>
      </c>
      <c r="I184" t="s">
        <v>168</v>
      </c>
      <c r="J184" t="s">
        <v>44</v>
      </c>
      <c r="K184" t="s">
        <v>45</v>
      </c>
      <c r="L184">
        <v>0</v>
      </c>
      <c r="M184" t="s">
        <v>46</v>
      </c>
      <c r="N184" t="s">
        <v>47</v>
      </c>
      <c r="O184">
        <v>0</v>
      </c>
      <c r="P184" t="s">
        <v>46</v>
      </c>
      <c r="Q184" t="s">
        <v>47</v>
      </c>
      <c r="R184" t="s">
        <v>48</v>
      </c>
      <c r="S184" t="s">
        <v>49</v>
      </c>
      <c r="T184" t="b">
        <v>1</v>
      </c>
      <c r="U184" t="s">
        <v>50</v>
      </c>
      <c r="V184" t="s">
        <v>51</v>
      </c>
      <c r="W184">
        <v>4</v>
      </c>
      <c r="X184" t="b">
        <v>0</v>
      </c>
      <c r="Y184" t="s">
        <v>52</v>
      </c>
      <c r="Z184" t="s">
        <v>53</v>
      </c>
      <c r="AA184" t="s">
        <v>54</v>
      </c>
      <c r="AB184">
        <v>0</v>
      </c>
      <c r="AC184" t="s">
        <v>55</v>
      </c>
      <c r="AD184">
        <v>-1</v>
      </c>
      <c r="AE184" t="s">
        <v>64</v>
      </c>
      <c r="AF184">
        <v>0</v>
      </c>
      <c r="AG184" t="b">
        <v>0</v>
      </c>
      <c r="AH184">
        <v>-1</v>
      </c>
      <c r="AI184" t="s">
        <v>64</v>
      </c>
      <c r="AJ184">
        <v>0</v>
      </c>
      <c r="AK184" t="b">
        <v>0</v>
      </c>
      <c r="AM184" t="b">
        <v>0</v>
      </c>
      <c r="AN184">
        <v>0</v>
      </c>
      <c r="AO184" t="b">
        <v>0</v>
      </c>
      <c r="AQ184">
        <v>6513615.4800000004</v>
      </c>
      <c r="AR184">
        <v>6513615.4800000004</v>
      </c>
      <c r="AS184">
        <v>0</v>
      </c>
      <c r="AT184" t="b">
        <v>0</v>
      </c>
      <c r="AU184" t="b">
        <v>1</v>
      </c>
      <c r="AV184" t="b">
        <v>1</v>
      </c>
      <c r="AW184" t="b">
        <v>1</v>
      </c>
      <c r="BC184" t="str">
        <f t="shared" si="2"/>
        <v>Normal</v>
      </c>
    </row>
    <row r="185" spans="1:55" x14ac:dyDescent="0.2">
      <c r="A185" t="s">
        <v>39</v>
      </c>
      <c r="B185" t="s">
        <v>40</v>
      </c>
      <c r="C185">
        <v>20200101</v>
      </c>
      <c r="D185">
        <v>2020</v>
      </c>
      <c r="E185">
        <v>52</v>
      </c>
      <c r="F185" t="s">
        <v>309</v>
      </c>
      <c r="G185">
        <v>400</v>
      </c>
      <c r="H185" t="s">
        <v>169</v>
      </c>
      <c r="I185" t="s">
        <v>170</v>
      </c>
      <c r="J185" t="s">
        <v>44</v>
      </c>
      <c r="K185" t="s">
        <v>45</v>
      </c>
      <c r="L185">
        <v>0</v>
      </c>
      <c r="M185" t="s">
        <v>46</v>
      </c>
      <c r="N185" t="s">
        <v>47</v>
      </c>
      <c r="O185">
        <v>0</v>
      </c>
      <c r="P185" t="s">
        <v>46</v>
      </c>
      <c r="Q185" t="s">
        <v>47</v>
      </c>
      <c r="R185" t="s">
        <v>48</v>
      </c>
      <c r="S185" t="s">
        <v>49</v>
      </c>
      <c r="T185" t="b">
        <v>1</v>
      </c>
      <c r="U185" t="s">
        <v>50</v>
      </c>
      <c r="V185" t="s">
        <v>51</v>
      </c>
      <c r="W185">
        <v>4</v>
      </c>
      <c r="X185" t="b">
        <v>0</v>
      </c>
      <c r="Y185" t="s">
        <v>52</v>
      </c>
      <c r="Z185" t="s">
        <v>53</v>
      </c>
      <c r="AA185" t="s">
        <v>54</v>
      </c>
      <c r="AB185">
        <v>0</v>
      </c>
      <c r="AC185" t="s">
        <v>55</v>
      </c>
      <c r="AD185">
        <v>-1</v>
      </c>
      <c r="AE185" t="s">
        <v>64</v>
      </c>
      <c r="AF185">
        <v>0</v>
      </c>
      <c r="AG185" t="b">
        <v>1</v>
      </c>
      <c r="AH185">
        <v>-1</v>
      </c>
      <c r="AI185" t="s">
        <v>64</v>
      </c>
      <c r="AJ185">
        <v>0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P185">
        <v>0</v>
      </c>
      <c r="AQ185">
        <v>437815183.49000001</v>
      </c>
      <c r="AR185">
        <v>437815183.49000001</v>
      </c>
      <c r="AS185">
        <v>6</v>
      </c>
      <c r="AT185" t="b">
        <v>0</v>
      </c>
      <c r="AU185" t="b">
        <v>1</v>
      </c>
      <c r="AV185" t="b">
        <v>1</v>
      </c>
      <c r="AW185" t="b">
        <v>1</v>
      </c>
      <c r="BC185" t="str">
        <f t="shared" si="2"/>
        <v>Normal</v>
      </c>
    </row>
    <row r="186" spans="1:55" x14ac:dyDescent="0.2">
      <c r="A186" t="s">
        <v>39</v>
      </c>
      <c r="B186" t="s">
        <v>40</v>
      </c>
      <c r="C186">
        <v>20200101</v>
      </c>
      <c r="D186">
        <v>2020</v>
      </c>
      <c r="E186">
        <v>52</v>
      </c>
      <c r="F186" t="s">
        <v>309</v>
      </c>
      <c r="G186">
        <v>404</v>
      </c>
      <c r="H186" t="s">
        <v>171</v>
      </c>
      <c r="I186" t="s">
        <v>172</v>
      </c>
      <c r="J186" t="s">
        <v>44</v>
      </c>
      <c r="K186" t="s">
        <v>45</v>
      </c>
      <c r="L186">
        <v>0</v>
      </c>
      <c r="M186" t="s">
        <v>46</v>
      </c>
      <c r="N186" t="s">
        <v>47</v>
      </c>
      <c r="O186">
        <v>0</v>
      </c>
      <c r="P186" t="s">
        <v>46</v>
      </c>
      <c r="Q186" t="s">
        <v>47</v>
      </c>
      <c r="R186" t="s">
        <v>48</v>
      </c>
      <c r="S186" t="s">
        <v>49</v>
      </c>
      <c r="T186" t="b">
        <v>1</v>
      </c>
      <c r="U186" t="s">
        <v>50</v>
      </c>
      <c r="V186" t="s">
        <v>51</v>
      </c>
      <c r="W186">
        <v>4</v>
      </c>
      <c r="X186" t="b">
        <v>0</v>
      </c>
      <c r="Y186" t="s">
        <v>52</v>
      </c>
      <c r="Z186" t="s">
        <v>53</v>
      </c>
      <c r="AA186" t="s">
        <v>54</v>
      </c>
      <c r="AB186">
        <v>0</v>
      </c>
      <c r="AC186" t="s">
        <v>55</v>
      </c>
      <c r="AD186">
        <v>-1</v>
      </c>
      <c r="AE186" t="s">
        <v>64</v>
      </c>
      <c r="AF186">
        <v>0</v>
      </c>
      <c r="AG186" t="b">
        <v>0</v>
      </c>
      <c r="AH186">
        <v>-1</v>
      </c>
      <c r="AI186" t="s">
        <v>64</v>
      </c>
      <c r="AJ186">
        <v>0</v>
      </c>
      <c r="AK186" t="b">
        <v>0</v>
      </c>
      <c r="AM186" t="b">
        <v>0</v>
      </c>
      <c r="AN186">
        <v>0</v>
      </c>
      <c r="AO186" t="b">
        <v>0</v>
      </c>
      <c r="AQ186">
        <v>9719029.2280000001</v>
      </c>
      <c r="AR186">
        <v>9719029.2280000001</v>
      </c>
      <c r="AS186">
        <v>0</v>
      </c>
      <c r="AT186" t="b">
        <v>0</v>
      </c>
      <c r="AU186" t="b">
        <v>1</v>
      </c>
      <c r="AV186" t="b">
        <v>1</v>
      </c>
      <c r="AW186" t="b">
        <v>1</v>
      </c>
      <c r="BC186" t="str">
        <f t="shared" si="2"/>
        <v>Normal</v>
      </c>
    </row>
    <row r="187" spans="1:55" x14ac:dyDescent="0.2">
      <c r="A187" t="s">
        <v>39</v>
      </c>
      <c r="B187" t="s">
        <v>40</v>
      </c>
      <c r="C187">
        <v>20200101</v>
      </c>
      <c r="D187">
        <v>2020</v>
      </c>
      <c r="E187">
        <v>52</v>
      </c>
      <c r="F187" t="s">
        <v>309</v>
      </c>
      <c r="G187">
        <v>410</v>
      </c>
      <c r="H187" t="s">
        <v>173</v>
      </c>
      <c r="I187" t="s">
        <v>174</v>
      </c>
      <c r="J187" t="s">
        <v>44</v>
      </c>
      <c r="K187" t="s">
        <v>45</v>
      </c>
      <c r="L187">
        <v>0</v>
      </c>
      <c r="M187" t="s">
        <v>46</v>
      </c>
      <c r="N187" t="s">
        <v>47</v>
      </c>
      <c r="O187">
        <v>0</v>
      </c>
      <c r="P187" t="s">
        <v>46</v>
      </c>
      <c r="Q187" t="s">
        <v>47</v>
      </c>
      <c r="R187" t="s">
        <v>48</v>
      </c>
      <c r="S187" t="s">
        <v>49</v>
      </c>
      <c r="T187" t="b">
        <v>1</v>
      </c>
      <c r="U187" t="s">
        <v>50</v>
      </c>
      <c r="V187" t="s">
        <v>51</v>
      </c>
      <c r="W187">
        <v>4</v>
      </c>
      <c r="X187" t="b">
        <v>0</v>
      </c>
      <c r="Y187" t="s">
        <v>52</v>
      </c>
      <c r="Z187" t="s">
        <v>53</v>
      </c>
      <c r="AA187" t="s">
        <v>54</v>
      </c>
      <c r="AB187">
        <v>0</v>
      </c>
      <c r="AC187" t="s">
        <v>55</v>
      </c>
      <c r="AD187">
        <v>-1</v>
      </c>
      <c r="AE187" t="s">
        <v>64</v>
      </c>
      <c r="AF187">
        <v>0</v>
      </c>
      <c r="AG187" t="b">
        <v>0</v>
      </c>
      <c r="AH187">
        <v>-1</v>
      </c>
      <c r="AI187" t="s">
        <v>64</v>
      </c>
      <c r="AJ187">
        <v>0</v>
      </c>
      <c r="AK187" t="b">
        <v>0</v>
      </c>
      <c r="AM187" t="b">
        <v>0</v>
      </c>
      <c r="AN187">
        <v>0</v>
      </c>
      <c r="AO187" t="b">
        <v>0</v>
      </c>
      <c r="AQ187">
        <v>1710140052</v>
      </c>
      <c r="AR187">
        <v>1710140052</v>
      </c>
      <c r="AS187">
        <v>0</v>
      </c>
      <c r="AT187" t="b">
        <v>0</v>
      </c>
      <c r="AU187" t="b">
        <v>1</v>
      </c>
      <c r="AV187" t="b">
        <v>1</v>
      </c>
      <c r="AW187" t="b">
        <v>1</v>
      </c>
      <c r="BC187" t="str">
        <f t="shared" si="2"/>
        <v>Normal</v>
      </c>
    </row>
    <row r="188" spans="1:55" x14ac:dyDescent="0.2">
      <c r="A188" t="s">
        <v>39</v>
      </c>
      <c r="B188" t="s">
        <v>40</v>
      </c>
      <c r="C188">
        <v>20200101</v>
      </c>
      <c r="D188">
        <v>2020</v>
      </c>
      <c r="E188">
        <v>52</v>
      </c>
      <c r="F188" t="s">
        <v>309</v>
      </c>
      <c r="G188">
        <v>414</v>
      </c>
      <c r="H188" t="s">
        <v>175</v>
      </c>
      <c r="I188" t="s">
        <v>176</v>
      </c>
      <c r="J188" t="s">
        <v>44</v>
      </c>
      <c r="K188" t="s">
        <v>45</v>
      </c>
      <c r="L188">
        <v>0</v>
      </c>
      <c r="M188" t="s">
        <v>46</v>
      </c>
      <c r="N188" t="s">
        <v>47</v>
      </c>
      <c r="O188">
        <v>0</v>
      </c>
      <c r="P188" t="s">
        <v>46</v>
      </c>
      <c r="Q188" t="s">
        <v>47</v>
      </c>
      <c r="R188" t="s">
        <v>48</v>
      </c>
      <c r="S188" t="s">
        <v>49</v>
      </c>
      <c r="T188" t="b">
        <v>1</v>
      </c>
      <c r="U188" t="s">
        <v>50</v>
      </c>
      <c r="V188" t="s">
        <v>51</v>
      </c>
      <c r="W188">
        <v>4</v>
      </c>
      <c r="X188" t="b">
        <v>0</v>
      </c>
      <c r="Y188" t="s">
        <v>52</v>
      </c>
      <c r="Z188" t="s">
        <v>53</v>
      </c>
      <c r="AA188" t="s">
        <v>54</v>
      </c>
      <c r="AB188">
        <v>0</v>
      </c>
      <c r="AC188" t="s">
        <v>55</v>
      </c>
      <c r="AD188">
        <v>8</v>
      </c>
      <c r="AE188" t="s">
        <v>56</v>
      </c>
      <c r="AF188">
        <v>1013.083</v>
      </c>
      <c r="AG188" t="b">
        <v>0</v>
      </c>
      <c r="AH188">
        <v>8</v>
      </c>
      <c r="AI188" t="s">
        <v>56</v>
      </c>
      <c r="AJ188">
        <v>1013.083</v>
      </c>
      <c r="AK188" t="b">
        <v>0</v>
      </c>
      <c r="AL188">
        <v>1013.083</v>
      </c>
      <c r="AM188" t="b">
        <v>0</v>
      </c>
      <c r="AN188">
        <v>0</v>
      </c>
      <c r="AO188" t="b">
        <v>0</v>
      </c>
      <c r="AP188">
        <v>0</v>
      </c>
      <c r="AQ188">
        <v>49223019</v>
      </c>
      <c r="AR188">
        <v>49223019</v>
      </c>
      <c r="AS188">
        <v>0</v>
      </c>
      <c r="AT188" t="b">
        <v>0</v>
      </c>
      <c r="AU188" t="b">
        <v>1</v>
      </c>
      <c r="AV188" t="b">
        <v>1</v>
      </c>
      <c r="AW188" t="b">
        <v>1</v>
      </c>
      <c r="BC188" t="str">
        <f t="shared" si="2"/>
        <v>Normal</v>
      </c>
    </row>
    <row r="189" spans="1:55" x14ac:dyDescent="0.2">
      <c r="A189" t="s">
        <v>39</v>
      </c>
      <c r="B189" t="s">
        <v>40</v>
      </c>
      <c r="C189">
        <v>20200101</v>
      </c>
      <c r="D189">
        <v>2020</v>
      </c>
      <c r="E189">
        <v>52</v>
      </c>
      <c r="F189" t="s">
        <v>309</v>
      </c>
      <c r="G189">
        <v>417</v>
      </c>
      <c r="H189" t="s">
        <v>177</v>
      </c>
      <c r="I189" t="s">
        <v>178</v>
      </c>
      <c r="J189" t="s">
        <v>44</v>
      </c>
      <c r="K189" t="s">
        <v>45</v>
      </c>
      <c r="L189">
        <v>0</v>
      </c>
      <c r="M189" t="s">
        <v>46</v>
      </c>
      <c r="N189" t="s">
        <v>47</v>
      </c>
      <c r="O189">
        <v>0</v>
      </c>
      <c r="P189" t="s">
        <v>46</v>
      </c>
      <c r="Q189" t="s">
        <v>47</v>
      </c>
      <c r="R189" t="s">
        <v>48</v>
      </c>
      <c r="S189" t="s">
        <v>49</v>
      </c>
      <c r="T189" t="b">
        <v>1</v>
      </c>
      <c r="U189" t="s">
        <v>50</v>
      </c>
      <c r="V189" t="s">
        <v>51</v>
      </c>
      <c r="W189">
        <v>4</v>
      </c>
      <c r="X189" t="b">
        <v>0</v>
      </c>
      <c r="Y189" t="s">
        <v>52</v>
      </c>
      <c r="Z189" t="s">
        <v>53</v>
      </c>
      <c r="AA189" t="s">
        <v>54</v>
      </c>
      <c r="AB189">
        <v>0</v>
      </c>
      <c r="AC189" t="s">
        <v>55</v>
      </c>
      <c r="AD189">
        <v>8</v>
      </c>
      <c r="AE189" t="s">
        <v>56</v>
      </c>
      <c r="AF189">
        <v>9231.7049999999999</v>
      </c>
      <c r="AG189" t="b">
        <v>0</v>
      </c>
      <c r="AH189">
        <v>15</v>
      </c>
      <c r="AI189" t="s">
        <v>59</v>
      </c>
      <c r="AJ189">
        <v>9231705</v>
      </c>
      <c r="AK189" t="b">
        <v>0</v>
      </c>
      <c r="AL189">
        <v>17670</v>
      </c>
      <c r="AM189" t="b">
        <v>0</v>
      </c>
      <c r="AN189">
        <v>0</v>
      </c>
      <c r="AO189" t="b">
        <v>0</v>
      </c>
      <c r="AP189">
        <v>0</v>
      </c>
      <c r="AQ189">
        <v>986997530</v>
      </c>
      <c r="AR189">
        <v>986997530</v>
      </c>
      <c r="AS189">
        <v>0</v>
      </c>
      <c r="AT189" t="b">
        <v>0</v>
      </c>
      <c r="AU189" t="b">
        <v>1</v>
      </c>
      <c r="AV189" t="b">
        <v>1</v>
      </c>
      <c r="AW189" t="b">
        <v>1</v>
      </c>
      <c r="BC189" t="str">
        <f t="shared" si="2"/>
        <v>Normal</v>
      </c>
    </row>
    <row r="190" spans="1:55" x14ac:dyDescent="0.2">
      <c r="A190" t="s">
        <v>39</v>
      </c>
      <c r="B190" t="s">
        <v>40</v>
      </c>
      <c r="C190">
        <v>20200101</v>
      </c>
      <c r="D190">
        <v>2020</v>
      </c>
      <c r="E190">
        <v>52</v>
      </c>
      <c r="F190" t="s">
        <v>309</v>
      </c>
      <c r="G190">
        <v>418</v>
      </c>
      <c r="H190" t="s">
        <v>179</v>
      </c>
      <c r="I190" t="s">
        <v>180</v>
      </c>
      <c r="J190" t="s">
        <v>44</v>
      </c>
      <c r="K190" t="s">
        <v>45</v>
      </c>
      <c r="L190">
        <v>0</v>
      </c>
      <c r="M190" t="s">
        <v>46</v>
      </c>
      <c r="N190" t="s">
        <v>47</v>
      </c>
      <c r="O190">
        <v>0</v>
      </c>
      <c r="P190" t="s">
        <v>46</v>
      </c>
      <c r="Q190" t="s">
        <v>47</v>
      </c>
      <c r="R190" t="s">
        <v>48</v>
      </c>
      <c r="S190" t="s">
        <v>49</v>
      </c>
      <c r="T190" t="b">
        <v>1</v>
      </c>
      <c r="U190" t="s">
        <v>50</v>
      </c>
      <c r="V190" t="s">
        <v>51</v>
      </c>
      <c r="W190">
        <v>4</v>
      </c>
      <c r="X190" t="b">
        <v>0</v>
      </c>
      <c r="Y190" t="s">
        <v>52</v>
      </c>
      <c r="Z190" t="s">
        <v>53</v>
      </c>
      <c r="AA190" t="s">
        <v>54</v>
      </c>
      <c r="AB190">
        <v>0</v>
      </c>
      <c r="AC190" t="s">
        <v>55</v>
      </c>
      <c r="AD190">
        <v>8</v>
      </c>
      <c r="AE190" t="s">
        <v>56</v>
      </c>
      <c r="AF190">
        <v>29051.964</v>
      </c>
      <c r="AG190" t="b">
        <v>1</v>
      </c>
      <c r="AH190">
        <v>-1</v>
      </c>
      <c r="AI190" t="s">
        <v>64</v>
      </c>
      <c r="AJ190">
        <v>0</v>
      </c>
      <c r="AK190" t="b">
        <v>0</v>
      </c>
      <c r="AL190">
        <v>29051.964</v>
      </c>
      <c r="AM190" t="b">
        <v>1</v>
      </c>
      <c r="AN190">
        <v>0</v>
      </c>
      <c r="AO190" t="b">
        <v>0</v>
      </c>
      <c r="AP190">
        <v>0</v>
      </c>
      <c r="AQ190">
        <v>457051271.88</v>
      </c>
      <c r="AR190">
        <v>457051271.88</v>
      </c>
      <c r="AS190">
        <v>6</v>
      </c>
      <c r="AT190" t="b">
        <v>0</v>
      </c>
      <c r="AU190" t="b">
        <v>1</v>
      </c>
      <c r="AV190" t="b">
        <v>1</v>
      </c>
      <c r="AW190" t="b">
        <v>1</v>
      </c>
      <c r="BC190" t="str">
        <f t="shared" si="2"/>
        <v>Normal</v>
      </c>
    </row>
    <row r="191" spans="1:55" x14ac:dyDescent="0.2">
      <c r="A191" t="s">
        <v>39</v>
      </c>
      <c r="B191" t="s">
        <v>40</v>
      </c>
      <c r="C191">
        <v>20200101</v>
      </c>
      <c r="D191">
        <v>2020</v>
      </c>
      <c r="E191">
        <v>52</v>
      </c>
      <c r="F191" t="s">
        <v>309</v>
      </c>
      <c r="G191">
        <v>422</v>
      </c>
      <c r="H191" t="s">
        <v>181</v>
      </c>
      <c r="I191" t="s">
        <v>182</v>
      </c>
      <c r="J191" t="s">
        <v>44</v>
      </c>
      <c r="K191" t="s">
        <v>45</v>
      </c>
      <c r="L191">
        <v>0</v>
      </c>
      <c r="M191" t="s">
        <v>46</v>
      </c>
      <c r="N191" t="s">
        <v>47</v>
      </c>
      <c r="O191">
        <v>0</v>
      </c>
      <c r="P191" t="s">
        <v>46</v>
      </c>
      <c r="Q191" t="s">
        <v>47</v>
      </c>
      <c r="R191" t="s">
        <v>48</v>
      </c>
      <c r="S191" t="s">
        <v>49</v>
      </c>
      <c r="T191" t="b">
        <v>1</v>
      </c>
      <c r="U191" t="s">
        <v>50</v>
      </c>
      <c r="V191" t="s">
        <v>51</v>
      </c>
      <c r="W191">
        <v>4</v>
      </c>
      <c r="X191" t="b">
        <v>0</v>
      </c>
      <c r="Y191" t="s">
        <v>52</v>
      </c>
      <c r="Z191" t="s">
        <v>53</v>
      </c>
      <c r="AA191" t="s">
        <v>54</v>
      </c>
      <c r="AB191">
        <v>0</v>
      </c>
      <c r="AC191" t="s">
        <v>55</v>
      </c>
      <c r="AD191">
        <v>8</v>
      </c>
      <c r="AE191" t="s">
        <v>56</v>
      </c>
      <c r="AF191">
        <v>20931</v>
      </c>
      <c r="AG191" t="b">
        <v>0</v>
      </c>
      <c r="AH191">
        <v>8</v>
      </c>
      <c r="AI191" t="s">
        <v>56</v>
      </c>
      <c r="AJ191">
        <v>20931</v>
      </c>
      <c r="AK191" t="b">
        <v>0</v>
      </c>
      <c r="AL191">
        <v>20931</v>
      </c>
      <c r="AM191" t="b">
        <v>0</v>
      </c>
      <c r="AN191">
        <v>0</v>
      </c>
      <c r="AO191" t="b">
        <v>0</v>
      </c>
      <c r="AP191">
        <v>0</v>
      </c>
      <c r="AQ191">
        <v>1090634247</v>
      </c>
      <c r="AR191">
        <v>1090634247</v>
      </c>
      <c r="AS191">
        <v>0</v>
      </c>
      <c r="AT191" t="b">
        <v>0</v>
      </c>
      <c r="AU191" t="b">
        <v>1</v>
      </c>
      <c r="AV191" t="b">
        <v>1</v>
      </c>
      <c r="AW191" t="b">
        <v>1</v>
      </c>
      <c r="BC191" t="str">
        <f t="shared" si="2"/>
        <v>Normal</v>
      </c>
    </row>
    <row r="192" spans="1:55" x14ac:dyDescent="0.2">
      <c r="A192" t="s">
        <v>39</v>
      </c>
      <c r="B192" t="s">
        <v>40</v>
      </c>
      <c r="C192">
        <v>20200101</v>
      </c>
      <c r="D192">
        <v>2020</v>
      </c>
      <c r="E192">
        <v>52</v>
      </c>
      <c r="F192" t="s">
        <v>309</v>
      </c>
      <c r="G192">
        <v>428</v>
      </c>
      <c r="H192" t="s">
        <v>183</v>
      </c>
      <c r="I192" t="s">
        <v>184</v>
      </c>
      <c r="J192" t="s">
        <v>44</v>
      </c>
      <c r="K192" t="s">
        <v>45</v>
      </c>
      <c r="L192">
        <v>0</v>
      </c>
      <c r="M192" t="s">
        <v>46</v>
      </c>
      <c r="N192" t="s">
        <v>47</v>
      </c>
      <c r="O192">
        <v>0</v>
      </c>
      <c r="P192" t="s">
        <v>46</v>
      </c>
      <c r="Q192" t="s">
        <v>47</v>
      </c>
      <c r="R192" t="s">
        <v>48</v>
      </c>
      <c r="S192" t="s">
        <v>49</v>
      </c>
      <c r="T192" t="b">
        <v>1</v>
      </c>
      <c r="U192" t="s">
        <v>50</v>
      </c>
      <c r="V192" t="s">
        <v>51</v>
      </c>
      <c r="W192">
        <v>4</v>
      </c>
      <c r="X192" t="b">
        <v>0</v>
      </c>
      <c r="Y192" t="s">
        <v>52</v>
      </c>
      <c r="Z192" t="s">
        <v>53</v>
      </c>
      <c r="AA192" t="s">
        <v>54</v>
      </c>
      <c r="AB192">
        <v>0</v>
      </c>
      <c r="AC192" t="s">
        <v>55</v>
      </c>
      <c r="AD192">
        <v>8</v>
      </c>
      <c r="AE192" t="s">
        <v>56</v>
      </c>
      <c r="AF192">
        <v>256.77499999999998</v>
      </c>
      <c r="AG192" t="b">
        <v>0</v>
      </c>
      <c r="AH192">
        <v>15</v>
      </c>
      <c r="AI192" t="s">
        <v>59</v>
      </c>
      <c r="AJ192">
        <v>256775</v>
      </c>
      <c r="AK192" t="b">
        <v>0</v>
      </c>
      <c r="AL192">
        <v>261.202</v>
      </c>
      <c r="AM192" t="b">
        <v>0</v>
      </c>
      <c r="AN192">
        <v>0</v>
      </c>
      <c r="AO192" t="b">
        <v>0</v>
      </c>
      <c r="AQ192">
        <v>7674536.6689999998</v>
      </c>
      <c r="AR192">
        <v>7674536.6689999998</v>
      </c>
      <c r="AS192">
        <v>0</v>
      </c>
      <c r="AT192" t="b">
        <v>0</v>
      </c>
      <c r="AU192" t="b">
        <v>1</v>
      </c>
      <c r="AV192" t="b">
        <v>1</v>
      </c>
      <c r="AW192" t="b">
        <v>1</v>
      </c>
      <c r="BC192" t="str">
        <f t="shared" si="2"/>
        <v>Normal</v>
      </c>
    </row>
    <row r="193" spans="1:55" x14ac:dyDescent="0.2">
      <c r="A193" t="s">
        <v>39</v>
      </c>
      <c r="B193" t="s">
        <v>40</v>
      </c>
      <c r="C193">
        <v>20200101</v>
      </c>
      <c r="D193">
        <v>2020</v>
      </c>
      <c r="E193">
        <v>52</v>
      </c>
      <c r="F193" t="s">
        <v>309</v>
      </c>
      <c r="G193">
        <v>430</v>
      </c>
      <c r="H193" t="s">
        <v>185</v>
      </c>
      <c r="I193" t="s">
        <v>186</v>
      </c>
      <c r="J193" t="s">
        <v>44</v>
      </c>
      <c r="K193" t="s">
        <v>45</v>
      </c>
      <c r="L193">
        <v>0</v>
      </c>
      <c r="M193" t="s">
        <v>46</v>
      </c>
      <c r="N193" t="s">
        <v>47</v>
      </c>
      <c r="O193">
        <v>0</v>
      </c>
      <c r="P193" t="s">
        <v>46</v>
      </c>
      <c r="Q193" t="s">
        <v>47</v>
      </c>
      <c r="R193" t="s">
        <v>48</v>
      </c>
      <c r="S193" t="s">
        <v>49</v>
      </c>
      <c r="T193" t="b">
        <v>1</v>
      </c>
      <c r="U193" t="s">
        <v>50</v>
      </c>
      <c r="V193" t="s">
        <v>51</v>
      </c>
      <c r="W193">
        <v>4</v>
      </c>
      <c r="X193" t="b">
        <v>0</v>
      </c>
      <c r="Y193" t="s">
        <v>52</v>
      </c>
      <c r="Z193" t="s">
        <v>53</v>
      </c>
      <c r="AA193" t="s">
        <v>54</v>
      </c>
      <c r="AB193">
        <v>0</v>
      </c>
      <c r="AC193" t="s">
        <v>55</v>
      </c>
      <c r="AD193">
        <v>8</v>
      </c>
      <c r="AE193" t="s">
        <v>56</v>
      </c>
      <c r="AF193">
        <v>2179.4299999999998</v>
      </c>
      <c r="AG193" t="b">
        <v>1</v>
      </c>
      <c r="AH193">
        <v>-1</v>
      </c>
      <c r="AI193" t="s">
        <v>64</v>
      </c>
      <c r="AJ193">
        <v>0</v>
      </c>
      <c r="AK193" t="b">
        <v>0</v>
      </c>
      <c r="AL193">
        <v>2179.4299999999998</v>
      </c>
      <c r="AM193" t="b">
        <v>1</v>
      </c>
      <c r="AN193">
        <v>0</v>
      </c>
      <c r="AO193" t="b">
        <v>0</v>
      </c>
      <c r="AQ193">
        <v>117742754.808</v>
      </c>
      <c r="AR193">
        <v>117742754.808</v>
      </c>
      <c r="AS193">
        <v>6</v>
      </c>
      <c r="AT193" t="b">
        <v>0</v>
      </c>
      <c r="AU193" t="b">
        <v>1</v>
      </c>
      <c r="AV193" t="b">
        <v>1</v>
      </c>
      <c r="AW193" t="b">
        <v>1</v>
      </c>
      <c r="BC193" t="str">
        <f t="shared" si="2"/>
        <v>Normal</v>
      </c>
    </row>
    <row r="194" spans="1:55" x14ac:dyDescent="0.2">
      <c r="A194" t="s">
        <v>39</v>
      </c>
      <c r="B194" t="s">
        <v>40</v>
      </c>
      <c r="C194">
        <v>20200101</v>
      </c>
      <c r="D194">
        <v>2020</v>
      </c>
      <c r="E194">
        <v>52</v>
      </c>
      <c r="F194" t="s">
        <v>309</v>
      </c>
      <c r="G194">
        <v>440</v>
      </c>
      <c r="H194" t="s">
        <v>189</v>
      </c>
      <c r="I194" t="s">
        <v>190</v>
      </c>
      <c r="J194" t="s">
        <v>44</v>
      </c>
      <c r="K194" t="s">
        <v>45</v>
      </c>
      <c r="L194">
        <v>0</v>
      </c>
      <c r="M194" t="s">
        <v>46</v>
      </c>
      <c r="N194" t="s">
        <v>47</v>
      </c>
      <c r="O194">
        <v>0</v>
      </c>
      <c r="P194" t="s">
        <v>46</v>
      </c>
      <c r="Q194" t="s">
        <v>47</v>
      </c>
      <c r="R194" t="s">
        <v>48</v>
      </c>
      <c r="S194" t="s">
        <v>49</v>
      </c>
      <c r="T194" t="b">
        <v>1</v>
      </c>
      <c r="U194" t="s">
        <v>50</v>
      </c>
      <c r="V194" t="s">
        <v>51</v>
      </c>
      <c r="W194">
        <v>4</v>
      </c>
      <c r="X194" t="b">
        <v>0</v>
      </c>
      <c r="Y194" t="s">
        <v>52</v>
      </c>
      <c r="Z194" t="s">
        <v>53</v>
      </c>
      <c r="AA194" t="s">
        <v>54</v>
      </c>
      <c r="AB194">
        <v>0</v>
      </c>
      <c r="AC194" t="s">
        <v>55</v>
      </c>
      <c r="AD194">
        <v>8</v>
      </c>
      <c r="AE194" t="s">
        <v>56</v>
      </c>
      <c r="AF194">
        <v>17.690000000000001</v>
      </c>
      <c r="AG194" t="b">
        <v>0</v>
      </c>
      <c r="AH194">
        <v>15</v>
      </c>
      <c r="AI194" t="s">
        <v>59</v>
      </c>
      <c r="AJ194">
        <v>17689.98</v>
      </c>
      <c r="AK194" t="b">
        <v>0</v>
      </c>
      <c r="AL194">
        <v>17.919</v>
      </c>
      <c r="AM194" t="b">
        <v>0</v>
      </c>
      <c r="AN194">
        <v>0</v>
      </c>
      <c r="AO194" t="b">
        <v>0</v>
      </c>
      <c r="AQ194">
        <v>644454</v>
      </c>
      <c r="AR194">
        <v>644454</v>
      </c>
      <c r="AS194">
        <v>0</v>
      </c>
      <c r="AT194" t="b">
        <v>0</v>
      </c>
      <c r="AU194" t="b">
        <v>1</v>
      </c>
      <c r="AV194" t="b">
        <v>1</v>
      </c>
      <c r="AW194" t="b">
        <v>1</v>
      </c>
      <c r="BC194" t="str">
        <f t="shared" si="2"/>
        <v>Normal</v>
      </c>
    </row>
    <row r="195" spans="1:55" x14ac:dyDescent="0.2">
      <c r="A195" t="s">
        <v>39</v>
      </c>
      <c r="B195" t="s">
        <v>40</v>
      </c>
      <c r="C195">
        <v>20200101</v>
      </c>
      <c r="D195">
        <v>2020</v>
      </c>
      <c r="E195">
        <v>52</v>
      </c>
      <c r="F195" t="s">
        <v>309</v>
      </c>
      <c r="G195">
        <v>442</v>
      </c>
      <c r="H195" t="s">
        <v>191</v>
      </c>
      <c r="I195" t="s">
        <v>192</v>
      </c>
      <c r="J195" t="s">
        <v>44</v>
      </c>
      <c r="K195" t="s">
        <v>45</v>
      </c>
      <c r="L195">
        <v>0</v>
      </c>
      <c r="M195" t="s">
        <v>46</v>
      </c>
      <c r="N195" t="s">
        <v>47</v>
      </c>
      <c r="O195">
        <v>0</v>
      </c>
      <c r="P195" t="s">
        <v>46</v>
      </c>
      <c r="Q195" t="s">
        <v>47</v>
      </c>
      <c r="R195" t="s">
        <v>48</v>
      </c>
      <c r="S195" t="s">
        <v>49</v>
      </c>
      <c r="T195" t="b">
        <v>1</v>
      </c>
      <c r="U195" t="s">
        <v>50</v>
      </c>
      <c r="V195" t="s">
        <v>51</v>
      </c>
      <c r="W195">
        <v>4</v>
      </c>
      <c r="X195" t="b">
        <v>0</v>
      </c>
      <c r="Y195" t="s">
        <v>52</v>
      </c>
      <c r="Z195" t="s">
        <v>53</v>
      </c>
      <c r="AA195" t="s">
        <v>54</v>
      </c>
      <c r="AB195">
        <v>0</v>
      </c>
      <c r="AC195" t="s">
        <v>55</v>
      </c>
      <c r="AD195">
        <v>8</v>
      </c>
      <c r="AE195" t="s">
        <v>56</v>
      </c>
      <c r="AF195">
        <v>906.03700000000003</v>
      </c>
      <c r="AG195" t="b">
        <v>0</v>
      </c>
      <c r="AH195">
        <v>15</v>
      </c>
      <c r="AI195" t="s">
        <v>59</v>
      </c>
      <c r="AJ195">
        <v>885660.76</v>
      </c>
      <c r="AK195" t="b">
        <v>0</v>
      </c>
      <c r="AL195">
        <v>1974.8119999999999</v>
      </c>
      <c r="AM195" t="b">
        <v>0</v>
      </c>
      <c r="AN195">
        <v>0</v>
      </c>
      <c r="AO195" t="b">
        <v>0</v>
      </c>
      <c r="AP195">
        <v>0</v>
      </c>
      <c r="AQ195">
        <v>52975663.428000003</v>
      </c>
      <c r="AR195">
        <v>52975663.428000003</v>
      </c>
      <c r="AS195">
        <v>0</v>
      </c>
      <c r="AT195" t="b">
        <v>0</v>
      </c>
      <c r="AU195" t="b">
        <v>1</v>
      </c>
      <c r="AV195" t="b">
        <v>1</v>
      </c>
      <c r="AW195" t="b">
        <v>1</v>
      </c>
      <c r="BC195" t="str">
        <f t="shared" ref="BC195:BC258" si="3">IF(OR(AL195&lt;$BA$2,AL195&gt;$BB$2),"Outlier","Normal")</f>
        <v>Normal</v>
      </c>
    </row>
    <row r="196" spans="1:55" x14ac:dyDescent="0.2">
      <c r="A196" t="s">
        <v>39</v>
      </c>
      <c r="B196" t="s">
        <v>40</v>
      </c>
      <c r="C196">
        <v>20200101</v>
      </c>
      <c r="D196">
        <v>2020</v>
      </c>
      <c r="E196">
        <v>52</v>
      </c>
      <c r="F196" t="s">
        <v>309</v>
      </c>
      <c r="G196">
        <v>446</v>
      </c>
      <c r="H196" t="s">
        <v>323</v>
      </c>
      <c r="I196" t="s">
        <v>324</v>
      </c>
      <c r="J196" t="s">
        <v>44</v>
      </c>
      <c r="K196" t="s">
        <v>45</v>
      </c>
      <c r="L196">
        <v>0</v>
      </c>
      <c r="M196" t="s">
        <v>46</v>
      </c>
      <c r="N196" t="s">
        <v>47</v>
      </c>
      <c r="O196">
        <v>0</v>
      </c>
      <c r="P196" t="s">
        <v>46</v>
      </c>
      <c r="Q196" t="s">
        <v>47</v>
      </c>
      <c r="R196" t="s">
        <v>48</v>
      </c>
      <c r="S196" t="s">
        <v>49</v>
      </c>
      <c r="T196" t="b">
        <v>1</v>
      </c>
      <c r="U196" t="s">
        <v>50</v>
      </c>
      <c r="V196" t="s">
        <v>51</v>
      </c>
      <c r="W196">
        <v>4</v>
      </c>
      <c r="X196" t="b">
        <v>0</v>
      </c>
      <c r="Y196" t="s">
        <v>52</v>
      </c>
      <c r="Z196" t="s">
        <v>53</v>
      </c>
      <c r="AA196" t="s">
        <v>54</v>
      </c>
      <c r="AB196">
        <v>0</v>
      </c>
      <c r="AC196" t="s">
        <v>55</v>
      </c>
      <c r="AD196">
        <v>-1</v>
      </c>
      <c r="AE196" t="s">
        <v>64</v>
      </c>
      <c r="AF196">
        <v>0</v>
      </c>
      <c r="AG196" t="b">
        <v>0</v>
      </c>
      <c r="AH196">
        <v>-1</v>
      </c>
      <c r="AI196" t="s">
        <v>64</v>
      </c>
      <c r="AJ196">
        <v>0</v>
      </c>
      <c r="AK196" t="b">
        <v>0</v>
      </c>
      <c r="AL196">
        <v>0</v>
      </c>
      <c r="AM196" t="b">
        <v>0</v>
      </c>
      <c r="AN196">
        <v>0</v>
      </c>
      <c r="AO196" t="b">
        <v>0</v>
      </c>
      <c r="AQ196">
        <v>3226742.6030000001</v>
      </c>
      <c r="AR196">
        <v>3226742.6030000001</v>
      </c>
      <c r="AS196">
        <v>0</v>
      </c>
      <c r="AT196" t="b">
        <v>0</v>
      </c>
      <c r="AU196" t="b">
        <v>1</v>
      </c>
      <c r="AV196" t="b">
        <v>1</v>
      </c>
      <c r="AW196" t="b">
        <v>1</v>
      </c>
      <c r="BC196" t="str">
        <f t="shared" si="3"/>
        <v>Normal</v>
      </c>
    </row>
    <row r="197" spans="1:55" x14ac:dyDescent="0.2">
      <c r="A197" t="s">
        <v>39</v>
      </c>
      <c r="B197" t="s">
        <v>40</v>
      </c>
      <c r="C197">
        <v>20200101</v>
      </c>
      <c r="D197">
        <v>2020</v>
      </c>
      <c r="E197">
        <v>52</v>
      </c>
      <c r="F197" t="s">
        <v>309</v>
      </c>
      <c r="G197">
        <v>450</v>
      </c>
      <c r="H197" t="s">
        <v>193</v>
      </c>
      <c r="I197" t="s">
        <v>194</v>
      </c>
      <c r="J197" t="s">
        <v>44</v>
      </c>
      <c r="K197" t="s">
        <v>45</v>
      </c>
      <c r="L197">
        <v>0</v>
      </c>
      <c r="M197" t="s">
        <v>46</v>
      </c>
      <c r="N197" t="s">
        <v>47</v>
      </c>
      <c r="O197">
        <v>0</v>
      </c>
      <c r="P197" t="s">
        <v>46</v>
      </c>
      <c r="Q197" t="s">
        <v>47</v>
      </c>
      <c r="R197" t="s">
        <v>48</v>
      </c>
      <c r="S197" t="s">
        <v>49</v>
      </c>
      <c r="T197" t="b">
        <v>1</v>
      </c>
      <c r="U197" t="s">
        <v>50</v>
      </c>
      <c r="V197" t="s">
        <v>51</v>
      </c>
      <c r="W197">
        <v>4</v>
      </c>
      <c r="X197" t="b">
        <v>0</v>
      </c>
      <c r="Y197" t="s">
        <v>52</v>
      </c>
      <c r="Z197" t="s">
        <v>53</v>
      </c>
      <c r="AA197" t="s">
        <v>54</v>
      </c>
      <c r="AB197">
        <v>0</v>
      </c>
      <c r="AC197" t="s">
        <v>55</v>
      </c>
      <c r="AD197">
        <v>8</v>
      </c>
      <c r="AE197" t="s">
        <v>56</v>
      </c>
      <c r="AF197">
        <v>1531.63</v>
      </c>
      <c r="AG197" t="b">
        <v>0</v>
      </c>
      <c r="AH197">
        <v>8</v>
      </c>
      <c r="AI197" t="s">
        <v>56</v>
      </c>
      <c r="AJ197">
        <v>1531.63</v>
      </c>
      <c r="AK197" t="b">
        <v>0</v>
      </c>
      <c r="AL197">
        <v>1531.63</v>
      </c>
      <c r="AM197" t="b">
        <v>0</v>
      </c>
      <c r="AN197">
        <v>0</v>
      </c>
      <c r="AO197" t="b">
        <v>0</v>
      </c>
      <c r="AQ197">
        <v>68444868.340000004</v>
      </c>
      <c r="AR197">
        <v>68444868.340000004</v>
      </c>
      <c r="AS197">
        <v>0</v>
      </c>
      <c r="AT197" t="b">
        <v>0</v>
      </c>
      <c r="AU197" t="b">
        <v>1</v>
      </c>
      <c r="AV197" t="b">
        <v>1</v>
      </c>
      <c r="AW197" t="b">
        <v>1</v>
      </c>
      <c r="BC197" t="str">
        <f t="shared" si="3"/>
        <v>Normal</v>
      </c>
    </row>
    <row r="198" spans="1:55" x14ac:dyDescent="0.2">
      <c r="A198" t="s">
        <v>39</v>
      </c>
      <c r="B198" t="s">
        <v>40</v>
      </c>
      <c r="C198">
        <v>20200101</v>
      </c>
      <c r="D198">
        <v>2020</v>
      </c>
      <c r="E198">
        <v>52</v>
      </c>
      <c r="F198" t="s">
        <v>309</v>
      </c>
      <c r="G198">
        <v>458</v>
      </c>
      <c r="H198" t="s">
        <v>195</v>
      </c>
      <c r="I198" t="s">
        <v>196</v>
      </c>
      <c r="J198" t="s">
        <v>44</v>
      </c>
      <c r="K198" t="s">
        <v>45</v>
      </c>
      <c r="L198">
        <v>0</v>
      </c>
      <c r="M198" t="s">
        <v>46</v>
      </c>
      <c r="N198" t="s">
        <v>47</v>
      </c>
      <c r="O198">
        <v>0</v>
      </c>
      <c r="P198" t="s">
        <v>46</v>
      </c>
      <c r="Q198" t="s">
        <v>47</v>
      </c>
      <c r="R198" t="s">
        <v>48</v>
      </c>
      <c r="S198" t="s">
        <v>49</v>
      </c>
      <c r="T198" t="b">
        <v>1</v>
      </c>
      <c r="U198" t="s">
        <v>50</v>
      </c>
      <c r="V198" t="s">
        <v>51</v>
      </c>
      <c r="W198">
        <v>4</v>
      </c>
      <c r="X198" t="b">
        <v>0</v>
      </c>
      <c r="Y198" t="s">
        <v>52</v>
      </c>
      <c r="Z198" t="s">
        <v>53</v>
      </c>
      <c r="AA198" t="s">
        <v>54</v>
      </c>
      <c r="AB198">
        <v>0</v>
      </c>
      <c r="AC198" t="s">
        <v>55</v>
      </c>
      <c r="AD198">
        <v>8</v>
      </c>
      <c r="AE198" t="s">
        <v>56</v>
      </c>
      <c r="AF198">
        <v>3584.77</v>
      </c>
      <c r="AG198" t="b">
        <v>0</v>
      </c>
      <c r="AH198">
        <v>8</v>
      </c>
      <c r="AI198" t="s">
        <v>56</v>
      </c>
      <c r="AJ198">
        <v>3584.77</v>
      </c>
      <c r="AK198" t="b">
        <v>0</v>
      </c>
      <c r="AL198">
        <v>3584.77</v>
      </c>
      <c r="AM198" t="b">
        <v>0</v>
      </c>
      <c r="AN198">
        <v>0</v>
      </c>
      <c r="AO198" t="b">
        <v>0</v>
      </c>
      <c r="AP198">
        <v>0</v>
      </c>
      <c r="AQ198">
        <v>159655958.96799999</v>
      </c>
      <c r="AR198">
        <v>159655958.96799999</v>
      </c>
      <c r="AS198">
        <v>0</v>
      </c>
      <c r="AT198" t="b">
        <v>0</v>
      </c>
      <c r="AU198" t="b">
        <v>1</v>
      </c>
      <c r="AV198" t="b">
        <v>1</v>
      </c>
      <c r="AW198" t="b">
        <v>1</v>
      </c>
      <c r="BC198" t="str">
        <f t="shared" si="3"/>
        <v>Normal</v>
      </c>
    </row>
    <row r="199" spans="1:55" x14ac:dyDescent="0.2">
      <c r="A199" t="s">
        <v>39</v>
      </c>
      <c r="B199" t="s">
        <v>40</v>
      </c>
      <c r="C199">
        <v>20200101</v>
      </c>
      <c r="D199">
        <v>2020</v>
      </c>
      <c r="E199">
        <v>52</v>
      </c>
      <c r="F199" t="s">
        <v>309</v>
      </c>
      <c r="G199">
        <v>466</v>
      </c>
      <c r="H199" t="s">
        <v>197</v>
      </c>
      <c r="I199" t="s">
        <v>198</v>
      </c>
      <c r="J199" t="s">
        <v>44</v>
      </c>
      <c r="K199" t="s">
        <v>45</v>
      </c>
      <c r="L199">
        <v>0</v>
      </c>
      <c r="M199" t="s">
        <v>46</v>
      </c>
      <c r="N199" t="s">
        <v>47</v>
      </c>
      <c r="O199">
        <v>0</v>
      </c>
      <c r="P199" t="s">
        <v>46</v>
      </c>
      <c r="Q199" t="s">
        <v>47</v>
      </c>
      <c r="R199" t="s">
        <v>48</v>
      </c>
      <c r="S199" t="s">
        <v>49</v>
      </c>
      <c r="T199" t="b">
        <v>1</v>
      </c>
      <c r="U199" t="s">
        <v>50</v>
      </c>
      <c r="V199" t="s">
        <v>51</v>
      </c>
      <c r="W199">
        <v>4</v>
      </c>
      <c r="X199" t="b">
        <v>0</v>
      </c>
      <c r="Y199" t="s">
        <v>52</v>
      </c>
      <c r="Z199" t="s">
        <v>53</v>
      </c>
      <c r="AA199" t="s">
        <v>54</v>
      </c>
      <c r="AB199">
        <v>0</v>
      </c>
      <c r="AC199" t="s">
        <v>55</v>
      </c>
      <c r="AD199">
        <v>8</v>
      </c>
      <c r="AE199" t="s">
        <v>56</v>
      </c>
      <c r="AF199">
        <v>65422.506000000001</v>
      </c>
      <c r="AG199" t="b">
        <v>0</v>
      </c>
      <c r="AH199">
        <v>8</v>
      </c>
      <c r="AI199" t="s">
        <v>56</v>
      </c>
      <c r="AJ199">
        <v>65422.506000000001</v>
      </c>
      <c r="AK199" t="b">
        <v>0</v>
      </c>
      <c r="AL199">
        <v>65422.506000000001</v>
      </c>
      <c r="AM199" t="b">
        <v>0</v>
      </c>
      <c r="AN199">
        <v>0</v>
      </c>
      <c r="AO199" t="b">
        <v>0</v>
      </c>
      <c r="AQ199">
        <v>3287657459.5809999</v>
      </c>
      <c r="AR199">
        <v>3287657459.5809999</v>
      </c>
      <c r="AS199">
        <v>0</v>
      </c>
      <c r="AT199" t="b">
        <v>0</v>
      </c>
      <c r="AU199" t="b">
        <v>1</v>
      </c>
      <c r="AV199" t="b">
        <v>1</v>
      </c>
      <c r="AW199" t="b">
        <v>1</v>
      </c>
      <c r="BC199" t="str">
        <f t="shared" si="3"/>
        <v>Normal</v>
      </c>
    </row>
    <row r="200" spans="1:55" x14ac:dyDescent="0.2">
      <c r="A200" t="s">
        <v>39</v>
      </c>
      <c r="B200" t="s">
        <v>40</v>
      </c>
      <c r="C200">
        <v>20200101</v>
      </c>
      <c r="D200">
        <v>2020</v>
      </c>
      <c r="E200">
        <v>52</v>
      </c>
      <c r="F200" t="s">
        <v>309</v>
      </c>
      <c r="G200">
        <v>470</v>
      </c>
      <c r="H200" t="s">
        <v>199</v>
      </c>
      <c r="I200" t="s">
        <v>200</v>
      </c>
      <c r="J200" t="s">
        <v>44</v>
      </c>
      <c r="K200" t="s">
        <v>45</v>
      </c>
      <c r="L200">
        <v>0</v>
      </c>
      <c r="M200" t="s">
        <v>46</v>
      </c>
      <c r="N200" t="s">
        <v>47</v>
      </c>
      <c r="O200">
        <v>0</v>
      </c>
      <c r="P200" t="s">
        <v>46</v>
      </c>
      <c r="Q200" t="s">
        <v>47</v>
      </c>
      <c r="R200" t="s">
        <v>48</v>
      </c>
      <c r="S200" t="s">
        <v>49</v>
      </c>
      <c r="T200" t="b">
        <v>1</v>
      </c>
      <c r="U200" t="s">
        <v>50</v>
      </c>
      <c r="V200" t="s">
        <v>51</v>
      </c>
      <c r="W200">
        <v>4</v>
      </c>
      <c r="X200" t="b">
        <v>0</v>
      </c>
      <c r="Y200" t="s">
        <v>52</v>
      </c>
      <c r="Z200" t="s">
        <v>53</v>
      </c>
      <c r="AA200" t="s">
        <v>54</v>
      </c>
      <c r="AB200">
        <v>0</v>
      </c>
      <c r="AC200" t="s">
        <v>55</v>
      </c>
      <c r="AD200">
        <v>8</v>
      </c>
      <c r="AE200" t="s">
        <v>56</v>
      </c>
      <c r="AF200">
        <v>62.908999999999999</v>
      </c>
      <c r="AG200" t="b">
        <v>0</v>
      </c>
      <c r="AH200">
        <v>15</v>
      </c>
      <c r="AI200" t="s">
        <v>59</v>
      </c>
      <c r="AJ200">
        <v>62909</v>
      </c>
      <c r="AK200" t="b">
        <v>0</v>
      </c>
      <c r="AL200">
        <v>69</v>
      </c>
      <c r="AM200" t="b">
        <v>0</v>
      </c>
      <c r="AN200">
        <v>0</v>
      </c>
      <c r="AO200" t="b">
        <v>0</v>
      </c>
      <c r="AQ200">
        <v>2176572.1239999998</v>
      </c>
      <c r="AR200">
        <v>2176572.1239999998</v>
      </c>
      <c r="AS200">
        <v>0</v>
      </c>
      <c r="AT200" t="b">
        <v>0</v>
      </c>
      <c r="AU200" t="b">
        <v>1</v>
      </c>
      <c r="AV200" t="b">
        <v>1</v>
      </c>
      <c r="AW200" t="b">
        <v>1</v>
      </c>
      <c r="BC200" t="str">
        <f t="shared" si="3"/>
        <v>Normal</v>
      </c>
    </row>
    <row r="201" spans="1:55" x14ac:dyDescent="0.2">
      <c r="A201" t="s">
        <v>39</v>
      </c>
      <c r="B201" t="s">
        <v>40</v>
      </c>
      <c r="C201">
        <v>20200101</v>
      </c>
      <c r="D201">
        <v>2020</v>
      </c>
      <c r="E201">
        <v>52</v>
      </c>
      <c r="F201" t="s">
        <v>309</v>
      </c>
      <c r="G201">
        <v>478</v>
      </c>
      <c r="H201" t="s">
        <v>325</v>
      </c>
      <c r="I201" t="s">
        <v>326</v>
      </c>
      <c r="J201" t="s">
        <v>44</v>
      </c>
      <c r="K201" t="s">
        <v>45</v>
      </c>
      <c r="L201">
        <v>0</v>
      </c>
      <c r="M201" t="s">
        <v>46</v>
      </c>
      <c r="N201" t="s">
        <v>47</v>
      </c>
      <c r="O201">
        <v>0</v>
      </c>
      <c r="P201" t="s">
        <v>46</v>
      </c>
      <c r="Q201" t="s">
        <v>47</v>
      </c>
      <c r="R201" t="s">
        <v>48</v>
      </c>
      <c r="S201" t="s">
        <v>49</v>
      </c>
      <c r="T201" t="b">
        <v>1</v>
      </c>
      <c r="U201" t="s">
        <v>50</v>
      </c>
      <c r="V201" t="s">
        <v>51</v>
      </c>
      <c r="W201">
        <v>4</v>
      </c>
      <c r="X201" t="b">
        <v>0</v>
      </c>
      <c r="Y201" t="s">
        <v>52</v>
      </c>
      <c r="Z201" t="s">
        <v>53</v>
      </c>
      <c r="AA201" t="s">
        <v>54</v>
      </c>
      <c r="AB201">
        <v>0</v>
      </c>
      <c r="AC201" t="s">
        <v>55</v>
      </c>
      <c r="AD201">
        <v>8</v>
      </c>
      <c r="AE201" t="s">
        <v>56</v>
      </c>
      <c r="AF201">
        <v>14415.963</v>
      </c>
      <c r="AG201" t="b">
        <v>0</v>
      </c>
      <c r="AH201">
        <v>8</v>
      </c>
      <c r="AI201" t="s">
        <v>56</v>
      </c>
      <c r="AJ201">
        <v>14415.963</v>
      </c>
      <c r="AK201" t="b">
        <v>0</v>
      </c>
      <c r="AL201">
        <v>14415.963</v>
      </c>
      <c r="AM201" t="b">
        <v>0</v>
      </c>
      <c r="AN201">
        <v>0</v>
      </c>
      <c r="AO201" t="b">
        <v>0</v>
      </c>
      <c r="AQ201">
        <v>738326833.72899997</v>
      </c>
      <c r="AR201">
        <v>738326833.72899997</v>
      </c>
      <c r="AS201">
        <v>0</v>
      </c>
      <c r="AT201" t="b">
        <v>0</v>
      </c>
      <c r="AU201" t="b">
        <v>1</v>
      </c>
      <c r="AV201" t="b">
        <v>1</v>
      </c>
      <c r="AW201" t="b">
        <v>1</v>
      </c>
      <c r="BC201" t="str">
        <f t="shared" si="3"/>
        <v>Normal</v>
      </c>
    </row>
    <row r="202" spans="1:55" x14ac:dyDescent="0.2">
      <c r="A202" t="s">
        <v>39</v>
      </c>
      <c r="B202" t="s">
        <v>40</v>
      </c>
      <c r="C202">
        <v>20200101</v>
      </c>
      <c r="D202">
        <v>2020</v>
      </c>
      <c r="E202">
        <v>52</v>
      </c>
      <c r="F202" t="s">
        <v>309</v>
      </c>
      <c r="G202">
        <v>480</v>
      </c>
      <c r="H202" t="s">
        <v>201</v>
      </c>
      <c r="I202" t="s">
        <v>202</v>
      </c>
      <c r="J202" t="s">
        <v>44</v>
      </c>
      <c r="K202" t="s">
        <v>45</v>
      </c>
      <c r="L202">
        <v>0</v>
      </c>
      <c r="M202" t="s">
        <v>46</v>
      </c>
      <c r="N202" t="s">
        <v>47</v>
      </c>
      <c r="O202">
        <v>0</v>
      </c>
      <c r="P202" t="s">
        <v>46</v>
      </c>
      <c r="Q202" t="s">
        <v>47</v>
      </c>
      <c r="R202" t="s">
        <v>48</v>
      </c>
      <c r="S202" t="s">
        <v>49</v>
      </c>
      <c r="T202" t="b">
        <v>1</v>
      </c>
      <c r="U202" t="s">
        <v>50</v>
      </c>
      <c r="V202" t="s">
        <v>51</v>
      </c>
      <c r="W202">
        <v>4</v>
      </c>
      <c r="X202" t="b">
        <v>0</v>
      </c>
      <c r="Y202" t="s">
        <v>52</v>
      </c>
      <c r="Z202" t="s">
        <v>53</v>
      </c>
      <c r="AA202" t="s">
        <v>54</v>
      </c>
      <c r="AB202">
        <v>0</v>
      </c>
      <c r="AC202" t="s">
        <v>55</v>
      </c>
      <c r="AD202">
        <v>8</v>
      </c>
      <c r="AE202" t="s">
        <v>56</v>
      </c>
      <c r="AF202">
        <v>1</v>
      </c>
      <c r="AG202" t="b">
        <v>0</v>
      </c>
      <c r="AH202">
        <v>8</v>
      </c>
      <c r="AI202" t="s">
        <v>56</v>
      </c>
      <c r="AJ202">
        <v>1</v>
      </c>
      <c r="AK202" t="b">
        <v>0</v>
      </c>
      <c r="AL202">
        <v>1</v>
      </c>
      <c r="AM202" t="b">
        <v>0</v>
      </c>
      <c r="AN202">
        <v>0</v>
      </c>
      <c r="AO202" t="b">
        <v>0</v>
      </c>
      <c r="AP202">
        <v>0</v>
      </c>
      <c r="AQ202">
        <v>16235.513000000001</v>
      </c>
      <c r="AR202">
        <v>16235.513000000001</v>
      </c>
      <c r="AS202">
        <v>0</v>
      </c>
      <c r="AT202" t="b">
        <v>0</v>
      </c>
      <c r="AU202" t="b">
        <v>1</v>
      </c>
      <c r="AV202" t="b">
        <v>1</v>
      </c>
      <c r="AW202" t="b">
        <v>1</v>
      </c>
      <c r="BC202" t="str">
        <f t="shared" si="3"/>
        <v>Normal</v>
      </c>
    </row>
    <row r="203" spans="1:55" x14ac:dyDescent="0.2">
      <c r="A203" t="s">
        <v>39</v>
      </c>
      <c r="B203" t="s">
        <v>40</v>
      </c>
      <c r="C203">
        <v>20200101</v>
      </c>
      <c r="D203">
        <v>2020</v>
      </c>
      <c r="E203">
        <v>52</v>
      </c>
      <c r="F203" t="s">
        <v>309</v>
      </c>
      <c r="G203">
        <v>484</v>
      </c>
      <c r="H203" t="s">
        <v>203</v>
      </c>
      <c r="I203" t="s">
        <v>204</v>
      </c>
      <c r="J203" t="s">
        <v>44</v>
      </c>
      <c r="K203" t="s">
        <v>45</v>
      </c>
      <c r="L203">
        <v>0</v>
      </c>
      <c r="M203" t="s">
        <v>46</v>
      </c>
      <c r="N203" t="s">
        <v>47</v>
      </c>
      <c r="O203">
        <v>0</v>
      </c>
      <c r="P203" t="s">
        <v>46</v>
      </c>
      <c r="Q203" t="s">
        <v>47</v>
      </c>
      <c r="R203" t="s">
        <v>95</v>
      </c>
      <c r="S203" t="s">
        <v>49</v>
      </c>
      <c r="T203" t="b">
        <v>1</v>
      </c>
      <c r="U203" t="s">
        <v>50</v>
      </c>
      <c r="V203" t="s">
        <v>51</v>
      </c>
      <c r="W203">
        <v>4</v>
      </c>
      <c r="X203" t="b">
        <v>0</v>
      </c>
      <c r="Y203" t="s">
        <v>52</v>
      </c>
      <c r="Z203" t="s">
        <v>53</v>
      </c>
      <c r="AA203" t="s">
        <v>54</v>
      </c>
      <c r="AB203">
        <v>0</v>
      </c>
      <c r="AC203" t="s">
        <v>55</v>
      </c>
      <c r="AD203">
        <v>-1</v>
      </c>
      <c r="AE203" t="s">
        <v>64</v>
      </c>
      <c r="AF203">
        <v>0</v>
      </c>
      <c r="AG203" t="b">
        <v>1</v>
      </c>
      <c r="AH203">
        <v>-1</v>
      </c>
      <c r="AI203" t="s">
        <v>64</v>
      </c>
      <c r="AJ203">
        <v>0</v>
      </c>
      <c r="AK203" t="b">
        <v>0</v>
      </c>
      <c r="AL203">
        <v>0</v>
      </c>
      <c r="AM203" t="b">
        <v>1</v>
      </c>
      <c r="AN203">
        <v>0</v>
      </c>
      <c r="AO203" t="b">
        <v>0</v>
      </c>
      <c r="AQ203">
        <v>3488850587</v>
      </c>
      <c r="AR203">
        <v>3488850587</v>
      </c>
      <c r="AS203">
        <v>6</v>
      </c>
      <c r="AT203" t="b">
        <v>0</v>
      </c>
      <c r="AU203" t="b">
        <v>1</v>
      </c>
      <c r="AV203" t="b">
        <v>1</v>
      </c>
      <c r="AW203" t="b">
        <v>1</v>
      </c>
      <c r="BC203" t="str">
        <f t="shared" si="3"/>
        <v>Normal</v>
      </c>
    </row>
    <row r="204" spans="1:55" x14ac:dyDescent="0.2">
      <c r="A204" t="s">
        <v>39</v>
      </c>
      <c r="B204" t="s">
        <v>40</v>
      </c>
      <c r="C204">
        <v>20200101</v>
      </c>
      <c r="D204">
        <v>2020</v>
      </c>
      <c r="E204">
        <v>52</v>
      </c>
      <c r="F204" t="s">
        <v>309</v>
      </c>
      <c r="G204">
        <v>490</v>
      </c>
      <c r="H204" t="s">
        <v>205</v>
      </c>
      <c r="I204" t="s">
        <v>206</v>
      </c>
      <c r="J204" t="s">
        <v>44</v>
      </c>
      <c r="K204" t="s">
        <v>45</v>
      </c>
      <c r="L204">
        <v>0</v>
      </c>
      <c r="M204" t="s">
        <v>46</v>
      </c>
      <c r="N204" t="s">
        <v>47</v>
      </c>
      <c r="O204">
        <v>0</v>
      </c>
      <c r="P204" t="s">
        <v>46</v>
      </c>
      <c r="Q204" t="s">
        <v>47</v>
      </c>
      <c r="R204" t="s">
        <v>48</v>
      </c>
      <c r="S204" t="s">
        <v>49</v>
      </c>
      <c r="T204" t="b">
        <v>1</v>
      </c>
      <c r="U204" t="s">
        <v>50</v>
      </c>
      <c r="V204" t="s">
        <v>51</v>
      </c>
      <c r="W204">
        <v>4</v>
      </c>
      <c r="X204" t="b">
        <v>0</v>
      </c>
      <c r="Y204" t="s">
        <v>52</v>
      </c>
      <c r="Z204" t="s">
        <v>53</v>
      </c>
      <c r="AA204" t="s">
        <v>54</v>
      </c>
      <c r="AB204">
        <v>0</v>
      </c>
      <c r="AC204" t="s">
        <v>55</v>
      </c>
      <c r="AD204">
        <v>8</v>
      </c>
      <c r="AE204" t="s">
        <v>56</v>
      </c>
      <c r="AF204">
        <v>38604.688000000002</v>
      </c>
      <c r="AG204" t="b">
        <v>1</v>
      </c>
      <c r="AH204">
        <v>-1</v>
      </c>
      <c r="AI204" t="s">
        <v>64</v>
      </c>
      <c r="AJ204">
        <v>0</v>
      </c>
      <c r="AK204" t="b">
        <v>0</v>
      </c>
      <c r="AL204">
        <v>38604.688000000002</v>
      </c>
      <c r="AM204" t="b">
        <v>1</v>
      </c>
      <c r="AN204">
        <v>0</v>
      </c>
      <c r="AO204" t="b">
        <v>0</v>
      </c>
      <c r="AP204">
        <v>0</v>
      </c>
      <c r="AQ204">
        <v>2137023087.247</v>
      </c>
      <c r="AR204">
        <v>2137023087.247</v>
      </c>
      <c r="AS204">
        <v>6</v>
      </c>
      <c r="AT204" t="b">
        <v>0</v>
      </c>
      <c r="AU204" t="b">
        <v>1</v>
      </c>
      <c r="AV204" t="b">
        <v>1</v>
      </c>
      <c r="AW204" t="b">
        <v>1</v>
      </c>
      <c r="BC204" t="str">
        <f t="shared" si="3"/>
        <v>Normal</v>
      </c>
    </row>
    <row r="205" spans="1:55" x14ac:dyDescent="0.2">
      <c r="A205" t="s">
        <v>39</v>
      </c>
      <c r="B205" t="s">
        <v>40</v>
      </c>
      <c r="C205">
        <v>20200101</v>
      </c>
      <c r="D205">
        <v>2020</v>
      </c>
      <c r="E205">
        <v>52</v>
      </c>
      <c r="F205" t="s">
        <v>309</v>
      </c>
      <c r="G205">
        <v>496</v>
      </c>
      <c r="H205" t="s">
        <v>207</v>
      </c>
      <c r="I205" t="s">
        <v>208</v>
      </c>
      <c r="J205" t="s">
        <v>44</v>
      </c>
      <c r="K205" t="s">
        <v>45</v>
      </c>
      <c r="L205">
        <v>0</v>
      </c>
      <c r="M205" t="s">
        <v>46</v>
      </c>
      <c r="N205" t="s">
        <v>47</v>
      </c>
      <c r="O205">
        <v>0</v>
      </c>
      <c r="P205" t="s">
        <v>46</v>
      </c>
      <c r="Q205" t="s">
        <v>47</v>
      </c>
      <c r="R205" t="s">
        <v>48</v>
      </c>
      <c r="S205" t="s">
        <v>49</v>
      </c>
      <c r="T205" t="b">
        <v>1</v>
      </c>
      <c r="U205" t="s">
        <v>50</v>
      </c>
      <c r="V205" t="s">
        <v>51</v>
      </c>
      <c r="W205">
        <v>4</v>
      </c>
      <c r="X205" t="b">
        <v>0</v>
      </c>
      <c r="Y205" t="s">
        <v>52</v>
      </c>
      <c r="Z205" t="s">
        <v>53</v>
      </c>
      <c r="AA205" t="s">
        <v>54</v>
      </c>
      <c r="AB205">
        <v>0</v>
      </c>
      <c r="AC205" t="s">
        <v>55</v>
      </c>
      <c r="AD205">
        <v>8</v>
      </c>
      <c r="AE205" t="s">
        <v>56</v>
      </c>
      <c r="AF205">
        <v>30491</v>
      </c>
      <c r="AG205" t="b">
        <v>0</v>
      </c>
      <c r="AH205">
        <v>8</v>
      </c>
      <c r="AI205" t="s">
        <v>56</v>
      </c>
      <c r="AJ205">
        <v>30491</v>
      </c>
      <c r="AK205" t="b">
        <v>0</v>
      </c>
      <c r="AL205">
        <v>30491</v>
      </c>
      <c r="AM205" t="b">
        <v>0</v>
      </c>
      <c r="AN205">
        <v>0</v>
      </c>
      <c r="AO205" t="b">
        <v>0</v>
      </c>
      <c r="AP205">
        <v>0</v>
      </c>
      <c r="AQ205">
        <v>1787652240.2</v>
      </c>
      <c r="AR205">
        <v>1787652240.2</v>
      </c>
      <c r="AS205">
        <v>0</v>
      </c>
      <c r="AT205" t="b">
        <v>0</v>
      </c>
      <c r="AU205" t="b">
        <v>1</v>
      </c>
      <c r="AV205" t="b">
        <v>1</v>
      </c>
      <c r="AW205" t="b">
        <v>1</v>
      </c>
      <c r="BC205" t="str">
        <f t="shared" si="3"/>
        <v>Normal</v>
      </c>
    </row>
    <row r="206" spans="1:55" x14ac:dyDescent="0.2">
      <c r="A206" t="s">
        <v>39</v>
      </c>
      <c r="B206" t="s">
        <v>40</v>
      </c>
      <c r="C206">
        <v>20200101</v>
      </c>
      <c r="D206">
        <v>2020</v>
      </c>
      <c r="E206">
        <v>52</v>
      </c>
      <c r="F206" t="s">
        <v>309</v>
      </c>
      <c r="G206">
        <v>498</v>
      </c>
      <c r="H206" t="s">
        <v>209</v>
      </c>
      <c r="I206" t="s">
        <v>210</v>
      </c>
      <c r="J206" t="s">
        <v>44</v>
      </c>
      <c r="K206" t="s">
        <v>45</v>
      </c>
      <c r="L206">
        <v>0</v>
      </c>
      <c r="M206" t="s">
        <v>46</v>
      </c>
      <c r="N206" t="s">
        <v>47</v>
      </c>
      <c r="O206">
        <v>0</v>
      </c>
      <c r="P206" t="s">
        <v>46</v>
      </c>
      <c r="Q206" t="s">
        <v>47</v>
      </c>
      <c r="R206" t="s">
        <v>48</v>
      </c>
      <c r="S206" t="s">
        <v>49</v>
      </c>
      <c r="T206" t="b">
        <v>1</v>
      </c>
      <c r="U206" t="s">
        <v>50</v>
      </c>
      <c r="V206" t="s">
        <v>51</v>
      </c>
      <c r="W206">
        <v>4</v>
      </c>
      <c r="X206" t="b">
        <v>0</v>
      </c>
      <c r="Y206" t="s">
        <v>52</v>
      </c>
      <c r="Z206" t="s">
        <v>53</v>
      </c>
      <c r="AA206" t="s">
        <v>54</v>
      </c>
      <c r="AB206">
        <v>0</v>
      </c>
      <c r="AC206" t="s">
        <v>55</v>
      </c>
      <c r="AD206">
        <v>8</v>
      </c>
      <c r="AE206" t="s">
        <v>56</v>
      </c>
      <c r="AF206">
        <v>21.004999999999999</v>
      </c>
      <c r="AG206" t="b">
        <v>0</v>
      </c>
      <c r="AH206">
        <v>15</v>
      </c>
      <c r="AI206" t="s">
        <v>59</v>
      </c>
      <c r="AJ206">
        <v>21005</v>
      </c>
      <c r="AK206" t="b">
        <v>0</v>
      </c>
      <c r="AL206">
        <v>22</v>
      </c>
      <c r="AM206" t="b">
        <v>0</v>
      </c>
      <c r="AN206">
        <v>0</v>
      </c>
      <c r="AO206" t="b">
        <v>0</v>
      </c>
      <c r="AP206">
        <v>0</v>
      </c>
      <c r="AQ206">
        <v>613103</v>
      </c>
      <c r="AR206">
        <v>613103</v>
      </c>
      <c r="AS206">
        <v>0</v>
      </c>
      <c r="AT206" t="b">
        <v>0</v>
      </c>
      <c r="AU206" t="b">
        <v>1</v>
      </c>
      <c r="AV206" t="b">
        <v>1</v>
      </c>
      <c r="AW206" t="b">
        <v>1</v>
      </c>
      <c r="BC206" t="str">
        <f t="shared" si="3"/>
        <v>Normal</v>
      </c>
    </row>
    <row r="207" spans="1:55" x14ac:dyDescent="0.2">
      <c r="A207" t="s">
        <v>39</v>
      </c>
      <c r="B207" t="s">
        <v>40</v>
      </c>
      <c r="C207">
        <v>20200101</v>
      </c>
      <c r="D207">
        <v>2020</v>
      </c>
      <c r="E207">
        <v>52</v>
      </c>
      <c r="F207" t="s">
        <v>309</v>
      </c>
      <c r="G207">
        <v>504</v>
      </c>
      <c r="H207" t="s">
        <v>211</v>
      </c>
      <c r="I207" t="s">
        <v>212</v>
      </c>
      <c r="J207" t="s">
        <v>44</v>
      </c>
      <c r="K207" t="s">
        <v>45</v>
      </c>
      <c r="L207">
        <v>0</v>
      </c>
      <c r="M207" t="s">
        <v>46</v>
      </c>
      <c r="N207" t="s">
        <v>47</v>
      </c>
      <c r="O207">
        <v>0</v>
      </c>
      <c r="P207" t="s">
        <v>46</v>
      </c>
      <c r="Q207" t="s">
        <v>47</v>
      </c>
      <c r="R207" t="s">
        <v>48</v>
      </c>
      <c r="S207" t="s">
        <v>49</v>
      </c>
      <c r="T207" t="b">
        <v>1</v>
      </c>
      <c r="U207" t="s">
        <v>50</v>
      </c>
      <c r="V207" t="s">
        <v>51</v>
      </c>
      <c r="W207">
        <v>4</v>
      </c>
      <c r="X207" t="b">
        <v>0</v>
      </c>
      <c r="Y207" t="s">
        <v>52</v>
      </c>
      <c r="Z207" t="s">
        <v>53</v>
      </c>
      <c r="AA207" t="s">
        <v>54</v>
      </c>
      <c r="AB207">
        <v>0</v>
      </c>
      <c r="AC207" t="s">
        <v>55</v>
      </c>
      <c r="AD207">
        <v>8</v>
      </c>
      <c r="AE207" t="s">
        <v>56</v>
      </c>
      <c r="AF207">
        <v>899.61699999999996</v>
      </c>
      <c r="AG207" t="b">
        <v>0</v>
      </c>
      <c r="AH207">
        <v>15</v>
      </c>
      <c r="AI207" t="s">
        <v>59</v>
      </c>
      <c r="AJ207">
        <v>899617</v>
      </c>
      <c r="AK207" t="b">
        <v>0</v>
      </c>
      <c r="AL207">
        <v>899.54</v>
      </c>
      <c r="AM207" t="b">
        <v>0</v>
      </c>
      <c r="AN207">
        <v>0</v>
      </c>
      <c r="AO207" t="b">
        <v>0</v>
      </c>
      <c r="AP207">
        <v>0</v>
      </c>
      <c r="AQ207">
        <v>45327796.715999998</v>
      </c>
      <c r="AR207">
        <v>45327796.715999998</v>
      </c>
      <c r="AS207">
        <v>0</v>
      </c>
      <c r="AT207" t="b">
        <v>0</v>
      </c>
      <c r="AU207" t="b">
        <v>1</v>
      </c>
      <c r="AV207" t="b">
        <v>1</v>
      </c>
      <c r="AW207" t="b">
        <v>1</v>
      </c>
      <c r="BC207" t="str">
        <f t="shared" si="3"/>
        <v>Normal</v>
      </c>
    </row>
    <row r="208" spans="1:55" x14ac:dyDescent="0.2">
      <c r="A208" t="s">
        <v>39</v>
      </c>
      <c r="B208" t="s">
        <v>40</v>
      </c>
      <c r="C208">
        <v>20200101</v>
      </c>
      <c r="D208">
        <v>2020</v>
      </c>
      <c r="E208">
        <v>52</v>
      </c>
      <c r="F208" t="s">
        <v>309</v>
      </c>
      <c r="G208">
        <v>508</v>
      </c>
      <c r="H208" t="s">
        <v>213</v>
      </c>
      <c r="I208" t="s">
        <v>214</v>
      </c>
      <c r="J208" t="s">
        <v>44</v>
      </c>
      <c r="K208" t="s">
        <v>45</v>
      </c>
      <c r="L208">
        <v>0</v>
      </c>
      <c r="M208" t="s">
        <v>46</v>
      </c>
      <c r="N208" t="s">
        <v>47</v>
      </c>
      <c r="O208">
        <v>0</v>
      </c>
      <c r="P208" t="s">
        <v>46</v>
      </c>
      <c r="Q208" t="s">
        <v>47</v>
      </c>
      <c r="R208" t="s">
        <v>48</v>
      </c>
      <c r="S208" t="s">
        <v>49</v>
      </c>
      <c r="T208" t="b">
        <v>1</v>
      </c>
      <c r="U208" t="s">
        <v>50</v>
      </c>
      <c r="V208" t="s">
        <v>51</v>
      </c>
      <c r="W208">
        <v>4</v>
      </c>
      <c r="X208" t="b">
        <v>0</v>
      </c>
      <c r="Y208" t="s">
        <v>52</v>
      </c>
      <c r="Z208" t="s">
        <v>53</v>
      </c>
      <c r="AA208" t="s">
        <v>54</v>
      </c>
      <c r="AB208">
        <v>0</v>
      </c>
      <c r="AC208" t="s">
        <v>55</v>
      </c>
      <c r="AD208">
        <v>8</v>
      </c>
      <c r="AE208" t="s">
        <v>56</v>
      </c>
      <c r="AF208">
        <v>33.844999999999999</v>
      </c>
      <c r="AG208" t="b">
        <v>1</v>
      </c>
      <c r="AH208">
        <v>-1</v>
      </c>
      <c r="AI208" t="s">
        <v>64</v>
      </c>
      <c r="AJ208">
        <v>0</v>
      </c>
      <c r="AK208" t="b">
        <v>0</v>
      </c>
      <c r="AM208" t="b">
        <v>0</v>
      </c>
      <c r="AN208">
        <v>0</v>
      </c>
      <c r="AO208" t="b">
        <v>0</v>
      </c>
      <c r="AQ208">
        <v>1783198.49</v>
      </c>
      <c r="AR208">
        <v>1783198.49</v>
      </c>
      <c r="AS208">
        <v>2</v>
      </c>
      <c r="AT208" t="b">
        <v>0</v>
      </c>
      <c r="AU208" t="b">
        <v>1</v>
      </c>
      <c r="AV208" t="b">
        <v>1</v>
      </c>
      <c r="AW208" t="b">
        <v>1</v>
      </c>
      <c r="BC208" t="str">
        <f t="shared" si="3"/>
        <v>Normal</v>
      </c>
    </row>
    <row r="209" spans="1:55" x14ac:dyDescent="0.2">
      <c r="A209" t="s">
        <v>39</v>
      </c>
      <c r="B209" t="s">
        <v>40</v>
      </c>
      <c r="C209">
        <v>20200101</v>
      </c>
      <c r="D209">
        <v>2020</v>
      </c>
      <c r="E209">
        <v>52</v>
      </c>
      <c r="F209" t="s">
        <v>309</v>
      </c>
      <c r="G209">
        <v>512</v>
      </c>
      <c r="H209" t="s">
        <v>215</v>
      </c>
      <c r="I209" t="s">
        <v>216</v>
      </c>
      <c r="J209" t="s">
        <v>44</v>
      </c>
      <c r="K209" t="s">
        <v>45</v>
      </c>
      <c r="L209">
        <v>0</v>
      </c>
      <c r="M209" t="s">
        <v>46</v>
      </c>
      <c r="N209" t="s">
        <v>47</v>
      </c>
      <c r="O209">
        <v>0</v>
      </c>
      <c r="P209" t="s">
        <v>46</v>
      </c>
      <c r="Q209" t="s">
        <v>47</v>
      </c>
      <c r="R209" t="s">
        <v>48</v>
      </c>
      <c r="S209" t="s">
        <v>49</v>
      </c>
      <c r="T209" t="b">
        <v>1</v>
      </c>
      <c r="U209" t="s">
        <v>50</v>
      </c>
      <c r="V209" t="s">
        <v>51</v>
      </c>
      <c r="W209">
        <v>4</v>
      </c>
      <c r="X209" t="b">
        <v>0</v>
      </c>
      <c r="Y209" t="s">
        <v>52</v>
      </c>
      <c r="Z209" t="s">
        <v>53</v>
      </c>
      <c r="AA209" t="s">
        <v>54</v>
      </c>
      <c r="AB209">
        <v>0</v>
      </c>
      <c r="AC209" t="s">
        <v>55</v>
      </c>
      <c r="AD209">
        <v>8</v>
      </c>
      <c r="AE209" t="s">
        <v>56</v>
      </c>
      <c r="AF209">
        <v>5114</v>
      </c>
      <c r="AG209" t="b">
        <v>0</v>
      </c>
      <c r="AH209">
        <v>8</v>
      </c>
      <c r="AI209" t="s">
        <v>56</v>
      </c>
      <c r="AJ209">
        <v>5114</v>
      </c>
      <c r="AK209" t="b">
        <v>0</v>
      </c>
      <c r="AL209">
        <v>5114</v>
      </c>
      <c r="AM209" t="b">
        <v>0</v>
      </c>
      <c r="AN209">
        <v>0</v>
      </c>
      <c r="AO209" t="b">
        <v>0</v>
      </c>
      <c r="AQ209">
        <v>238400631.34</v>
      </c>
      <c r="AR209">
        <v>238400631.34</v>
      </c>
      <c r="AS209">
        <v>0</v>
      </c>
      <c r="AT209" t="b">
        <v>0</v>
      </c>
      <c r="AU209" t="b">
        <v>1</v>
      </c>
      <c r="AV209" t="b">
        <v>1</v>
      </c>
      <c r="AW209" t="b">
        <v>1</v>
      </c>
      <c r="BC209" t="str">
        <f t="shared" si="3"/>
        <v>Normal</v>
      </c>
    </row>
    <row r="210" spans="1:55" x14ac:dyDescent="0.2">
      <c r="A210" t="s">
        <v>39</v>
      </c>
      <c r="B210" t="s">
        <v>40</v>
      </c>
      <c r="C210">
        <v>20200101</v>
      </c>
      <c r="D210">
        <v>2020</v>
      </c>
      <c r="E210">
        <v>52</v>
      </c>
      <c r="F210" t="s">
        <v>309</v>
      </c>
      <c r="G210">
        <v>516</v>
      </c>
      <c r="H210" t="s">
        <v>217</v>
      </c>
      <c r="I210" t="s">
        <v>218</v>
      </c>
      <c r="J210" t="s">
        <v>44</v>
      </c>
      <c r="K210" t="s">
        <v>45</v>
      </c>
      <c r="L210">
        <v>0</v>
      </c>
      <c r="M210" t="s">
        <v>46</v>
      </c>
      <c r="N210" t="s">
        <v>47</v>
      </c>
      <c r="O210">
        <v>0</v>
      </c>
      <c r="P210" t="s">
        <v>46</v>
      </c>
      <c r="Q210" t="s">
        <v>47</v>
      </c>
      <c r="R210" t="s">
        <v>48</v>
      </c>
      <c r="S210" t="s">
        <v>49</v>
      </c>
      <c r="T210" t="b">
        <v>1</v>
      </c>
      <c r="U210" t="s">
        <v>50</v>
      </c>
      <c r="V210" t="s">
        <v>51</v>
      </c>
      <c r="W210">
        <v>4</v>
      </c>
      <c r="X210" t="b">
        <v>0</v>
      </c>
      <c r="Y210" t="s">
        <v>52</v>
      </c>
      <c r="Z210" t="s">
        <v>53</v>
      </c>
      <c r="AA210" t="s">
        <v>54</v>
      </c>
      <c r="AB210">
        <v>0</v>
      </c>
      <c r="AC210" t="s">
        <v>55</v>
      </c>
      <c r="AD210">
        <v>8</v>
      </c>
      <c r="AE210" t="s">
        <v>56</v>
      </c>
      <c r="AF210">
        <v>7562.5</v>
      </c>
      <c r="AG210" t="b">
        <v>0</v>
      </c>
      <c r="AH210">
        <v>8</v>
      </c>
      <c r="AI210" t="s">
        <v>56</v>
      </c>
      <c r="AJ210">
        <v>7562.5</v>
      </c>
      <c r="AK210" t="b">
        <v>0</v>
      </c>
      <c r="AL210">
        <v>7562.5</v>
      </c>
      <c r="AM210" t="b">
        <v>0</v>
      </c>
      <c r="AN210">
        <v>0</v>
      </c>
      <c r="AO210" t="b">
        <v>0</v>
      </c>
      <c r="AQ210">
        <v>398469045.37699997</v>
      </c>
      <c r="AR210">
        <v>398469045.37699997</v>
      </c>
      <c r="AS210">
        <v>0</v>
      </c>
      <c r="AT210" t="b">
        <v>0</v>
      </c>
      <c r="AU210" t="b">
        <v>1</v>
      </c>
      <c r="AV210" t="b">
        <v>1</v>
      </c>
      <c r="AW210" t="b">
        <v>1</v>
      </c>
      <c r="BC210" t="str">
        <f t="shared" si="3"/>
        <v>Normal</v>
      </c>
    </row>
    <row r="211" spans="1:55" x14ac:dyDescent="0.2">
      <c r="A211" t="s">
        <v>39</v>
      </c>
      <c r="B211" t="s">
        <v>40</v>
      </c>
      <c r="C211">
        <v>20200101</v>
      </c>
      <c r="D211">
        <v>2020</v>
      </c>
      <c r="E211">
        <v>52</v>
      </c>
      <c r="F211" t="s">
        <v>309</v>
      </c>
      <c r="G211">
        <v>528</v>
      </c>
      <c r="H211" t="s">
        <v>219</v>
      </c>
      <c r="I211" t="s">
        <v>220</v>
      </c>
      <c r="J211" t="s">
        <v>44</v>
      </c>
      <c r="K211" t="s">
        <v>45</v>
      </c>
      <c r="L211">
        <v>0</v>
      </c>
      <c r="M211" t="s">
        <v>46</v>
      </c>
      <c r="N211" t="s">
        <v>47</v>
      </c>
      <c r="O211">
        <v>0</v>
      </c>
      <c r="P211" t="s">
        <v>46</v>
      </c>
      <c r="Q211" t="s">
        <v>47</v>
      </c>
      <c r="R211" t="s">
        <v>48</v>
      </c>
      <c r="S211" t="s">
        <v>49</v>
      </c>
      <c r="T211" t="b">
        <v>1</v>
      </c>
      <c r="U211" t="s">
        <v>50</v>
      </c>
      <c r="V211" t="s">
        <v>51</v>
      </c>
      <c r="W211">
        <v>4</v>
      </c>
      <c r="X211" t="b">
        <v>0</v>
      </c>
      <c r="Y211" t="s">
        <v>52</v>
      </c>
      <c r="Z211" t="s">
        <v>53</v>
      </c>
      <c r="AA211" t="s">
        <v>54</v>
      </c>
      <c r="AB211">
        <v>0</v>
      </c>
      <c r="AC211" t="s">
        <v>55</v>
      </c>
      <c r="AD211">
        <v>-1</v>
      </c>
      <c r="AE211" t="s">
        <v>64</v>
      </c>
      <c r="AF211">
        <v>0</v>
      </c>
      <c r="AG211" t="b">
        <v>1</v>
      </c>
      <c r="AH211">
        <v>-1</v>
      </c>
      <c r="AI211" t="s">
        <v>64</v>
      </c>
      <c r="AJ211">
        <v>0</v>
      </c>
      <c r="AK211" t="b">
        <v>0</v>
      </c>
      <c r="AL211">
        <v>0</v>
      </c>
      <c r="AM211" t="b">
        <v>1</v>
      </c>
      <c r="AN211">
        <v>0</v>
      </c>
      <c r="AO211" t="b">
        <v>0</v>
      </c>
      <c r="AP211">
        <v>0</v>
      </c>
      <c r="AQ211">
        <v>294728627.083</v>
      </c>
      <c r="AR211">
        <v>294728627.083</v>
      </c>
      <c r="AS211">
        <v>6</v>
      </c>
      <c r="AT211" t="b">
        <v>0</v>
      </c>
      <c r="AU211" t="b">
        <v>1</v>
      </c>
      <c r="AV211" t="b">
        <v>1</v>
      </c>
      <c r="AW211" t="b">
        <v>1</v>
      </c>
      <c r="BC211" t="str">
        <f t="shared" si="3"/>
        <v>Normal</v>
      </c>
    </row>
    <row r="212" spans="1:55" x14ac:dyDescent="0.2">
      <c r="A212" t="s">
        <v>39</v>
      </c>
      <c r="B212" t="s">
        <v>40</v>
      </c>
      <c r="C212">
        <v>20200101</v>
      </c>
      <c r="D212">
        <v>2020</v>
      </c>
      <c r="E212">
        <v>52</v>
      </c>
      <c r="F212" t="s">
        <v>309</v>
      </c>
      <c r="G212">
        <v>533</v>
      </c>
      <c r="H212" t="s">
        <v>327</v>
      </c>
      <c r="I212" t="s">
        <v>328</v>
      </c>
      <c r="J212" t="s">
        <v>44</v>
      </c>
      <c r="K212" t="s">
        <v>45</v>
      </c>
      <c r="L212">
        <v>0</v>
      </c>
      <c r="M212" t="s">
        <v>46</v>
      </c>
      <c r="N212" t="s">
        <v>47</v>
      </c>
      <c r="O212">
        <v>0</v>
      </c>
      <c r="P212" t="s">
        <v>46</v>
      </c>
      <c r="Q212" t="s">
        <v>47</v>
      </c>
      <c r="R212" t="s">
        <v>95</v>
      </c>
      <c r="S212" t="s">
        <v>49</v>
      </c>
      <c r="T212" t="b">
        <v>1</v>
      </c>
      <c r="U212" t="s">
        <v>50</v>
      </c>
      <c r="V212" t="s">
        <v>51</v>
      </c>
      <c r="W212">
        <v>4</v>
      </c>
      <c r="X212" t="b">
        <v>0</v>
      </c>
      <c r="Y212" t="s">
        <v>52</v>
      </c>
      <c r="Z212" t="s">
        <v>53</v>
      </c>
      <c r="AA212" t="s">
        <v>54</v>
      </c>
      <c r="AB212">
        <v>0</v>
      </c>
      <c r="AC212" t="s">
        <v>55</v>
      </c>
      <c r="AD212">
        <v>8</v>
      </c>
      <c r="AE212" t="s">
        <v>56</v>
      </c>
      <c r="AF212">
        <v>3</v>
      </c>
      <c r="AG212" t="b">
        <v>0</v>
      </c>
      <c r="AH212">
        <v>8</v>
      </c>
      <c r="AI212" t="s">
        <v>56</v>
      </c>
      <c r="AJ212">
        <v>3</v>
      </c>
      <c r="AK212" t="b">
        <v>0</v>
      </c>
      <c r="AL212">
        <v>3</v>
      </c>
      <c r="AM212" t="b">
        <v>0</v>
      </c>
      <c r="AN212">
        <v>0</v>
      </c>
      <c r="AO212" t="b">
        <v>0</v>
      </c>
      <c r="AP212">
        <v>0</v>
      </c>
      <c r="AQ212">
        <v>20156.423999999999</v>
      </c>
      <c r="AR212">
        <v>20156.423999999999</v>
      </c>
      <c r="AS212">
        <v>0</v>
      </c>
      <c r="AT212" t="b">
        <v>0</v>
      </c>
      <c r="AU212" t="b">
        <v>1</v>
      </c>
      <c r="AV212" t="b">
        <v>1</v>
      </c>
      <c r="AW212" t="b">
        <v>1</v>
      </c>
      <c r="BC212" t="str">
        <f t="shared" si="3"/>
        <v>Normal</v>
      </c>
    </row>
    <row r="213" spans="1:55" x14ac:dyDescent="0.2">
      <c r="A213" t="s">
        <v>39</v>
      </c>
      <c r="B213" t="s">
        <v>40</v>
      </c>
      <c r="C213">
        <v>20200101</v>
      </c>
      <c r="D213">
        <v>2020</v>
      </c>
      <c r="E213">
        <v>52</v>
      </c>
      <c r="F213" t="s">
        <v>309</v>
      </c>
      <c r="G213">
        <v>554</v>
      </c>
      <c r="H213" t="s">
        <v>223</v>
      </c>
      <c r="I213" t="s">
        <v>224</v>
      </c>
      <c r="J213" t="s">
        <v>44</v>
      </c>
      <c r="K213" t="s">
        <v>45</v>
      </c>
      <c r="L213">
        <v>0</v>
      </c>
      <c r="M213" t="s">
        <v>46</v>
      </c>
      <c r="N213" t="s">
        <v>47</v>
      </c>
      <c r="O213">
        <v>0</v>
      </c>
      <c r="P213" t="s">
        <v>46</v>
      </c>
      <c r="Q213" t="s">
        <v>47</v>
      </c>
      <c r="R213" t="s">
        <v>48</v>
      </c>
      <c r="S213" t="s">
        <v>49</v>
      </c>
      <c r="T213" t="b">
        <v>1</v>
      </c>
      <c r="U213" t="s">
        <v>50</v>
      </c>
      <c r="V213" t="s">
        <v>51</v>
      </c>
      <c r="W213">
        <v>4</v>
      </c>
      <c r="X213" t="b">
        <v>0</v>
      </c>
      <c r="Y213" t="s">
        <v>52</v>
      </c>
      <c r="Z213" t="s">
        <v>53</v>
      </c>
      <c r="AA213" t="s">
        <v>54</v>
      </c>
      <c r="AB213">
        <v>0</v>
      </c>
      <c r="AC213" t="s">
        <v>55</v>
      </c>
      <c r="AD213">
        <v>8</v>
      </c>
      <c r="AE213" t="s">
        <v>56</v>
      </c>
      <c r="AF213">
        <v>7485.2820000000002</v>
      </c>
      <c r="AG213" t="b">
        <v>0</v>
      </c>
      <c r="AH213">
        <v>15</v>
      </c>
      <c r="AI213" t="s">
        <v>59</v>
      </c>
      <c r="AJ213">
        <v>7485282</v>
      </c>
      <c r="AK213" t="b">
        <v>0</v>
      </c>
      <c r="AL213">
        <v>7485.2820000000002</v>
      </c>
      <c r="AM213" t="b">
        <v>0</v>
      </c>
      <c r="AN213">
        <v>0</v>
      </c>
      <c r="AO213" t="b">
        <v>0</v>
      </c>
      <c r="AQ213">
        <v>334265455.39999998</v>
      </c>
      <c r="AR213">
        <v>334265455.39999998</v>
      </c>
      <c r="AS213">
        <v>0</v>
      </c>
      <c r="AT213" t="b">
        <v>0</v>
      </c>
      <c r="AU213" t="b">
        <v>1</v>
      </c>
      <c r="AV213" t="b">
        <v>1</v>
      </c>
      <c r="AW213" t="b">
        <v>1</v>
      </c>
      <c r="BC213" t="str">
        <f t="shared" si="3"/>
        <v>Normal</v>
      </c>
    </row>
    <row r="214" spans="1:55" x14ac:dyDescent="0.2">
      <c r="A214" t="s">
        <v>39</v>
      </c>
      <c r="B214" t="s">
        <v>40</v>
      </c>
      <c r="C214">
        <v>20200101</v>
      </c>
      <c r="D214">
        <v>2020</v>
      </c>
      <c r="E214">
        <v>52</v>
      </c>
      <c r="F214" t="s">
        <v>309</v>
      </c>
      <c r="G214">
        <v>558</v>
      </c>
      <c r="H214" t="s">
        <v>225</v>
      </c>
      <c r="I214" t="s">
        <v>226</v>
      </c>
      <c r="J214" t="s">
        <v>44</v>
      </c>
      <c r="K214" t="s">
        <v>45</v>
      </c>
      <c r="L214">
        <v>0</v>
      </c>
      <c r="M214" t="s">
        <v>46</v>
      </c>
      <c r="N214" t="s">
        <v>47</v>
      </c>
      <c r="O214">
        <v>0</v>
      </c>
      <c r="P214" t="s">
        <v>46</v>
      </c>
      <c r="Q214" t="s">
        <v>47</v>
      </c>
      <c r="R214" t="s">
        <v>48</v>
      </c>
      <c r="S214" t="s">
        <v>49</v>
      </c>
      <c r="T214" t="b">
        <v>1</v>
      </c>
      <c r="U214" t="s">
        <v>50</v>
      </c>
      <c r="V214" t="s">
        <v>51</v>
      </c>
      <c r="W214">
        <v>4</v>
      </c>
      <c r="X214" t="b">
        <v>0</v>
      </c>
      <c r="Y214" t="s">
        <v>52</v>
      </c>
      <c r="Z214" t="s">
        <v>53</v>
      </c>
      <c r="AA214" t="s">
        <v>54</v>
      </c>
      <c r="AB214">
        <v>0</v>
      </c>
      <c r="AC214" t="s">
        <v>55</v>
      </c>
      <c r="AD214">
        <v>8</v>
      </c>
      <c r="AE214" t="s">
        <v>56</v>
      </c>
      <c r="AF214">
        <v>20816.669999999998</v>
      </c>
      <c r="AG214" t="b">
        <v>0</v>
      </c>
      <c r="AH214">
        <v>8</v>
      </c>
      <c r="AI214" t="s">
        <v>56</v>
      </c>
      <c r="AJ214">
        <v>20816.669999999998</v>
      </c>
      <c r="AK214" t="b">
        <v>0</v>
      </c>
      <c r="AL214">
        <v>20816.669999999998</v>
      </c>
      <c r="AM214" t="b">
        <v>0</v>
      </c>
      <c r="AN214">
        <v>0</v>
      </c>
      <c r="AO214" t="b">
        <v>0</v>
      </c>
      <c r="AP214">
        <v>0</v>
      </c>
      <c r="AQ214">
        <v>666642229.12</v>
      </c>
      <c r="AR214">
        <v>666642229.12</v>
      </c>
      <c r="AS214">
        <v>0</v>
      </c>
      <c r="AT214" t="b">
        <v>0</v>
      </c>
      <c r="AU214" t="b">
        <v>1</v>
      </c>
      <c r="AV214" t="b">
        <v>1</v>
      </c>
      <c r="AW214" t="b">
        <v>1</v>
      </c>
      <c r="BC214" t="str">
        <f t="shared" si="3"/>
        <v>Normal</v>
      </c>
    </row>
    <row r="215" spans="1:55" x14ac:dyDescent="0.2">
      <c r="A215" t="s">
        <v>39</v>
      </c>
      <c r="B215" t="s">
        <v>40</v>
      </c>
      <c r="C215">
        <v>20200101</v>
      </c>
      <c r="D215">
        <v>2020</v>
      </c>
      <c r="E215">
        <v>52</v>
      </c>
      <c r="F215" t="s">
        <v>309</v>
      </c>
      <c r="G215">
        <v>562</v>
      </c>
      <c r="H215" t="s">
        <v>227</v>
      </c>
      <c r="I215" t="s">
        <v>228</v>
      </c>
      <c r="J215" t="s">
        <v>44</v>
      </c>
      <c r="K215" t="s">
        <v>45</v>
      </c>
      <c r="L215">
        <v>0</v>
      </c>
      <c r="M215" t="s">
        <v>46</v>
      </c>
      <c r="N215" t="s">
        <v>47</v>
      </c>
      <c r="O215">
        <v>0</v>
      </c>
      <c r="P215" t="s">
        <v>46</v>
      </c>
      <c r="Q215" t="s">
        <v>47</v>
      </c>
      <c r="R215" t="s">
        <v>48</v>
      </c>
      <c r="S215" t="s">
        <v>49</v>
      </c>
      <c r="T215" t="b">
        <v>1</v>
      </c>
      <c r="U215" t="s">
        <v>50</v>
      </c>
      <c r="V215" t="s">
        <v>51</v>
      </c>
      <c r="W215">
        <v>4</v>
      </c>
      <c r="X215" t="b">
        <v>0</v>
      </c>
      <c r="Y215" t="s">
        <v>52</v>
      </c>
      <c r="Z215" t="s">
        <v>53</v>
      </c>
      <c r="AA215" t="s">
        <v>54</v>
      </c>
      <c r="AB215">
        <v>0</v>
      </c>
      <c r="AC215" t="s">
        <v>55</v>
      </c>
      <c r="AD215">
        <v>8</v>
      </c>
      <c r="AE215" t="s">
        <v>56</v>
      </c>
      <c r="AF215">
        <v>2281</v>
      </c>
      <c r="AG215" t="b">
        <v>0</v>
      </c>
      <c r="AH215">
        <v>8</v>
      </c>
      <c r="AI215" t="s">
        <v>56</v>
      </c>
      <c r="AJ215">
        <v>2281</v>
      </c>
      <c r="AK215" t="b">
        <v>0</v>
      </c>
      <c r="AL215">
        <v>2281</v>
      </c>
      <c r="AM215" t="b">
        <v>0</v>
      </c>
      <c r="AN215">
        <v>0</v>
      </c>
      <c r="AO215" t="b">
        <v>0</v>
      </c>
      <c r="AQ215">
        <v>72606624.018000007</v>
      </c>
      <c r="AR215">
        <v>72606624.018000007</v>
      </c>
      <c r="AS215">
        <v>0</v>
      </c>
      <c r="AT215" t="b">
        <v>0</v>
      </c>
      <c r="AU215" t="b">
        <v>1</v>
      </c>
      <c r="AV215" t="b">
        <v>1</v>
      </c>
      <c r="AW215" t="b">
        <v>1</v>
      </c>
      <c r="BC215" t="str">
        <f t="shared" si="3"/>
        <v>Normal</v>
      </c>
    </row>
    <row r="216" spans="1:55" x14ac:dyDescent="0.2">
      <c r="A216" t="s">
        <v>39</v>
      </c>
      <c r="B216" t="s">
        <v>40</v>
      </c>
      <c r="C216">
        <v>20200101</v>
      </c>
      <c r="D216">
        <v>2020</v>
      </c>
      <c r="E216">
        <v>52</v>
      </c>
      <c r="F216" t="s">
        <v>309</v>
      </c>
      <c r="G216">
        <v>566</v>
      </c>
      <c r="H216" t="s">
        <v>329</v>
      </c>
      <c r="I216" t="s">
        <v>330</v>
      </c>
      <c r="J216" t="s">
        <v>44</v>
      </c>
      <c r="K216" t="s">
        <v>45</v>
      </c>
      <c r="L216">
        <v>0</v>
      </c>
      <c r="M216" t="s">
        <v>46</v>
      </c>
      <c r="N216" t="s">
        <v>47</v>
      </c>
      <c r="O216">
        <v>0</v>
      </c>
      <c r="P216" t="s">
        <v>46</v>
      </c>
      <c r="Q216" t="s">
        <v>47</v>
      </c>
      <c r="R216" t="s">
        <v>95</v>
      </c>
      <c r="S216" t="s">
        <v>49</v>
      </c>
      <c r="T216" t="b">
        <v>1</v>
      </c>
      <c r="U216" t="s">
        <v>50</v>
      </c>
      <c r="V216" t="s">
        <v>51</v>
      </c>
      <c r="W216">
        <v>4</v>
      </c>
      <c r="X216" t="b">
        <v>0</v>
      </c>
      <c r="Y216" t="s">
        <v>52</v>
      </c>
      <c r="Z216" t="s">
        <v>53</v>
      </c>
      <c r="AA216" t="s">
        <v>54</v>
      </c>
      <c r="AB216">
        <v>0</v>
      </c>
      <c r="AC216" t="s">
        <v>55</v>
      </c>
      <c r="AD216">
        <v>-1</v>
      </c>
      <c r="AE216" t="s">
        <v>64</v>
      </c>
      <c r="AF216">
        <v>0</v>
      </c>
      <c r="AG216" t="b">
        <v>1</v>
      </c>
      <c r="AH216">
        <v>-1</v>
      </c>
      <c r="AI216" t="s">
        <v>64</v>
      </c>
      <c r="AJ216">
        <v>0</v>
      </c>
      <c r="AK216" t="b">
        <v>0</v>
      </c>
      <c r="AL216">
        <v>0</v>
      </c>
      <c r="AM216" t="b">
        <v>1</v>
      </c>
      <c r="AN216">
        <v>0</v>
      </c>
      <c r="AO216" t="b">
        <v>0</v>
      </c>
      <c r="AP216">
        <v>0</v>
      </c>
      <c r="AQ216">
        <v>2066218.4550000001</v>
      </c>
      <c r="AR216">
        <v>2066218.4550000001</v>
      </c>
      <c r="AS216">
        <v>6</v>
      </c>
      <c r="AT216" t="b">
        <v>0</v>
      </c>
      <c r="AU216" t="b">
        <v>1</v>
      </c>
      <c r="AV216" t="b">
        <v>1</v>
      </c>
      <c r="AW216" t="b">
        <v>1</v>
      </c>
      <c r="BC216" t="str">
        <f t="shared" si="3"/>
        <v>Normal</v>
      </c>
    </row>
    <row r="217" spans="1:55" x14ac:dyDescent="0.2">
      <c r="A217" t="s">
        <v>39</v>
      </c>
      <c r="B217" t="s">
        <v>40</v>
      </c>
      <c r="C217">
        <v>20200101</v>
      </c>
      <c r="D217">
        <v>2020</v>
      </c>
      <c r="E217">
        <v>52</v>
      </c>
      <c r="F217" t="s">
        <v>309</v>
      </c>
      <c r="G217">
        <v>579</v>
      </c>
      <c r="H217" t="s">
        <v>229</v>
      </c>
      <c r="I217" t="s">
        <v>230</v>
      </c>
      <c r="J217" t="s">
        <v>44</v>
      </c>
      <c r="K217" t="s">
        <v>45</v>
      </c>
      <c r="L217">
        <v>0</v>
      </c>
      <c r="M217" t="s">
        <v>46</v>
      </c>
      <c r="N217" t="s">
        <v>47</v>
      </c>
      <c r="O217">
        <v>0</v>
      </c>
      <c r="P217" t="s">
        <v>46</v>
      </c>
      <c r="Q217" t="s">
        <v>47</v>
      </c>
      <c r="R217" t="s">
        <v>48</v>
      </c>
      <c r="S217" t="s">
        <v>49</v>
      </c>
      <c r="T217" t="b">
        <v>1</v>
      </c>
      <c r="U217" t="s">
        <v>50</v>
      </c>
      <c r="V217" t="s">
        <v>51</v>
      </c>
      <c r="W217">
        <v>4</v>
      </c>
      <c r="X217" t="b">
        <v>0</v>
      </c>
      <c r="Y217" t="s">
        <v>52</v>
      </c>
      <c r="Z217" t="s">
        <v>53</v>
      </c>
      <c r="AA217" t="s">
        <v>54</v>
      </c>
      <c r="AB217">
        <v>0</v>
      </c>
      <c r="AC217" t="s">
        <v>55</v>
      </c>
      <c r="AD217">
        <v>8</v>
      </c>
      <c r="AE217" t="s">
        <v>56</v>
      </c>
      <c r="AF217">
        <v>2648</v>
      </c>
      <c r="AG217" t="b">
        <v>0</v>
      </c>
      <c r="AH217">
        <v>8</v>
      </c>
      <c r="AI217" t="s">
        <v>56</v>
      </c>
      <c r="AJ217">
        <v>2648</v>
      </c>
      <c r="AK217" t="b">
        <v>0</v>
      </c>
      <c r="AL217">
        <v>2648</v>
      </c>
      <c r="AM217" t="b">
        <v>0</v>
      </c>
      <c r="AN217">
        <v>0</v>
      </c>
      <c r="AO217" t="b">
        <v>0</v>
      </c>
      <c r="AP217">
        <v>0</v>
      </c>
      <c r="AQ217">
        <v>147477144.22999999</v>
      </c>
      <c r="AR217">
        <v>147477144.22999999</v>
      </c>
      <c r="AS217">
        <v>0</v>
      </c>
      <c r="AT217" t="b">
        <v>0</v>
      </c>
      <c r="AU217" t="b">
        <v>1</v>
      </c>
      <c r="AV217" t="b">
        <v>1</v>
      </c>
      <c r="AW217" t="b">
        <v>1</v>
      </c>
      <c r="BC217" t="str">
        <f t="shared" si="3"/>
        <v>Normal</v>
      </c>
    </row>
    <row r="218" spans="1:55" x14ac:dyDescent="0.2">
      <c r="A218" t="s">
        <v>39</v>
      </c>
      <c r="B218" t="s">
        <v>40</v>
      </c>
      <c r="C218">
        <v>20200101</v>
      </c>
      <c r="D218">
        <v>2020</v>
      </c>
      <c r="E218">
        <v>52</v>
      </c>
      <c r="F218" t="s">
        <v>309</v>
      </c>
      <c r="G218">
        <v>591</v>
      </c>
      <c r="H218" t="s">
        <v>231</v>
      </c>
      <c r="I218" t="s">
        <v>232</v>
      </c>
      <c r="J218" t="s">
        <v>44</v>
      </c>
      <c r="K218" t="s">
        <v>45</v>
      </c>
      <c r="L218">
        <v>0</v>
      </c>
      <c r="M218" t="s">
        <v>46</v>
      </c>
      <c r="N218" t="s">
        <v>47</v>
      </c>
      <c r="O218">
        <v>0</v>
      </c>
      <c r="P218" t="s">
        <v>46</v>
      </c>
      <c r="Q218" t="s">
        <v>47</v>
      </c>
      <c r="R218" t="s">
        <v>48</v>
      </c>
      <c r="S218" t="s">
        <v>49</v>
      </c>
      <c r="T218" t="b">
        <v>1</v>
      </c>
      <c r="U218" t="s">
        <v>50</v>
      </c>
      <c r="V218" t="s">
        <v>51</v>
      </c>
      <c r="W218">
        <v>4</v>
      </c>
      <c r="X218" t="b">
        <v>0</v>
      </c>
      <c r="Y218" t="s">
        <v>52</v>
      </c>
      <c r="Z218" t="s">
        <v>53</v>
      </c>
      <c r="AA218" t="s">
        <v>54</v>
      </c>
      <c r="AB218">
        <v>0</v>
      </c>
      <c r="AC218" t="s">
        <v>55</v>
      </c>
      <c r="AD218">
        <v>8</v>
      </c>
      <c r="AE218" t="s">
        <v>56</v>
      </c>
      <c r="AF218">
        <v>568.40300000000002</v>
      </c>
      <c r="AG218" t="b">
        <v>1</v>
      </c>
      <c r="AH218">
        <v>-1</v>
      </c>
      <c r="AI218" t="s">
        <v>64</v>
      </c>
      <c r="AJ218">
        <v>0</v>
      </c>
      <c r="AK218" t="b">
        <v>0</v>
      </c>
      <c r="AL218">
        <v>568.40300000000002</v>
      </c>
      <c r="AM218" t="b">
        <v>1</v>
      </c>
      <c r="AN218">
        <v>1079</v>
      </c>
      <c r="AO218" t="b">
        <v>0</v>
      </c>
      <c r="AP218">
        <v>0</v>
      </c>
      <c r="AQ218">
        <v>30765446</v>
      </c>
      <c r="AR218">
        <v>30765446</v>
      </c>
      <c r="AS218">
        <v>6</v>
      </c>
      <c r="AT218" t="b">
        <v>0</v>
      </c>
      <c r="AU218" t="b">
        <v>1</v>
      </c>
      <c r="AV218" t="b">
        <v>1</v>
      </c>
      <c r="AW218" t="b">
        <v>1</v>
      </c>
      <c r="BC218" t="str">
        <f t="shared" si="3"/>
        <v>Normal</v>
      </c>
    </row>
    <row r="219" spans="1:55" x14ac:dyDescent="0.2">
      <c r="A219" t="s">
        <v>39</v>
      </c>
      <c r="B219" t="s">
        <v>40</v>
      </c>
      <c r="C219">
        <v>20200101</v>
      </c>
      <c r="D219">
        <v>2020</v>
      </c>
      <c r="E219">
        <v>52</v>
      </c>
      <c r="F219" t="s">
        <v>309</v>
      </c>
      <c r="G219">
        <v>600</v>
      </c>
      <c r="H219" t="s">
        <v>233</v>
      </c>
      <c r="I219" t="s">
        <v>234</v>
      </c>
      <c r="J219" t="s">
        <v>44</v>
      </c>
      <c r="K219" t="s">
        <v>45</v>
      </c>
      <c r="L219">
        <v>0</v>
      </c>
      <c r="M219" t="s">
        <v>46</v>
      </c>
      <c r="N219" t="s">
        <v>47</v>
      </c>
      <c r="O219">
        <v>0</v>
      </c>
      <c r="P219" t="s">
        <v>46</v>
      </c>
      <c r="Q219" t="s">
        <v>47</v>
      </c>
      <c r="R219" t="s">
        <v>48</v>
      </c>
      <c r="S219" t="s">
        <v>49</v>
      </c>
      <c r="T219" t="b">
        <v>1</v>
      </c>
      <c r="U219" t="s">
        <v>50</v>
      </c>
      <c r="V219" t="s">
        <v>51</v>
      </c>
      <c r="W219">
        <v>4</v>
      </c>
      <c r="X219" t="b">
        <v>0</v>
      </c>
      <c r="Y219" t="s">
        <v>52</v>
      </c>
      <c r="Z219" t="s">
        <v>53</v>
      </c>
      <c r="AA219" t="s">
        <v>54</v>
      </c>
      <c r="AB219">
        <v>0</v>
      </c>
      <c r="AC219" t="s">
        <v>55</v>
      </c>
      <c r="AD219">
        <v>8</v>
      </c>
      <c r="AE219" t="s">
        <v>56</v>
      </c>
      <c r="AF219">
        <v>72</v>
      </c>
      <c r="AG219" t="b">
        <v>0</v>
      </c>
      <c r="AH219">
        <v>8</v>
      </c>
      <c r="AI219" t="s">
        <v>56</v>
      </c>
      <c r="AJ219">
        <v>72</v>
      </c>
      <c r="AK219" t="b">
        <v>0</v>
      </c>
      <c r="AL219">
        <v>72</v>
      </c>
      <c r="AM219" t="b">
        <v>0</v>
      </c>
      <c r="AN219">
        <v>0</v>
      </c>
      <c r="AO219" t="b">
        <v>0</v>
      </c>
      <c r="AP219">
        <v>0</v>
      </c>
      <c r="AQ219">
        <v>3381651</v>
      </c>
      <c r="AR219">
        <v>3381651</v>
      </c>
      <c r="AS219">
        <v>0</v>
      </c>
      <c r="AT219" t="b">
        <v>0</v>
      </c>
      <c r="AU219" t="b">
        <v>1</v>
      </c>
      <c r="AV219" t="b">
        <v>1</v>
      </c>
      <c r="AW219" t="b">
        <v>1</v>
      </c>
      <c r="BC219" t="str">
        <f t="shared" si="3"/>
        <v>Normal</v>
      </c>
    </row>
    <row r="220" spans="1:55" x14ac:dyDescent="0.2">
      <c r="A220" t="s">
        <v>39</v>
      </c>
      <c r="B220" t="s">
        <v>40</v>
      </c>
      <c r="C220">
        <v>20200101</v>
      </c>
      <c r="D220">
        <v>2020</v>
      </c>
      <c r="E220">
        <v>52</v>
      </c>
      <c r="F220" t="s">
        <v>309</v>
      </c>
      <c r="G220">
        <v>604</v>
      </c>
      <c r="H220" t="s">
        <v>235</v>
      </c>
      <c r="I220" t="s">
        <v>236</v>
      </c>
      <c r="J220" t="s">
        <v>44</v>
      </c>
      <c r="K220" t="s">
        <v>45</v>
      </c>
      <c r="L220">
        <v>0</v>
      </c>
      <c r="M220" t="s">
        <v>46</v>
      </c>
      <c r="N220" t="s">
        <v>47</v>
      </c>
      <c r="O220">
        <v>0</v>
      </c>
      <c r="P220" t="s">
        <v>46</v>
      </c>
      <c r="Q220" t="s">
        <v>47</v>
      </c>
      <c r="R220" t="s">
        <v>48</v>
      </c>
      <c r="S220" t="s">
        <v>49</v>
      </c>
      <c r="T220" t="b">
        <v>1</v>
      </c>
      <c r="U220" t="s">
        <v>50</v>
      </c>
      <c r="V220" t="s">
        <v>51</v>
      </c>
      <c r="W220">
        <v>4</v>
      </c>
      <c r="X220" t="b">
        <v>0</v>
      </c>
      <c r="Y220" t="s">
        <v>52</v>
      </c>
      <c r="Z220" t="s">
        <v>53</v>
      </c>
      <c r="AA220" t="s">
        <v>54</v>
      </c>
      <c r="AB220">
        <v>0</v>
      </c>
      <c r="AC220" t="s">
        <v>55</v>
      </c>
      <c r="AD220">
        <v>8</v>
      </c>
      <c r="AE220" t="s">
        <v>56</v>
      </c>
      <c r="AF220">
        <v>348421.22</v>
      </c>
      <c r="AG220" t="b">
        <v>0</v>
      </c>
      <c r="AH220">
        <v>8</v>
      </c>
      <c r="AI220" t="s">
        <v>56</v>
      </c>
      <c r="AJ220">
        <v>348421.22</v>
      </c>
      <c r="AK220" t="b">
        <v>0</v>
      </c>
      <c r="AL220" s="1">
        <v>348421.22</v>
      </c>
      <c r="AM220" t="b">
        <v>0</v>
      </c>
      <c r="AN220">
        <v>0</v>
      </c>
      <c r="AO220" t="b">
        <v>0</v>
      </c>
      <c r="AP220">
        <v>0</v>
      </c>
      <c r="AQ220">
        <v>6436258566.5200005</v>
      </c>
      <c r="AR220">
        <v>6436258566.5200005</v>
      </c>
      <c r="AS220">
        <v>0</v>
      </c>
      <c r="AT220" t="b">
        <v>0</v>
      </c>
      <c r="AU220" t="b">
        <v>1</v>
      </c>
      <c r="AV220" t="b">
        <v>1</v>
      </c>
      <c r="AW220" t="b">
        <v>1</v>
      </c>
      <c r="BC220" t="str">
        <f t="shared" si="3"/>
        <v>Outlier</v>
      </c>
    </row>
    <row r="221" spans="1:55" x14ac:dyDescent="0.2">
      <c r="A221" t="s">
        <v>39</v>
      </c>
      <c r="B221" t="s">
        <v>40</v>
      </c>
      <c r="C221">
        <v>20200101</v>
      </c>
      <c r="D221">
        <v>2020</v>
      </c>
      <c r="E221">
        <v>52</v>
      </c>
      <c r="F221" t="s">
        <v>309</v>
      </c>
      <c r="G221">
        <v>608</v>
      </c>
      <c r="H221" t="s">
        <v>237</v>
      </c>
      <c r="I221" t="s">
        <v>238</v>
      </c>
      <c r="J221" t="s">
        <v>44</v>
      </c>
      <c r="K221" t="s">
        <v>45</v>
      </c>
      <c r="L221">
        <v>0</v>
      </c>
      <c r="M221" t="s">
        <v>46</v>
      </c>
      <c r="N221" t="s">
        <v>47</v>
      </c>
      <c r="O221">
        <v>0</v>
      </c>
      <c r="P221" t="s">
        <v>46</v>
      </c>
      <c r="Q221" t="s">
        <v>47</v>
      </c>
      <c r="R221" t="s">
        <v>48</v>
      </c>
      <c r="S221" t="s">
        <v>49</v>
      </c>
      <c r="T221" t="b">
        <v>1</v>
      </c>
      <c r="U221" t="s">
        <v>50</v>
      </c>
      <c r="V221" t="s">
        <v>51</v>
      </c>
      <c r="W221">
        <v>4</v>
      </c>
      <c r="X221" t="b">
        <v>0</v>
      </c>
      <c r="Y221" t="s">
        <v>52</v>
      </c>
      <c r="Z221" t="s">
        <v>53</v>
      </c>
      <c r="AA221" t="s">
        <v>54</v>
      </c>
      <c r="AB221">
        <v>0</v>
      </c>
      <c r="AC221" t="s">
        <v>55</v>
      </c>
      <c r="AD221">
        <v>8</v>
      </c>
      <c r="AE221" t="s">
        <v>56</v>
      </c>
      <c r="AF221">
        <v>96428.964999999997</v>
      </c>
      <c r="AG221" t="b">
        <v>0</v>
      </c>
      <c r="AH221">
        <v>8</v>
      </c>
      <c r="AI221" t="s">
        <v>56</v>
      </c>
      <c r="AJ221">
        <v>96428.964999999997</v>
      </c>
      <c r="AK221" t="b">
        <v>0</v>
      </c>
      <c r="AL221" s="1">
        <v>96428.964999999997</v>
      </c>
      <c r="AM221" t="b">
        <v>0</v>
      </c>
      <c r="AN221">
        <v>118100.03</v>
      </c>
      <c r="AO221" t="b">
        <v>0</v>
      </c>
      <c r="AQ221">
        <v>1285334198</v>
      </c>
      <c r="AR221">
        <v>1285334198</v>
      </c>
      <c r="AS221">
        <v>0</v>
      </c>
      <c r="AT221" t="b">
        <v>0</v>
      </c>
      <c r="AU221" t="b">
        <v>1</v>
      </c>
      <c r="AV221" t="b">
        <v>1</v>
      </c>
      <c r="AW221" t="b">
        <v>1</v>
      </c>
      <c r="BC221" t="str">
        <f t="shared" si="3"/>
        <v>Outlier</v>
      </c>
    </row>
    <row r="222" spans="1:55" x14ac:dyDescent="0.2">
      <c r="A222" t="s">
        <v>39</v>
      </c>
      <c r="B222" t="s">
        <v>40</v>
      </c>
      <c r="C222">
        <v>20200101</v>
      </c>
      <c r="D222">
        <v>2020</v>
      </c>
      <c r="E222">
        <v>52</v>
      </c>
      <c r="F222" t="s">
        <v>309</v>
      </c>
      <c r="G222">
        <v>616</v>
      </c>
      <c r="H222" t="s">
        <v>239</v>
      </c>
      <c r="I222" t="s">
        <v>240</v>
      </c>
      <c r="J222" t="s">
        <v>44</v>
      </c>
      <c r="K222" t="s">
        <v>45</v>
      </c>
      <c r="L222">
        <v>0</v>
      </c>
      <c r="M222" t="s">
        <v>46</v>
      </c>
      <c r="N222" t="s">
        <v>47</v>
      </c>
      <c r="O222">
        <v>0</v>
      </c>
      <c r="P222" t="s">
        <v>46</v>
      </c>
      <c r="Q222" t="s">
        <v>47</v>
      </c>
      <c r="R222" t="s">
        <v>48</v>
      </c>
      <c r="S222" t="s">
        <v>49</v>
      </c>
      <c r="T222" t="b">
        <v>1</v>
      </c>
      <c r="U222" t="s">
        <v>50</v>
      </c>
      <c r="V222" t="s">
        <v>51</v>
      </c>
      <c r="W222">
        <v>4</v>
      </c>
      <c r="X222" t="b">
        <v>0</v>
      </c>
      <c r="Y222" t="s">
        <v>52</v>
      </c>
      <c r="Z222" t="s">
        <v>53</v>
      </c>
      <c r="AA222" t="s">
        <v>54</v>
      </c>
      <c r="AB222">
        <v>0</v>
      </c>
      <c r="AC222" t="s">
        <v>55</v>
      </c>
      <c r="AD222">
        <v>8</v>
      </c>
      <c r="AE222" t="s">
        <v>56</v>
      </c>
      <c r="AF222">
        <v>3841.6109999999999</v>
      </c>
      <c r="AG222" t="b">
        <v>0</v>
      </c>
      <c r="AH222">
        <v>15</v>
      </c>
      <c r="AI222" t="s">
        <v>59</v>
      </c>
      <c r="AJ222">
        <v>3841611</v>
      </c>
      <c r="AK222" t="b">
        <v>0</v>
      </c>
      <c r="AL222">
        <v>3840.5839999999998</v>
      </c>
      <c r="AM222" t="b">
        <v>0</v>
      </c>
      <c r="AN222">
        <v>0</v>
      </c>
      <c r="AO222" t="b">
        <v>0</v>
      </c>
      <c r="AP222">
        <v>0</v>
      </c>
      <c r="AQ222">
        <v>167155463</v>
      </c>
      <c r="AR222">
        <v>167155463</v>
      </c>
      <c r="AS222">
        <v>0</v>
      </c>
      <c r="AT222" t="b">
        <v>0</v>
      </c>
      <c r="AU222" t="b">
        <v>1</v>
      </c>
      <c r="AV222" t="b">
        <v>1</v>
      </c>
      <c r="AW222" t="b">
        <v>1</v>
      </c>
      <c r="BC222" t="str">
        <f t="shared" si="3"/>
        <v>Normal</v>
      </c>
    </row>
    <row r="223" spans="1:55" x14ac:dyDescent="0.2">
      <c r="A223" t="s">
        <v>39</v>
      </c>
      <c r="B223" t="s">
        <v>40</v>
      </c>
      <c r="C223">
        <v>20200101</v>
      </c>
      <c r="D223">
        <v>2020</v>
      </c>
      <c r="E223">
        <v>52</v>
      </c>
      <c r="F223" t="s">
        <v>309</v>
      </c>
      <c r="G223">
        <v>620</v>
      </c>
      <c r="H223" t="s">
        <v>241</v>
      </c>
      <c r="I223" t="s">
        <v>242</v>
      </c>
      <c r="J223" t="s">
        <v>44</v>
      </c>
      <c r="K223" t="s">
        <v>45</v>
      </c>
      <c r="L223">
        <v>0</v>
      </c>
      <c r="M223" t="s">
        <v>46</v>
      </c>
      <c r="N223" t="s">
        <v>47</v>
      </c>
      <c r="O223">
        <v>0</v>
      </c>
      <c r="P223" t="s">
        <v>46</v>
      </c>
      <c r="Q223" t="s">
        <v>47</v>
      </c>
      <c r="R223" t="s">
        <v>48</v>
      </c>
      <c r="S223" t="s">
        <v>49</v>
      </c>
      <c r="T223" t="b">
        <v>1</v>
      </c>
      <c r="U223" t="s">
        <v>50</v>
      </c>
      <c r="V223" t="s">
        <v>51</v>
      </c>
      <c r="W223">
        <v>4</v>
      </c>
      <c r="X223" t="b">
        <v>0</v>
      </c>
      <c r="Y223" t="s">
        <v>52</v>
      </c>
      <c r="Z223" t="s">
        <v>53</v>
      </c>
      <c r="AA223" t="s">
        <v>54</v>
      </c>
      <c r="AB223">
        <v>0</v>
      </c>
      <c r="AC223" t="s">
        <v>55</v>
      </c>
      <c r="AD223">
        <v>8</v>
      </c>
      <c r="AE223" t="s">
        <v>56</v>
      </c>
      <c r="AF223">
        <v>4270.6329999999998</v>
      </c>
      <c r="AG223" t="b">
        <v>0</v>
      </c>
      <c r="AH223">
        <v>15</v>
      </c>
      <c r="AI223" t="s">
        <v>59</v>
      </c>
      <c r="AJ223">
        <v>4270633</v>
      </c>
      <c r="AK223" t="b">
        <v>0</v>
      </c>
      <c r="AL223">
        <v>4273.7129999999997</v>
      </c>
      <c r="AM223" t="b">
        <v>0</v>
      </c>
      <c r="AN223">
        <v>0</v>
      </c>
      <c r="AO223" t="b">
        <v>0</v>
      </c>
      <c r="AQ223">
        <v>223260941.35699999</v>
      </c>
      <c r="AR223">
        <v>223260941.35699999</v>
      </c>
      <c r="AS223">
        <v>0</v>
      </c>
      <c r="AT223" t="b">
        <v>0</v>
      </c>
      <c r="AU223" t="b">
        <v>1</v>
      </c>
      <c r="AV223" t="b">
        <v>1</v>
      </c>
      <c r="AW223" t="b">
        <v>1</v>
      </c>
      <c r="BC223" t="str">
        <f t="shared" si="3"/>
        <v>Normal</v>
      </c>
    </row>
    <row r="224" spans="1:55" x14ac:dyDescent="0.2">
      <c r="A224" t="s">
        <v>39</v>
      </c>
      <c r="B224" t="s">
        <v>40</v>
      </c>
      <c r="C224">
        <v>20200101</v>
      </c>
      <c r="D224">
        <v>2020</v>
      </c>
      <c r="E224">
        <v>52</v>
      </c>
      <c r="F224" t="s">
        <v>309</v>
      </c>
      <c r="G224">
        <v>634</v>
      </c>
      <c r="H224" t="s">
        <v>243</v>
      </c>
      <c r="I224" t="s">
        <v>244</v>
      </c>
      <c r="J224" t="s">
        <v>44</v>
      </c>
      <c r="K224" t="s">
        <v>45</v>
      </c>
      <c r="L224">
        <v>0</v>
      </c>
      <c r="M224" t="s">
        <v>46</v>
      </c>
      <c r="N224" t="s">
        <v>47</v>
      </c>
      <c r="O224">
        <v>0</v>
      </c>
      <c r="P224" t="s">
        <v>46</v>
      </c>
      <c r="Q224" t="s">
        <v>47</v>
      </c>
      <c r="R224" t="s">
        <v>48</v>
      </c>
      <c r="S224" t="s">
        <v>49</v>
      </c>
      <c r="T224" t="b">
        <v>1</v>
      </c>
      <c r="U224" t="s">
        <v>50</v>
      </c>
      <c r="V224" t="s">
        <v>51</v>
      </c>
      <c r="W224">
        <v>4</v>
      </c>
      <c r="X224" t="b">
        <v>0</v>
      </c>
      <c r="Y224" t="s">
        <v>52</v>
      </c>
      <c r="Z224" t="s">
        <v>53</v>
      </c>
      <c r="AA224" t="s">
        <v>54</v>
      </c>
      <c r="AB224">
        <v>0</v>
      </c>
      <c r="AC224" t="s">
        <v>55</v>
      </c>
      <c r="AD224">
        <v>-1</v>
      </c>
      <c r="AE224" t="s">
        <v>64</v>
      </c>
      <c r="AF224">
        <v>0</v>
      </c>
      <c r="AG224" t="b">
        <v>0</v>
      </c>
      <c r="AH224">
        <v>-1</v>
      </c>
      <c r="AI224" t="s">
        <v>64</v>
      </c>
      <c r="AJ224">
        <v>0</v>
      </c>
      <c r="AK224" t="b">
        <v>0</v>
      </c>
      <c r="AL224">
        <v>0</v>
      </c>
      <c r="AM224" t="b">
        <v>0</v>
      </c>
      <c r="AN224">
        <v>0</v>
      </c>
      <c r="AO224" t="b">
        <v>0</v>
      </c>
      <c r="AP224">
        <v>0</v>
      </c>
      <c r="AQ224">
        <v>41015958.457999997</v>
      </c>
      <c r="AR224">
        <v>41015958.457999997</v>
      </c>
      <c r="AS224">
        <v>0</v>
      </c>
      <c r="AT224" t="b">
        <v>0</v>
      </c>
      <c r="AU224" t="b">
        <v>1</v>
      </c>
      <c r="AV224" t="b">
        <v>1</v>
      </c>
      <c r="AW224" t="b">
        <v>1</v>
      </c>
      <c r="BC224" t="str">
        <f t="shared" si="3"/>
        <v>Normal</v>
      </c>
    </row>
    <row r="225" spans="1:55" x14ac:dyDescent="0.2">
      <c r="A225" t="s">
        <v>39</v>
      </c>
      <c r="B225" t="s">
        <v>40</v>
      </c>
      <c r="C225">
        <v>20200101</v>
      </c>
      <c r="D225">
        <v>2020</v>
      </c>
      <c r="E225">
        <v>52</v>
      </c>
      <c r="F225" t="s">
        <v>309</v>
      </c>
      <c r="G225">
        <v>643</v>
      </c>
      <c r="H225" t="s">
        <v>245</v>
      </c>
      <c r="I225" t="s">
        <v>246</v>
      </c>
      <c r="J225" t="s">
        <v>44</v>
      </c>
      <c r="K225" t="s">
        <v>45</v>
      </c>
      <c r="L225">
        <v>0</v>
      </c>
      <c r="M225" t="s">
        <v>46</v>
      </c>
      <c r="N225" t="s">
        <v>47</v>
      </c>
      <c r="O225">
        <v>0</v>
      </c>
      <c r="P225" t="s">
        <v>46</v>
      </c>
      <c r="Q225" t="s">
        <v>47</v>
      </c>
      <c r="R225" t="s">
        <v>48</v>
      </c>
      <c r="S225" t="s">
        <v>49</v>
      </c>
      <c r="T225" t="b">
        <v>1</v>
      </c>
      <c r="U225" t="s">
        <v>50</v>
      </c>
      <c r="V225" t="s">
        <v>51</v>
      </c>
      <c r="W225">
        <v>4</v>
      </c>
      <c r="X225" t="b">
        <v>0</v>
      </c>
      <c r="Y225" t="s">
        <v>52</v>
      </c>
      <c r="Z225" t="s">
        <v>53</v>
      </c>
      <c r="AA225" t="s">
        <v>54</v>
      </c>
      <c r="AB225">
        <v>0</v>
      </c>
      <c r="AC225" t="s">
        <v>55</v>
      </c>
      <c r="AD225">
        <v>8</v>
      </c>
      <c r="AE225" t="s">
        <v>56</v>
      </c>
      <c r="AF225">
        <v>318804.16800000001</v>
      </c>
      <c r="AG225" t="b">
        <v>1</v>
      </c>
      <c r="AH225">
        <v>-1</v>
      </c>
      <c r="AI225" t="s">
        <v>64</v>
      </c>
      <c r="AJ225">
        <v>0</v>
      </c>
      <c r="AK225" t="b">
        <v>0</v>
      </c>
      <c r="AL225" s="1">
        <v>318805.14299999998</v>
      </c>
      <c r="AM225" t="b">
        <v>1</v>
      </c>
      <c r="AN225">
        <v>0</v>
      </c>
      <c r="AO225" t="b">
        <v>0</v>
      </c>
      <c r="AP225">
        <v>0</v>
      </c>
      <c r="AQ225">
        <v>18536015832.990002</v>
      </c>
      <c r="AR225">
        <v>18536015832.990002</v>
      </c>
      <c r="AS225">
        <v>6</v>
      </c>
      <c r="AT225" t="b">
        <v>0</v>
      </c>
      <c r="AU225" t="b">
        <v>1</v>
      </c>
      <c r="AV225" t="b">
        <v>1</v>
      </c>
      <c r="AW225" t="b">
        <v>1</v>
      </c>
      <c r="BC225" t="str">
        <f t="shared" si="3"/>
        <v>Outlier</v>
      </c>
    </row>
    <row r="226" spans="1:55" x14ac:dyDescent="0.2">
      <c r="A226" t="s">
        <v>39</v>
      </c>
      <c r="B226" t="s">
        <v>40</v>
      </c>
      <c r="C226">
        <v>20200101</v>
      </c>
      <c r="D226">
        <v>2020</v>
      </c>
      <c r="E226">
        <v>52</v>
      </c>
      <c r="F226" t="s">
        <v>309</v>
      </c>
      <c r="G226">
        <v>646</v>
      </c>
      <c r="H226" t="s">
        <v>247</v>
      </c>
      <c r="I226" t="s">
        <v>248</v>
      </c>
      <c r="J226" t="s">
        <v>44</v>
      </c>
      <c r="K226" t="s">
        <v>45</v>
      </c>
      <c r="L226">
        <v>0</v>
      </c>
      <c r="M226" t="s">
        <v>46</v>
      </c>
      <c r="N226" t="s">
        <v>47</v>
      </c>
      <c r="O226">
        <v>0</v>
      </c>
      <c r="P226" t="s">
        <v>46</v>
      </c>
      <c r="Q226" t="s">
        <v>47</v>
      </c>
      <c r="R226" t="s">
        <v>95</v>
      </c>
      <c r="S226" t="s">
        <v>49</v>
      </c>
      <c r="T226" t="b">
        <v>1</v>
      </c>
      <c r="U226" t="s">
        <v>50</v>
      </c>
      <c r="V226" t="s">
        <v>51</v>
      </c>
      <c r="W226">
        <v>4</v>
      </c>
      <c r="X226" t="b">
        <v>0</v>
      </c>
      <c r="Y226" t="s">
        <v>52</v>
      </c>
      <c r="Z226" t="s">
        <v>53</v>
      </c>
      <c r="AA226" t="s">
        <v>54</v>
      </c>
      <c r="AB226">
        <v>0</v>
      </c>
      <c r="AC226" t="s">
        <v>55</v>
      </c>
      <c r="AD226">
        <v>8</v>
      </c>
      <c r="AE226" t="s">
        <v>56</v>
      </c>
      <c r="AF226">
        <v>11784.38</v>
      </c>
      <c r="AG226" t="b">
        <v>0</v>
      </c>
      <c r="AH226">
        <v>8</v>
      </c>
      <c r="AI226" t="s">
        <v>56</v>
      </c>
      <c r="AJ226">
        <v>11784.38</v>
      </c>
      <c r="AK226" t="b">
        <v>0</v>
      </c>
      <c r="AL226">
        <v>11784.38</v>
      </c>
      <c r="AM226" t="b">
        <v>0</v>
      </c>
      <c r="AN226">
        <v>0</v>
      </c>
      <c r="AO226" t="b">
        <v>0</v>
      </c>
      <c r="AQ226">
        <v>665536303.63</v>
      </c>
      <c r="AR226">
        <v>665536303.63</v>
      </c>
      <c r="AS226">
        <v>0</v>
      </c>
      <c r="AT226" t="b">
        <v>0</v>
      </c>
      <c r="AU226" t="b">
        <v>1</v>
      </c>
      <c r="AV226" t="b">
        <v>1</v>
      </c>
      <c r="AW226" t="b">
        <v>1</v>
      </c>
      <c r="BC226" t="str">
        <f t="shared" si="3"/>
        <v>Normal</v>
      </c>
    </row>
    <row r="227" spans="1:55" x14ac:dyDescent="0.2">
      <c r="A227" t="s">
        <v>39</v>
      </c>
      <c r="B227" t="s">
        <v>40</v>
      </c>
      <c r="C227">
        <v>20200101</v>
      </c>
      <c r="D227">
        <v>2020</v>
      </c>
      <c r="E227">
        <v>52</v>
      </c>
      <c r="F227" t="s">
        <v>309</v>
      </c>
      <c r="G227">
        <v>682</v>
      </c>
      <c r="H227" t="s">
        <v>249</v>
      </c>
      <c r="I227" t="s">
        <v>250</v>
      </c>
      <c r="J227" t="s">
        <v>44</v>
      </c>
      <c r="K227" t="s">
        <v>45</v>
      </c>
      <c r="L227">
        <v>0</v>
      </c>
      <c r="M227" t="s">
        <v>46</v>
      </c>
      <c r="N227" t="s">
        <v>47</v>
      </c>
      <c r="O227">
        <v>0</v>
      </c>
      <c r="P227" t="s">
        <v>46</v>
      </c>
      <c r="Q227" t="s">
        <v>47</v>
      </c>
      <c r="R227" t="s">
        <v>95</v>
      </c>
      <c r="S227" t="s">
        <v>49</v>
      </c>
      <c r="T227" t="b">
        <v>1</v>
      </c>
      <c r="U227" t="s">
        <v>50</v>
      </c>
      <c r="V227" t="s">
        <v>51</v>
      </c>
      <c r="W227">
        <v>4</v>
      </c>
      <c r="X227" t="b">
        <v>0</v>
      </c>
      <c r="Y227" t="s">
        <v>52</v>
      </c>
      <c r="Z227" t="s">
        <v>53</v>
      </c>
      <c r="AA227" t="s">
        <v>54</v>
      </c>
      <c r="AB227">
        <v>0</v>
      </c>
      <c r="AC227" t="s">
        <v>55</v>
      </c>
      <c r="AD227">
        <v>8</v>
      </c>
      <c r="AE227" t="s">
        <v>56</v>
      </c>
      <c r="AF227">
        <v>37733</v>
      </c>
      <c r="AG227" t="b">
        <v>0</v>
      </c>
      <c r="AH227">
        <v>8</v>
      </c>
      <c r="AI227" t="s">
        <v>56</v>
      </c>
      <c r="AJ227">
        <v>37733</v>
      </c>
      <c r="AK227" t="b">
        <v>0</v>
      </c>
      <c r="AL227">
        <v>37733</v>
      </c>
      <c r="AM227" t="b">
        <v>0</v>
      </c>
      <c r="AN227">
        <v>0</v>
      </c>
      <c r="AO227" t="b">
        <v>0</v>
      </c>
      <c r="AQ227">
        <v>1973308457.0669999</v>
      </c>
      <c r="AR227">
        <v>1973308457.0669999</v>
      </c>
      <c r="AS227">
        <v>0</v>
      </c>
      <c r="AT227" t="b">
        <v>0</v>
      </c>
      <c r="AU227" t="b">
        <v>1</v>
      </c>
      <c r="AV227" t="b">
        <v>1</v>
      </c>
      <c r="AW227" t="b">
        <v>1</v>
      </c>
      <c r="BC227" t="str">
        <f t="shared" si="3"/>
        <v>Normal</v>
      </c>
    </row>
    <row r="228" spans="1:55" x14ac:dyDescent="0.2">
      <c r="A228" t="s">
        <v>39</v>
      </c>
      <c r="B228" t="s">
        <v>40</v>
      </c>
      <c r="C228">
        <v>20200101</v>
      </c>
      <c r="D228">
        <v>2020</v>
      </c>
      <c r="E228">
        <v>52</v>
      </c>
      <c r="F228" t="s">
        <v>309</v>
      </c>
      <c r="G228">
        <v>686</v>
      </c>
      <c r="H228" t="s">
        <v>251</v>
      </c>
      <c r="I228" t="s">
        <v>252</v>
      </c>
      <c r="J228" t="s">
        <v>44</v>
      </c>
      <c r="K228" t="s">
        <v>45</v>
      </c>
      <c r="L228">
        <v>0</v>
      </c>
      <c r="M228" t="s">
        <v>46</v>
      </c>
      <c r="N228" t="s">
        <v>47</v>
      </c>
      <c r="O228">
        <v>0</v>
      </c>
      <c r="P228" t="s">
        <v>46</v>
      </c>
      <c r="Q228" t="s">
        <v>47</v>
      </c>
      <c r="R228" t="s">
        <v>48</v>
      </c>
      <c r="S228" t="s">
        <v>49</v>
      </c>
      <c r="T228" t="b">
        <v>1</v>
      </c>
      <c r="U228" t="s">
        <v>50</v>
      </c>
      <c r="V228" t="s">
        <v>51</v>
      </c>
      <c r="W228">
        <v>4</v>
      </c>
      <c r="X228" t="b">
        <v>0</v>
      </c>
      <c r="Y228" t="s">
        <v>52</v>
      </c>
      <c r="Z228" t="s">
        <v>53</v>
      </c>
      <c r="AA228" t="s">
        <v>54</v>
      </c>
      <c r="AB228">
        <v>0</v>
      </c>
      <c r="AC228" t="s">
        <v>55</v>
      </c>
      <c r="AD228">
        <v>8</v>
      </c>
      <c r="AE228" t="s">
        <v>56</v>
      </c>
      <c r="AF228">
        <v>14594</v>
      </c>
      <c r="AG228" t="b">
        <v>0</v>
      </c>
      <c r="AH228">
        <v>8</v>
      </c>
      <c r="AI228" t="s">
        <v>56</v>
      </c>
      <c r="AJ228">
        <v>14594</v>
      </c>
      <c r="AK228" t="b">
        <v>0</v>
      </c>
      <c r="AL228">
        <v>14594</v>
      </c>
      <c r="AM228" t="b">
        <v>0</v>
      </c>
      <c r="AN228">
        <v>0</v>
      </c>
      <c r="AO228" t="b">
        <v>0</v>
      </c>
      <c r="AP228">
        <v>0</v>
      </c>
      <c r="AQ228">
        <v>734489311.26100004</v>
      </c>
      <c r="AR228">
        <v>734489311.26100004</v>
      </c>
      <c r="AS228">
        <v>0</v>
      </c>
      <c r="AT228" t="b">
        <v>0</v>
      </c>
      <c r="AU228" t="b">
        <v>1</v>
      </c>
      <c r="AV228" t="b">
        <v>1</v>
      </c>
      <c r="AW228" t="b">
        <v>1</v>
      </c>
      <c r="BC228" t="str">
        <f t="shared" si="3"/>
        <v>Normal</v>
      </c>
    </row>
    <row r="229" spans="1:55" x14ac:dyDescent="0.2">
      <c r="A229" t="s">
        <v>39</v>
      </c>
      <c r="B229" t="s">
        <v>40</v>
      </c>
      <c r="C229">
        <v>20200101</v>
      </c>
      <c r="D229">
        <v>2020</v>
      </c>
      <c r="E229">
        <v>52</v>
      </c>
      <c r="F229" t="s">
        <v>309</v>
      </c>
      <c r="G229">
        <v>688</v>
      </c>
      <c r="H229" t="s">
        <v>253</v>
      </c>
      <c r="I229" t="s">
        <v>254</v>
      </c>
      <c r="J229" t="s">
        <v>44</v>
      </c>
      <c r="K229" t="s">
        <v>45</v>
      </c>
      <c r="L229">
        <v>0</v>
      </c>
      <c r="M229" t="s">
        <v>46</v>
      </c>
      <c r="N229" t="s">
        <v>47</v>
      </c>
      <c r="O229">
        <v>0</v>
      </c>
      <c r="P229" t="s">
        <v>46</v>
      </c>
      <c r="Q229" t="s">
        <v>47</v>
      </c>
      <c r="R229" t="s">
        <v>48</v>
      </c>
      <c r="S229" t="s">
        <v>49</v>
      </c>
      <c r="T229" t="b">
        <v>1</v>
      </c>
      <c r="U229" t="s">
        <v>50</v>
      </c>
      <c r="V229" t="s">
        <v>51</v>
      </c>
      <c r="W229">
        <v>4</v>
      </c>
      <c r="X229" t="b">
        <v>0</v>
      </c>
      <c r="Y229" t="s">
        <v>52</v>
      </c>
      <c r="Z229" t="s">
        <v>53</v>
      </c>
      <c r="AA229" t="s">
        <v>54</v>
      </c>
      <c r="AB229">
        <v>0</v>
      </c>
      <c r="AC229" t="s">
        <v>55</v>
      </c>
      <c r="AD229">
        <v>8</v>
      </c>
      <c r="AE229" t="s">
        <v>56</v>
      </c>
      <c r="AF229">
        <v>494.11</v>
      </c>
      <c r="AG229" t="b">
        <v>0</v>
      </c>
      <c r="AH229">
        <v>15</v>
      </c>
      <c r="AI229" t="s">
        <v>59</v>
      </c>
      <c r="AJ229">
        <v>494110</v>
      </c>
      <c r="AK229" t="b">
        <v>0</v>
      </c>
      <c r="AL229">
        <v>493.21</v>
      </c>
      <c r="AM229" t="b">
        <v>0</v>
      </c>
      <c r="AN229">
        <v>0</v>
      </c>
      <c r="AO229" t="b">
        <v>0</v>
      </c>
      <c r="AP229">
        <v>17462300</v>
      </c>
      <c r="AQ229">
        <v>17082184</v>
      </c>
      <c r="AR229">
        <v>17082184</v>
      </c>
      <c r="AS229">
        <v>0</v>
      </c>
      <c r="AT229" t="b">
        <v>0</v>
      </c>
      <c r="AU229" t="b">
        <v>1</v>
      </c>
      <c r="AV229" t="b">
        <v>1</v>
      </c>
      <c r="AW229" t="b">
        <v>1</v>
      </c>
      <c r="BC229" t="str">
        <f t="shared" si="3"/>
        <v>Normal</v>
      </c>
    </row>
    <row r="230" spans="1:55" x14ac:dyDescent="0.2">
      <c r="A230" t="s">
        <v>39</v>
      </c>
      <c r="B230" t="s">
        <v>40</v>
      </c>
      <c r="C230">
        <v>20200101</v>
      </c>
      <c r="D230">
        <v>2020</v>
      </c>
      <c r="E230">
        <v>52</v>
      </c>
      <c r="F230" t="s">
        <v>309</v>
      </c>
      <c r="G230">
        <v>699</v>
      </c>
      <c r="H230" t="s">
        <v>255</v>
      </c>
      <c r="I230" t="s">
        <v>256</v>
      </c>
      <c r="J230" t="s">
        <v>44</v>
      </c>
      <c r="K230" t="s">
        <v>45</v>
      </c>
      <c r="L230">
        <v>0</v>
      </c>
      <c r="M230" t="s">
        <v>46</v>
      </c>
      <c r="N230" t="s">
        <v>47</v>
      </c>
      <c r="O230">
        <v>0</v>
      </c>
      <c r="P230" t="s">
        <v>46</v>
      </c>
      <c r="Q230" t="s">
        <v>47</v>
      </c>
      <c r="R230" t="s">
        <v>48</v>
      </c>
      <c r="S230" t="s">
        <v>49</v>
      </c>
      <c r="T230" t="b">
        <v>1</v>
      </c>
      <c r="U230" t="s">
        <v>50</v>
      </c>
      <c r="V230" t="s">
        <v>51</v>
      </c>
      <c r="W230">
        <v>4</v>
      </c>
      <c r="X230" t="b">
        <v>0</v>
      </c>
      <c r="Y230" t="s">
        <v>52</v>
      </c>
      <c r="Z230" t="s">
        <v>53</v>
      </c>
      <c r="AA230" t="s">
        <v>54</v>
      </c>
      <c r="AB230">
        <v>0</v>
      </c>
      <c r="AC230" t="s">
        <v>55</v>
      </c>
      <c r="AD230">
        <v>8</v>
      </c>
      <c r="AE230" t="s">
        <v>56</v>
      </c>
      <c r="AF230">
        <v>4185.1270000000004</v>
      </c>
      <c r="AG230" t="b">
        <v>1</v>
      </c>
      <c r="AH230">
        <v>-1</v>
      </c>
      <c r="AI230" t="s">
        <v>64</v>
      </c>
      <c r="AJ230">
        <v>0</v>
      </c>
      <c r="AK230" t="b">
        <v>0</v>
      </c>
      <c r="AL230">
        <v>0</v>
      </c>
      <c r="AM230" t="b">
        <v>1</v>
      </c>
      <c r="AN230">
        <v>0</v>
      </c>
      <c r="AO230" t="b">
        <v>0</v>
      </c>
      <c r="AP230">
        <v>0</v>
      </c>
      <c r="AQ230">
        <v>255352177.236</v>
      </c>
      <c r="AR230">
        <v>255352177.236</v>
      </c>
      <c r="AS230">
        <v>6</v>
      </c>
      <c r="AT230" t="b">
        <v>0</v>
      </c>
      <c r="AU230" t="b">
        <v>1</v>
      </c>
      <c r="AV230" t="b">
        <v>1</v>
      </c>
      <c r="AW230" t="b">
        <v>1</v>
      </c>
      <c r="BC230" t="str">
        <f t="shared" si="3"/>
        <v>Normal</v>
      </c>
    </row>
    <row r="231" spans="1:55" x14ac:dyDescent="0.2">
      <c r="A231" t="s">
        <v>39</v>
      </c>
      <c r="B231" t="s">
        <v>40</v>
      </c>
      <c r="C231">
        <v>20200101</v>
      </c>
      <c r="D231">
        <v>2020</v>
      </c>
      <c r="E231">
        <v>52</v>
      </c>
      <c r="F231" t="s">
        <v>309</v>
      </c>
      <c r="G231">
        <v>702</v>
      </c>
      <c r="H231" t="s">
        <v>257</v>
      </c>
      <c r="I231" t="s">
        <v>258</v>
      </c>
      <c r="J231" t="s">
        <v>44</v>
      </c>
      <c r="K231" t="s">
        <v>45</v>
      </c>
      <c r="L231">
        <v>0</v>
      </c>
      <c r="M231" t="s">
        <v>46</v>
      </c>
      <c r="N231" t="s">
        <v>47</v>
      </c>
      <c r="O231">
        <v>0</v>
      </c>
      <c r="P231" t="s">
        <v>46</v>
      </c>
      <c r="Q231" t="s">
        <v>47</v>
      </c>
      <c r="R231" t="s">
        <v>48</v>
      </c>
      <c r="S231" t="s">
        <v>49</v>
      </c>
      <c r="T231" t="b">
        <v>1</v>
      </c>
      <c r="U231" t="s">
        <v>50</v>
      </c>
      <c r="V231" t="s">
        <v>51</v>
      </c>
      <c r="W231">
        <v>4</v>
      </c>
      <c r="X231" t="b">
        <v>0</v>
      </c>
      <c r="Y231" t="s">
        <v>52</v>
      </c>
      <c r="Z231" t="s">
        <v>53</v>
      </c>
      <c r="AA231" t="s">
        <v>54</v>
      </c>
      <c r="AB231">
        <v>0</v>
      </c>
      <c r="AC231" t="s">
        <v>55</v>
      </c>
      <c r="AD231">
        <v>8</v>
      </c>
      <c r="AE231" t="s">
        <v>56</v>
      </c>
      <c r="AF231">
        <v>297681.65399999998</v>
      </c>
      <c r="AG231" t="b">
        <v>1</v>
      </c>
      <c r="AH231">
        <v>-1</v>
      </c>
      <c r="AI231" t="s">
        <v>64</v>
      </c>
      <c r="AJ231">
        <v>0</v>
      </c>
      <c r="AK231" t="b">
        <v>0</v>
      </c>
      <c r="AL231" s="1">
        <v>297681.65399999998</v>
      </c>
      <c r="AM231" t="b">
        <v>1</v>
      </c>
      <c r="AN231">
        <v>0</v>
      </c>
      <c r="AO231" t="b">
        <v>0</v>
      </c>
      <c r="AP231">
        <v>0</v>
      </c>
      <c r="AQ231">
        <v>15795736272.275</v>
      </c>
      <c r="AR231">
        <v>15795736272.275</v>
      </c>
      <c r="AS231">
        <v>6</v>
      </c>
      <c r="AT231" t="b">
        <v>0</v>
      </c>
      <c r="AU231" t="b">
        <v>1</v>
      </c>
      <c r="AV231" t="b">
        <v>1</v>
      </c>
      <c r="AW231" t="b">
        <v>1</v>
      </c>
      <c r="BC231" t="str">
        <f t="shared" si="3"/>
        <v>Outlier</v>
      </c>
    </row>
    <row r="232" spans="1:55" x14ac:dyDescent="0.2">
      <c r="A232" t="s">
        <v>39</v>
      </c>
      <c r="B232" t="s">
        <v>40</v>
      </c>
      <c r="C232">
        <v>20200101</v>
      </c>
      <c r="D232">
        <v>2020</v>
      </c>
      <c r="E232">
        <v>52</v>
      </c>
      <c r="F232" t="s">
        <v>309</v>
      </c>
      <c r="G232">
        <v>703</v>
      </c>
      <c r="H232" t="s">
        <v>259</v>
      </c>
      <c r="I232" t="s">
        <v>260</v>
      </c>
      <c r="J232" t="s">
        <v>44</v>
      </c>
      <c r="K232" t="s">
        <v>45</v>
      </c>
      <c r="L232">
        <v>0</v>
      </c>
      <c r="M232" t="s">
        <v>46</v>
      </c>
      <c r="N232" t="s">
        <v>47</v>
      </c>
      <c r="O232">
        <v>0</v>
      </c>
      <c r="P232" t="s">
        <v>46</v>
      </c>
      <c r="Q232" t="s">
        <v>47</v>
      </c>
      <c r="R232" t="s">
        <v>48</v>
      </c>
      <c r="S232" t="s">
        <v>49</v>
      </c>
      <c r="T232" t="b">
        <v>1</v>
      </c>
      <c r="U232" t="s">
        <v>50</v>
      </c>
      <c r="V232" t="s">
        <v>51</v>
      </c>
      <c r="W232">
        <v>4</v>
      </c>
      <c r="X232" t="b">
        <v>0</v>
      </c>
      <c r="Y232" t="s">
        <v>52</v>
      </c>
      <c r="Z232" t="s">
        <v>53</v>
      </c>
      <c r="AA232" t="s">
        <v>54</v>
      </c>
      <c r="AB232">
        <v>0</v>
      </c>
      <c r="AC232" t="s">
        <v>55</v>
      </c>
      <c r="AD232">
        <v>8</v>
      </c>
      <c r="AE232" t="s">
        <v>56</v>
      </c>
      <c r="AF232">
        <v>1579.963</v>
      </c>
      <c r="AG232" t="b">
        <v>0</v>
      </c>
      <c r="AH232">
        <v>15</v>
      </c>
      <c r="AI232" t="s">
        <v>59</v>
      </c>
      <c r="AJ232">
        <v>1579963</v>
      </c>
      <c r="AK232" t="b">
        <v>0</v>
      </c>
      <c r="AM232" t="b">
        <v>0</v>
      </c>
      <c r="AN232">
        <v>0</v>
      </c>
      <c r="AO232" t="b">
        <v>0</v>
      </c>
      <c r="AQ232">
        <v>76548928.525999993</v>
      </c>
      <c r="AR232">
        <v>76548928.525999993</v>
      </c>
      <c r="AS232">
        <v>0</v>
      </c>
      <c r="AT232" t="b">
        <v>0</v>
      </c>
      <c r="AU232" t="b">
        <v>1</v>
      </c>
      <c r="AV232" t="b">
        <v>1</v>
      </c>
      <c r="AW232" t="b">
        <v>1</v>
      </c>
      <c r="BC232" t="str">
        <f t="shared" si="3"/>
        <v>Normal</v>
      </c>
    </row>
    <row r="233" spans="1:55" x14ac:dyDescent="0.2">
      <c r="A233" t="s">
        <v>39</v>
      </c>
      <c r="B233" t="s">
        <v>40</v>
      </c>
      <c r="C233">
        <v>20200101</v>
      </c>
      <c r="D233">
        <v>2020</v>
      </c>
      <c r="E233">
        <v>52</v>
      </c>
      <c r="F233" t="s">
        <v>309</v>
      </c>
      <c r="G233">
        <v>704</v>
      </c>
      <c r="H233" t="s">
        <v>261</v>
      </c>
      <c r="I233" t="s">
        <v>262</v>
      </c>
      <c r="J233" t="s">
        <v>44</v>
      </c>
      <c r="K233" t="s">
        <v>45</v>
      </c>
      <c r="L233">
        <v>0</v>
      </c>
      <c r="M233" t="s">
        <v>46</v>
      </c>
      <c r="N233" t="s">
        <v>47</v>
      </c>
      <c r="O233">
        <v>0</v>
      </c>
      <c r="P233" t="s">
        <v>46</v>
      </c>
      <c r="Q233" t="s">
        <v>47</v>
      </c>
      <c r="R233" t="s">
        <v>48</v>
      </c>
      <c r="S233" t="s">
        <v>49</v>
      </c>
      <c r="T233" t="b">
        <v>1</v>
      </c>
      <c r="U233" t="s">
        <v>50</v>
      </c>
      <c r="V233" t="s">
        <v>51</v>
      </c>
      <c r="W233">
        <v>4</v>
      </c>
      <c r="X233" t="b">
        <v>0</v>
      </c>
      <c r="Y233" t="s">
        <v>52</v>
      </c>
      <c r="Z233" t="s">
        <v>53</v>
      </c>
      <c r="AA233" t="s">
        <v>54</v>
      </c>
      <c r="AB233">
        <v>0</v>
      </c>
      <c r="AC233" t="s">
        <v>55</v>
      </c>
      <c r="AD233">
        <v>8</v>
      </c>
      <c r="AE233" t="s">
        <v>56</v>
      </c>
      <c r="AF233">
        <v>127.687</v>
      </c>
      <c r="AG233" t="b">
        <v>1</v>
      </c>
      <c r="AH233">
        <v>-1</v>
      </c>
      <c r="AI233" t="s">
        <v>64</v>
      </c>
      <c r="AJ233">
        <v>0</v>
      </c>
      <c r="AK233" t="b">
        <v>0</v>
      </c>
      <c r="AL233">
        <v>0</v>
      </c>
      <c r="AM233" t="b">
        <v>1</v>
      </c>
      <c r="AN233">
        <v>0</v>
      </c>
      <c r="AO233" t="b">
        <v>0</v>
      </c>
      <c r="AP233">
        <v>0</v>
      </c>
      <c r="AQ233">
        <v>6575403.7520000003</v>
      </c>
      <c r="AR233">
        <v>6575403.7520000003</v>
      </c>
      <c r="AS233">
        <v>6</v>
      </c>
      <c r="AT233" t="b">
        <v>0</v>
      </c>
      <c r="AU233" t="b">
        <v>1</v>
      </c>
      <c r="AV233" t="b">
        <v>1</v>
      </c>
      <c r="AW233" t="b">
        <v>1</v>
      </c>
      <c r="BC233" t="str">
        <f t="shared" si="3"/>
        <v>Normal</v>
      </c>
    </row>
    <row r="234" spans="1:55" x14ac:dyDescent="0.2">
      <c r="A234" t="s">
        <v>39</v>
      </c>
      <c r="B234" t="s">
        <v>40</v>
      </c>
      <c r="C234">
        <v>20200101</v>
      </c>
      <c r="D234">
        <v>2020</v>
      </c>
      <c r="E234">
        <v>52</v>
      </c>
      <c r="F234" t="s">
        <v>309</v>
      </c>
      <c r="G234">
        <v>705</v>
      </c>
      <c r="H234" t="s">
        <v>263</v>
      </c>
      <c r="I234" t="s">
        <v>264</v>
      </c>
      <c r="J234" t="s">
        <v>44</v>
      </c>
      <c r="K234" t="s">
        <v>45</v>
      </c>
      <c r="L234">
        <v>0</v>
      </c>
      <c r="M234" t="s">
        <v>46</v>
      </c>
      <c r="N234" t="s">
        <v>47</v>
      </c>
      <c r="O234">
        <v>0</v>
      </c>
      <c r="P234" t="s">
        <v>46</v>
      </c>
      <c r="Q234" t="s">
        <v>47</v>
      </c>
      <c r="R234" t="s">
        <v>48</v>
      </c>
      <c r="S234" t="s">
        <v>49</v>
      </c>
      <c r="T234" t="b">
        <v>1</v>
      </c>
      <c r="U234" t="s">
        <v>50</v>
      </c>
      <c r="V234" t="s">
        <v>51</v>
      </c>
      <c r="W234">
        <v>4</v>
      </c>
      <c r="X234" t="b">
        <v>0</v>
      </c>
      <c r="Y234" t="s">
        <v>52</v>
      </c>
      <c r="Z234" t="s">
        <v>53</v>
      </c>
      <c r="AA234" t="s">
        <v>54</v>
      </c>
      <c r="AB234">
        <v>0</v>
      </c>
      <c r="AC234" t="s">
        <v>55</v>
      </c>
      <c r="AD234">
        <v>8</v>
      </c>
      <c r="AE234" t="s">
        <v>56</v>
      </c>
      <c r="AF234">
        <v>591.45600000000002</v>
      </c>
      <c r="AG234" t="b">
        <v>0</v>
      </c>
      <c r="AH234">
        <v>15</v>
      </c>
      <c r="AI234" t="s">
        <v>59</v>
      </c>
      <c r="AJ234">
        <v>591455.6</v>
      </c>
      <c r="AK234" t="b">
        <v>0</v>
      </c>
      <c r="AL234">
        <v>686.06899999999996</v>
      </c>
      <c r="AM234" t="b">
        <v>0</v>
      </c>
      <c r="AN234">
        <v>0</v>
      </c>
      <c r="AO234" t="b">
        <v>0</v>
      </c>
      <c r="AP234">
        <v>0</v>
      </c>
      <c r="AQ234">
        <v>32968171.940000001</v>
      </c>
      <c r="AR234">
        <v>32968171.940000001</v>
      </c>
      <c r="AS234">
        <v>0</v>
      </c>
      <c r="AT234" t="b">
        <v>0</v>
      </c>
      <c r="AU234" t="b">
        <v>1</v>
      </c>
      <c r="AV234" t="b">
        <v>1</v>
      </c>
      <c r="AW234" t="b">
        <v>1</v>
      </c>
      <c r="BC234" t="str">
        <f t="shared" si="3"/>
        <v>Normal</v>
      </c>
    </row>
    <row r="235" spans="1:55" x14ac:dyDescent="0.2">
      <c r="A235" t="s">
        <v>39</v>
      </c>
      <c r="B235" t="s">
        <v>40</v>
      </c>
      <c r="C235">
        <v>20200101</v>
      </c>
      <c r="D235">
        <v>2020</v>
      </c>
      <c r="E235">
        <v>52</v>
      </c>
      <c r="F235" t="s">
        <v>309</v>
      </c>
      <c r="G235">
        <v>710</v>
      </c>
      <c r="H235" t="s">
        <v>265</v>
      </c>
      <c r="I235" t="s">
        <v>266</v>
      </c>
      <c r="J235" t="s">
        <v>44</v>
      </c>
      <c r="K235" t="s">
        <v>45</v>
      </c>
      <c r="L235">
        <v>0</v>
      </c>
      <c r="M235" t="s">
        <v>46</v>
      </c>
      <c r="N235" t="s">
        <v>47</v>
      </c>
      <c r="O235">
        <v>0</v>
      </c>
      <c r="P235" t="s">
        <v>46</v>
      </c>
      <c r="Q235" t="s">
        <v>47</v>
      </c>
      <c r="R235" t="s">
        <v>48</v>
      </c>
      <c r="S235" t="s">
        <v>49</v>
      </c>
      <c r="T235" t="b">
        <v>1</v>
      </c>
      <c r="U235" t="s">
        <v>50</v>
      </c>
      <c r="V235" t="s">
        <v>51</v>
      </c>
      <c r="W235">
        <v>4</v>
      </c>
      <c r="X235" t="b">
        <v>0</v>
      </c>
      <c r="Y235" t="s">
        <v>52</v>
      </c>
      <c r="Z235" t="s">
        <v>53</v>
      </c>
      <c r="AA235" t="s">
        <v>54</v>
      </c>
      <c r="AB235">
        <v>0</v>
      </c>
      <c r="AC235" t="s">
        <v>55</v>
      </c>
      <c r="AD235">
        <v>-1</v>
      </c>
      <c r="AE235" t="s">
        <v>64</v>
      </c>
      <c r="AF235">
        <v>0</v>
      </c>
      <c r="AG235" t="b">
        <v>1</v>
      </c>
      <c r="AH235">
        <v>-1</v>
      </c>
      <c r="AI235" t="s">
        <v>64</v>
      </c>
      <c r="AJ235">
        <v>0</v>
      </c>
      <c r="AK235" t="b">
        <v>0</v>
      </c>
      <c r="AL235">
        <v>0</v>
      </c>
      <c r="AM235" t="b">
        <v>1</v>
      </c>
      <c r="AN235">
        <v>0</v>
      </c>
      <c r="AO235" t="b">
        <v>0</v>
      </c>
      <c r="AP235">
        <v>0</v>
      </c>
      <c r="AQ235">
        <v>6717385742.9729996</v>
      </c>
      <c r="AR235">
        <v>6717385742.9729996</v>
      </c>
      <c r="AS235">
        <v>6</v>
      </c>
      <c r="AT235" t="b">
        <v>0</v>
      </c>
      <c r="AU235" t="b">
        <v>1</v>
      </c>
      <c r="AV235" t="b">
        <v>1</v>
      </c>
      <c r="AW235" t="b">
        <v>1</v>
      </c>
      <c r="BC235" t="str">
        <f t="shared" si="3"/>
        <v>Normal</v>
      </c>
    </row>
    <row r="236" spans="1:55" x14ac:dyDescent="0.2">
      <c r="A236" t="s">
        <v>39</v>
      </c>
      <c r="B236" t="s">
        <v>40</v>
      </c>
      <c r="C236">
        <v>20200101</v>
      </c>
      <c r="D236">
        <v>2020</v>
      </c>
      <c r="E236">
        <v>52</v>
      </c>
      <c r="F236" t="s">
        <v>309</v>
      </c>
      <c r="G236">
        <v>716</v>
      </c>
      <c r="H236" t="s">
        <v>267</v>
      </c>
      <c r="I236" t="s">
        <v>268</v>
      </c>
      <c r="J236" t="s">
        <v>44</v>
      </c>
      <c r="K236" t="s">
        <v>45</v>
      </c>
      <c r="L236">
        <v>0</v>
      </c>
      <c r="M236" t="s">
        <v>46</v>
      </c>
      <c r="N236" t="s">
        <v>47</v>
      </c>
      <c r="O236">
        <v>0</v>
      </c>
      <c r="P236" t="s">
        <v>46</v>
      </c>
      <c r="Q236" t="s">
        <v>47</v>
      </c>
      <c r="R236" t="s">
        <v>48</v>
      </c>
      <c r="S236" t="s">
        <v>49</v>
      </c>
      <c r="T236" t="b">
        <v>1</v>
      </c>
      <c r="U236" t="s">
        <v>50</v>
      </c>
      <c r="V236" t="s">
        <v>51</v>
      </c>
      <c r="W236">
        <v>4</v>
      </c>
      <c r="X236" t="b">
        <v>0</v>
      </c>
      <c r="Y236" t="s">
        <v>52</v>
      </c>
      <c r="Z236" t="s">
        <v>53</v>
      </c>
      <c r="AA236" t="s">
        <v>54</v>
      </c>
      <c r="AB236">
        <v>0</v>
      </c>
      <c r="AC236" t="s">
        <v>55</v>
      </c>
      <c r="AD236">
        <v>-1</v>
      </c>
      <c r="AE236" t="s">
        <v>64</v>
      </c>
      <c r="AF236">
        <v>0</v>
      </c>
      <c r="AG236" t="b">
        <v>0</v>
      </c>
      <c r="AH236">
        <v>15</v>
      </c>
      <c r="AI236" t="s">
        <v>59</v>
      </c>
      <c r="AJ236">
        <v>76808.100000000006</v>
      </c>
      <c r="AK236" t="b">
        <v>0</v>
      </c>
      <c r="AM236" t="b">
        <v>0</v>
      </c>
      <c r="AN236">
        <v>0</v>
      </c>
      <c r="AO236" t="b">
        <v>0</v>
      </c>
      <c r="AQ236">
        <v>982257743.42999995</v>
      </c>
      <c r="AR236">
        <v>982257743.42999995</v>
      </c>
      <c r="AS236">
        <v>0</v>
      </c>
      <c r="AT236" t="b">
        <v>0</v>
      </c>
      <c r="AU236" t="b">
        <v>1</v>
      </c>
      <c r="AV236" t="b">
        <v>1</v>
      </c>
      <c r="AW236" t="b">
        <v>1</v>
      </c>
      <c r="BC236" t="str">
        <f t="shared" si="3"/>
        <v>Normal</v>
      </c>
    </row>
    <row r="237" spans="1:55" x14ac:dyDescent="0.2">
      <c r="A237" t="s">
        <v>39</v>
      </c>
      <c r="B237" t="s">
        <v>40</v>
      </c>
      <c r="C237">
        <v>20200101</v>
      </c>
      <c r="D237">
        <v>2020</v>
      </c>
      <c r="E237">
        <v>52</v>
      </c>
      <c r="F237" t="s">
        <v>309</v>
      </c>
      <c r="G237">
        <v>724</v>
      </c>
      <c r="H237" t="s">
        <v>269</v>
      </c>
      <c r="I237" t="s">
        <v>270</v>
      </c>
      <c r="J237" t="s">
        <v>44</v>
      </c>
      <c r="K237" t="s">
        <v>45</v>
      </c>
      <c r="L237">
        <v>0</v>
      </c>
      <c r="M237" t="s">
        <v>46</v>
      </c>
      <c r="N237" t="s">
        <v>47</v>
      </c>
      <c r="O237">
        <v>0</v>
      </c>
      <c r="P237" t="s">
        <v>46</v>
      </c>
      <c r="Q237" t="s">
        <v>47</v>
      </c>
      <c r="R237" t="s">
        <v>48</v>
      </c>
      <c r="S237" t="s">
        <v>49</v>
      </c>
      <c r="T237" t="b">
        <v>1</v>
      </c>
      <c r="U237" t="s">
        <v>50</v>
      </c>
      <c r="V237" t="s">
        <v>51</v>
      </c>
      <c r="W237">
        <v>4</v>
      </c>
      <c r="X237" t="b">
        <v>0</v>
      </c>
      <c r="Y237" t="s">
        <v>52</v>
      </c>
      <c r="Z237" t="s">
        <v>53</v>
      </c>
      <c r="AA237" t="s">
        <v>54</v>
      </c>
      <c r="AB237">
        <v>0</v>
      </c>
      <c r="AC237" t="s">
        <v>55</v>
      </c>
      <c r="AD237">
        <v>-1</v>
      </c>
      <c r="AE237" t="s">
        <v>64</v>
      </c>
      <c r="AF237">
        <v>0</v>
      </c>
      <c r="AG237" t="b">
        <v>1</v>
      </c>
      <c r="AH237">
        <v>-1</v>
      </c>
      <c r="AI237" t="s">
        <v>64</v>
      </c>
      <c r="AJ237">
        <v>0</v>
      </c>
      <c r="AK237" t="b">
        <v>0</v>
      </c>
      <c r="AL237">
        <v>0</v>
      </c>
      <c r="AM237" t="b">
        <v>1</v>
      </c>
      <c r="AN237">
        <v>0</v>
      </c>
      <c r="AO237" t="b">
        <v>0</v>
      </c>
      <c r="AP237">
        <v>0</v>
      </c>
      <c r="AQ237">
        <v>954841770.88800001</v>
      </c>
      <c r="AR237">
        <v>954841770.88800001</v>
      </c>
      <c r="AS237">
        <v>6</v>
      </c>
      <c r="AT237" t="b">
        <v>0</v>
      </c>
      <c r="AU237" t="b">
        <v>1</v>
      </c>
      <c r="AV237" t="b">
        <v>1</v>
      </c>
      <c r="AW237" t="b">
        <v>1</v>
      </c>
      <c r="BC237" t="str">
        <f t="shared" si="3"/>
        <v>Normal</v>
      </c>
    </row>
    <row r="238" spans="1:55" x14ac:dyDescent="0.2">
      <c r="A238" t="s">
        <v>39</v>
      </c>
      <c r="B238" t="s">
        <v>40</v>
      </c>
      <c r="C238">
        <v>20200101</v>
      </c>
      <c r="D238">
        <v>2020</v>
      </c>
      <c r="E238">
        <v>52</v>
      </c>
      <c r="F238" t="s">
        <v>309</v>
      </c>
      <c r="G238">
        <v>740</v>
      </c>
      <c r="H238" t="s">
        <v>271</v>
      </c>
      <c r="I238" t="s">
        <v>272</v>
      </c>
      <c r="J238" t="s">
        <v>44</v>
      </c>
      <c r="K238" t="s">
        <v>45</v>
      </c>
      <c r="L238">
        <v>0</v>
      </c>
      <c r="M238" t="s">
        <v>46</v>
      </c>
      <c r="N238" t="s">
        <v>47</v>
      </c>
      <c r="O238">
        <v>0</v>
      </c>
      <c r="P238" t="s">
        <v>46</v>
      </c>
      <c r="Q238" t="s">
        <v>47</v>
      </c>
      <c r="R238" t="s">
        <v>136</v>
      </c>
      <c r="S238" t="s">
        <v>49</v>
      </c>
      <c r="T238" t="b">
        <v>1</v>
      </c>
      <c r="U238" t="s">
        <v>50</v>
      </c>
      <c r="V238" t="s">
        <v>51</v>
      </c>
      <c r="W238">
        <v>4</v>
      </c>
      <c r="X238" t="b">
        <v>0</v>
      </c>
      <c r="Y238" t="s">
        <v>52</v>
      </c>
      <c r="Z238" t="s">
        <v>53</v>
      </c>
      <c r="AA238" t="s">
        <v>54</v>
      </c>
      <c r="AB238">
        <v>0</v>
      </c>
      <c r="AC238" t="s">
        <v>55</v>
      </c>
      <c r="AD238">
        <v>8</v>
      </c>
      <c r="AE238" t="s">
        <v>56</v>
      </c>
      <c r="AF238">
        <v>28151.57</v>
      </c>
      <c r="AG238" t="b">
        <v>0</v>
      </c>
      <c r="AH238">
        <v>8</v>
      </c>
      <c r="AI238" t="s">
        <v>56</v>
      </c>
      <c r="AJ238">
        <v>28151.57</v>
      </c>
      <c r="AK238" t="b">
        <v>0</v>
      </c>
      <c r="AL238">
        <v>28151.57</v>
      </c>
      <c r="AM238" t="b">
        <v>0</v>
      </c>
      <c r="AN238">
        <v>29816.47</v>
      </c>
      <c r="AO238" t="b">
        <v>0</v>
      </c>
      <c r="AP238">
        <v>0</v>
      </c>
      <c r="AQ238">
        <v>1558336033.5999999</v>
      </c>
      <c r="AR238">
        <v>1558336033.5999999</v>
      </c>
      <c r="AS238">
        <v>0</v>
      </c>
      <c r="AT238" t="b">
        <v>0</v>
      </c>
      <c r="AU238" t="b">
        <v>1</v>
      </c>
      <c r="AV238" t="b">
        <v>1</v>
      </c>
      <c r="AW238" t="b">
        <v>1</v>
      </c>
      <c r="BC238" t="str">
        <f t="shared" si="3"/>
        <v>Normal</v>
      </c>
    </row>
    <row r="239" spans="1:55" x14ac:dyDescent="0.2">
      <c r="A239" t="s">
        <v>39</v>
      </c>
      <c r="B239" t="s">
        <v>40</v>
      </c>
      <c r="C239">
        <v>20200101</v>
      </c>
      <c r="D239">
        <v>2020</v>
      </c>
      <c r="E239">
        <v>52</v>
      </c>
      <c r="F239" t="s">
        <v>309</v>
      </c>
      <c r="G239">
        <v>748</v>
      </c>
      <c r="H239" t="s">
        <v>273</v>
      </c>
      <c r="I239" t="s">
        <v>274</v>
      </c>
      <c r="J239" t="s">
        <v>44</v>
      </c>
      <c r="K239" t="s">
        <v>45</v>
      </c>
      <c r="L239">
        <v>0</v>
      </c>
      <c r="M239" t="s">
        <v>46</v>
      </c>
      <c r="N239" t="s">
        <v>47</v>
      </c>
      <c r="O239">
        <v>0</v>
      </c>
      <c r="P239" t="s">
        <v>46</v>
      </c>
      <c r="Q239" t="s">
        <v>47</v>
      </c>
      <c r="R239" t="s">
        <v>48</v>
      </c>
      <c r="S239" t="s">
        <v>49</v>
      </c>
      <c r="T239" t="b">
        <v>1</v>
      </c>
      <c r="U239" t="s">
        <v>50</v>
      </c>
      <c r="V239" t="s">
        <v>51</v>
      </c>
      <c r="W239">
        <v>4</v>
      </c>
      <c r="X239" t="b">
        <v>0</v>
      </c>
      <c r="Y239" t="s">
        <v>52</v>
      </c>
      <c r="Z239" t="s">
        <v>53</v>
      </c>
      <c r="AA239" t="s">
        <v>54</v>
      </c>
      <c r="AB239">
        <v>0</v>
      </c>
      <c r="AC239" t="s">
        <v>55</v>
      </c>
      <c r="AD239">
        <v>-1</v>
      </c>
      <c r="AE239" t="s">
        <v>64</v>
      </c>
      <c r="AF239">
        <v>0</v>
      </c>
      <c r="AG239" t="b">
        <v>1</v>
      </c>
      <c r="AH239">
        <v>-1</v>
      </c>
      <c r="AI239" t="s">
        <v>64</v>
      </c>
      <c r="AJ239">
        <v>0</v>
      </c>
      <c r="AK239" t="b">
        <v>0</v>
      </c>
      <c r="AL239">
        <v>0</v>
      </c>
      <c r="AM239" t="b">
        <v>1</v>
      </c>
      <c r="AN239">
        <v>0</v>
      </c>
      <c r="AO239" t="b">
        <v>0</v>
      </c>
      <c r="AP239">
        <v>0</v>
      </c>
      <c r="AQ239">
        <v>92131.85</v>
      </c>
      <c r="AR239">
        <v>92131.85</v>
      </c>
      <c r="AS239">
        <v>6</v>
      </c>
      <c r="AT239" t="b">
        <v>0</v>
      </c>
      <c r="AU239" t="b">
        <v>1</v>
      </c>
      <c r="AV239" t="b">
        <v>1</v>
      </c>
      <c r="AW239" t="b">
        <v>1</v>
      </c>
      <c r="BC239" t="str">
        <f t="shared" si="3"/>
        <v>Normal</v>
      </c>
    </row>
    <row r="240" spans="1:55" x14ac:dyDescent="0.2">
      <c r="A240" t="s">
        <v>39</v>
      </c>
      <c r="B240" t="s">
        <v>40</v>
      </c>
      <c r="C240">
        <v>20200101</v>
      </c>
      <c r="D240">
        <v>2020</v>
      </c>
      <c r="E240">
        <v>52</v>
      </c>
      <c r="F240" t="s">
        <v>309</v>
      </c>
      <c r="G240">
        <v>752</v>
      </c>
      <c r="H240" t="s">
        <v>275</v>
      </c>
      <c r="I240" t="s">
        <v>276</v>
      </c>
      <c r="J240" t="s">
        <v>44</v>
      </c>
      <c r="K240" t="s">
        <v>45</v>
      </c>
      <c r="L240">
        <v>0</v>
      </c>
      <c r="M240" t="s">
        <v>46</v>
      </c>
      <c r="N240" t="s">
        <v>47</v>
      </c>
      <c r="O240">
        <v>0</v>
      </c>
      <c r="P240" t="s">
        <v>46</v>
      </c>
      <c r="Q240" t="s">
        <v>47</v>
      </c>
      <c r="R240" t="s">
        <v>48</v>
      </c>
      <c r="S240" t="s">
        <v>49</v>
      </c>
      <c r="T240" t="b">
        <v>1</v>
      </c>
      <c r="U240" t="s">
        <v>50</v>
      </c>
      <c r="V240" t="s">
        <v>51</v>
      </c>
      <c r="W240">
        <v>4</v>
      </c>
      <c r="X240" t="b">
        <v>0</v>
      </c>
      <c r="Y240" t="s">
        <v>52</v>
      </c>
      <c r="Z240" t="s">
        <v>53</v>
      </c>
      <c r="AA240" t="s">
        <v>54</v>
      </c>
      <c r="AB240">
        <v>0</v>
      </c>
      <c r="AC240" t="s">
        <v>55</v>
      </c>
      <c r="AD240">
        <v>8</v>
      </c>
      <c r="AE240" t="s">
        <v>56</v>
      </c>
      <c r="AF240">
        <v>15903.054</v>
      </c>
      <c r="AG240" t="b">
        <v>1</v>
      </c>
      <c r="AH240">
        <v>-1</v>
      </c>
      <c r="AI240" t="s">
        <v>64</v>
      </c>
      <c r="AJ240">
        <v>0</v>
      </c>
      <c r="AK240" t="b">
        <v>0</v>
      </c>
      <c r="AL240">
        <v>15226.084000000001</v>
      </c>
      <c r="AM240" t="b">
        <v>1</v>
      </c>
      <c r="AN240">
        <v>0</v>
      </c>
      <c r="AO240" t="b">
        <v>0</v>
      </c>
      <c r="AP240">
        <v>0</v>
      </c>
      <c r="AQ240">
        <v>915406285.87600005</v>
      </c>
      <c r="AR240">
        <v>915406285.87600005</v>
      </c>
      <c r="AS240">
        <v>6</v>
      </c>
      <c r="AT240" t="b">
        <v>0</v>
      </c>
      <c r="AU240" t="b">
        <v>1</v>
      </c>
      <c r="AV240" t="b">
        <v>1</v>
      </c>
      <c r="AW240" t="b">
        <v>1</v>
      </c>
      <c r="BC240" t="str">
        <f t="shared" si="3"/>
        <v>Normal</v>
      </c>
    </row>
    <row r="241" spans="1:55" x14ac:dyDescent="0.2">
      <c r="A241" t="s">
        <v>39</v>
      </c>
      <c r="B241" t="s">
        <v>40</v>
      </c>
      <c r="C241">
        <v>20200101</v>
      </c>
      <c r="D241">
        <v>2020</v>
      </c>
      <c r="E241">
        <v>52</v>
      </c>
      <c r="F241" t="s">
        <v>309</v>
      </c>
      <c r="G241">
        <v>757</v>
      </c>
      <c r="H241" t="s">
        <v>277</v>
      </c>
      <c r="I241" t="s">
        <v>278</v>
      </c>
      <c r="J241" t="s">
        <v>44</v>
      </c>
      <c r="K241" t="s">
        <v>45</v>
      </c>
      <c r="L241">
        <v>0</v>
      </c>
      <c r="M241" t="s">
        <v>46</v>
      </c>
      <c r="N241" t="s">
        <v>47</v>
      </c>
      <c r="O241">
        <v>0</v>
      </c>
      <c r="P241" t="s">
        <v>46</v>
      </c>
      <c r="Q241" t="s">
        <v>47</v>
      </c>
      <c r="R241" t="s">
        <v>48</v>
      </c>
      <c r="S241" t="s">
        <v>49</v>
      </c>
      <c r="T241" t="b">
        <v>1</v>
      </c>
      <c r="U241" t="s">
        <v>50</v>
      </c>
      <c r="V241" t="s">
        <v>51</v>
      </c>
      <c r="W241">
        <v>4</v>
      </c>
      <c r="X241" t="b">
        <v>0</v>
      </c>
      <c r="Y241" t="s">
        <v>52</v>
      </c>
      <c r="Z241" t="s">
        <v>53</v>
      </c>
      <c r="AA241" t="s">
        <v>54</v>
      </c>
      <c r="AB241">
        <v>0</v>
      </c>
      <c r="AC241" t="s">
        <v>55</v>
      </c>
      <c r="AD241">
        <v>8</v>
      </c>
      <c r="AE241" t="s">
        <v>56</v>
      </c>
      <c r="AF241">
        <v>1281895.973</v>
      </c>
      <c r="AG241" t="b">
        <v>1</v>
      </c>
      <c r="AH241">
        <v>-1</v>
      </c>
      <c r="AI241" t="s">
        <v>64</v>
      </c>
      <c r="AJ241">
        <v>0</v>
      </c>
      <c r="AK241" t="b">
        <v>0</v>
      </c>
      <c r="AL241" s="1">
        <v>1281895.973</v>
      </c>
      <c r="AM241" t="b">
        <v>1</v>
      </c>
      <c r="AN241">
        <v>0</v>
      </c>
      <c r="AO241" t="b">
        <v>0</v>
      </c>
      <c r="AP241">
        <v>0</v>
      </c>
      <c r="AQ241">
        <v>71656680444.766006</v>
      </c>
      <c r="AR241">
        <v>71656680444.766006</v>
      </c>
      <c r="AS241">
        <v>6</v>
      </c>
      <c r="AT241" t="b">
        <v>0</v>
      </c>
      <c r="AU241" t="b">
        <v>1</v>
      </c>
      <c r="AV241" t="b">
        <v>1</v>
      </c>
      <c r="AW241" t="b">
        <v>1</v>
      </c>
      <c r="BC241" t="str">
        <f t="shared" si="3"/>
        <v>Outlier</v>
      </c>
    </row>
    <row r="242" spans="1:55" x14ac:dyDescent="0.2">
      <c r="A242" t="s">
        <v>39</v>
      </c>
      <c r="B242" t="s">
        <v>40</v>
      </c>
      <c r="C242">
        <v>20200101</v>
      </c>
      <c r="D242">
        <v>2020</v>
      </c>
      <c r="E242">
        <v>52</v>
      </c>
      <c r="F242" t="s">
        <v>309</v>
      </c>
      <c r="G242">
        <v>764</v>
      </c>
      <c r="H242" t="s">
        <v>279</v>
      </c>
      <c r="I242" t="s">
        <v>280</v>
      </c>
      <c r="J242" t="s">
        <v>44</v>
      </c>
      <c r="K242" t="s">
        <v>45</v>
      </c>
      <c r="L242">
        <v>0</v>
      </c>
      <c r="M242" t="s">
        <v>46</v>
      </c>
      <c r="N242" t="s">
        <v>47</v>
      </c>
      <c r="O242">
        <v>0</v>
      </c>
      <c r="P242" t="s">
        <v>46</v>
      </c>
      <c r="Q242" t="s">
        <v>47</v>
      </c>
      <c r="R242" t="s">
        <v>48</v>
      </c>
      <c r="S242" t="s">
        <v>49</v>
      </c>
      <c r="T242" t="b">
        <v>1</v>
      </c>
      <c r="U242" t="s">
        <v>50</v>
      </c>
      <c r="V242" t="s">
        <v>51</v>
      </c>
      <c r="W242">
        <v>4</v>
      </c>
      <c r="X242" t="b">
        <v>0</v>
      </c>
      <c r="Y242" t="s">
        <v>52</v>
      </c>
      <c r="Z242" t="s">
        <v>53</v>
      </c>
      <c r="AA242" t="s">
        <v>54</v>
      </c>
      <c r="AB242">
        <v>0</v>
      </c>
      <c r="AC242" t="s">
        <v>55</v>
      </c>
      <c r="AD242">
        <v>-1</v>
      </c>
      <c r="AE242" t="s">
        <v>64</v>
      </c>
      <c r="AF242">
        <v>0</v>
      </c>
      <c r="AG242" t="b">
        <v>0</v>
      </c>
      <c r="AH242">
        <v>-1</v>
      </c>
      <c r="AI242" t="s">
        <v>64</v>
      </c>
      <c r="AJ242">
        <v>0</v>
      </c>
      <c r="AK242" t="b">
        <v>0</v>
      </c>
      <c r="AM242" t="b">
        <v>0</v>
      </c>
      <c r="AN242">
        <v>0</v>
      </c>
      <c r="AO242" t="b">
        <v>0</v>
      </c>
      <c r="AQ242">
        <v>13339920810.617001</v>
      </c>
      <c r="AR242">
        <v>13339920810.617001</v>
      </c>
      <c r="AS242">
        <v>0</v>
      </c>
      <c r="AT242" t="b">
        <v>0</v>
      </c>
      <c r="AU242" t="b">
        <v>1</v>
      </c>
      <c r="AV242" t="b">
        <v>1</v>
      </c>
      <c r="AW242" t="b">
        <v>1</v>
      </c>
      <c r="BC242" t="str">
        <f t="shared" si="3"/>
        <v>Normal</v>
      </c>
    </row>
    <row r="243" spans="1:55" x14ac:dyDescent="0.2">
      <c r="A243" t="s">
        <v>39</v>
      </c>
      <c r="B243" t="s">
        <v>40</v>
      </c>
      <c r="C243">
        <v>20200101</v>
      </c>
      <c r="D243">
        <v>2020</v>
      </c>
      <c r="E243">
        <v>52</v>
      </c>
      <c r="F243" t="s">
        <v>309</v>
      </c>
      <c r="G243">
        <v>768</v>
      </c>
      <c r="H243" t="s">
        <v>281</v>
      </c>
      <c r="I243" t="s">
        <v>282</v>
      </c>
      <c r="J243" t="s">
        <v>44</v>
      </c>
      <c r="K243" t="s">
        <v>45</v>
      </c>
      <c r="L243">
        <v>0</v>
      </c>
      <c r="M243" t="s">
        <v>46</v>
      </c>
      <c r="N243" t="s">
        <v>47</v>
      </c>
      <c r="O243">
        <v>0</v>
      </c>
      <c r="P243" t="s">
        <v>46</v>
      </c>
      <c r="Q243" t="s">
        <v>47</v>
      </c>
      <c r="R243" t="s">
        <v>48</v>
      </c>
      <c r="S243" t="s">
        <v>49</v>
      </c>
      <c r="T243" t="b">
        <v>1</v>
      </c>
      <c r="U243" t="s">
        <v>50</v>
      </c>
      <c r="V243" t="s">
        <v>51</v>
      </c>
      <c r="W243">
        <v>4</v>
      </c>
      <c r="X243" t="b">
        <v>0</v>
      </c>
      <c r="Y243" t="s">
        <v>52</v>
      </c>
      <c r="Z243" t="s">
        <v>53</v>
      </c>
      <c r="AA243" t="s">
        <v>54</v>
      </c>
      <c r="AB243">
        <v>0</v>
      </c>
      <c r="AC243" t="s">
        <v>55</v>
      </c>
      <c r="AD243">
        <v>8</v>
      </c>
      <c r="AE243" t="s">
        <v>56</v>
      </c>
      <c r="AF243">
        <v>1</v>
      </c>
      <c r="AG243" t="b">
        <v>0</v>
      </c>
      <c r="AH243">
        <v>8</v>
      </c>
      <c r="AI243" t="s">
        <v>56</v>
      </c>
      <c r="AJ243">
        <v>1</v>
      </c>
      <c r="AK243" t="b">
        <v>0</v>
      </c>
      <c r="AL243">
        <v>1</v>
      </c>
      <c r="AM243" t="b">
        <v>0</v>
      </c>
      <c r="AN243">
        <v>0</v>
      </c>
      <c r="AO243" t="b">
        <v>0</v>
      </c>
      <c r="AQ243">
        <v>1738.35</v>
      </c>
      <c r="AR243">
        <v>1738.35</v>
      </c>
      <c r="AS243">
        <v>0</v>
      </c>
      <c r="AT243" t="b">
        <v>0</v>
      </c>
      <c r="AU243" t="b">
        <v>1</v>
      </c>
      <c r="AV243" t="b">
        <v>1</v>
      </c>
      <c r="AW243" t="b">
        <v>1</v>
      </c>
      <c r="BC243" t="str">
        <f t="shared" si="3"/>
        <v>Normal</v>
      </c>
    </row>
    <row r="244" spans="1:55" x14ac:dyDescent="0.2">
      <c r="A244" t="s">
        <v>39</v>
      </c>
      <c r="B244" t="s">
        <v>40</v>
      </c>
      <c r="C244">
        <v>20200101</v>
      </c>
      <c r="D244">
        <v>2020</v>
      </c>
      <c r="E244">
        <v>52</v>
      </c>
      <c r="F244" t="s">
        <v>309</v>
      </c>
      <c r="G244">
        <v>780</v>
      </c>
      <c r="H244" t="s">
        <v>283</v>
      </c>
      <c r="I244" t="s">
        <v>284</v>
      </c>
      <c r="J244" t="s">
        <v>44</v>
      </c>
      <c r="K244" t="s">
        <v>45</v>
      </c>
      <c r="L244">
        <v>0</v>
      </c>
      <c r="M244" t="s">
        <v>46</v>
      </c>
      <c r="N244" t="s">
        <v>47</v>
      </c>
      <c r="O244">
        <v>0</v>
      </c>
      <c r="P244" t="s">
        <v>46</v>
      </c>
      <c r="Q244" t="s">
        <v>47</v>
      </c>
      <c r="R244" t="s">
        <v>95</v>
      </c>
      <c r="S244" t="s">
        <v>49</v>
      </c>
      <c r="T244" t="b">
        <v>1</v>
      </c>
      <c r="U244" t="s">
        <v>50</v>
      </c>
      <c r="V244" t="s">
        <v>51</v>
      </c>
      <c r="W244">
        <v>4</v>
      </c>
      <c r="X244" t="b">
        <v>0</v>
      </c>
      <c r="Y244" t="s">
        <v>52</v>
      </c>
      <c r="Z244" t="s">
        <v>53</v>
      </c>
      <c r="AA244" t="s">
        <v>54</v>
      </c>
      <c r="AB244">
        <v>0</v>
      </c>
      <c r="AC244" t="s">
        <v>55</v>
      </c>
      <c r="AD244">
        <v>8</v>
      </c>
      <c r="AE244" t="s">
        <v>56</v>
      </c>
      <c r="AF244">
        <v>1</v>
      </c>
      <c r="AG244" t="b">
        <v>0</v>
      </c>
      <c r="AH244">
        <v>8</v>
      </c>
      <c r="AI244" t="s">
        <v>56</v>
      </c>
      <c r="AJ244">
        <v>1</v>
      </c>
      <c r="AK244" t="b">
        <v>0</v>
      </c>
      <c r="AL244">
        <v>1</v>
      </c>
      <c r="AM244" t="b">
        <v>0</v>
      </c>
      <c r="AN244">
        <v>0</v>
      </c>
      <c r="AO244" t="b">
        <v>0</v>
      </c>
      <c r="AP244">
        <v>0</v>
      </c>
      <c r="AQ244">
        <v>34556.845000000001</v>
      </c>
      <c r="AR244">
        <v>34556.845000000001</v>
      </c>
      <c r="AS244">
        <v>0</v>
      </c>
      <c r="AT244" t="b">
        <v>0</v>
      </c>
      <c r="AU244" t="b">
        <v>1</v>
      </c>
      <c r="AV244" t="b">
        <v>1</v>
      </c>
      <c r="AW244" t="b">
        <v>1</v>
      </c>
      <c r="BC244" t="str">
        <f t="shared" si="3"/>
        <v>Normal</v>
      </c>
    </row>
    <row r="245" spans="1:55" x14ac:dyDescent="0.2">
      <c r="A245" t="s">
        <v>39</v>
      </c>
      <c r="B245" t="s">
        <v>40</v>
      </c>
      <c r="C245">
        <v>20200101</v>
      </c>
      <c r="D245">
        <v>2020</v>
      </c>
      <c r="E245">
        <v>52</v>
      </c>
      <c r="F245" t="s">
        <v>309</v>
      </c>
      <c r="G245">
        <v>784</v>
      </c>
      <c r="H245" t="s">
        <v>285</v>
      </c>
      <c r="I245" t="s">
        <v>286</v>
      </c>
      <c r="J245" t="s">
        <v>44</v>
      </c>
      <c r="K245" t="s">
        <v>45</v>
      </c>
      <c r="L245">
        <v>0</v>
      </c>
      <c r="M245" t="s">
        <v>46</v>
      </c>
      <c r="N245" t="s">
        <v>47</v>
      </c>
      <c r="O245">
        <v>0</v>
      </c>
      <c r="P245" t="s">
        <v>46</v>
      </c>
      <c r="Q245" t="s">
        <v>47</v>
      </c>
      <c r="R245" t="s">
        <v>48</v>
      </c>
      <c r="S245" t="s">
        <v>49</v>
      </c>
      <c r="T245" t="b">
        <v>1</v>
      </c>
      <c r="U245" t="s">
        <v>50</v>
      </c>
      <c r="V245" t="s">
        <v>51</v>
      </c>
      <c r="W245">
        <v>4</v>
      </c>
      <c r="X245" t="b">
        <v>0</v>
      </c>
      <c r="Y245" t="s">
        <v>52</v>
      </c>
      <c r="Z245" t="s">
        <v>53</v>
      </c>
      <c r="AA245" t="s">
        <v>54</v>
      </c>
      <c r="AB245">
        <v>0</v>
      </c>
      <c r="AC245" t="s">
        <v>55</v>
      </c>
      <c r="AD245">
        <v>8</v>
      </c>
      <c r="AE245" t="s">
        <v>56</v>
      </c>
      <c r="AF245">
        <v>1143172.871</v>
      </c>
      <c r="AG245" t="b">
        <v>1</v>
      </c>
      <c r="AH245">
        <v>-1</v>
      </c>
      <c r="AI245" t="s">
        <v>64</v>
      </c>
      <c r="AJ245">
        <v>0</v>
      </c>
      <c r="AK245" t="b">
        <v>0</v>
      </c>
      <c r="AL245" s="1">
        <v>1143172.871</v>
      </c>
      <c r="AM245" t="b">
        <v>1</v>
      </c>
      <c r="AN245">
        <v>0</v>
      </c>
      <c r="AO245" t="b">
        <v>0</v>
      </c>
      <c r="AP245">
        <v>0</v>
      </c>
      <c r="AQ245">
        <v>29303479807.209999</v>
      </c>
      <c r="AR245">
        <v>29303479807.209999</v>
      </c>
      <c r="AS245">
        <v>6</v>
      </c>
      <c r="AT245" t="b">
        <v>0</v>
      </c>
      <c r="AU245" t="b">
        <v>1</v>
      </c>
      <c r="AV245" t="b">
        <v>1</v>
      </c>
      <c r="AW245" t="b">
        <v>1</v>
      </c>
      <c r="BC245" t="str">
        <f t="shared" si="3"/>
        <v>Outlier</v>
      </c>
    </row>
    <row r="246" spans="1:55" x14ac:dyDescent="0.2">
      <c r="A246" t="s">
        <v>39</v>
      </c>
      <c r="B246" t="s">
        <v>40</v>
      </c>
      <c r="C246">
        <v>20200101</v>
      </c>
      <c r="D246">
        <v>2020</v>
      </c>
      <c r="E246">
        <v>52</v>
      </c>
      <c r="F246" t="s">
        <v>309</v>
      </c>
      <c r="G246">
        <v>792</v>
      </c>
      <c r="H246" t="s">
        <v>287</v>
      </c>
      <c r="I246" t="s">
        <v>288</v>
      </c>
      <c r="J246" t="s">
        <v>44</v>
      </c>
      <c r="K246" t="s">
        <v>45</v>
      </c>
      <c r="L246">
        <v>0</v>
      </c>
      <c r="M246" t="s">
        <v>46</v>
      </c>
      <c r="N246" t="s">
        <v>47</v>
      </c>
      <c r="O246">
        <v>0</v>
      </c>
      <c r="P246" t="s">
        <v>46</v>
      </c>
      <c r="Q246" t="s">
        <v>47</v>
      </c>
      <c r="R246" t="s">
        <v>48</v>
      </c>
      <c r="S246" t="s">
        <v>49</v>
      </c>
      <c r="T246" t="b">
        <v>1</v>
      </c>
      <c r="U246" t="s">
        <v>50</v>
      </c>
      <c r="V246" t="s">
        <v>51</v>
      </c>
      <c r="W246">
        <v>4</v>
      </c>
      <c r="X246" t="b">
        <v>0</v>
      </c>
      <c r="Y246" t="s">
        <v>52</v>
      </c>
      <c r="Z246" t="s">
        <v>53</v>
      </c>
      <c r="AA246" t="s">
        <v>54</v>
      </c>
      <c r="AB246">
        <v>0</v>
      </c>
      <c r="AC246" t="s">
        <v>55</v>
      </c>
      <c r="AD246">
        <v>8</v>
      </c>
      <c r="AE246" t="s">
        <v>56</v>
      </c>
      <c r="AF246">
        <v>49663.095999999998</v>
      </c>
      <c r="AG246" t="b">
        <v>0</v>
      </c>
      <c r="AH246">
        <v>15</v>
      </c>
      <c r="AI246" t="s">
        <v>59</v>
      </c>
      <c r="AJ246">
        <v>49663096</v>
      </c>
      <c r="AK246" t="b">
        <v>0</v>
      </c>
      <c r="AL246">
        <v>0</v>
      </c>
      <c r="AM246" t="b">
        <v>0</v>
      </c>
      <c r="AN246">
        <v>0</v>
      </c>
      <c r="AO246" t="b">
        <v>0</v>
      </c>
      <c r="AP246">
        <v>0</v>
      </c>
      <c r="AQ246">
        <v>2779978131</v>
      </c>
      <c r="AR246">
        <v>2779978131</v>
      </c>
      <c r="AS246">
        <v>0</v>
      </c>
      <c r="AT246" t="b">
        <v>0</v>
      </c>
      <c r="AU246" t="b">
        <v>1</v>
      </c>
      <c r="AV246" t="b">
        <v>1</v>
      </c>
      <c r="AW246" t="b">
        <v>1</v>
      </c>
      <c r="BC246" t="str">
        <f t="shared" si="3"/>
        <v>Normal</v>
      </c>
    </row>
    <row r="247" spans="1:55" x14ac:dyDescent="0.2">
      <c r="A247" t="s">
        <v>39</v>
      </c>
      <c r="B247" t="s">
        <v>40</v>
      </c>
      <c r="C247">
        <v>20200101</v>
      </c>
      <c r="D247">
        <v>2020</v>
      </c>
      <c r="E247">
        <v>52</v>
      </c>
      <c r="F247" t="s">
        <v>309</v>
      </c>
      <c r="G247">
        <v>800</v>
      </c>
      <c r="H247" t="s">
        <v>289</v>
      </c>
      <c r="I247" t="s">
        <v>290</v>
      </c>
      <c r="J247" t="s">
        <v>44</v>
      </c>
      <c r="K247" t="s">
        <v>45</v>
      </c>
      <c r="L247">
        <v>0</v>
      </c>
      <c r="M247" t="s">
        <v>46</v>
      </c>
      <c r="N247" t="s">
        <v>47</v>
      </c>
      <c r="O247">
        <v>0</v>
      </c>
      <c r="P247" t="s">
        <v>46</v>
      </c>
      <c r="Q247" t="s">
        <v>47</v>
      </c>
      <c r="R247" t="s">
        <v>48</v>
      </c>
      <c r="S247" t="s">
        <v>49</v>
      </c>
      <c r="T247" t="b">
        <v>1</v>
      </c>
      <c r="U247" t="s">
        <v>50</v>
      </c>
      <c r="V247" t="s">
        <v>51</v>
      </c>
      <c r="W247">
        <v>4</v>
      </c>
      <c r="X247" t="b">
        <v>0</v>
      </c>
      <c r="Y247" t="s">
        <v>52</v>
      </c>
      <c r="Z247" t="s">
        <v>53</v>
      </c>
      <c r="AA247" t="s">
        <v>54</v>
      </c>
      <c r="AB247">
        <v>0</v>
      </c>
      <c r="AC247" t="s">
        <v>55</v>
      </c>
      <c r="AD247">
        <v>-1</v>
      </c>
      <c r="AE247" t="s">
        <v>64</v>
      </c>
      <c r="AF247">
        <v>0</v>
      </c>
      <c r="AG247" t="b">
        <v>1</v>
      </c>
      <c r="AH247">
        <v>-1</v>
      </c>
      <c r="AI247" t="s">
        <v>64</v>
      </c>
      <c r="AJ247">
        <v>0</v>
      </c>
      <c r="AK247" t="b">
        <v>0</v>
      </c>
      <c r="AL247">
        <v>0</v>
      </c>
      <c r="AM247" t="b">
        <v>1</v>
      </c>
      <c r="AN247">
        <v>0</v>
      </c>
      <c r="AO247" t="b">
        <v>0</v>
      </c>
      <c r="AP247">
        <v>0</v>
      </c>
      <c r="AQ247">
        <v>1818003348</v>
      </c>
      <c r="AR247">
        <v>1818003348</v>
      </c>
      <c r="AS247">
        <v>6</v>
      </c>
      <c r="AT247" t="b">
        <v>0</v>
      </c>
      <c r="AU247" t="b">
        <v>1</v>
      </c>
      <c r="AV247" t="b">
        <v>1</v>
      </c>
      <c r="AW247" t="b">
        <v>1</v>
      </c>
      <c r="BC247" t="str">
        <f t="shared" si="3"/>
        <v>Normal</v>
      </c>
    </row>
    <row r="248" spans="1:55" x14ac:dyDescent="0.2">
      <c r="A248" t="s">
        <v>39</v>
      </c>
      <c r="B248" t="s">
        <v>40</v>
      </c>
      <c r="C248">
        <v>20200101</v>
      </c>
      <c r="D248">
        <v>2020</v>
      </c>
      <c r="E248">
        <v>52</v>
      </c>
      <c r="F248" t="s">
        <v>309</v>
      </c>
      <c r="G248">
        <v>804</v>
      </c>
      <c r="H248" t="s">
        <v>291</v>
      </c>
      <c r="I248" t="s">
        <v>292</v>
      </c>
      <c r="J248" t="s">
        <v>44</v>
      </c>
      <c r="K248" t="s">
        <v>45</v>
      </c>
      <c r="L248">
        <v>0</v>
      </c>
      <c r="M248" t="s">
        <v>46</v>
      </c>
      <c r="N248" t="s">
        <v>47</v>
      </c>
      <c r="O248">
        <v>0</v>
      </c>
      <c r="P248" t="s">
        <v>46</v>
      </c>
      <c r="Q248" t="s">
        <v>47</v>
      </c>
      <c r="R248" t="s">
        <v>48</v>
      </c>
      <c r="S248" t="s">
        <v>49</v>
      </c>
      <c r="T248" t="b">
        <v>1</v>
      </c>
      <c r="U248" t="s">
        <v>50</v>
      </c>
      <c r="V248" t="s">
        <v>51</v>
      </c>
      <c r="W248">
        <v>4</v>
      </c>
      <c r="X248" t="b">
        <v>0</v>
      </c>
      <c r="Y248" t="s">
        <v>52</v>
      </c>
      <c r="Z248" t="s">
        <v>53</v>
      </c>
      <c r="AA248" t="s">
        <v>54</v>
      </c>
      <c r="AB248">
        <v>0</v>
      </c>
      <c r="AC248" t="s">
        <v>55</v>
      </c>
      <c r="AD248">
        <v>8</v>
      </c>
      <c r="AE248" t="s">
        <v>56</v>
      </c>
      <c r="AF248">
        <v>679.05799999999999</v>
      </c>
      <c r="AG248" t="b">
        <v>0</v>
      </c>
      <c r="AH248">
        <v>15</v>
      </c>
      <c r="AI248" t="s">
        <v>59</v>
      </c>
      <c r="AJ248">
        <v>679057.81</v>
      </c>
      <c r="AK248" t="b">
        <v>0</v>
      </c>
      <c r="AL248">
        <v>689.06600000000003</v>
      </c>
      <c r="AM248" t="b">
        <v>0</v>
      </c>
      <c r="AN248">
        <v>0</v>
      </c>
      <c r="AO248" t="b">
        <v>0</v>
      </c>
      <c r="AP248">
        <v>0</v>
      </c>
      <c r="AQ248">
        <v>40392231.490000002</v>
      </c>
      <c r="AR248">
        <v>40392231.490000002</v>
      </c>
      <c r="AS248">
        <v>0</v>
      </c>
      <c r="AT248" t="b">
        <v>0</v>
      </c>
      <c r="AU248" t="b">
        <v>1</v>
      </c>
      <c r="AV248" t="b">
        <v>1</v>
      </c>
      <c r="AW248" t="b">
        <v>1</v>
      </c>
      <c r="BC248" t="str">
        <f t="shared" si="3"/>
        <v>Normal</v>
      </c>
    </row>
    <row r="249" spans="1:55" x14ac:dyDescent="0.2">
      <c r="A249" t="s">
        <v>39</v>
      </c>
      <c r="B249" t="s">
        <v>40</v>
      </c>
      <c r="C249">
        <v>20200101</v>
      </c>
      <c r="D249">
        <v>2020</v>
      </c>
      <c r="E249">
        <v>52</v>
      </c>
      <c r="F249" t="s">
        <v>309</v>
      </c>
      <c r="G249">
        <v>807</v>
      </c>
      <c r="H249" t="s">
        <v>331</v>
      </c>
      <c r="I249" t="s">
        <v>332</v>
      </c>
      <c r="J249" t="s">
        <v>44</v>
      </c>
      <c r="K249" t="s">
        <v>45</v>
      </c>
      <c r="L249">
        <v>0</v>
      </c>
      <c r="M249" t="s">
        <v>46</v>
      </c>
      <c r="N249" t="s">
        <v>47</v>
      </c>
      <c r="O249">
        <v>0</v>
      </c>
      <c r="P249" t="s">
        <v>46</v>
      </c>
      <c r="Q249" t="s">
        <v>47</v>
      </c>
      <c r="R249" t="s">
        <v>48</v>
      </c>
      <c r="S249" t="s">
        <v>49</v>
      </c>
      <c r="T249" t="b">
        <v>1</v>
      </c>
      <c r="U249" t="s">
        <v>50</v>
      </c>
      <c r="V249" t="s">
        <v>51</v>
      </c>
      <c r="W249">
        <v>4</v>
      </c>
      <c r="X249" t="b">
        <v>0</v>
      </c>
      <c r="Y249" t="s">
        <v>52</v>
      </c>
      <c r="Z249" t="s">
        <v>53</v>
      </c>
      <c r="AA249" t="s">
        <v>54</v>
      </c>
      <c r="AB249">
        <v>0</v>
      </c>
      <c r="AC249" t="s">
        <v>55</v>
      </c>
      <c r="AD249">
        <v>8</v>
      </c>
      <c r="AE249" t="s">
        <v>56</v>
      </c>
      <c r="AF249">
        <v>59.436999999999998</v>
      </c>
      <c r="AG249" t="b">
        <v>0</v>
      </c>
      <c r="AH249">
        <v>15</v>
      </c>
      <c r="AI249" t="s">
        <v>59</v>
      </c>
      <c r="AJ249">
        <v>59437</v>
      </c>
      <c r="AK249" t="b">
        <v>0</v>
      </c>
      <c r="AL249">
        <v>60</v>
      </c>
      <c r="AM249" t="b">
        <v>0</v>
      </c>
      <c r="AN249">
        <v>0</v>
      </c>
      <c r="AO249" t="b">
        <v>0</v>
      </c>
      <c r="AP249">
        <v>0</v>
      </c>
      <c r="AQ249">
        <v>831099.32</v>
      </c>
      <c r="AR249">
        <v>831099.32</v>
      </c>
      <c r="AS249">
        <v>0</v>
      </c>
      <c r="AT249" t="b">
        <v>0</v>
      </c>
      <c r="AU249" t="b">
        <v>1</v>
      </c>
      <c r="AV249" t="b">
        <v>1</v>
      </c>
      <c r="AW249" t="b">
        <v>1</v>
      </c>
      <c r="BC249" t="str">
        <f t="shared" si="3"/>
        <v>Normal</v>
      </c>
    </row>
    <row r="250" spans="1:55" x14ac:dyDescent="0.2">
      <c r="A250" t="s">
        <v>39</v>
      </c>
      <c r="B250" t="s">
        <v>40</v>
      </c>
      <c r="C250">
        <v>20200101</v>
      </c>
      <c r="D250">
        <v>2020</v>
      </c>
      <c r="E250">
        <v>52</v>
      </c>
      <c r="F250" t="s">
        <v>309</v>
      </c>
      <c r="G250">
        <v>818</v>
      </c>
      <c r="H250" t="s">
        <v>293</v>
      </c>
      <c r="I250" t="s">
        <v>294</v>
      </c>
      <c r="J250" t="s">
        <v>44</v>
      </c>
      <c r="K250" t="s">
        <v>45</v>
      </c>
      <c r="L250">
        <v>0</v>
      </c>
      <c r="M250" t="s">
        <v>46</v>
      </c>
      <c r="N250" t="s">
        <v>47</v>
      </c>
      <c r="O250">
        <v>0</v>
      </c>
      <c r="P250" t="s">
        <v>46</v>
      </c>
      <c r="Q250" t="s">
        <v>47</v>
      </c>
      <c r="R250" t="s">
        <v>95</v>
      </c>
      <c r="S250" t="s">
        <v>49</v>
      </c>
      <c r="T250" t="b">
        <v>1</v>
      </c>
      <c r="U250" t="s">
        <v>50</v>
      </c>
      <c r="V250" t="s">
        <v>51</v>
      </c>
      <c r="W250">
        <v>4</v>
      </c>
      <c r="X250" t="b">
        <v>0</v>
      </c>
      <c r="Y250" t="s">
        <v>52</v>
      </c>
      <c r="Z250" t="s">
        <v>53</v>
      </c>
      <c r="AA250" t="s">
        <v>54</v>
      </c>
      <c r="AB250">
        <v>0</v>
      </c>
      <c r="AC250" t="s">
        <v>55</v>
      </c>
      <c r="AD250">
        <v>8</v>
      </c>
      <c r="AE250" t="s">
        <v>56</v>
      </c>
      <c r="AF250">
        <v>55118.506000000001</v>
      </c>
      <c r="AG250" t="b">
        <v>1</v>
      </c>
      <c r="AH250">
        <v>-1</v>
      </c>
      <c r="AI250" t="s">
        <v>64</v>
      </c>
      <c r="AJ250">
        <v>0</v>
      </c>
      <c r="AK250" t="b">
        <v>0</v>
      </c>
      <c r="AL250">
        <v>55118.506000000001</v>
      </c>
      <c r="AM250" t="b">
        <v>1</v>
      </c>
      <c r="AN250">
        <v>0</v>
      </c>
      <c r="AO250" t="b">
        <v>0</v>
      </c>
      <c r="AQ250">
        <v>2975781468.7519999</v>
      </c>
      <c r="AR250">
        <v>2975781468.7519999</v>
      </c>
      <c r="AS250">
        <v>6</v>
      </c>
      <c r="AT250" t="b">
        <v>0</v>
      </c>
      <c r="AU250" t="b">
        <v>1</v>
      </c>
      <c r="AV250" t="b">
        <v>1</v>
      </c>
      <c r="AW250" t="b">
        <v>1</v>
      </c>
      <c r="BC250" t="str">
        <f t="shared" si="3"/>
        <v>Normal</v>
      </c>
    </row>
    <row r="251" spans="1:55" x14ac:dyDescent="0.2">
      <c r="A251" t="s">
        <v>39</v>
      </c>
      <c r="B251" t="s">
        <v>40</v>
      </c>
      <c r="C251">
        <v>20200101</v>
      </c>
      <c r="D251">
        <v>2020</v>
      </c>
      <c r="E251">
        <v>52</v>
      </c>
      <c r="F251" t="s">
        <v>309</v>
      </c>
      <c r="G251">
        <v>826</v>
      </c>
      <c r="H251" t="s">
        <v>295</v>
      </c>
      <c r="I251" t="s">
        <v>296</v>
      </c>
      <c r="J251" t="s">
        <v>44</v>
      </c>
      <c r="K251" t="s">
        <v>45</v>
      </c>
      <c r="L251">
        <v>0</v>
      </c>
      <c r="M251" t="s">
        <v>46</v>
      </c>
      <c r="N251" t="s">
        <v>47</v>
      </c>
      <c r="O251">
        <v>0</v>
      </c>
      <c r="P251" t="s">
        <v>46</v>
      </c>
      <c r="Q251" t="s">
        <v>47</v>
      </c>
      <c r="R251" t="s">
        <v>48</v>
      </c>
      <c r="S251" t="s">
        <v>49</v>
      </c>
      <c r="T251" t="b">
        <v>1</v>
      </c>
      <c r="U251" t="s">
        <v>50</v>
      </c>
      <c r="V251" t="s">
        <v>51</v>
      </c>
      <c r="W251">
        <v>4</v>
      </c>
      <c r="X251" t="b">
        <v>0</v>
      </c>
      <c r="Y251" t="s">
        <v>52</v>
      </c>
      <c r="Z251" t="s">
        <v>53</v>
      </c>
      <c r="AA251" t="s">
        <v>54</v>
      </c>
      <c r="AB251">
        <v>0</v>
      </c>
      <c r="AC251" t="s">
        <v>55</v>
      </c>
      <c r="AD251">
        <v>8</v>
      </c>
      <c r="AE251" t="s">
        <v>56</v>
      </c>
      <c r="AF251">
        <v>380076.07199999999</v>
      </c>
      <c r="AG251" t="b">
        <v>1</v>
      </c>
      <c r="AH251">
        <v>-1</v>
      </c>
      <c r="AI251" t="s">
        <v>64</v>
      </c>
      <c r="AJ251">
        <v>0</v>
      </c>
      <c r="AK251" t="b">
        <v>0</v>
      </c>
      <c r="AL251" s="1">
        <v>377592.06199999998</v>
      </c>
      <c r="AM251" t="b">
        <v>1</v>
      </c>
      <c r="AN251">
        <v>0</v>
      </c>
      <c r="AO251" t="b">
        <v>0</v>
      </c>
      <c r="AP251">
        <v>0</v>
      </c>
      <c r="AQ251">
        <v>21447642821.992001</v>
      </c>
      <c r="AR251">
        <v>21447642821.992001</v>
      </c>
      <c r="AS251">
        <v>6</v>
      </c>
      <c r="AT251" t="b">
        <v>0</v>
      </c>
      <c r="AU251" t="b">
        <v>1</v>
      </c>
      <c r="AV251" t="b">
        <v>1</v>
      </c>
      <c r="AW251" t="b">
        <v>1</v>
      </c>
      <c r="BC251" t="str">
        <f t="shared" si="3"/>
        <v>Outlier</v>
      </c>
    </row>
    <row r="252" spans="1:55" x14ac:dyDescent="0.2">
      <c r="A252" t="s">
        <v>39</v>
      </c>
      <c r="B252" t="s">
        <v>40</v>
      </c>
      <c r="C252">
        <v>20200101</v>
      </c>
      <c r="D252">
        <v>2020</v>
      </c>
      <c r="E252">
        <v>52</v>
      </c>
      <c r="F252" t="s">
        <v>309</v>
      </c>
      <c r="G252">
        <v>834</v>
      </c>
      <c r="H252" t="s">
        <v>297</v>
      </c>
      <c r="I252" t="s">
        <v>298</v>
      </c>
      <c r="J252" t="s">
        <v>44</v>
      </c>
      <c r="K252" t="s">
        <v>45</v>
      </c>
      <c r="L252">
        <v>0</v>
      </c>
      <c r="M252" t="s">
        <v>46</v>
      </c>
      <c r="N252" t="s">
        <v>47</v>
      </c>
      <c r="O252">
        <v>0</v>
      </c>
      <c r="P252" t="s">
        <v>46</v>
      </c>
      <c r="Q252" t="s">
        <v>47</v>
      </c>
      <c r="R252" t="s">
        <v>48</v>
      </c>
      <c r="S252" t="s">
        <v>49</v>
      </c>
      <c r="T252" t="b">
        <v>1</v>
      </c>
      <c r="U252" t="s">
        <v>50</v>
      </c>
      <c r="V252" t="s">
        <v>51</v>
      </c>
      <c r="W252">
        <v>4</v>
      </c>
      <c r="X252" t="b">
        <v>0</v>
      </c>
      <c r="Y252" t="s">
        <v>52</v>
      </c>
      <c r="Z252" t="s">
        <v>53</v>
      </c>
      <c r="AA252" t="s">
        <v>54</v>
      </c>
      <c r="AB252">
        <v>0</v>
      </c>
      <c r="AC252" t="s">
        <v>55</v>
      </c>
      <c r="AD252">
        <v>8</v>
      </c>
      <c r="AE252" t="s">
        <v>56</v>
      </c>
      <c r="AF252">
        <v>66558.877999999997</v>
      </c>
      <c r="AG252" t="b">
        <v>1</v>
      </c>
      <c r="AH252">
        <v>-1</v>
      </c>
      <c r="AI252" t="s">
        <v>64</v>
      </c>
      <c r="AJ252">
        <v>0</v>
      </c>
      <c r="AK252" t="b">
        <v>0</v>
      </c>
      <c r="AL252" s="1">
        <v>66558.877999999997</v>
      </c>
      <c r="AM252" t="b">
        <v>1</v>
      </c>
      <c r="AN252">
        <v>0</v>
      </c>
      <c r="AO252" t="b">
        <v>0</v>
      </c>
      <c r="AP252">
        <v>0</v>
      </c>
      <c r="AQ252">
        <v>2957528918.4099998</v>
      </c>
      <c r="AR252">
        <v>2957528918.4099998</v>
      </c>
      <c r="AS252">
        <v>6</v>
      </c>
      <c r="AT252" t="b">
        <v>0</v>
      </c>
      <c r="AU252" t="b">
        <v>1</v>
      </c>
      <c r="AV252" t="b">
        <v>1</v>
      </c>
      <c r="AW252" t="b">
        <v>1</v>
      </c>
      <c r="BC252" t="str">
        <f t="shared" si="3"/>
        <v>Outlier</v>
      </c>
    </row>
    <row r="253" spans="1:55" x14ac:dyDescent="0.2">
      <c r="A253" t="s">
        <v>39</v>
      </c>
      <c r="B253" t="s">
        <v>40</v>
      </c>
      <c r="C253">
        <v>20200101</v>
      </c>
      <c r="D253">
        <v>2020</v>
      </c>
      <c r="E253">
        <v>52</v>
      </c>
      <c r="F253" t="s">
        <v>309</v>
      </c>
      <c r="G253">
        <v>842</v>
      </c>
      <c r="H253" t="s">
        <v>299</v>
      </c>
      <c r="I253" t="s">
        <v>299</v>
      </c>
      <c r="J253" t="s">
        <v>44</v>
      </c>
      <c r="K253" t="s">
        <v>45</v>
      </c>
      <c r="L253">
        <v>0</v>
      </c>
      <c r="M253" t="s">
        <v>46</v>
      </c>
      <c r="N253" t="s">
        <v>47</v>
      </c>
      <c r="O253">
        <v>0</v>
      </c>
      <c r="P253" t="s">
        <v>46</v>
      </c>
      <c r="Q253" t="s">
        <v>47</v>
      </c>
      <c r="R253" t="s">
        <v>48</v>
      </c>
      <c r="S253" t="s">
        <v>49</v>
      </c>
      <c r="T253" t="b">
        <v>1</v>
      </c>
      <c r="U253" t="s">
        <v>50</v>
      </c>
      <c r="V253" t="s">
        <v>51</v>
      </c>
      <c r="W253">
        <v>4</v>
      </c>
      <c r="X253" t="b">
        <v>0</v>
      </c>
      <c r="Y253" t="s">
        <v>52</v>
      </c>
      <c r="Z253" t="s">
        <v>53</v>
      </c>
      <c r="AA253" t="s">
        <v>54</v>
      </c>
      <c r="AB253">
        <v>0</v>
      </c>
      <c r="AC253" t="s">
        <v>55</v>
      </c>
      <c r="AD253">
        <v>8</v>
      </c>
      <c r="AE253" t="s">
        <v>56</v>
      </c>
      <c r="AF253">
        <v>367835.65299999999</v>
      </c>
      <c r="AG253" t="b">
        <v>1</v>
      </c>
      <c r="AH253">
        <v>-1</v>
      </c>
      <c r="AI253" t="s">
        <v>64</v>
      </c>
      <c r="AJ253">
        <v>0</v>
      </c>
      <c r="AK253" t="b">
        <v>0</v>
      </c>
      <c r="AL253" s="1">
        <v>367835.65299999999</v>
      </c>
      <c r="AM253" t="b">
        <v>1</v>
      </c>
      <c r="AN253">
        <v>0</v>
      </c>
      <c r="AO253" t="b">
        <v>0</v>
      </c>
      <c r="AP253">
        <v>0</v>
      </c>
      <c r="AQ253">
        <v>20561622698</v>
      </c>
      <c r="AR253">
        <v>20561622698</v>
      </c>
      <c r="AS253">
        <v>6</v>
      </c>
      <c r="AT253" t="b">
        <v>0</v>
      </c>
      <c r="AU253" t="b">
        <v>1</v>
      </c>
      <c r="AV253" t="b">
        <v>1</v>
      </c>
      <c r="AW253" t="b">
        <v>1</v>
      </c>
      <c r="BC253" t="str">
        <f t="shared" si="3"/>
        <v>Outlier</v>
      </c>
    </row>
    <row r="254" spans="1:55" x14ac:dyDescent="0.2">
      <c r="A254" t="s">
        <v>39</v>
      </c>
      <c r="B254" t="s">
        <v>40</v>
      </c>
      <c r="C254">
        <v>20200101</v>
      </c>
      <c r="D254">
        <v>2020</v>
      </c>
      <c r="E254">
        <v>52</v>
      </c>
      <c r="F254" t="s">
        <v>309</v>
      </c>
      <c r="G254">
        <v>854</v>
      </c>
      <c r="H254" t="s">
        <v>300</v>
      </c>
      <c r="I254" t="s">
        <v>301</v>
      </c>
      <c r="J254" t="s">
        <v>44</v>
      </c>
      <c r="K254" t="s">
        <v>45</v>
      </c>
      <c r="L254">
        <v>0</v>
      </c>
      <c r="M254" t="s">
        <v>46</v>
      </c>
      <c r="N254" t="s">
        <v>47</v>
      </c>
      <c r="O254">
        <v>0</v>
      </c>
      <c r="P254" t="s">
        <v>46</v>
      </c>
      <c r="Q254" t="s">
        <v>47</v>
      </c>
      <c r="R254" t="s">
        <v>48</v>
      </c>
      <c r="S254" t="s">
        <v>49</v>
      </c>
      <c r="T254" t="b">
        <v>1</v>
      </c>
      <c r="U254" t="s">
        <v>50</v>
      </c>
      <c r="V254" t="s">
        <v>51</v>
      </c>
      <c r="W254">
        <v>4</v>
      </c>
      <c r="X254" t="b">
        <v>0</v>
      </c>
      <c r="Y254" t="s">
        <v>52</v>
      </c>
      <c r="Z254" t="s">
        <v>53</v>
      </c>
      <c r="AA254" t="s">
        <v>54</v>
      </c>
      <c r="AB254">
        <v>0</v>
      </c>
      <c r="AC254" t="s">
        <v>55</v>
      </c>
      <c r="AD254">
        <v>8</v>
      </c>
      <c r="AE254" t="s">
        <v>56</v>
      </c>
      <c r="AF254">
        <v>62672</v>
      </c>
      <c r="AG254" t="b">
        <v>0</v>
      </c>
      <c r="AH254">
        <v>8</v>
      </c>
      <c r="AI254" t="s">
        <v>56</v>
      </c>
      <c r="AJ254">
        <v>62672</v>
      </c>
      <c r="AK254" t="b">
        <v>0</v>
      </c>
      <c r="AL254">
        <v>62672</v>
      </c>
      <c r="AM254" t="b">
        <v>0</v>
      </c>
      <c r="AN254">
        <v>0</v>
      </c>
      <c r="AO254" t="b">
        <v>0</v>
      </c>
      <c r="AP254">
        <v>0</v>
      </c>
      <c r="AQ254">
        <v>3562910877.0469999</v>
      </c>
      <c r="AR254">
        <v>3562910877.0469999</v>
      </c>
      <c r="AS254">
        <v>0</v>
      </c>
      <c r="AT254" t="b">
        <v>0</v>
      </c>
      <c r="AU254" t="b">
        <v>1</v>
      </c>
      <c r="AV254" t="b">
        <v>1</v>
      </c>
      <c r="AW254" t="b">
        <v>1</v>
      </c>
      <c r="BC254" t="str">
        <f t="shared" si="3"/>
        <v>Normal</v>
      </c>
    </row>
    <row r="255" spans="1:55" x14ac:dyDescent="0.2">
      <c r="A255" t="s">
        <v>39</v>
      </c>
      <c r="B255" t="s">
        <v>40</v>
      </c>
      <c r="C255">
        <v>20200101</v>
      </c>
      <c r="D255">
        <v>2020</v>
      </c>
      <c r="E255">
        <v>52</v>
      </c>
      <c r="F255" t="s">
        <v>309</v>
      </c>
      <c r="G255">
        <v>858</v>
      </c>
      <c r="H255" t="s">
        <v>302</v>
      </c>
      <c r="I255" t="s">
        <v>303</v>
      </c>
      <c r="J255" t="s">
        <v>44</v>
      </c>
      <c r="K255" t="s">
        <v>45</v>
      </c>
      <c r="L255">
        <v>0</v>
      </c>
      <c r="M255" t="s">
        <v>46</v>
      </c>
      <c r="N255" t="s">
        <v>47</v>
      </c>
      <c r="O255">
        <v>0</v>
      </c>
      <c r="P255" t="s">
        <v>46</v>
      </c>
      <c r="Q255" t="s">
        <v>47</v>
      </c>
      <c r="R255" t="s">
        <v>48</v>
      </c>
      <c r="S255" t="s">
        <v>49</v>
      </c>
      <c r="T255" t="b">
        <v>1</v>
      </c>
      <c r="U255" t="s">
        <v>50</v>
      </c>
      <c r="V255" t="s">
        <v>51</v>
      </c>
      <c r="W255">
        <v>4</v>
      </c>
      <c r="X255" t="b">
        <v>0</v>
      </c>
      <c r="Y255" t="s">
        <v>52</v>
      </c>
      <c r="Z255" t="s">
        <v>53</v>
      </c>
      <c r="AA255" t="s">
        <v>54</v>
      </c>
      <c r="AB255">
        <v>0</v>
      </c>
      <c r="AC255" t="s">
        <v>55</v>
      </c>
      <c r="AD255">
        <v>8</v>
      </c>
      <c r="AE255" t="s">
        <v>56</v>
      </c>
      <c r="AF255">
        <v>6.98</v>
      </c>
      <c r="AG255" t="b">
        <v>0</v>
      </c>
      <c r="AH255">
        <v>8</v>
      </c>
      <c r="AI255" t="s">
        <v>56</v>
      </c>
      <c r="AJ255">
        <v>6.98</v>
      </c>
      <c r="AK255" t="b">
        <v>0</v>
      </c>
      <c r="AL255">
        <v>6.98</v>
      </c>
      <c r="AM255" t="b">
        <v>0</v>
      </c>
      <c r="AN255">
        <v>0</v>
      </c>
      <c r="AO255" t="b">
        <v>0</v>
      </c>
      <c r="AQ255">
        <v>408331</v>
      </c>
      <c r="AR255">
        <v>408331</v>
      </c>
      <c r="AS255">
        <v>0</v>
      </c>
      <c r="AT255" t="b">
        <v>0</v>
      </c>
      <c r="AU255" t="b">
        <v>1</v>
      </c>
      <c r="AV255" t="b">
        <v>1</v>
      </c>
      <c r="AW255" t="b">
        <v>1</v>
      </c>
      <c r="BC255" t="str">
        <f t="shared" si="3"/>
        <v>Normal</v>
      </c>
    </row>
    <row r="256" spans="1:55" x14ac:dyDescent="0.2">
      <c r="A256" t="s">
        <v>39</v>
      </c>
      <c r="B256" t="s">
        <v>40</v>
      </c>
      <c r="C256">
        <v>20200101</v>
      </c>
      <c r="D256">
        <v>2020</v>
      </c>
      <c r="E256">
        <v>52</v>
      </c>
      <c r="F256" t="s">
        <v>309</v>
      </c>
      <c r="G256">
        <v>860</v>
      </c>
      <c r="H256" t="s">
        <v>304</v>
      </c>
      <c r="I256" t="s">
        <v>305</v>
      </c>
      <c r="J256" t="s">
        <v>44</v>
      </c>
      <c r="K256" t="s">
        <v>45</v>
      </c>
      <c r="L256">
        <v>0</v>
      </c>
      <c r="M256" t="s">
        <v>46</v>
      </c>
      <c r="N256" t="s">
        <v>47</v>
      </c>
      <c r="O256">
        <v>0</v>
      </c>
      <c r="P256" t="s">
        <v>46</v>
      </c>
      <c r="Q256" t="s">
        <v>47</v>
      </c>
      <c r="R256" t="s">
        <v>48</v>
      </c>
      <c r="S256" t="s">
        <v>49</v>
      </c>
      <c r="T256" t="b">
        <v>1</v>
      </c>
      <c r="U256" t="s">
        <v>50</v>
      </c>
      <c r="V256" t="s">
        <v>51</v>
      </c>
      <c r="W256">
        <v>4</v>
      </c>
      <c r="X256" t="b">
        <v>0</v>
      </c>
      <c r="Y256" t="s">
        <v>52</v>
      </c>
      <c r="Z256" t="s">
        <v>53</v>
      </c>
      <c r="AA256" t="s">
        <v>54</v>
      </c>
      <c r="AB256">
        <v>0</v>
      </c>
      <c r="AC256" t="s">
        <v>55</v>
      </c>
      <c r="AD256">
        <v>8</v>
      </c>
      <c r="AE256" t="s">
        <v>56</v>
      </c>
      <c r="AF256">
        <v>100000</v>
      </c>
      <c r="AG256" t="b">
        <v>0</v>
      </c>
      <c r="AH256">
        <v>21</v>
      </c>
      <c r="AI256" t="s">
        <v>306</v>
      </c>
      <c r="AJ256">
        <v>100</v>
      </c>
      <c r="AK256" t="b">
        <v>0</v>
      </c>
      <c r="AL256" s="1">
        <v>100000</v>
      </c>
      <c r="AM256" t="b">
        <v>0</v>
      </c>
      <c r="AN256">
        <v>0</v>
      </c>
      <c r="AO256" t="b">
        <v>0</v>
      </c>
      <c r="AQ256">
        <v>5804440000</v>
      </c>
      <c r="AR256">
        <v>5804440000</v>
      </c>
      <c r="AS256">
        <v>0</v>
      </c>
      <c r="AT256" t="b">
        <v>0</v>
      </c>
      <c r="AU256" t="b">
        <v>1</v>
      </c>
      <c r="AV256" t="b">
        <v>1</v>
      </c>
      <c r="AW256" t="b">
        <v>1</v>
      </c>
      <c r="BC256" t="str">
        <f t="shared" si="3"/>
        <v>Outlier</v>
      </c>
    </row>
    <row r="257" spans="1:55" x14ac:dyDescent="0.2">
      <c r="A257" t="s">
        <v>39</v>
      </c>
      <c r="B257" t="s">
        <v>40</v>
      </c>
      <c r="C257">
        <v>20200101</v>
      </c>
      <c r="D257">
        <v>2020</v>
      </c>
      <c r="E257">
        <v>52</v>
      </c>
      <c r="F257" t="s">
        <v>309</v>
      </c>
      <c r="G257">
        <v>894</v>
      </c>
      <c r="H257" t="s">
        <v>307</v>
      </c>
      <c r="I257" t="s">
        <v>308</v>
      </c>
      <c r="J257" t="s">
        <v>44</v>
      </c>
      <c r="K257" t="s">
        <v>45</v>
      </c>
      <c r="L257">
        <v>0</v>
      </c>
      <c r="M257" t="s">
        <v>46</v>
      </c>
      <c r="N257" t="s">
        <v>47</v>
      </c>
      <c r="O257">
        <v>0</v>
      </c>
      <c r="P257" t="s">
        <v>46</v>
      </c>
      <c r="Q257" t="s">
        <v>47</v>
      </c>
      <c r="R257" t="s">
        <v>48</v>
      </c>
      <c r="S257" t="s">
        <v>49</v>
      </c>
      <c r="T257" t="b">
        <v>1</v>
      </c>
      <c r="U257" t="s">
        <v>50</v>
      </c>
      <c r="V257" t="s">
        <v>51</v>
      </c>
      <c r="W257">
        <v>4</v>
      </c>
      <c r="X257" t="b">
        <v>0</v>
      </c>
      <c r="Y257" t="s">
        <v>52</v>
      </c>
      <c r="Z257" t="s">
        <v>53</v>
      </c>
      <c r="AA257" t="s">
        <v>54</v>
      </c>
      <c r="AB257">
        <v>0</v>
      </c>
      <c r="AC257" t="s">
        <v>55</v>
      </c>
      <c r="AD257">
        <v>-1</v>
      </c>
      <c r="AE257" t="s">
        <v>64</v>
      </c>
      <c r="AF257">
        <v>0</v>
      </c>
      <c r="AG257" t="b">
        <v>0</v>
      </c>
      <c r="AH257">
        <v>-1</v>
      </c>
      <c r="AI257" t="s">
        <v>64</v>
      </c>
      <c r="AJ257">
        <v>0</v>
      </c>
      <c r="AK257" t="b">
        <v>0</v>
      </c>
      <c r="AM257" t="b">
        <v>0</v>
      </c>
      <c r="AN257">
        <v>0</v>
      </c>
      <c r="AO257" t="b">
        <v>0</v>
      </c>
      <c r="AQ257">
        <v>69627676.947999999</v>
      </c>
      <c r="AR257">
        <v>69627676.947999999</v>
      </c>
      <c r="AS257">
        <v>0</v>
      </c>
      <c r="AT257" t="b">
        <v>0</v>
      </c>
      <c r="AU257" t="b">
        <v>1</v>
      </c>
      <c r="AV257" t="b">
        <v>1</v>
      </c>
      <c r="AW257" t="b">
        <v>1</v>
      </c>
      <c r="BC257" t="str">
        <f t="shared" si="3"/>
        <v>Normal</v>
      </c>
    </row>
    <row r="258" spans="1:55" x14ac:dyDescent="0.2">
      <c r="A258" t="s">
        <v>39</v>
      </c>
      <c r="B258" t="s">
        <v>40</v>
      </c>
      <c r="C258">
        <v>20210101</v>
      </c>
      <c r="D258">
        <v>2021</v>
      </c>
      <c r="E258">
        <v>52</v>
      </c>
      <c r="F258" t="s">
        <v>333</v>
      </c>
      <c r="G258">
        <v>20</v>
      </c>
      <c r="H258" t="s">
        <v>42</v>
      </c>
      <c r="I258" t="s">
        <v>43</v>
      </c>
      <c r="J258" t="s">
        <v>44</v>
      </c>
      <c r="K258" t="s">
        <v>45</v>
      </c>
      <c r="L258">
        <v>0</v>
      </c>
      <c r="M258" t="s">
        <v>46</v>
      </c>
      <c r="N258" t="s">
        <v>47</v>
      </c>
      <c r="O258">
        <v>0</v>
      </c>
      <c r="P258" t="s">
        <v>46</v>
      </c>
      <c r="Q258" t="s">
        <v>47</v>
      </c>
      <c r="R258" t="s">
        <v>48</v>
      </c>
      <c r="S258" t="s">
        <v>49</v>
      </c>
      <c r="T258" t="b">
        <v>1</v>
      </c>
      <c r="U258" t="s">
        <v>50</v>
      </c>
      <c r="V258" t="s">
        <v>51</v>
      </c>
      <c r="W258">
        <v>4</v>
      </c>
      <c r="X258" t="b">
        <v>0</v>
      </c>
      <c r="Y258" t="s">
        <v>52</v>
      </c>
      <c r="Z258" t="s">
        <v>53</v>
      </c>
      <c r="AA258" t="s">
        <v>54</v>
      </c>
      <c r="AB258">
        <v>0</v>
      </c>
      <c r="AC258" t="s">
        <v>55</v>
      </c>
      <c r="AD258">
        <v>8</v>
      </c>
      <c r="AE258" t="s">
        <v>56</v>
      </c>
      <c r="AF258">
        <v>129.59</v>
      </c>
      <c r="AG258" t="b">
        <v>0</v>
      </c>
      <c r="AH258">
        <v>8</v>
      </c>
      <c r="AI258" t="s">
        <v>56</v>
      </c>
      <c r="AJ258">
        <v>129.59</v>
      </c>
      <c r="AK258" t="b">
        <v>0</v>
      </c>
      <c r="AL258">
        <v>129.59</v>
      </c>
      <c r="AM258" t="b">
        <v>0</v>
      </c>
      <c r="AN258">
        <v>0</v>
      </c>
      <c r="AO258" t="b">
        <v>0</v>
      </c>
      <c r="AQ258">
        <v>6606804.0329999998</v>
      </c>
      <c r="AR258">
        <v>6606804.0329999998</v>
      </c>
      <c r="AS258">
        <v>0</v>
      </c>
      <c r="AT258" t="b">
        <v>0</v>
      </c>
      <c r="AU258" t="b">
        <v>1</v>
      </c>
      <c r="AV258" t="b">
        <v>1</v>
      </c>
      <c r="AW258" t="b">
        <v>1</v>
      </c>
      <c r="BC258" t="str">
        <f t="shared" si="3"/>
        <v>Normal</v>
      </c>
    </row>
    <row r="259" spans="1:55" x14ac:dyDescent="0.2">
      <c r="A259" t="s">
        <v>39</v>
      </c>
      <c r="B259" t="s">
        <v>40</v>
      </c>
      <c r="C259">
        <v>20210101</v>
      </c>
      <c r="D259">
        <v>2021</v>
      </c>
      <c r="E259">
        <v>52</v>
      </c>
      <c r="F259" t="s">
        <v>333</v>
      </c>
      <c r="G259">
        <v>24</v>
      </c>
      <c r="H259" t="s">
        <v>334</v>
      </c>
      <c r="I259" t="s">
        <v>335</v>
      </c>
      <c r="J259" t="s">
        <v>44</v>
      </c>
      <c r="K259" t="s">
        <v>45</v>
      </c>
      <c r="L259">
        <v>0</v>
      </c>
      <c r="M259" t="s">
        <v>46</v>
      </c>
      <c r="N259" t="s">
        <v>47</v>
      </c>
      <c r="O259">
        <v>0</v>
      </c>
      <c r="P259" t="s">
        <v>46</v>
      </c>
      <c r="Q259" t="s">
        <v>47</v>
      </c>
      <c r="R259" t="s">
        <v>48</v>
      </c>
      <c r="S259" t="s">
        <v>49</v>
      </c>
      <c r="T259" t="b">
        <v>1</v>
      </c>
      <c r="U259" t="s">
        <v>50</v>
      </c>
      <c r="V259" t="s">
        <v>51</v>
      </c>
      <c r="W259">
        <v>4</v>
      </c>
      <c r="X259" t="b">
        <v>0</v>
      </c>
      <c r="Y259" t="s">
        <v>52</v>
      </c>
      <c r="Z259" t="s">
        <v>53</v>
      </c>
      <c r="AA259" t="s">
        <v>54</v>
      </c>
      <c r="AB259">
        <v>0</v>
      </c>
      <c r="AC259" t="s">
        <v>55</v>
      </c>
      <c r="AD259">
        <v>8</v>
      </c>
      <c r="AE259" t="s">
        <v>56</v>
      </c>
      <c r="AF259">
        <v>69.539000000000001</v>
      </c>
      <c r="AG259" t="b">
        <v>0</v>
      </c>
      <c r="AH259">
        <v>8</v>
      </c>
      <c r="AI259" t="s">
        <v>56</v>
      </c>
      <c r="AJ259">
        <v>69.539000000000001</v>
      </c>
      <c r="AK259" t="b">
        <v>0</v>
      </c>
      <c r="AL259">
        <v>69.539000000000001</v>
      </c>
      <c r="AM259" t="b">
        <v>0</v>
      </c>
      <c r="AN259">
        <v>0</v>
      </c>
      <c r="AO259" t="b">
        <v>0</v>
      </c>
      <c r="AQ259">
        <v>3058992.7740000002</v>
      </c>
      <c r="AR259">
        <v>3058992.7740000002</v>
      </c>
      <c r="AS259">
        <v>0</v>
      </c>
      <c r="AT259" t="b">
        <v>0</v>
      </c>
      <c r="AU259" t="b">
        <v>1</v>
      </c>
      <c r="AV259" t="b">
        <v>1</v>
      </c>
      <c r="AW259" t="b">
        <v>1</v>
      </c>
      <c r="BC259" t="str">
        <f t="shared" ref="BC259:BC322" si="4">IF(OR(AL259&lt;$BA$2,AL259&gt;$BB$2),"Outlier","Normal")</f>
        <v>Normal</v>
      </c>
    </row>
    <row r="260" spans="1:55" x14ac:dyDescent="0.2">
      <c r="A260" t="s">
        <v>39</v>
      </c>
      <c r="B260" t="s">
        <v>40</v>
      </c>
      <c r="C260">
        <v>20210101</v>
      </c>
      <c r="D260">
        <v>2021</v>
      </c>
      <c r="E260">
        <v>52</v>
      </c>
      <c r="F260" t="s">
        <v>333</v>
      </c>
      <c r="G260">
        <v>31</v>
      </c>
      <c r="H260" t="s">
        <v>57</v>
      </c>
      <c r="I260" t="s">
        <v>58</v>
      </c>
      <c r="J260" t="s">
        <v>44</v>
      </c>
      <c r="K260" t="s">
        <v>45</v>
      </c>
      <c r="L260">
        <v>0</v>
      </c>
      <c r="M260" t="s">
        <v>46</v>
      </c>
      <c r="N260" t="s">
        <v>47</v>
      </c>
      <c r="O260">
        <v>0</v>
      </c>
      <c r="P260" t="s">
        <v>46</v>
      </c>
      <c r="Q260" t="s">
        <v>47</v>
      </c>
      <c r="R260" t="s">
        <v>48</v>
      </c>
      <c r="S260" t="s">
        <v>49</v>
      </c>
      <c r="T260" t="b">
        <v>1</v>
      </c>
      <c r="U260" t="s">
        <v>50</v>
      </c>
      <c r="V260" t="s">
        <v>51</v>
      </c>
      <c r="W260">
        <v>4</v>
      </c>
      <c r="X260" t="b">
        <v>0</v>
      </c>
      <c r="Y260" t="s">
        <v>52</v>
      </c>
      <c r="Z260" t="s">
        <v>53</v>
      </c>
      <c r="AA260" t="s">
        <v>54</v>
      </c>
      <c r="AB260">
        <v>0</v>
      </c>
      <c r="AC260" t="s">
        <v>55</v>
      </c>
      <c r="AD260">
        <v>8</v>
      </c>
      <c r="AE260" t="s">
        <v>56</v>
      </c>
      <c r="AF260">
        <v>6083.6</v>
      </c>
      <c r="AG260" t="b">
        <v>0</v>
      </c>
      <c r="AH260">
        <v>15</v>
      </c>
      <c r="AI260" t="s">
        <v>59</v>
      </c>
      <c r="AJ260">
        <v>6083600</v>
      </c>
      <c r="AK260" t="b">
        <v>0</v>
      </c>
      <c r="AL260">
        <v>6083.6</v>
      </c>
      <c r="AM260" t="b">
        <v>0</v>
      </c>
      <c r="AN260">
        <v>0</v>
      </c>
      <c r="AO260" t="b">
        <v>0</v>
      </c>
      <c r="AQ260">
        <v>202642257</v>
      </c>
      <c r="AR260">
        <v>202642257</v>
      </c>
      <c r="AS260">
        <v>0</v>
      </c>
      <c r="AT260" t="b">
        <v>0</v>
      </c>
      <c r="AU260" t="b">
        <v>1</v>
      </c>
      <c r="AV260" t="b">
        <v>1</v>
      </c>
      <c r="AW260" t="b">
        <v>1</v>
      </c>
      <c r="BC260" t="str">
        <f t="shared" si="4"/>
        <v>Normal</v>
      </c>
    </row>
    <row r="261" spans="1:55" x14ac:dyDescent="0.2">
      <c r="A261" t="s">
        <v>39</v>
      </c>
      <c r="B261" t="s">
        <v>40</v>
      </c>
      <c r="C261">
        <v>20210101</v>
      </c>
      <c r="D261">
        <v>2021</v>
      </c>
      <c r="E261">
        <v>52</v>
      </c>
      <c r="F261" t="s">
        <v>333</v>
      </c>
      <c r="G261">
        <v>32</v>
      </c>
      <c r="H261" t="s">
        <v>60</v>
      </c>
      <c r="I261" t="s">
        <v>61</v>
      </c>
      <c r="J261" t="s">
        <v>44</v>
      </c>
      <c r="K261" t="s">
        <v>45</v>
      </c>
      <c r="L261">
        <v>0</v>
      </c>
      <c r="M261" t="s">
        <v>46</v>
      </c>
      <c r="N261" t="s">
        <v>47</v>
      </c>
      <c r="O261">
        <v>0</v>
      </c>
      <c r="P261" t="s">
        <v>46</v>
      </c>
      <c r="Q261" t="s">
        <v>47</v>
      </c>
      <c r="R261" t="s">
        <v>48</v>
      </c>
      <c r="S261" t="s">
        <v>49</v>
      </c>
      <c r="T261" t="b">
        <v>1</v>
      </c>
      <c r="U261" t="s">
        <v>50</v>
      </c>
      <c r="V261" t="s">
        <v>51</v>
      </c>
      <c r="W261">
        <v>4</v>
      </c>
      <c r="X261" t="b">
        <v>0</v>
      </c>
      <c r="Y261" t="s">
        <v>52</v>
      </c>
      <c r="Z261" t="s">
        <v>53</v>
      </c>
      <c r="AA261" t="s">
        <v>54</v>
      </c>
      <c r="AB261">
        <v>0</v>
      </c>
      <c r="AC261" t="s">
        <v>55</v>
      </c>
      <c r="AD261">
        <v>8</v>
      </c>
      <c r="AE261" t="s">
        <v>56</v>
      </c>
      <c r="AF261">
        <v>123389.8</v>
      </c>
      <c r="AG261" t="b">
        <v>0</v>
      </c>
      <c r="AH261">
        <v>8</v>
      </c>
      <c r="AI261" t="s">
        <v>56</v>
      </c>
      <c r="AJ261">
        <v>123389.8</v>
      </c>
      <c r="AK261" t="b">
        <v>0</v>
      </c>
      <c r="AL261" s="1">
        <v>123389.8</v>
      </c>
      <c r="AM261" t="b">
        <v>0</v>
      </c>
      <c r="AN261">
        <v>0</v>
      </c>
      <c r="AO261" t="b">
        <v>0</v>
      </c>
      <c r="AP261">
        <v>0</v>
      </c>
      <c r="AQ261">
        <v>696342895.25</v>
      </c>
      <c r="AR261">
        <v>696342895.25</v>
      </c>
      <c r="AS261">
        <v>0</v>
      </c>
      <c r="AT261" t="b">
        <v>0</v>
      </c>
      <c r="AU261" t="b">
        <v>1</v>
      </c>
      <c r="AV261" t="b">
        <v>1</v>
      </c>
      <c r="AW261" t="b">
        <v>1</v>
      </c>
      <c r="BC261" t="str">
        <f t="shared" si="4"/>
        <v>Outlier</v>
      </c>
    </row>
    <row r="262" spans="1:55" x14ac:dyDescent="0.2">
      <c r="A262" t="s">
        <v>39</v>
      </c>
      <c r="B262" t="s">
        <v>40</v>
      </c>
      <c r="C262">
        <v>20210101</v>
      </c>
      <c r="D262">
        <v>2021</v>
      </c>
      <c r="E262">
        <v>52</v>
      </c>
      <c r="F262" t="s">
        <v>333</v>
      </c>
      <c r="G262">
        <v>36</v>
      </c>
      <c r="H262" t="s">
        <v>62</v>
      </c>
      <c r="I262" t="s">
        <v>63</v>
      </c>
      <c r="J262" t="s">
        <v>44</v>
      </c>
      <c r="K262" t="s">
        <v>45</v>
      </c>
      <c r="L262">
        <v>0</v>
      </c>
      <c r="M262" t="s">
        <v>46</v>
      </c>
      <c r="N262" t="s">
        <v>47</v>
      </c>
      <c r="O262">
        <v>0</v>
      </c>
      <c r="P262" t="s">
        <v>46</v>
      </c>
      <c r="Q262" t="s">
        <v>47</v>
      </c>
      <c r="R262" t="s">
        <v>48</v>
      </c>
      <c r="S262" t="s">
        <v>49</v>
      </c>
      <c r="T262" t="b">
        <v>1</v>
      </c>
      <c r="U262" t="s">
        <v>50</v>
      </c>
      <c r="V262" t="s">
        <v>51</v>
      </c>
      <c r="W262">
        <v>4</v>
      </c>
      <c r="X262" t="b">
        <v>0</v>
      </c>
      <c r="Y262" t="s">
        <v>52</v>
      </c>
      <c r="Z262" t="s">
        <v>53</v>
      </c>
      <c r="AA262" t="s">
        <v>54</v>
      </c>
      <c r="AB262">
        <v>0</v>
      </c>
      <c r="AC262" t="s">
        <v>55</v>
      </c>
      <c r="AD262">
        <v>8</v>
      </c>
      <c r="AE262" t="s">
        <v>56</v>
      </c>
      <c r="AF262">
        <v>304633.652</v>
      </c>
      <c r="AG262" t="b">
        <v>1</v>
      </c>
      <c r="AH262">
        <v>-1</v>
      </c>
      <c r="AI262" t="s">
        <v>64</v>
      </c>
      <c r="AJ262">
        <v>0</v>
      </c>
      <c r="AK262" t="b">
        <v>0</v>
      </c>
      <c r="AL262" s="1">
        <v>304633.652</v>
      </c>
      <c r="AM262" t="b">
        <v>1</v>
      </c>
      <c r="AN262">
        <v>327639.41899999999</v>
      </c>
      <c r="AO262" t="b">
        <v>0</v>
      </c>
      <c r="AQ262">
        <v>17480926519.221001</v>
      </c>
      <c r="AR262">
        <v>17480926519.221001</v>
      </c>
      <c r="AS262">
        <v>6</v>
      </c>
      <c r="AT262" t="b">
        <v>0</v>
      </c>
      <c r="AU262" t="b">
        <v>1</v>
      </c>
      <c r="AV262" t="b">
        <v>1</v>
      </c>
      <c r="AW262" t="b">
        <v>1</v>
      </c>
      <c r="BC262" t="str">
        <f t="shared" si="4"/>
        <v>Outlier</v>
      </c>
    </row>
    <row r="263" spans="1:55" x14ac:dyDescent="0.2">
      <c r="A263" t="s">
        <v>39</v>
      </c>
      <c r="B263" t="s">
        <v>40</v>
      </c>
      <c r="C263">
        <v>20210101</v>
      </c>
      <c r="D263">
        <v>2021</v>
      </c>
      <c r="E263">
        <v>52</v>
      </c>
      <c r="F263" t="s">
        <v>333</v>
      </c>
      <c r="G263">
        <v>40</v>
      </c>
      <c r="H263" t="s">
        <v>65</v>
      </c>
      <c r="I263" t="s">
        <v>66</v>
      </c>
      <c r="J263" t="s">
        <v>44</v>
      </c>
      <c r="K263" t="s">
        <v>45</v>
      </c>
      <c r="L263">
        <v>0</v>
      </c>
      <c r="M263" t="s">
        <v>46</v>
      </c>
      <c r="N263" t="s">
        <v>47</v>
      </c>
      <c r="O263">
        <v>0</v>
      </c>
      <c r="P263" t="s">
        <v>46</v>
      </c>
      <c r="Q263" t="s">
        <v>47</v>
      </c>
      <c r="R263" t="s">
        <v>48</v>
      </c>
      <c r="S263" t="s">
        <v>49</v>
      </c>
      <c r="T263" t="b">
        <v>1</v>
      </c>
      <c r="U263" t="s">
        <v>50</v>
      </c>
      <c r="V263" t="s">
        <v>51</v>
      </c>
      <c r="W263">
        <v>4</v>
      </c>
      <c r="X263" t="b">
        <v>0</v>
      </c>
      <c r="Y263" t="s">
        <v>52</v>
      </c>
      <c r="Z263" t="s">
        <v>53</v>
      </c>
      <c r="AA263" t="s">
        <v>54</v>
      </c>
      <c r="AB263">
        <v>0</v>
      </c>
      <c r="AC263" t="s">
        <v>55</v>
      </c>
      <c r="AD263">
        <v>8</v>
      </c>
      <c r="AE263" t="s">
        <v>56</v>
      </c>
      <c r="AF263">
        <v>34081.228999999999</v>
      </c>
      <c r="AG263" t="b">
        <v>1</v>
      </c>
      <c r="AH263">
        <v>-1</v>
      </c>
      <c r="AI263" t="s">
        <v>64</v>
      </c>
      <c r="AJ263">
        <v>0</v>
      </c>
      <c r="AK263" t="b">
        <v>0</v>
      </c>
      <c r="AL263">
        <v>34081.228999999999</v>
      </c>
      <c r="AM263" t="b">
        <v>1</v>
      </c>
      <c r="AN263">
        <v>0</v>
      </c>
      <c r="AO263" t="b">
        <v>0</v>
      </c>
      <c r="AQ263">
        <v>2109027833.3840001</v>
      </c>
      <c r="AR263">
        <v>2109027833.3840001</v>
      </c>
      <c r="AS263">
        <v>6</v>
      </c>
      <c r="AT263" t="b">
        <v>0</v>
      </c>
      <c r="AU263" t="b">
        <v>1</v>
      </c>
      <c r="AV263" t="b">
        <v>1</v>
      </c>
      <c r="AW263" t="b">
        <v>1</v>
      </c>
      <c r="BC263" t="str">
        <f t="shared" si="4"/>
        <v>Normal</v>
      </c>
    </row>
    <row r="264" spans="1:55" x14ac:dyDescent="0.2">
      <c r="A264" t="s">
        <v>39</v>
      </c>
      <c r="B264" t="s">
        <v>40</v>
      </c>
      <c r="C264">
        <v>20210101</v>
      </c>
      <c r="D264">
        <v>2021</v>
      </c>
      <c r="E264">
        <v>52</v>
      </c>
      <c r="F264" t="s">
        <v>333</v>
      </c>
      <c r="G264">
        <v>48</v>
      </c>
      <c r="H264" t="s">
        <v>67</v>
      </c>
      <c r="I264" t="s">
        <v>68</v>
      </c>
      <c r="J264" t="s">
        <v>44</v>
      </c>
      <c r="K264" t="s">
        <v>45</v>
      </c>
      <c r="L264">
        <v>0</v>
      </c>
      <c r="M264" t="s">
        <v>46</v>
      </c>
      <c r="N264" t="s">
        <v>47</v>
      </c>
      <c r="O264">
        <v>0</v>
      </c>
      <c r="P264" t="s">
        <v>46</v>
      </c>
      <c r="Q264" t="s">
        <v>47</v>
      </c>
      <c r="R264" t="s">
        <v>48</v>
      </c>
      <c r="S264" t="s">
        <v>49</v>
      </c>
      <c r="T264" t="b">
        <v>1</v>
      </c>
      <c r="U264" t="s">
        <v>50</v>
      </c>
      <c r="V264" t="s">
        <v>51</v>
      </c>
      <c r="W264">
        <v>4</v>
      </c>
      <c r="X264" t="b">
        <v>0</v>
      </c>
      <c r="Y264" t="s">
        <v>52</v>
      </c>
      <c r="Z264" t="s">
        <v>53</v>
      </c>
      <c r="AA264" t="s">
        <v>54</v>
      </c>
      <c r="AB264">
        <v>0</v>
      </c>
      <c r="AC264" t="s">
        <v>55</v>
      </c>
      <c r="AD264">
        <v>8</v>
      </c>
      <c r="AE264" t="s">
        <v>56</v>
      </c>
      <c r="AF264">
        <v>3528.5940000000001</v>
      </c>
      <c r="AG264" t="b">
        <v>0</v>
      </c>
      <c r="AH264">
        <v>15</v>
      </c>
      <c r="AI264" t="s">
        <v>59</v>
      </c>
      <c r="AJ264">
        <v>3528594.1</v>
      </c>
      <c r="AK264" t="b">
        <v>0</v>
      </c>
      <c r="AL264">
        <v>3528.82</v>
      </c>
      <c r="AM264" t="b">
        <v>0</v>
      </c>
      <c r="AN264">
        <v>0</v>
      </c>
      <c r="AO264" t="b">
        <v>0</v>
      </c>
      <c r="AQ264">
        <v>201421612.97799999</v>
      </c>
      <c r="AR264">
        <v>201421612.97799999</v>
      </c>
      <c r="AS264">
        <v>0</v>
      </c>
      <c r="AT264" t="b">
        <v>0</v>
      </c>
      <c r="AU264" t="b">
        <v>1</v>
      </c>
      <c r="AV264" t="b">
        <v>1</v>
      </c>
      <c r="AW264" t="b">
        <v>1</v>
      </c>
      <c r="BC264" t="str">
        <f t="shared" si="4"/>
        <v>Normal</v>
      </c>
    </row>
    <row r="265" spans="1:55" x14ac:dyDescent="0.2">
      <c r="A265" t="s">
        <v>39</v>
      </c>
      <c r="B265" t="s">
        <v>40</v>
      </c>
      <c r="C265">
        <v>20210101</v>
      </c>
      <c r="D265">
        <v>2021</v>
      </c>
      <c r="E265">
        <v>52</v>
      </c>
      <c r="F265" t="s">
        <v>333</v>
      </c>
      <c r="G265">
        <v>51</v>
      </c>
      <c r="H265" t="s">
        <v>69</v>
      </c>
      <c r="I265" t="s">
        <v>70</v>
      </c>
      <c r="J265" t="s">
        <v>44</v>
      </c>
      <c r="K265" t="s">
        <v>45</v>
      </c>
      <c r="L265">
        <v>0</v>
      </c>
      <c r="M265" t="s">
        <v>46</v>
      </c>
      <c r="N265" t="s">
        <v>47</v>
      </c>
      <c r="O265">
        <v>0</v>
      </c>
      <c r="P265" t="s">
        <v>46</v>
      </c>
      <c r="Q265" t="s">
        <v>47</v>
      </c>
      <c r="R265" t="s">
        <v>48</v>
      </c>
      <c r="S265" t="s">
        <v>49</v>
      </c>
      <c r="T265" t="b">
        <v>1</v>
      </c>
      <c r="U265" t="s">
        <v>50</v>
      </c>
      <c r="V265" t="s">
        <v>51</v>
      </c>
      <c r="W265">
        <v>4</v>
      </c>
      <c r="X265" t="b">
        <v>0</v>
      </c>
      <c r="Y265" t="s">
        <v>52</v>
      </c>
      <c r="Z265" t="s">
        <v>53</v>
      </c>
      <c r="AA265" t="s">
        <v>54</v>
      </c>
      <c r="AB265">
        <v>0</v>
      </c>
      <c r="AC265" t="s">
        <v>55</v>
      </c>
      <c r="AD265">
        <v>8</v>
      </c>
      <c r="AE265" t="s">
        <v>56</v>
      </c>
      <c r="AF265">
        <v>3776.2620000000002</v>
      </c>
      <c r="AG265" t="b">
        <v>0</v>
      </c>
      <c r="AH265">
        <v>15</v>
      </c>
      <c r="AI265" t="s">
        <v>59</v>
      </c>
      <c r="AJ265">
        <v>3776262.22</v>
      </c>
      <c r="AK265" t="b">
        <v>0</v>
      </c>
      <c r="AL265">
        <v>3776.26</v>
      </c>
      <c r="AM265" t="b">
        <v>0</v>
      </c>
      <c r="AN265">
        <v>0</v>
      </c>
      <c r="AO265" t="b">
        <v>0</v>
      </c>
      <c r="AP265">
        <v>0</v>
      </c>
      <c r="AQ265">
        <v>133804489.66</v>
      </c>
      <c r="AR265">
        <v>133804489.66</v>
      </c>
      <c r="AS265">
        <v>0</v>
      </c>
      <c r="AT265" t="b">
        <v>0</v>
      </c>
      <c r="AU265" t="b">
        <v>1</v>
      </c>
      <c r="AV265" t="b">
        <v>1</v>
      </c>
      <c r="AW265" t="b">
        <v>1</v>
      </c>
      <c r="BC265" t="str">
        <f t="shared" si="4"/>
        <v>Normal</v>
      </c>
    </row>
    <row r="266" spans="1:55" x14ac:dyDescent="0.2">
      <c r="A266" t="s">
        <v>39</v>
      </c>
      <c r="B266" t="s">
        <v>40</v>
      </c>
      <c r="C266">
        <v>20210101</v>
      </c>
      <c r="D266">
        <v>2021</v>
      </c>
      <c r="E266">
        <v>52</v>
      </c>
      <c r="F266" t="s">
        <v>333</v>
      </c>
      <c r="G266">
        <v>52</v>
      </c>
      <c r="H266" t="s">
        <v>71</v>
      </c>
      <c r="I266" t="s">
        <v>72</v>
      </c>
      <c r="J266" t="s">
        <v>44</v>
      </c>
      <c r="K266" t="s">
        <v>45</v>
      </c>
      <c r="L266">
        <v>0</v>
      </c>
      <c r="M266" t="s">
        <v>46</v>
      </c>
      <c r="N266" t="s">
        <v>47</v>
      </c>
      <c r="O266">
        <v>0</v>
      </c>
      <c r="P266" t="s">
        <v>46</v>
      </c>
      <c r="Q266" t="s">
        <v>47</v>
      </c>
      <c r="R266" t="s">
        <v>48</v>
      </c>
      <c r="S266" t="s">
        <v>49</v>
      </c>
      <c r="T266" t="b">
        <v>1</v>
      </c>
      <c r="U266" t="s">
        <v>50</v>
      </c>
      <c r="V266" t="s">
        <v>51</v>
      </c>
      <c r="W266">
        <v>4</v>
      </c>
      <c r="X266" t="b">
        <v>0</v>
      </c>
      <c r="Y266" t="s">
        <v>52</v>
      </c>
      <c r="Z266" t="s">
        <v>53</v>
      </c>
      <c r="AA266" t="s">
        <v>54</v>
      </c>
      <c r="AB266">
        <v>0</v>
      </c>
      <c r="AC266" t="s">
        <v>55</v>
      </c>
      <c r="AD266">
        <v>8</v>
      </c>
      <c r="AE266" t="s">
        <v>56</v>
      </c>
      <c r="AF266">
        <v>26</v>
      </c>
      <c r="AG266" t="b">
        <v>0</v>
      </c>
      <c r="AH266">
        <v>8</v>
      </c>
      <c r="AI266" t="s">
        <v>56</v>
      </c>
      <c r="AJ266">
        <v>26</v>
      </c>
      <c r="AK266" t="b">
        <v>0</v>
      </c>
      <c r="AL266">
        <v>26</v>
      </c>
      <c r="AM266" t="b">
        <v>0</v>
      </c>
      <c r="AN266">
        <v>0</v>
      </c>
      <c r="AO266" t="b">
        <v>0</v>
      </c>
      <c r="AP266">
        <v>0</v>
      </c>
      <c r="AQ266">
        <v>739008.5</v>
      </c>
      <c r="AR266">
        <v>739008.5</v>
      </c>
      <c r="AS266">
        <v>0</v>
      </c>
      <c r="AT266" t="b">
        <v>0</v>
      </c>
      <c r="AU266" t="b">
        <v>1</v>
      </c>
      <c r="AV266" t="b">
        <v>1</v>
      </c>
      <c r="AW266" t="b">
        <v>1</v>
      </c>
      <c r="BC266" t="str">
        <f t="shared" si="4"/>
        <v>Normal</v>
      </c>
    </row>
    <row r="267" spans="1:55" x14ac:dyDescent="0.2">
      <c r="A267" t="s">
        <v>39</v>
      </c>
      <c r="B267" t="s">
        <v>40</v>
      </c>
      <c r="C267">
        <v>20210101</v>
      </c>
      <c r="D267">
        <v>2021</v>
      </c>
      <c r="E267">
        <v>52</v>
      </c>
      <c r="F267" t="s">
        <v>333</v>
      </c>
      <c r="G267">
        <v>56</v>
      </c>
      <c r="H267" t="s">
        <v>73</v>
      </c>
      <c r="I267" t="s">
        <v>74</v>
      </c>
      <c r="J267" t="s">
        <v>44</v>
      </c>
      <c r="K267" t="s">
        <v>45</v>
      </c>
      <c r="L267">
        <v>0</v>
      </c>
      <c r="M267" t="s">
        <v>46</v>
      </c>
      <c r="N267" t="s">
        <v>47</v>
      </c>
      <c r="O267">
        <v>0</v>
      </c>
      <c r="P267" t="s">
        <v>46</v>
      </c>
      <c r="Q267" t="s">
        <v>47</v>
      </c>
      <c r="R267" t="s">
        <v>48</v>
      </c>
      <c r="S267" t="s">
        <v>49</v>
      </c>
      <c r="T267" t="b">
        <v>1</v>
      </c>
      <c r="U267" t="s">
        <v>50</v>
      </c>
      <c r="V267" t="s">
        <v>51</v>
      </c>
      <c r="W267">
        <v>4</v>
      </c>
      <c r="X267" t="b">
        <v>0</v>
      </c>
      <c r="Y267" t="s">
        <v>52</v>
      </c>
      <c r="Z267" t="s">
        <v>53</v>
      </c>
      <c r="AA267" t="s">
        <v>54</v>
      </c>
      <c r="AB267">
        <v>0</v>
      </c>
      <c r="AC267" t="s">
        <v>55</v>
      </c>
      <c r="AD267">
        <v>-1</v>
      </c>
      <c r="AE267" t="s">
        <v>64</v>
      </c>
      <c r="AF267">
        <v>0</v>
      </c>
      <c r="AG267" t="b">
        <v>0</v>
      </c>
      <c r="AH267">
        <v>-1</v>
      </c>
      <c r="AI267" t="s">
        <v>64</v>
      </c>
      <c r="AJ267">
        <v>0</v>
      </c>
      <c r="AK267" t="b">
        <v>0</v>
      </c>
      <c r="AM267" t="b">
        <v>0</v>
      </c>
      <c r="AN267">
        <v>0</v>
      </c>
      <c r="AO267" t="b">
        <v>0</v>
      </c>
      <c r="AQ267">
        <v>1191986496.52</v>
      </c>
      <c r="AR267">
        <v>1191986496.52</v>
      </c>
      <c r="AS267">
        <v>0</v>
      </c>
      <c r="AT267" t="b">
        <v>0</v>
      </c>
      <c r="AU267" t="b">
        <v>1</v>
      </c>
      <c r="AV267" t="b">
        <v>1</v>
      </c>
      <c r="AW267" t="b">
        <v>1</v>
      </c>
      <c r="BC267" t="str">
        <f t="shared" si="4"/>
        <v>Normal</v>
      </c>
    </row>
    <row r="268" spans="1:55" x14ac:dyDescent="0.2">
      <c r="A268" t="s">
        <v>39</v>
      </c>
      <c r="B268" t="s">
        <v>40</v>
      </c>
      <c r="C268">
        <v>20210101</v>
      </c>
      <c r="D268">
        <v>2021</v>
      </c>
      <c r="E268">
        <v>52</v>
      </c>
      <c r="F268" t="s">
        <v>333</v>
      </c>
      <c r="G268">
        <v>68</v>
      </c>
      <c r="H268" t="s">
        <v>75</v>
      </c>
      <c r="I268" t="s">
        <v>76</v>
      </c>
      <c r="J268" t="s">
        <v>44</v>
      </c>
      <c r="K268" t="s">
        <v>45</v>
      </c>
      <c r="L268">
        <v>0</v>
      </c>
      <c r="M268" t="s">
        <v>46</v>
      </c>
      <c r="N268" t="s">
        <v>47</v>
      </c>
      <c r="O268">
        <v>0</v>
      </c>
      <c r="P268" t="s">
        <v>46</v>
      </c>
      <c r="Q268" t="s">
        <v>47</v>
      </c>
      <c r="R268" t="s">
        <v>48</v>
      </c>
      <c r="S268" t="s">
        <v>49</v>
      </c>
      <c r="T268" t="b">
        <v>1</v>
      </c>
      <c r="U268" t="s">
        <v>50</v>
      </c>
      <c r="V268" t="s">
        <v>51</v>
      </c>
      <c r="W268">
        <v>4</v>
      </c>
      <c r="X268" t="b">
        <v>0</v>
      </c>
      <c r="Y268" t="s">
        <v>52</v>
      </c>
      <c r="Z268" t="s">
        <v>53</v>
      </c>
      <c r="AA268" t="s">
        <v>54</v>
      </c>
      <c r="AB268">
        <v>0</v>
      </c>
      <c r="AC268" t="s">
        <v>55</v>
      </c>
      <c r="AD268">
        <v>8</v>
      </c>
      <c r="AE268" t="s">
        <v>56</v>
      </c>
      <c r="AF268">
        <v>47624.79</v>
      </c>
      <c r="AG268" t="b">
        <v>0</v>
      </c>
      <c r="AH268">
        <v>8</v>
      </c>
      <c r="AI268" t="s">
        <v>56</v>
      </c>
      <c r="AJ268">
        <v>47624.79</v>
      </c>
      <c r="AK268" t="b">
        <v>0</v>
      </c>
      <c r="AL268">
        <v>44404.75</v>
      </c>
      <c r="AM268" t="b">
        <v>0</v>
      </c>
      <c r="AN268">
        <v>0</v>
      </c>
      <c r="AO268" t="b">
        <v>0</v>
      </c>
      <c r="AP268">
        <v>0</v>
      </c>
      <c r="AQ268">
        <v>2553836769.6700001</v>
      </c>
      <c r="AR268">
        <v>2553836769.6700001</v>
      </c>
      <c r="AS268">
        <v>0</v>
      </c>
      <c r="AT268" t="b">
        <v>0</v>
      </c>
      <c r="AU268" t="b">
        <v>1</v>
      </c>
      <c r="AV268" t="b">
        <v>1</v>
      </c>
      <c r="AW268" t="b">
        <v>1</v>
      </c>
      <c r="BC268" t="str">
        <f t="shared" si="4"/>
        <v>Normal</v>
      </c>
    </row>
    <row r="269" spans="1:55" x14ac:dyDescent="0.2">
      <c r="A269" t="s">
        <v>39</v>
      </c>
      <c r="B269" t="s">
        <v>40</v>
      </c>
      <c r="C269">
        <v>20210101</v>
      </c>
      <c r="D269">
        <v>2021</v>
      </c>
      <c r="E269">
        <v>52</v>
      </c>
      <c r="F269" t="s">
        <v>333</v>
      </c>
      <c r="G269">
        <v>70</v>
      </c>
      <c r="H269" t="s">
        <v>77</v>
      </c>
      <c r="I269" t="s">
        <v>78</v>
      </c>
      <c r="J269" t="s">
        <v>44</v>
      </c>
      <c r="K269" t="s">
        <v>45</v>
      </c>
      <c r="L269">
        <v>0</v>
      </c>
      <c r="M269" t="s">
        <v>46</v>
      </c>
      <c r="N269" t="s">
        <v>47</v>
      </c>
      <c r="O269">
        <v>0</v>
      </c>
      <c r="P269" t="s">
        <v>46</v>
      </c>
      <c r="Q269" t="s">
        <v>47</v>
      </c>
      <c r="R269" t="s">
        <v>48</v>
      </c>
      <c r="S269" t="s">
        <v>49</v>
      </c>
      <c r="T269" t="b">
        <v>1</v>
      </c>
      <c r="U269" t="s">
        <v>50</v>
      </c>
      <c r="V269" t="s">
        <v>51</v>
      </c>
      <c r="W269">
        <v>4</v>
      </c>
      <c r="X269" t="b">
        <v>0</v>
      </c>
      <c r="Y269" t="s">
        <v>52</v>
      </c>
      <c r="Z269" t="s">
        <v>53</v>
      </c>
      <c r="AA269" t="s">
        <v>54</v>
      </c>
      <c r="AB269">
        <v>0</v>
      </c>
      <c r="AC269" t="s">
        <v>55</v>
      </c>
      <c r="AD269">
        <v>8</v>
      </c>
      <c r="AE269" t="s">
        <v>56</v>
      </c>
      <c r="AF269">
        <v>17.274999999999999</v>
      </c>
      <c r="AG269" t="b">
        <v>1</v>
      </c>
      <c r="AH269">
        <v>-1</v>
      </c>
      <c r="AI269" t="s">
        <v>64</v>
      </c>
      <c r="AJ269">
        <v>0</v>
      </c>
      <c r="AK269" t="b">
        <v>0</v>
      </c>
      <c r="AL269">
        <v>17.274999999999999</v>
      </c>
      <c r="AM269" t="b">
        <v>1</v>
      </c>
      <c r="AN269">
        <v>0</v>
      </c>
      <c r="AO269" t="b">
        <v>0</v>
      </c>
      <c r="AP269">
        <v>0</v>
      </c>
      <c r="AQ269">
        <v>567702.22</v>
      </c>
      <c r="AR269">
        <v>567702.22</v>
      </c>
      <c r="AS269">
        <v>6</v>
      </c>
      <c r="AT269" t="b">
        <v>0</v>
      </c>
      <c r="AU269" t="b">
        <v>1</v>
      </c>
      <c r="AV269" t="b">
        <v>1</v>
      </c>
      <c r="AW269" t="b">
        <v>1</v>
      </c>
      <c r="BC269" t="str">
        <f t="shared" si="4"/>
        <v>Normal</v>
      </c>
    </row>
    <row r="270" spans="1:55" x14ac:dyDescent="0.2">
      <c r="A270" t="s">
        <v>39</v>
      </c>
      <c r="B270" t="s">
        <v>40</v>
      </c>
      <c r="C270">
        <v>20210101</v>
      </c>
      <c r="D270">
        <v>2021</v>
      </c>
      <c r="E270">
        <v>52</v>
      </c>
      <c r="F270" t="s">
        <v>333</v>
      </c>
      <c r="G270">
        <v>72</v>
      </c>
      <c r="H270" t="s">
        <v>79</v>
      </c>
      <c r="I270" t="s">
        <v>80</v>
      </c>
      <c r="J270" t="s">
        <v>44</v>
      </c>
      <c r="K270" t="s">
        <v>45</v>
      </c>
      <c r="L270">
        <v>0</v>
      </c>
      <c r="M270" t="s">
        <v>46</v>
      </c>
      <c r="N270" t="s">
        <v>47</v>
      </c>
      <c r="O270">
        <v>0</v>
      </c>
      <c r="P270" t="s">
        <v>46</v>
      </c>
      <c r="Q270" t="s">
        <v>47</v>
      </c>
      <c r="R270" t="s">
        <v>48</v>
      </c>
      <c r="S270" t="s">
        <v>49</v>
      </c>
      <c r="T270" t="b">
        <v>1</v>
      </c>
      <c r="U270" t="s">
        <v>50</v>
      </c>
      <c r="V270" t="s">
        <v>51</v>
      </c>
      <c r="W270">
        <v>4</v>
      </c>
      <c r="X270" t="b">
        <v>0</v>
      </c>
      <c r="Y270" t="s">
        <v>52</v>
      </c>
      <c r="Z270" t="s">
        <v>53</v>
      </c>
      <c r="AA270" t="s">
        <v>54</v>
      </c>
      <c r="AB270">
        <v>0</v>
      </c>
      <c r="AC270" t="s">
        <v>55</v>
      </c>
      <c r="AD270">
        <v>8</v>
      </c>
      <c r="AE270" t="s">
        <v>56</v>
      </c>
      <c r="AF270">
        <v>812.04100000000005</v>
      </c>
      <c r="AG270" t="b">
        <v>1</v>
      </c>
      <c r="AH270">
        <v>-1</v>
      </c>
      <c r="AI270" t="s">
        <v>64</v>
      </c>
      <c r="AJ270">
        <v>0</v>
      </c>
      <c r="AK270" t="b">
        <v>0</v>
      </c>
      <c r="AL270">
        <v>669.28899999999999</v>
      </c>
      <c r="AM270" t="b">
        <v>1</v>
      </c>
      <c r="AN270">
        <v>0</v>
      </c>
      <c r="AO270" t="b">
        <v>0</v>
      </c>
      <c r="AQ270">
        <v>35354438.314999998</v>
      </c>
      <c r="AR270">
        <v>35354438.314999998</v>
      </c>
      <c r="AS270">
        <v>6</v>
      </c>
      <c r="AT270" t="b">
        <v>0</v>
      </c>
      <c r="AU270" t="b">
        <v>1</v>
      </c>
      <c r="AV270" t="b">
        <v>1</v>
      </c>
      <c r="AW270" t="b">
        <v>1</v>
      </c>
      <c r="BC270" t="str">
        <f t="shared" si="4"/>
        <v>Normal</v>
      </c>
    </row>
    <row r="271" spans="1:55" x14ac:dyDescent="0.2">
      <c r="A271" t="s">
        <v>39</v>
      </c>
      <c r="B271" t="s">
        <v>40</v>
      </c>
      <c r="C271">
        <v>20210101</v>
      </c>
      <c r="D271">
        <v>2021</v>
      </c>
      <c r="E271">
        <v>52</v>
      </c>
      <c r="F271" t="s">
        <v>333</v>
      </c>
      <c r="G271">
        <v>76</v>
      </c>
      <c r="H271" t="s">
        <v>81</v>
      </c>
      <c r="I271" t="s">
        <v>82</v>
      </c>
      <c r="J271" t="s">
        <v>44</v>
      </c>
      <c r="K271" t="s">
        <v>45</v>
      </c>
      <c r="L271">
        <v>0</v>
      </c>
      <c r="M271" t="s">
        <v>46</v>
      </c>
      <c r="N271" t="s">
        <v>47</v>
      </c>
      <c r="O271">
        <v>0</v>
      </c>
      <c r="P271" t="s">
        <v>46</v>
      </c>
      <c r="Q271" t="s">
        <v>47</v>
      </c>
      <c r="R271" t="s">
        <v>48</v>
      </c>
      <c r="S271" t="s">
        <v>49</v>
      </c>
      <c r="T271" t="b">
        <v>1</v>
      </c>
      <c r="U271" t="s">
        <v>50</v>
      </c>
      <c r="V271" t="s">
        <v>51</v>
      </c>
      <c r="W271">
        <v>4</v>
      </c>
      <c r="X271" t="b">
        <v>0</v>
      </c>
      <c r="Y271" t="s">
        <v>52</v>
      </c>
      <c r="Z271" t="s">
        <v>53</v>
      </c>
      <c r="AA271" t="s">
        <v>54</v>
      </c>
      <c r="AB271">
        <v>0</v>
      </c>
      <c r="AC271" t="s">
        <v>55</v>
      </c>
      <c r="AD271">
        <v>8</v>
      </c>
      <c r="AE271" t="s">
        <v>56</v>
      </c>
      <c r="AF271">
        <v>103865.019</v>
      </c>
      <c r="AG271" t="b">
        <v>1</v>
      </c>
      <c r="AH271">
        <v>-1</v>
      </c>
      <c r="AI271" t="s">
        <v>64</v>
      </c>
      <c r="AJ271">
        <v>0</v>
      </c>
      <c r="AK271" t="b">
        <v>0</v>
      </c>
      <c r="AL271" s="1">
        <v>103865.019</v>
      </c>
      <c r="AM271" t="b">
        <v>1</v>
      </c>
      <c r="AN271">
        <v>0</v>
      </c>
      <c r="AO271" t="b">
        <v>0</v>
      </c>
      <c r="AQ271">
        <v>5294257228</v>
      </c>
      <c r="AR271">
        <v>5294257228</v>
      </c>
      <c r="AS271">
        <v>6</v>
      </c>
      <c r="AT271" t="b">
        <v>0</v>
      </c>
      <c r="AU271" t="b">
        <v>1</v>
      </c>
      <c r="AV271" t="b">
        <v>1</v>
      </c>
      <c r="AW271" t="b">
        <v>1</v>
      </c>
      <c r="BC271" t="str">
        <f t="shared" si="4"/>
        <v>Outlier</v>
      </c>
    </row>
    <row r="272" spans="1:55" x14ac:dyDescent="0.2">
      <c r="A272" t="s">
        <v>39</v>
      </c>
      <c r="B272" t="s">
        <v>40</v>
      </c>
      <c r="C272">
        <v>20210101</v>
      </c>
      <c r="D272">
        <v>2021</v>
      </c>
      <c r="E272">
        <v>52</v>
      </c>
      <c r="F272" t="s">
        <v>333</v>
      </c>
      <c r="G272">
        <v>96</v>
      </c>
      <c r="H272" t="s">
        <v>313</v>
      </c>
      <c r="I272" t="s">
        <v>314</v>
      </c>
      <c r="J272" t="s">
        <v>44</v>
      </c>
      <c r="K272" t="s">
        <v>45</v>
      </c>
      <c r="L272">
        <v>0</v>
      </c>
      <c r="M272" t="s">
        <v>46</v>
      </c>
      <c r="N272" t="s">
        <v>47</v>
      </c>
      <c r="O272">
        <v>0</v>
      </c>
      <c r="P272" t="s">
        <v>46</v>
      </c>
      <c r="Q272" t="s">
        <v>47</v>
      </c>
      <c r="R272" t="s">
        <v>48</v>
      </c>
      <c r="S272" t="s">
        <v>49</v>
      </c>
      <c r="T272" t="b">
        <v>1</v>
      </c>
      <c r="U272" t="s">
        <v>50</v>
      </c>
      <c r="V272" t="s">
        <v>51</v>
      </c>
      <c r="W272">
        <v>4</v>
      </c>
      <c r="X272" t="b">
        <v>0</v>
      </c>
      <c r="Y272" t="s">
        <v>52</v>
      </c>
      <c r="Z272" t="s">
        <v>53</v>
      </c>
      <c r="AA272" t="s">
        <v>54</v>
      </c>
      <c r="AB272">
        <v>0</v>
      </c>
      <c r="AC272" t="s">
        <v>55</v>
      </c>
      <c r="AD272">
        <v>8</v>
      </c>
      <c r="AE272" t="s">
        <v>56</v>
      </c>
      <c r="AF272">
        <v>277</v>
      </c>
      <c r="AG272" t="b">
        <v>0</v>
      </c>
      <c r="AH272">
        <v>8</v>
      </c>
      <c r="AI272" t="s">
        <v>56</v>
      </c>
      <c r="AJ272">
        <v>277</v>
      </c>
      <c r="AK272" t="b">
        <v>0</v>
      </c>
      <c r="AL272">
        <v>277</v>
      </c>
      <c r="AM272" t="b">
        <v>0</v>
      </c>
      <c r="AN272">
        <v>0</v>
      </c>
      <c r="AO272" t="b">
        <v>0</v>
      </c>
      <c r="AP272">
        <v>0</v>
      </c>
      <c r="AQ272">
        <v>9912587.3599999994</v>
      </c>
      <c r="AR272">
        <v>9912587.3599999994</v>
      </c>
      <c r="AS272">
        <v>0</v>
      </c>
      <c r="AT272" t="b">
        <v>0</v>
      </c>
      <c r="AU272" t="b">
        <v>1</v>
      </c>
      <c r="AV272" t="b">
        <v>1</v>
      </c>
      <c r="AW272" t="b">
        <v>1</v>
      </c>
      <c r="BC272" t="str">
        <f t="shared" si="4"/>
        <v>Normal</v>
      </c>
    </row>
    <row r="273" spans="1:55" x14ac:dyDescent="0.2">
      <c r="A273" t="s">
        <v>39</v>
      </c>
      <c r="B273" t="s">
        <v>40</v>
      </c>
      <c r="C273">
        <v>20210101</v>
      </c>
      <c r="D273">
        <v>2021</v>
      </c>
      <c r="E273">
        <v>52</v>
      </c>
      <c r="F273" t="s">
        <v>333</v>
      </c>
      <c r="G273">
        <v>100</v>
      </c>
      <c r="H273" t="s">
        <v>83</v>
      </c>
      <c r="I273" t="s">
        <v>84</v>
      </c>
      <c r="J273" t="s">
        <v>44</v>
      </c>
      <c r="K273" t="s">
        <v>45</v>
      </c>
      <c r="L273">
        <v>0</v>
      </c>
      <c r="M273" t="s">
        <v>46</v>
      </c>
      <c r="N273" t="s">
        <v>47</v>
      </c>
      <c r="O273">
        <v>0</v>
      </c>
      <c r="P273" t="s">
        <v>46</v>
      </c>
      <c r="Q273" t="s">
        <v>47</v>
      </c>
      <c r="R273" t="s">
        <v>48</v>
      </c>
      <c r="S273" t="s">
        <v>49</v>
      </c>
      <c r="T273" t="b">
        <v>1</v>
      </c>
      <c r="U273" t="s">
        <v>50</v>
      </c>
      <c r="V273" t="s">
        <v>51</v>
      </c>
      <c r="W273">
        <v>4</v>
      </c>
      <c r="X273" t="b">
        <v>0</v>
      </c>
      <c r="Y273" t="s">
        <v>52</v>
      </c>
      <c r="Z273" t="s">
        <v>53</v>
      </c>
      <c r="AA273" t="s">
        <v>54</v>
      </c>
      <c r="AB273">
        <v>0</v>
      </c>
      <c r="AC273" t="s">
        <v>55</v>
      </c>
      <c r="AD273">
        <v>8</v>
      </c>
      <c r="AE273" t="s">
        <v>56</v>
      </c>
      <c r="AF273">
        <v>1683.5530000000001</v>
      </c>
      <c r="AG273" t="b">
        <v>0</v>
      </c>
      <c r="AH273">
        <v>15</v>
      </c>
      <c r="AI273" t="s">
        <v>59</v>
      </c>
      <c r="AJ273">
        <v>1683553</v>
      </c>
      <c r="AK273" t="b">
        <v>0</v>
      </c>
      <c r="AL273">
        <v>1609.796</v>
      </c>
      <c r="AM273" t="b">
        <v>0</v>
      </c>
      <c r="AN273">
        <v>0</v>
      </c>
      <c r="AO273" t="b">
        <v>0</v>
      </c>
      <c r="AP273">
        <v>0</v>
      </c>
      <c r="AQ273">
        <v>23808998.491999999</v>
      </c>
      <c r="AR273">
        <v>23808998.491999999</v>
      </c>
      <c r="AS273">
        <v>0</v>
      </c>
      <c r="AT273" t="b">
        <v>0</v>
      </c>
      <c r="AU273" t="b">
        <v>1</v>
      </c>
      <c r="AV273" t="b">
        <v>1</v>
      </c>
      <c r="AW273" t="b">
        <v>1</v>
      </c>
      <c r="BC273" t="str">
        <f t="shared" si="4"/>
        <v>Normal</v>
      </c>
    </row>
    <row r="274" spans="1:55" x14ac:dyDescent="0.2">
      <c r="A274" t="s">
        <v>39</v>
      </c>
      <c r="B274" t="s">
        <v>40</v>
      </c>
      <c r="C274">
        <v>20210101</v>
      </c>
      <c r="D274">
        <v>2021</v>
      </c>
      <c r="E274">
        <v>52</v>
      </c>
      <c r="F274" t="s">
        <v>333</v>
      </c>
      <c r="G274">
        <v>108</v>
      </c>
      <c r="H274" t="s">
        <v>85</v>
      </c>
      <c r="I274" t="s">
        <v>86</v>
      </c>
      <c r="J274" t="s">
        <v>44</v>
      </c>
      <c r="K274" t="s">
        <v>45</v>
      </c>
      <c r="L274">
        <v>0</v>
      </c>
      <c r="M274" t="s">
        <v>46</v>
      </c>
      <c r="N274" t="s">
        <v>47</v>
      </c>
      <c r="O274">
        <v>0</v>
      </c>
      <c r="P274" t="s">
        <v>46</v>
      </c>
      <c r="Q274" t="s">
        <v>47</v>
      </c>
      <c r="R274" t="s">
        <v>48</v>
      </c>
      <c r="S274" t="s">
        <v>49</v>
      </c>
      <c r="T274" t="b">
        <v>1</v>
      </c>
      <c r="U274" t="s">
        <v>50</v>
      </c>
      <c r="V274" t="s">
        <v>51</v>
      </c>
      <c r="W274">
        <v>4</v>
      </c>
      <c r="X274" t="b">
        <v>0</v>
      </c>
      <c r="Y274" t="s">
        <v>52</v>
      </c>
      <c r="Z274" t="s">
        <v>53</v>
      </c>
      <c r="AA274" t="s">
        <v>54</v>
      </c>
      <c r="AB274">
        <v>0</v>
      </c>
      <c r="AC274" t="s">
        <v>55</v>
      </c>
      <c r="AD274">
        <v>8</v>
      </c>
      <c r="AE274" t="s">
        <v>56</v>
      </c>
      <c r="AF274">
        <v>669.59500000000003</v>
      </c>
      <c r="AG274" t="b">
        <v>0</v>
      </c>
      <c r="AH274">
        <v>8</v>
      </c>
      <c r="AI274" t="s">
        <v>56</v>
      </c>
      <c r="AJ274">
        <v>669.59500000000003</v>
      </c>
      <c r="AK274" t="b">
        <v>0</v>
      </c>
      <c r="AL274">
        <v>669.59500000000003</v>
      </c>
      <c r="AM274" t="b">
        <v>0</v>
      </c>
      <c r="AN274">
        <v>0</v>
      </c>
      <c r="AO274" t="b">
        <v>0</v>
      </c>
      <c r="AQ274">
        <v>40572696.292999998</v>
      </c>
      <c r="AR274">
        <v>40572696.292999998</v>
      </c>
      <c r="AS274">
        <v>0</v>
      </c>
      <c r="AT274" t="b">
        <v>0</v>
      </c>
      <c r="AU274" t="b">
        <v>1</v>
      </c>
      <c r="AV274" t="b">
        <v>1</v>
      </c>
      <c r="AW274" t="b">
        <v>1</v>
      </c>
      <c r="BC274" t="str">
        <f t="shared" si="4"/>
        <v>Normal</v>
      </c>
    </row>
    <row r="275" spans="1:55" x14ac:dyDescent="0.2">
      <c r="A275" t="s">
        <v>39</v>
      </c>
      <c r="B275" t="s">
        <v>40</v>
      </c>
      <c r="C275">
        <v>20210101</v>
      </c>
      <c r="D275">
        <v>2021</v>
      </c>
      <c r="E275">
        <v>52</v>
      </c>
      <c r="F275" t="s">
        <v>333</v>
      </c>
      <c r="G275">
        <v>116</v>
      </c>
      <c r="H275" t="s">
        <v>87</v>
      </c>
      <c r="I275" t="s">
        <v>88</v>
      </c>
      <c r="J275" t="s">
        <v>44</v>
      </c>
      <c r="K275" t="s">
        <v>45</v>
      </c>
      <c r="L275">
        <v>0</v>
      </c>
      <c r="M275" t="s">
        <v>46</v>
      </c>
      <c r="N275" t="s">
        <v>47</v>
      </c>
      <c r="O275">
        <v>0</v>
      </c>
      <c r="P275" t="s">
        <v>46</v>
      </c>
      <c r="Q275" t="s">
        <v>47</v>
      </c>
      <c r="R275" t="s">
        <v>48</v>
      </c>
      <c r="S275" t="s">
        <v>49</v>
      </c>
      <c r="T275" t="b">
        <v>1</v>
      </c>
      <c r="U275" t="s">
        <v>50</v>
      </c>
      <c r="V275" t="s">
        <v>51</v>
      </c>
      <c r="W275">
        <v>4</v>
      </c>
      <c r="X275" t="b">
        <v>0</v>
      </c>
      <c r="Y275" t="s">
        <v>52</v>
      </c>
      <c r="Z275" t="s">
        <v>53</v>
      </c>
      <c r="AA275" t="s">
        <v>54</v>
      </c>
      <c r="AB275">
        <v>0</v>
      </c>
      <c r="AC275" t="s">
        <v>55</v>
      </c>
      <c r="AD275">
        <v>8</v>
      </c>
      <c r="AE275" t="s">
        <v>56</v>
      </c>
      <c r="AF275">
        <v>2373.3000000000002</v>
      </c>
      <c r="AG275" t="b">
        <v>0</v>
      </c>
      <c r="AH275">
        <v>8</v>
      </c>
      <c r="AI275" t="s">
        <v>56</v>
      </c>
      <c r="AJ275">
        <v>2373.3000000000002</v>
      </c>
      <c r="AK275" t="b">
        <v>0</v>
      </c>
      <c r="AL275">
        <v>2373.3000000000002</v>
      </c>
      <c r="AM275" t="b">
        <v>0</v>
      </c>
      <c r="AN275">
        <v>0</v>
      </c>
      <c r="AO275" t="b">
        <v>0</v>
      </c>
      <c r="AQ275">
        <v>132039722</v>
      </c>
      <c r="AR275">
        <v>132039722</v>
      </c>
      <c r="AS275">
        <v>0</v>
      </c>
      <c r="AT275" t="b">
        <v>0</v>
      </c>
      <c r="AU275" t="b">
        <v>1</v>
      </c>
      <c r="AV275" t="b">
        <v>1</v>
      </c>
      <c r="AW275" t="b">
        <v>1</v>
      </c>
      <c r="BC275" t="str">
        <f t="shared" si="4"/>
        <v>Normal</v>
      </c>
    </row>
    <row r="276" spans="1:55" x14ac:dyDescent="0.2">
      <c r="A276" t="s">
        <v>39</v>
      </c>
      <c r="B276" t="s">
        <v>40</v>
      </c>
      <c r="C276">
        <v>20210101</v>
      </c>
      <c r="D276">
        <v>2021</v>
      </c>
      <c r="E276">
        <v>52</v>
      </c>
      <c r="F276" t="s">
        <v>333</v>
      </c>
      <c r="G276">
        <v>120</v>
      </c>
      <c r="H276" t="s">
        <v>89</v>
      </c>
      <c r="I276" t="s">
        <v>90</v>
      </c>
      <c r="J276" t="s">
        <v>44</v>
      </c>
      <c r="K276" t="s">
        <v>45</v>
      </c>
      <c r="L276">
        <v>0</v>
      </c>
      <c r="M276" t="s">
        <v>46</v>
      </c>
      <c r="N276" t="s">
        <v>47</v>
      </c>
      <c r="O276">
        <v>0</v>
      </c>
      <c r="P276" t="s">
        <v>46</v>
      </c>
      <c r="Q276" t="s">
        <v>47</v>
      </c>
      <c r="R276" t="s">
        <v>48</v>
      </c>
      <c r="S276" t="s">
        <v>49</v>
      </c>
      <c r="T276" t="b">
        <v>1</v>
      </c>
      <c r="U276" t="s">
        <v>50</v>
      </c>
      <c r="V276" t="s">
        <v>51</v>
      </c>
      <c r="W276">
        <v>4</v>
      </c>
      <c r="X276" t="b">
        <v>0</v>
      </c>
      <c r="Y276" t="s">
        <v>52</v>
      </c>
      <c r="Z276" t="s">
        <v>53</v>
      </c>
      <c r="AA276" t="s">
        <v>54</v>
      </c>
      <c r="AB276">
        <v>0</v>
      </c>
      <c r="AC276" t="s">
        <v>55</v>
      </c>
      <c r="AD276">
        <v>8</v>
      </c>
      <c r="AE276" t="s">
        <v>56</v>
      </c>
      <c r="AF276">
        <v>39.78</v>
      </c>
      <c r="AG276" t="b">
        <v>0</v>
      </c>
      <c r="AH276">
        <v>8</v>
      </c>
      <c r="AI276" t="s">
        <v>56</v>
      </c>
      <c r="AJ276">
        <v>39.78</v>
      </c>
      <c r="AK276" t="b">
        <v>0</v>
      </c>
      <c r="AL276">
        <v>39.78</v>
      </c>
      <c r="AM276" t="b">
        <v>0</v>
      </c>
      <c r="AN276">
        <v>0</v>
      </c>
      <c r="AO276" t="b">
        <v>0</v>
      </c>
      <c r="AQ276">
        <v>783448.17</v>
      </c>
      <c r="AR276">
        <v>783448.17</v>
      </c>
      <c r="AS276">
        <v>0</v>
      </c>
      <c r="AT276" t="b">
        <v>0</v>
      </c>
      <c r="AU276" t="b">
        <v>1</v>
      </c>
      <c r="AV276" t="b">
        <v>1</v>
      </c>
      <c r="AW276" t="b">
        <v>1</v>
      </c>
      <c r="BC276" t="str">
        <f t="shared" si="4"/>
        <v>Normal</v>
      </c>
    </row>
    <row r="277" spans="1:55" x14ac:dyDescent="0.2">
      <c r="A277" t="s">
        <v>39</v>
      </c>
      <c r="B277" t="s">
        <v>40</v>
      </c>
      <c r="C277">
        <v>20210101</v>
      </c>
      <c r="D277">
        <v>2021</v>
      </c>
      <c r="E277">
        <v>52</v>
      </c>
      <c r="F277" t="s">
        <v>333</v>
      </c>
      <c r="G277">
        <v>124</v>
      </c>
      <c r="H277" t="s">
        <v>91</v>
      </c>
      <c r="I277" t="s">
        <v>92</v>
      </c>
      <c r="J277" t="s">
        <v>44</v>
      </c>
      <c r="K277" t="s">
        <v>45</v>
      </c>
      <c r="L277">
        <v>0</v>
      </c>
      <c r="M277" t="s">
        <v>46</v>
      </c>
      <c r="N277" t="s">
        <v>47</v>
      </c>
      <c r="O277">
        <v>0</v>
      </c>
      <c r="P277" t="s">
        <v>46</v>
      </c>
      <c r="Q277" t="s">
        <v>47</v>
      </c>
      <c r="R277" t="s">
        <v>48</v>
      </c>
      <c r="S277" t="s">
        <v>49</v>
      </c>
      <c r="T277" t="b">
        <v>1</v>
      </c>
      <c r="U277" t="s">
        <v>50</v>
      </c>
      <c r="V277" t="s">
        <v>51</v>
      </c>
      <c r="W277">
        <v>4</v>
      </c>
      <c r="X277" t="b">
        <v>0</v>
      </c>
      <c r="Y277" t="s">
        <v>52</v>
      </c>
      <c r="Z277" t="s">
        <v>53</v>
      </c>
      <c r="AA277" t="s">
        <v>54</v>
      </c>
      <c r="AB277">
        <v>0</v>
      </c>
      <c r="AC277" t="s">
        <v>55</v>
      </c>
      <c r="AD277">
        <v>8</v>
      </c>
      <c r="AE277" t="s">
        <v>56</v>
      </c>
      <c r="AF277">
        <v>277411.90299999999</v>
      </c>
      <c r="AG277" t="b">
        <v>0</v>
      </c>
      <c r="AH277">
        <v>15</v>
      </c>
      <c r="AI277" t="s">
        <v>59</v>
      </c>
      <c r="AJ277">
        <v>277411903</v>
      </c>
      <c r="AK277" t="b">
        <v>0</v>
      </c>
      <c r="AL277" s="1">
        <v>277411.90299999999</v>
      </c>
      <c r="AM277" t="b">
        <v>0</v>
      </c>
      <c r="AN277">
        <v>0</v>
      </c>
      <c r="AO277" t="b">
        <v>0</v>
      </c>
      <c r="AQ277">
        <v>15242501524.094999</v>
      </c>
      <c r="AR277">
        <v>15242501524.094999</v>
      </c>
      <c r="AS277">
        <v>0</v>
      </c>
      <c r="AT277" t="b">
        <v>0</v>
      </c>
      <c r="AU277" t="b">
        <v>1</v>
      </c>
      <c r="AV277" t="b">
        <v>1</v>
      </c>
      <c r="AW277" t="b">
        <v>1</v>
      </c>
      <c r="BC277" t="str">
        <f t="shared" si="4"/>
        <v>Outlier</v>
      </c>
    </row>
    <row r="278" spans="1:55" x14ac:dyDescent="0.2">
      <c r="A278" t="s">
        <v>39</v>
      </c>
      <c r="B278" t="s">
        <v>40</v>
      </c>
      <c r="C278">
        <v>20210101</v>
      </c>
      <c r="D278">
        <v>2021</v>
      </c>
      <c r="E278">
        <v>52</v>
      </c>
      <c r="F278" t="s">
        <v>333</v>
      </c>
      <c r="G278">
        <v>140</v>
      </c>
      <c r="H278" t="s">
        <v>93</v>
      </c>
      <c r="I278" t="s">
        <v>94</v>
      </c>
      <c r="J278" t="s">
        <v>44</v>
      </c>
      <c r="K278" t="s">
        <v>45</v>
      </c>
      <c r="L278">
        <v>0</v>
      </c>
      <c r="M278" t="s">
        <v>46</v>
      </c>
      <c r="N278" t="s">
        <v>47</v>
      </c>
      <c r="O278">
        <v>0</v>
      </c>
      <c r="P278" t="s">
        <v>46</v>
      </c>
      <c r="Q278" t="s">
        <v>47</v>
      </c>
      <c r="R278" t="s">
        <v>95</v>
      </c>
      <c r="S278" t="s">
        <v>49</v>
      </c>
      <c r="T278" t="b">
        <v>1</v>
      </c>
      <c r="U278" t="s">
        <v>50</v>
      </c>
      <c r="V278" t="s">
        <v>51</v>
      </c>
      <c r="W278">
        <v>4</v>
      </c>
      <c r="X278" t="b">
        <v>0</v>
      </c>
      <c r="Y278" t="s">
        <v>52</v>
      </c>
      <c r="Z278" t="s">
        <v>53</v>
      </c>
      <c r="AA278" t="s">
        <v>54</v>
      </c>
      <c r="AB278">
        <v>0</v>
      </c>
      <c r="AC278" t="s">
        <v>55</v>
      </c>
      <c r="AD278">
        <v>-1</v>
      </c>
      <c r="AE278" t="s">
        <v>64</v>
      </c>
      <c r="AF278">
        <v>0</v>
      </c>
      <c r="AG278" t="b">
        <v>0</v>
      </c>
      <c r="AH278">
        <v>-1</v>
      </c>
      <c r="AI278" t="s">
        <v>64</v>
      </c>
      <c r="AJ278">
        <v>0</v>
      </c>
      <c r="AK278" t="b">
        <v>0</v>
      </c>
      <c r="AM278" t="b">
        <v>0</v>
      </c>
      <c r="AN278">
        <v>0</v>
      </c>
      <c r="AO278" t="b">
        <v>0</v>
      </c>
      <c r="AQ278">
        <v>26117952.098000001</v>
      </c>
      <c r="AR278">
        <v>26117952.098000001</v>
      </c>
      <c r="AS278">
        <v>0</v>
      </c>
      <c r="AT278" t="b">
        <v>0</v>
      </c>
      <c r="AU278" t="b">
        <v>1</v>
      </c>
      <c r="AV278" t="b">
        <v>1</v>
      </c>
      <c r="AW278" t="b">
        <v>1</v>
      </c>
      <c r="BC278" t="str">
        <f t="shared" si="4"/>
        <v>Normal</v>
      </c>
    </row>
    <row r="279" spans="1:55" x14ac:dyDescent="0.2">
      <c r="A279" t="s">
        <v>39</v>
      </c>
      <c r="B279" t="s">
        <v>40</v>
      </c>
      <c r="C279">
        <v>20210101</v>
      </c>
      <c r="D279">
        <v>2021</v>
      </c>
      <c r="E279">
        <v>52</v>
      </c>
      <c r="F279" t="s">
        <v>333</v>
      </c>
      <c r="G279">
        <v>144</v>
      </c>
      <c r="H279" t="s">
        <v>317</v>
      </c>
      <c r="I279" t="s">
        <v>318</v>
      </c>
      <c r="J279" t="s">
        <v>44</v>
      </c>
      <c r="K279" t="s">
        <v>45</v>
      </c>
      <c r="L279">
        <v>0</v>
      </c>
      <c r="M279" t="s">
        <v>46</v>
      </c>
      <c r="N279" t="s">
        <v>47</v>
      </c>
      <c r="O279">
        <v>0</v>
      </c>
      <c r="P279" t="s">
        <v>46</v>
      </c>
      <c r="Q279" t="s">
        <v>47</v>
      </c>
      <c r="R279" t="s">
        <v>48</v>
      </c>
      <c r="S279" t="s">
        <v>49</v>
      </c>
      <c r="T279" t="b">
        <v>1</v>
      </c>
      <c r="U279" t="s">
        <v>50</v>
      </c>
      <c r="V279" t="s">
        <v>51</v>
      </c>
      <c r="W279">
        <v>4</v>
      </c>
      <c r="X279" t="b">
        <v>0</v>
      </c>
      <c r="Y279" t="s">
        <v>52</v>
      </c>
      <c r="Z279" t="s">
        <v>53</v>
      </c>
      <c r="AA279" t="s">
        <v>54</v>
      </c>
      <c r="AB279">
        <v>0</v>
      </c>
      <c r="AC279" t="s">
        <v>55</v>
      </c>
      <c r="AD279">
        <v>8</v>
      </c>
      <c r="AE279" t="s">
        <v>56</v>
      </c>
      <c r="AF279">
        <v>0.8</v>
      </c>
      <c r="AG279" t="b">
        <v>0</v>
      </c>
      <c r="AH279">
        <v>8</v>
      </c>
      <c r="AI279" t="s">
        <v>56</v>
      </c>
      <c r="AJ279">
        <v>0.8</v>
      </c>
      <c r="AK279" t="b">
        <v>0</v>
      </c>
      <c r="AL279">
        <v>0.8</v>
      </c>
      <c r="AM279" t="b">
        <v>0</v>
      </c>
      <c r="AN279">
        <v>0</v>
      </c>
      <c r="AO279" t="b">
        <v>0</v>
      </c>
      <c r="AP279">
        <v>0</v>
      </c>
      <c r="AQ279">
        <v>44654.186999999998</v>
      </c>
      <c r="AR279">
        <v>44654.186999999998</v>
      </c>
      <c r="AS279">
        <v>0</v>
      </c>
      <c r="AT279" t="b">
        <v>0</v>
      </c>
      <c r="AU279" t="b">
        <v>1</v>
      </c>
      <c r="AV279" t="b">
        <v>1</v>
      </c>
      <c r="AW279" t="b">
        <v>1</v>
      </c>
      <c r="BC279" t="str">
        <f t="shared" si="4"/>
        <v>Normal</v>
      </c>
    </row>
    <row r="280" spans="1:55" x14ac:dyDescent="0.2">
      <c r="A280" t="s">
        <v>39</v>
      </c>
      <c r="B280" t="s">
        <v>40</v>
      </c>
      <c r="C280">
        <v>20210101</v>
      </c>
      <c r="D280">
        <v>2021</v>
      </c>
      <c r="E280">
        <v>52</v>
      </c>
      <c r="F280" t="s">
        <v>333</v>
      </c>
      <c r="G280">
        <v>152</v>
      </c>
      <c r="H280" t="s">
        <v>96</v>
      </c>
      <c r="I280" t="s">
        <v>97</v>
      </c>
      <c r="J280" t="s">
        <v>44</v>
      </c>
      <c r="K280" t="s">
        <v>45</v>
      </c>
      <c r="L280">
        <v>0</v>
      </c>
      <c r="M280" t="s">
        <v>46</v>
      </c>
      <c r="N280" t="s">
        <v>47</v>
      </c>
      <c r="O280">
        <v>0</v>
      </c>
      <c r="P280" t="s">
        <v>46</v>
      </c>
      <c r="Q280" t="s">
        <v>47</v>
      </c>
      <c r="R280" t="s">
        <v>48</v>
      </c>
      <c r="S280" t="s">
        <v>49</v>
      </c>
      <c r="T280" t="b">
        <v>1</v>
      </c>
      <c r="U280" t="s">
        <v>50</v>
      </c>
      <c r="V280" t="s">
        <v>51</v>
      </c>
      <c r="W280">
        <v>4</v>
      </c>
      <c r="X280" t="b">
        <v>0</v>
      </c>
      <c r="Y280" t="s">
        <v>52</v>
      </c>
      <c r="Z280" t="s">
        <v>53</v>
      </c>
      <c r="AA280" t="s">
        <v>54</v>
      </c>
      <c r="AB280">
        <v>0</v>
      </c>
      <c r="AC280" t="s">
        <v>55</v>
      </c>
      <c r="AD280">
        <v>8</v>
      </c>
      <c r="AE280" t="s">
        <v>56</v>
      </c>
      <c r="AF280">
        <v>15159.817999999999</v>
      </c>
      <c r="AG280" t="b">
        <v>0</v>
      </c>
      <c r="AH280">
        <v>8</v>
      </c>
      <c r="AI280" t="s">
        <v>56</v>
      </c>
      <c r="AJ280">
        <v>15159.817999999999</v>
      </c>
      <c r="AK280" t="b">
        <v>0</v>
      </c>
      <c r="AL280">
        <v>15159.817999999999</v>
      </c>
      <c r="AM280" t="b">
        <v>0</v>
      </c>
      <c r="AN280">
        <v>0</v>
      </c>
      <c r="AO280" t="b">
        <v>0</v>
      </c>
      <c r="AP280">
        <v>0</v>
      </c>
      <c r="AQ280">
        <v>858601579.49899995</v>
      </c>
      <c r="AR280">
        <v>858601579.49899995</v>
      </c>
      <c r="AS280">
        <v>0</v>
      </c>
      <c r="AT280" t="b">
        <v>0</v>
      </c>
      <c r="AU280" t="b">
        <v>1</v>
      </c>
      <c r="AV280" t="b">
        <v>1</v>
      </c>
      <c r="AW280" t="b">
        <v>1</v>
      </c>
      <c r="BC280" t="str">
        <f t="shared" si="4"/>
        <v>Normal</v>
      </c>
    </row>
    <row r="281" spans="1:55" x14ac:dyDescent="0.2">
      <c r="A281" t="s">
        <v>39</v>
      </c>
      <c r="B281" t="s">
        <v>40</v>
      </c>
      <c r="C281">
        <v>20210101</v>
      </c>
      <c r="D281">
        <v>2021</v>
      </c>
      <c r="E281">
        <v>52</v>
      </c>
      <c r="F281" t="s">
        <v>333</v>
      </c>
      <c r="G281">
        <v>156</v>
      </c>
      <c r="H281" t="s">
        <v>98</v>
      </c>
      <c r="I281" t="s">
        <v>99</v>
      </c>
      <c r="J281" t="s">
        <v>44</v>
      </c>
      <c r="K281" t="s">
        <v>45</v>
      </c>
      <c r="L281">
        <v>0</v>
      </c>
      <c r="M281" t="s">
        <v>46</v>
      </c>
      <c r="N281" t="s">
        <v>47</v>
      </c>
      <c r="O281">
        <v>0</v>
      </c>
      <c r="P281" t="s">
        <v>46</v>
      </c>
      <c r="Q281" t="s">
        <v>47</v>
      </c>
      <c r="R281" t="s">
        <v>48</v>
      </c>
      <c r="S281" t="s">
        <v>49</v>
      </c>
      <c r="T281" t="b">
        <v>1</v>
      </c>
      <c r="U281" t="s">
        <v>50</v>
      </c>
      <c r="V281" t="s">
        <v>51</v>
      </c>
      <c r="W281">
        <v>4</v>
      </c>
      <c r="X281" t="b">
        <v>0</v>
      </c>
      <c r="Y281" t="s">
        <v>52</v>
      </c>
      <c r="Z281" t="s">
        <v>53</v>
      </c>
      <c r="AA281" t="s">
        <v>54</v>
      </c>
      <c r="AB281">
        <v>0</v>
      </c>
      <c r="AC281" t="s">
        <v>55</v>
      </c>
      <c r="AD281">
        <v>8</v>
      </c>
      <c r="AE281" t="s">
        <v>56</v>
      </c>
      <c r="AF281">
        <v>53495.120999999999</v>
      </c>
      <c r="AG281" t="b">
        <v>1</v>
      </c>
      <c r="AH281">
        <v>-1</v>
      </c>
      <c r="AI281" t="s">
        <v>64</v>
      </c>
      <c r="AJ281">
        <v>0</v>
      </c>
      <c r="AK281" t="b">
        <v>0</v>
      </c>
      <c r="AL281">
        <v>53495.120999999999</v>
      </c>
      <c r="AM281" t="b">
        <v>1</v>
      </c>
      <c r="AN281">
        <v>0</v>
      </c>
      <c r="AO281" t="b">
        <v>0</v>
      </c>
      <c r="AQ281">
        <v>3145976718</v>
      </c>
      <c r="AR281">
        <v>3145976718</v>
      </c>
      <c r="AS281">
        <v>6</v>
      </c>
      <c r="AT281" t="b">
        <v>0</v>
      </c>
      <c r="AU281" t="b">
        <v>1</v>
      </c>
      <c r="AV281" t="b">
        <v>1</v>
      </c>
      <c r="AW281" t="b">
        <v>1</v>
      </c>
      <c r="BC281" t="str">
        <f t="shared" si="4"/>
        <v>Normal</v>
      </c>
    </row>
    <row r="282" spans="1:55" x14ac:dyDescent="0.2">
      <c r="A282" t="s">
        <v>39</v>
      </c>
      <c r="B282" t="s">
        <v>40</v>
      </c>
      <c r="C282">
        <v>20210101</v>
      </c>
      <c r="D282">
        <v>2021</v>
      </c>
      <c r="E282">
        <v>52</v>
      </c>
      <c r="F282" t="s">
        <v>333</v>
      </c>
      <c r="G282">
        <v>170</v>
      </c>
      <c r="H282" t="s">
        <v>100</v>
      </c>
      <c r="I282" t="s">
        <v>101</v>
      </c>
      <c r="J282" t="s">
        <v>44</v>
      </c>
      <c r="K282" t="s">
        <v>45</v>
      </c>
      <c r="L282">
        <v>0</v>
      </c>
      <c r="M282" t="s">
        <v>46</v>
      </c>
      <c r="N282" t="s">
        <v>47</v>
      </c>
      <c r="O282">
        <v>0</v>
      </c>
      <c r="P282" t="s">
        <v>46</v>
      </c>
      <c r="Q282" t="s">
        <v>47</v>
      </c>
      <c r="R282" t="s">
        <v>48</v>
      </c>
      <c r="S282" t="s">
        <v>49</v>
      </c>
      <c r="T282" t="b">
        <v>1</v>
      </c>
      <c r="U282" t="s">
        <v>50</v>
      </c>
      <c r="V282" t="s">
        <v>51</v>
      </c>
      <c r="W282">
        <v>4</v>
      </c>
      <c r="X282" t="b">
        <v>0</v>
      </c>
      <c r="Y282" t="s">
        <v>52</v>
      </c>
      <c r="Z282" t="s">
        <v>53</v>
      </c>
      <c r="AA282" t="s">
        <v>54</v>
      </c>
      <c r="AB282">
        <v>0</v>
      </c>
      <c r="AC282" t="s">
        <v>55</v>
      </c>
      <c r="AD282">
        <v>8</v>
      </c>
      <c r="AE282" t="s">
        <v>56</v>
      </c>
      <c r="AF282">
        <v>79447.95</v>
      </c>
      <c r="AG282" t="b">
        <v>0</v>
      </c>
      <c r="AH282">
        <v>8</v>
      </c>
      <c r="AI282" t="s">
        <v>56</v>
      </c>
      <c r="AJ282">
        <v>79447.95</v>
      </c>
      <c r="AK282" t="b">
        <v>0</v>
      </c>
      <c r="AL282" s="1">
        <v>79447.95</v>
      </c>
      <c r="AM282" t="b">
        <v>0</v>
      </c>
      <c r="AN282">
        <v>0</v>
      </c>
      <c r="AO282" t="b">
        <v>0</v>
      </c>
      <c r="AP282">
        <v>0</v>
      </c>
      <c r="AQ282">
        <v>3132366785.5900002</v>
      </c>
      <c r="AR282">
        <v>3132366785.5900002</v>
      </c>
      <c r="AS282">
        <v>0</v>
      </c>
      <c r="AT282" t="b">
        <v>0</v>
      </c>
      <c r="AU282" t="b">
        <v>1</v>
      </c>
      <c r="AV282" t="b">
        <v>1</v>
      </c>
      <c r="AW282" t="b">
        <v>1</v>
      </c>
      <c r="BC282" t="str">
        <f t="shared" si="4"/>
        <v>Outlier</v>
      </c>
    </row>
    <row r="283" spans="1:55" x14ac:dyDescent="0.2">
      <c r="A283" t="s">
        <v>39</v>
      </c>
      <c r="B283" t="s">
        <v>40</v>
      </c>
      <c r="C283">
        <v>20210101</v>
      </c>
      <c r="D283">
        <v>2021</v>
      </c>
      <c r="E283">
        <v>52</v>
      </c>
      <c r="F283" t="s">
        <v>333</v>
      </c>
      <c r="G283">
        <v>178</v>
      </c>
      <c r="H283" t="s">
        <v>102</v>
      </c>
      <c r="I283" t="s">
        <v>103</v>
      </c>
      <c r="J283" t="s">
        <v>44</v>
      </c>
      <c r="K283" t="s">
        <v>45</v>
      </c>
      <c r="L283">
        <v>0</v>
      </c>
      <c r="M283" t="s">
        <v>46</v>
      </c>
      <c r="N283" t="s">
        <v>47</v>
      </c>
      <c r="O283">
        <v>0</v>
      </c>
      <c r="P283" t="s">
        <v>46</v>
      </c>
      <c r="Q283" t="s">
        <v>47</v>
      </c>
      <c r="R283" t="s">
        <v>48</v>
      </c>
      <c r="S283" t="s">
        <v>49</v>
      </c>
      <c r="T283" t="b">
        <v>1</v>
      </c>
      <c r="U283" t="s">
        <v>50</v>
      </c>
      <c r="V283" t="s">
        <v>51</v>
      </c>
      <c r="W283">
        <v>4</v>
      </c>
      <c r="X283" t="b">
        <v>0</v>
      </c>
      <c r="Y283" t="s">
        <v>52</v>
      </c>
      <c r="Z283" t="s">
        <v>53</v>
      </c>
      <c r="AA283" t="s">
        <v>54</v>
      </c>
      <c r="AB283">
        <v>0</v>
      </c>
      <c r="AC283" t="s">
        <v>55</v>
      </c>
      <c r="AD283">
        <v>8</v>
      </c>
      <c r="AE283" t="s">
        <v>56</v>
      </c>
      <c r="AF283">
        <v>4.05</v>
      </c>
      <c r="AG283" t="b">
        <v>0</v>
      </c>
      <c r="AH283">
        <v>8</v>
      </c>
      <c r="AI283" t="s">
        <v>56</v>
      </c>
      <c r="AJ283">
        <v>4.05</v>
      </c>
      <c r="AK283" t="b">
        <v>0</v>
      </c>
      <c r="AL283">
        <v>4.05</v>
      </c>
      <c r="AM283" t="b">
        <v>0</v>
      </c>
      <c r="AN283">
        <v>0</v>
      </c>
      <c r="AO283" t="b">
        <v>0</v>
      </c>
      <c r="AP283">
        <v>0</v>
      </c>
      <c r="AQ283">
        <v>102376.75</v>
      </c>
      <c r="AR283">
        <v>102376.75</v>
      </c>
      <c r="AS283">
        <v>0</v>
      </c>
      <c r="AT283" t="b">
        <v>0</v>
      </c>
      <c r="AU283" t="b">
        <v>1</v>
      </c>
      <c r="AV283" t="b">
        <v>1</v>
      </c>
      <c r="AW283" t="b">
        <v>1</v>
      </c>
      <c r="BC283" t="str">
        <f t="shared" si="4"/>
        <v>Normal</v>
      </c>
    </row>
    <row r="284" spans="1:55" x14ac:dyDescent="0.2">
      <c r="A284" t="s">
        <v>39</v>
      </c>
      <c r="B284" t="s">
        <v>40</v>
      </c>
      <c r="C284">
        <v>20210101</v>
      </c>
      <c r="D284">
        <v>2021</v>
      </c>
      <c r="E284">
        <v>52</v>
      </c>
      <c r="F284" t="s">
        <v>333</v>
      </c>
      <c r="G284">
        <v>180</v>
      </c>
      <c r="H284" t="s">
        <v>104</v>
      </c>
      <c r="I284" t="s">
        <v>105</v>
      </c>
      <c r="J284" t="s">
        <v>44</v>
      </c>
      <c r="K284" t="s">
        <v>45</v>
      </c>
      <c r="L284">
        <v>0</v>
      </c>
      <c r="M284" t="s">
        <v>46</v>
      </c>
      <c r="N284" t="s">
        <v>47</v>
      </c>
      <c r="O284">
        <v>0</v>
      </c>
      <c r="P284" t="s">
        <v>46</v>
      </c>
      <c r="Q284" t="s">
        <v>47</v>
      </c>
      <c r="R284" t="s">
        <v>95</v>
      </c>
      <c r="S284" t="s">
        <v>49</v>
      </c>
      <c r="T284" t="b">
        <v>1</v>
      </c>
      <c r="U284" t="s">
        <v>50</v>
      </c>
      <c r="V284" t="s">
        <v>51</v>
      </c>
      <c r="W284">
        <v>4</v>
      </c>
      <c r="X284" t="b">
        <v>0</v>
      </c>
      <c r="Y284" t="s">
        <v>52</v>
      </c>
      <c r="Z284" t="s">
        <v>53</v>
      </c>
      <c r="AA284" t="s">
        <v>54</v>
      </c>
      <c r="AB284">
        <v>0</v>
      </c>
      <c r="AC284" t="s">
        <v>55</v>
      </c>
      <c r="AD284">
        <v>8</v>
      </c>
      <c r="AE284" t="s">
        <v>56</v>
      </c>
      <c r="AF284">
        <v>44.866</v>
      </c>
      <c r="AG284" t="b">
        <v>1</v>
      </c>
      <c r="AH284">
        <v>-1</v>
      </c>
      <c r="AI284" t="s">
        <v>64</v>
      </c>
      <c r="AJ284">
        <v>0</v>
      </c>
      <c r="AK284" t="b">
        <v>0</v>
      </c>
      <c r="AL284">
        <v>44.866</v>
      </c>
      <c r="AM284" t="b">
        <v>1</v>
      </c>
      <c r="AN284">
        <v>0</v>
      </c>
      <c r="AO284" t="b">
        <v>0</v>
      </c>
      <c r="AQ284">
        <v>2325365.1170000001</v>
      </c>
      <c r="AR284">
        <v>2325365.1170000001</v>
      </c>
      <c r="AS284">
        <v>6</v>
      </c>
      <c r="AT284" t="b">
        <v>0</v>
      </c>
      <c r="AU284" t="b">
        <v>1</v>
      </c>
      <c r="AV284" t="b">
        <v>1</v>
      </c>
      <c r="AW284" t="b">
        <v>1</v>
      </c>
      <c r="BC284" t="str">
        <f t="shared" si="4"/>
        <v>Normal</v>
      </c>
    </row>
    <row r="285" spans="1:55" x14ac:dyDescent="0.2">
      <c r="A285" t="s">
        <v>39</v>
      </c>
      <c r="B285" t="s">
        <v>40</v>
      </c>
      <c r="C285">
        <v>20210101</v>
      </c>
      <c r="D285">
        <v>2021</v>
      </c>
      <c r="E285">
        <v>52</v>
      </c>
      <c r="F285" t="s">
        <v>333</v>
      </c>
      <c r="G285">
        <v>188</v>
      </c>
      <c r="H285" t="s">
        <v>106</v>
      </c>
      <c r="I285" t="s">
        <v>107</v>
      </c>
      <c r="J285" t="s">
        <v>44</v>
      </c>
      <c r="K285" t="s">
        <v>45</v>
      </c>
      <c r="L285">
        <v>0</v>
      </c>
      <c r="M285" t="s">
        <v>46</v>
      </c>
      <c r="N285" t="s">
        <v>47</v>
      </c>
      <c r="O285">
        <v>0</v>
      </c>
      <c r="P285" t="s">
        <v>46</v>
      </c>
      <c r="Q285" t="s">
        <v>47</v>
      </c>
      <c r="R285" t="s">
        <v>48</v>
      </c>
      <c r="S285" t="s">
        <v>49</v>
      </c>
      <c r="T285" t="b">
        <v>1</v>
      </c>
      <c r="U285" t="s">
        <v>50</v>
      </c>
      <c r="V285" t="s">
        <v>51</v>
      </c>
      <c r="W285">
        <v>4</v>
      </c>
      <c r="X285" t="b">
        <v>0</v>
      </c>
      <c r="Y285" t="s">
        <v>52</v>
      </c>
      <c r="Z285" t="s">
        <v>53</v>
      </c>
      <c r="AA285" t="s">
        <v>54</v>
      </c>
      <c r="AB285">
        <v>0</v>
      </c>
      <c r="AC285" t="s">
        <v>55</v>
      </c>
      <c r="AD285">
        <v>8</v>
      </c>
      <c r="AE285" t="s">
        <v>56</v>
      </c>
      <c r="AF285">
        <v>98.13</v>
      </c>
      <c r="AG285" t="b">
        <v>0</v>
      </c>
      <c r="AH285">
        <v>8</v>
      </c>
      <c r="AI285" t="s">
        <v>56</v>
      </c>
      <c r="AJ285">
        <v>98.13</v>
      </c>
      <c r="AK285" t="b">
        <v>0</v>
      </c>
      <c r="AL285">
        <v>98.13</v>
      </c>
      <c r="AM285" t="b">
        <v>0</v>
      </c>
      <c r="AN285">
        <v>0</v>
      </c>
      <c r="AO285" t="b">
        <v>0</v>
      </c>
      <c r="AP285">
        <v>0</v>
      </c>
      <c r="AQ285">
        <v>2677546.16</v>
      </c>
      <c r="AR285">
        <v>2677546.16</v>
      </c>
      <c r="AS285">
        <v>0</v>
      </c>
      <c r="AT285" t="b">
        <v>0</v>
      </c>
      <c r="AU285" t="b">
        <v>1</v>
      </c>
      <c r="AV285" t="b">
        <v>1</v>
      </c>
      <c r="AW285" t="b">
        <v>1</v>
      </c>
      <c r="BC285" t="str">
        <f t="shared" si="4"/>
        <v>Normal</v>
      </c>
    </row>
    <row r="286" spans="1:55" x14ac:dyDescent="0.2">
      <c r="A286" t="s">
        <v>39</v>
      </c>
      <c r="B286" t="s">
        <v>40</v>
      </c>
      <c r="C286">
        <v>20210101</v>
      </c>
      <c r="D286">
        <v>2021</v>
      </c>
      <c r="E286">
        <v>52</v>
      </c>
      <c r="F286" t="s">
        <v>333</v>
      </c>
      <c r="G286">
        <v>191</v>
      </c>
      <c r="H286" t="s">
        <v>108</v>
      </c>
      <c r="I286" t="s">
        <v>109</v>
      </c>
      <c r="J286" t="s">
        <v>44</v>
      </c>
      <c r="K286" t="s">
        <v>45</v>
      </c>
      <c r="L286">
        <v>0</v>
      </c>
      <c r="M286" t="s">
        <v>46</v>
      </c>
      <c r="N286" t="s">
        <v>47</v>
      </c>
      <c r="O286">
        <v>0</v>
      </c>
      <c r="P286" t="s">
        <v>46</v>
      </c>
      <c r="Q286" t="s">
        <v>47</v>
      </c>
      <c r="R286" t="s">
        <v>48</v>
      </c>
      <c r="S286" t="s">
        <v>49</v>
      </c>
      <c r="T286" t="b">
        <v>1</v>
      </c>
      <c r="U286" t="s">
        <v>50</v>
      </c>
      <c r="V286" t="s">
        <v>51</v>
      </c>
      <c r="W286">
        <v>4</v>
      </c>
      <c r="X286" t="b">
        <v>0</v>
      </c>
      <c r="Y286" t="s">
        <v>52</v>
      </c>
      <c r="Z286" t="s">
        <v>53</v>
      </c>
      <c r="AA286" t="s">
        <v>54</v>
      </c>
      <c r="AB286">
        <v>0</v>
      </c>
      <c r="AC286" t="s">
        <v>55</v>
      </c>
      <c r="AD286">
        <v>8</v>
      </c>
      <c r="AE286" t="s">
        <v>56</v>
      </c>
      <c r="AF286">
        <v>3420.596</v>
      </c>
      <c r="AG286" t="b">
        <v>0</v>
      </c>
      <c r="AH286">
        <v>15</v>
      </c>
      <c r="AI286" t="s">
        <v>59</v>
      </c>
      <c r="AJ286">
        <v>3420596.26</v>
      </c>
      <c r="AK286" t="b">
        <v>0</v>
      </c>
      <c r="AL286">
        <v>3427.83</v>
      </c>
      <c r="AM286" t="b">
        <v>0</v>
      </c>
      <c r="AN286">
        <v>0</v>
      </c>
      <c r="AO286" t="b">
        <v>0</v>
      </c>
      <c r="AP286">
        <v>0</v>
      </c>
      <c r="AQ286">
        <v>98653279</v>
      </c>
      <c r="AR286">
        <v>98653279</v>
      </c>
      <c r="AS286">
        <v>0</v>
      </c>
      <c r="AT286" t="b">
        <v>0</v>
      </c>
      <c r="AU286" t="b">
        <v>1</v>
      </c>
      <c r="AV286" t="b">
        <v>1</v>
      </c>
      <c r="AW286" t="b">
        <v>1</v>
      </c>
      <c r="BC286" t="str">
        <f t="shared" si="4"/>
        <v>Normal</v>
      </c>
    </row>
    <row r="287" spans="1:55" x14ac:dyDescent="0.2">
      <c r="A287" t="s">
        <v>39</v>
      </c>
      <c r="B287" t="s">
        <v>40</v>
      </c>
      <c r="C287">
        <v>20210101</v>
      </c>
      <c r="D287">
        <v>2021</v>
      </c>
      <c r="E287">
        <v>52</v>
      </c>
      <c r="F287" t="s">
        <v>333</v>
      </c>
      <c r="G287">
        <v>196</v>
      </c>
      <c r="H287" t="s">
        <v>112</v>
      </c>
      <c r="I287" t="s">
        <v>113</v>
      </c>
      <c r="J287" t="s">
        <v>44</v>
      </c>
      <c r="K287" t="s">
        <v>45</v>
      </c>
      <c r="L287">
        <v>0</v>
      </c>
      <c r="M287" t="s">
        <v>46</v>
      </c>
      <c r="N287" t="s">
        <v>47</v>
      </c>
      <c r="O287">
        <v>0</v>
      </c>
      <c r="P287" t="s">
        <v>46</v>
      </c>
      <c r="Q287" t="s">
        <v>47</v>
      </c>
      <c r="R287" t="s">
        <v>48</v>
      </c>
      <c r="S287" t="s">
        <v>49</v>
      </c>
      <c r="T287" t="b">
        <v>1</v>
      </c>
      <c r="U287" t="s">
        <v>50</v>
      </c>
      <c r="V287" t="s">
        <v>51</v>
      </c>
      <c r="W287">
        <v>4</v>
      </c>
      <c r="X287" t="b">
        <v>0</v>
      </c>
      <c r="Y287" t="s">
        <v>52</v>
      </c>
      <c r="Z287" t="s">
        <v>53</v>
      </c>
      <c r="AA287" t="s">
        <v>54</v>
      </c>
      <c r="AB287">
        <v>0</v>
      </c>
      <c r="AC287" t="s">
        <v>55</v>
      </c>
      <c r="AD287">
        <v>-1</v>
      </c>
      <c r="AE287" t="s">
        <v>64</v>
      </c>
      <c r="AF287">
        <v>0</v>
      </c>
      <c r="AG287" t="b">
        <v>0</v>
      </c>
      <c r="AH287">
        <v>15</v>
      </c>
      <c r="AI287" t="s">
        <v>59</v>
      </c>
      <c r="AJ287">
        <v>366625</v>
      </c>
      <c r="AK287" t="b">
        <v>0</v>
      </c>
      <c r="AL287">
        <v>394</v>
      </c>
      <c r="AM287" t="b">
        <v>0</v>
      </c>
      <c r="AN287">
        <v>0</v>
      </c>
      <c r="AO287" t="b">
        <v>0</v>
      </c>
      <c r="AQ287">
        <v>19749662.629999999</v>
      </c>
      <c r="AR287">
        <v>19749662.629999999</v>
      </c>
      <c r="AS287">
        <v>0</v>
      </c>
      <c r="AT287" t="b">
        <v>0</v>
      </c>
      <c r="AU287" t="b">
        <v>1</v>
      </c>
      <c r="AV287" t="b">
        <v>1</v>
      </c>
      <c r="AW287" t="b">
        <v>1</v>
      </c>
      <c r="BC287" t="str">
        <f t="shared" si="4"/>
        <v>Normal</v>
      </c>
    </row>
    <row r="288" spans="1:55" x14ac:dyDescent="0.2">
      <c r="A288" t="s">
        <v>39</v>
      </c>
      <c r="B288" t="s">
        <v>40</v>
      </c>
      <c r="C288">
        <v>20210101</v>
      </c>
      <c r="D288">
        <v>2021</v>
      </c>
      <c r="E288">
        <v>52</v>
      </c>
      <c r="F288" t="s">
        <v>333</v>
      </c>
      <c r="G288">
        <v>203</v>
      </c>
      <c r="H288" t="s">
        <v>114</v>
      </c>
      <c r="I288" t="s">
        <v>115</v>
      </c>
      <c r="J288" t="s">
        <v>44</v>
      </c>
      <c r="K288" t="s">
        <v>45</v>
      </c>
      <c r="L288">
        <v>0</v>
      </c>
      <c r="M288" t="s">
        <v>46</v>
      </c>
      <c r="N288" t="s">
        <v>47</v>
      </c>
      <c r="O288">
        <v>0</v>
      </c>
      <c r="P288" t="s">
        <v>46</v>
      </c>
      <c r="Q288" t="s">
        <v>47</v>
      </c>
      <c r="R288" t="s">
        <v>48</v>
      </c>
      <c r="S288" t="s">
        <v>49</v>
      </c>
      <c r="T288" t="b">
        <v>1</v>
      </c>
      <c r="U288" t="s">
        <v>50</v>
      </c>
      <c r="V288" t="s">
        <v>51</v>
      </c>
      <c r="W288">
        <v>4</v>
      </c>
      <c r="X288" t="b">
        <v>0</v>
      </c>
      <c r="Y288" t="s">
        <v>52</v>
      </c>
      <c r="Z288" t="s">
        <v>53</v>
      </c>
      <c r="AA288" t="s">
        <v>54</v>
      </c>
      <c r="AB288">
        <v>0</v>
      </c>
      <c r="AC288" t="s">
        <v>55</v>
      </c>
      <c r="AD288">
        <v>-1</v>
      </c>
      <c r="AE288" t="s">
        <v>64</v>
      </c>
      <c r="AF288">
        <v>0</v>
      </c>
      <c r="AG288" t="b">
        <v>0</v>
      </c>
      <c r="AH288">
        <v>-1</v>
      </c>
      <c r="AI288" t="s">
        <v>64</v>
      </c>
      <c r="AJ288">
        <v>0</v>
      </c>
      <c r="AK288" t="b">
        <v>0</v>
      </c>
      <c r="AL288">
        <v>0</v>
      </c>
      <c r="AM288" t="b">
        <v>0</v>
      </c>
      <c r="AN288">
        <v>0</v>
      </c>
      <c r="AO288" t="b">
        <v>0</v>
      </c>
      <c r="AP288">
        <v>0</v>
      </c>
      <c r="AQ288">
        <v>55630612</v>
      </c>
      <c r="AR288">
        <v>55630612</v>
      </c>
      <c r="AS288">
        <v>0</v>
      </c>
      <c r="AT288" t="b">
        <v>0</v>
      </c>
      <c r="AU288" t="b">
        <v>1</v>
      </c>
      <c r="AV288" t="b">
        <v>1</v>
      </c>
      <c r="AW288" t="b">
        <v>1</v>
      </c>
      <c r="BC288" t="str">
        <f t="shared" si="4"/>
        <v>Normal</v>
      </c>
    </row>
    <row r="289" spans="1:55" x14ac:dyDescent="0.2">
      <c r="A289" t="s">
        <v>39</v>
      </c>
      <c r="B289" t="s">
        <v>40</v>
      </c>
      <c r="C289">
        <v>20210101</v>
      </c>
      <c r="D289">
        <v>2021</v>
      </c>
      <c r="E289">
        <v>52</v>
      </c>
      <c r="F289" t="s">
        <v>333</v>
      </c>
      <c r="G289">
        <v>204</v>
      </c>
      <c r="H289" t="s">
        <v>116</v>
      </c>
      <c r="I289" t="s">
        <v>117</v>
      </c>
      <c r="J289" t="s">
        <v>44</v>
      </c>
      <c r="K289" t="s">
        <v>45</v>
      </c>
      <c r="L289">
        <v>0</v>
      </c>
      <c r="M289" t="s">
        <v>46</v>
      </c>
      <c r="N289" t="s">
        <v>47</v>
      </c>
      <c r="O289">
        <v>0</v>
      </c>
      <c r="P289" t="s">
        <v>46</v>
      </c>
      <c r="Q289" t="s">
        <v>47</v>
      </c>
      <c r="R289" t="s">
        <v>48</v>
      </c>
      <c r="S289" t="s">
        <v>49</v>
      </c>
      <c r="T289" t="b">
        <v>1</v>
      </c>
      <c r="U289" t="s">
        <v>50</v>
      </c>
      <c r="V289" t="s">
        <v>51</v>
      </c>
      <c r="W289">
        <v>4</v>
      </c>
      <c r="X289" t="b">
        <v>0</v>
      </c>
      <c r="Y289" t="s">
        <v>52</v>
      </c>
      <c r="Z289" t="s">
        <v>53</v>
      </c>
      <c r="AA289" t="s">
        <v>54</v>
      </c>
      <c r="AB289">
        <v>0</v>
      </c>
      <c r="AC289" t="s">
        <v>55</v>
      </c>
      <c r="AD289">
        <v>-1</v>
      </c>
      <c r="AE289" t="s">
        <v>64</v>
      </c>
      <c r="AF289">
        <v>0</v>
      </c>
      <c r="AG289" t="b">
        <v>0</v>
      </c>
      <c r="AH289">
        <v>-1</v>
      </c>
      <c r="AI289" t="s">
        <v>64</v>
      </c>
      <c r="AJ289">
        <v>0</v>
      </c>
      <c r="AK289" t="b">
        <v>0</v>
      </c>
      <c r="AM289" t="b">
        <v>0</v>
      </c>
      <c r="AN289">
        <v>0</v>
      </c>
      <c r="AO289" t="b">
        <v>0</v>
      </c>
      <c r="AQ289">
        <v>15481736.687999999</v>
      </c>
      <c r="AR289">
        <v>15481736.687999999</v>
      </c>
      <c r="AS289">
        <v>0</v>
      </c>
      <c r="AT289" t="b">
        <v>0</v>
      </c>
      <c r="AU289" t="b">
        <v>1</v>
      </c>
      <c r="AV289" t="b">
        <v>1</v>
      </c>
      <c r="AW289" t="b">
        <v>1</v>
      </c>
      <c r="BC289" t="str">
        <f t="shared" si="4"/>
        <v>Normal</v>
      </c>
    </row>
    <row r="290" spans="1:55" x14ac:dyDescent="0.2">
      <c r="A290" t="s">
        <v>39</v>
      </c>
      <c r="B290" t="s">
        <v>40</v>
      </c>
      <c r="C290">
        <v>20210101</v>
      </c>
      <c r="D290">
        <v>2021</v>
      </c>
      <c r="E290">
        <v>52</v>
      </c>
      <c r="F290" t="s">
        <v>333</v>
      </c>
      <c r="G290">
        <v>208</v>
      </c>
      <c r="H290" t="s">
        <v>118</v>
      </c>
      <c r="I290" t="s">
        <v>119</v>
      </c>
      <c r="J290" t="s">
        <v>44</v>
      </c>
      <c r="K290" t="s">
        <v>45</v>
      </c>
      <c r="L290">
        <v>0</v>
      </c>
      <c r="M290" t="s">
        <v>46</v>
      </c>
      <c r="N290" t="s">
        <v>47</v>
      </c>
      <c r="O290">
        <v>0</v>
      </c>
      <c r="P290" t="s">
        <v>46</v>
      </c>
      <c r="Q290" t="s">
        <v>47</v>
      </c>
      <c r="R290" t="s">
        <v>48</v>
      </c>
      <c r="S290" t="s">
        <v>49</v>
      </c>
      <c r="T290" t="b">
        <v>1</v>
      </c>
      <c r="U290" t="s">
        <v>50</v>
      </c>
      <c r="V290" t="s">
        <v>51</v>
      </c>
      <c r="W290">
        <v>4</v>
      </c>
      <c r="X290" t="b">
        <v>0</v>
      </c>
      <c r="Y290" t="s">
        <v>52</v>
      </c>
      <c r="Z290" t="s">
        <v>53</v>
      </c>
      <c r="AA290" t="s">
        <v>54</v>
      </c>
      <c r="AB290">
        <v>0</v>
      </c>
      <c r="AC290" t="s">
        <v>55</v>
      </c>
      <c r="AD290">
        <v>8</v>
      </c>
      <c r="AE290" t="s">
        <v>56</v>
      </c>
      <c r="AF290">
        <v>372.25700000000001</v>
      </c>
      <c r="AG290" t="b">
        <v>0</v>
      </c>
      <c r="AH290">
        <v>15</v>
      </c>
      <c r="AI290" t="s">
        <v>59</v>
      </c>
      <c r="AJ290">
        <v>372257</v>
      </c>
      <c r="AK290" t="b">
        <v>0</v>
      </c>
      <c r="AL290">
        <v>513.35400000000004</v>
      </c>
      <c r="AM290" t="b">
        <v>0</v>
      </c>
      <c r="AN290">
        <v>0</v>
      </c>
      <c r="AO290" t="b">
        <v>0</v>
      </c>
      <c r="AQ290">
        <v>19768026.693</v>
      </c>
      <c r="AR290">
        <v>19768026.693</v>
      </c>
      <c r="AS290">
        <v>0</v>
      </c>
      <c r="AT290" t="b">
        <v>0</v>
      </c>
      <c r="AU290" t="b">
        <v>1</v>
      </c>
      <c r="AV290" t="b">
        <v>1</v>
      </c>
      <c r="AW290" t="b">
        <v>1</v>
      </c>
      <c r="BC290" t="str">
        <f t="shared" si="4"/>
        <v>Normal</v>
      </c>
    </row>
    <row r="291" spans="1:55" x14ac:dyDescent="0.2">
      <c r="A291" t="s">
        <v>39</v>
      </c>
      <c r="B291" t="s">
        <v>40</v>
      </c>
      <c r="C291">
        <v>20210101</v>
      </c>
      <c r="D291">
        <v>2021</v>
      </c>
      <c r="E291">
        <v>52</v>
      </c>
      <c r="F291" t="s">
        <v>333</v>
      </c>
      <c r="G291">
        <v>214</v>
      </c>
      <c r="H291" t="s">
        <v>120</v>
      </c>
      <c r="I291" t="s">
        <v>121</v>
      </c>
      <c r="J291" t="s">
        <v>44</v>
      </c>
      <c r="K291" t="s">
        <v>45</v>
      </c>
      <c r="L291">
        <v>0</v>
      </c>
      <c r="M291" t="s">
        <v>46</v>
      </c>
      <c r="N291" t="s">
        <v>47</v>
      </c>
      <c r="O291">
        <v>0</v>
      </c>
      <c r="P291" t="s">
        <v>46</v>
      </c>
      <c r="Q291" t="s">
        <v>47</v>
      </c>
      <c r="R291" t="s">
        <v>48</v>
      </c>
      <c r="S291" t="s">
        <v>49</v>
      </c>
      <c r="T291" t="b">
        <v>1</v>
      </c>
      <c r="U291" t="s">
        <v>50</v>
      </c>
      <c r="V291" t="s">
        <v>51</v>
      </c>
      <c r="W291">
        <v>4</v>
      </c>
      <c r="X291" t="b">
        <v>0</v>
      </c>
      <c r="Y291" t="s">
        <v>52</v>
      </c>
      <c r="Z291" t="s">
        <v>53</v>
      </c>
      <c r="AA291" t="s">
        <v>54</v>
      </c>
      <c r="AB291">
        <v>0</v>
      </c>
      <c r="AC291" t="s">
        <v>55</v>
      </c>
      <c r="AD291">
        <v>8</v>
      </c>
      <c r="AE291" t="s">
        <v>56</v>
      </c>
      <c r="AF291">
        <v>110672.94</v>
      </c>
      <c r="AG291" t="b">
        <v>1</v>
      </c>
      <c r="AH291">
        <v>-1</v>
      </c>
      <c r="AI291" t="s">
        <v>64</v>
      </c>
      <c r="AJ291">
        <v>0</v>
      </c>
      <c r="AK291" t="b">
        <v>0</v>
      </c>
      <c r="AL291" s="1">
        <v>113788.052</v>
      </c>
      <c r="AM291" t="b">
        <v>1</v>
      </c>
      <c r="AN291">
        <v>0</v>
      </c>
      <c r="AO291" t="b">
        <v>0</v>
      </c>
      <c r="AQ291">
        <v>1747981628.158</v>
      </c>
      <c r="AR291">
        <v>1747981628.158</v>
      </c>
      <c r="AS291">
        <v>6</v>
      </c>
      <c r="AT291" t="b">
        <v>0</v>
      </c>
      <c r="AU291" t="b">
        <v>1</v>
      </c>
      <c r="AV291" t="b">
        <v>1</v>
      </c>
      <c r="AW291" t="b">
        <v>1</v>
      </c>
      <c r="BC291" t="str">
        <f t="shared" si="4"/>
        <v>Outlier</v>
      </c>
    </row>
    <row r="292" spans="1:55" x14ac:dyDescent="0.2">
      <c r="A292" t="s">
        <v>39</v>
      </c>
      <c r="B292" t="s">
        <v>40</v>
      </c>
      <c r="C292">
        <v>20210101</v>
      </c>
      <c r="D292">
        <v>2021</v>
      </c>
      <c r="E292">
        <v>52</v>
      </c>
      <c r="F292" t="s">
        <v>333</v>
      </c>
      <c r="G292">
        <v>218</v>
      </c>
      <c r="H292" t="s">
        <v>122</v>
      </c>
      <c r="I292" t="s">
        <v>123</v>
      </c>
      <c r="J292" t="s">
        <v>44</v>
      </c>
      <c r="K292" t="s">
        <v>45</v>
      </c>
      <c r="L292">
        <v>0</v>
      </c>
      <c r="M292" t="s">
        <v>46</v>
      </c>
      <c r="N292" t="s">
        <v>47</v>
      </c>
      <c r="O292">
        <v>0</v>
      </c>
      <c r="P292" t="s">
        <v>46</v>
      </c>
      <c r="Q292" t="s">
        <v>47</v>
      </c>
      <c r="R292" t="s">
        <v>48</v>
      </c>
      <c r="S292" t="s">
        <v>49</v>
      </c>
      <c r="T292" t="b">
        <v>1</v>
      </c>
      <c r="U292" t="s">
        <v>50</v>
      </c>
      <c r="V292" t="s">
        <v>51</v>
      </c>
      <c r="W292">
        <v>4</v>
      </c>
      <c r="X292" t="b">
        <v>0</v>
      </c>
      <c r="Y292" t="s">
        <v>52</v>
      </c>
      <c r="Z292" t="s">
        <v>53</v>
      </c>
      <c r="AA292" t="s">
        <v>54</v>
      </c>
      <c r="AB292">
        <v>0</v>
      </c>
      <c r="AC292" t="s">
        <v>55</v>
      </c>
      <c r="AD292">
        <v>8</v>
      </c>
      <c r="AE292" t="s">
        <v>56</v>
      </c>
      <c r="AF292">
        <v>11718.527</v>
      </c>
      <c r="AG292" t="b">
        <v>0</v>
      </c>
      <c r="AH292">
        <v>8</v>
      </c>
      <c r="AI292" t="s">
        <v>56</v>
      </c>
      <c r="AJ292">
        <v>11718.527</v>
      </c>
      <c r="AK292" t="b">
        <v>0</v>
      </c>
      <c r="AL292">
        <v>11718.527</v>
      </c>
      <c r="AM292" t="b">
        <v>0</v>
      </c>
      <c r="AN292">
        <v>0</v>
      </c>
      <c r="AO292" t="b">
        <v>0</v>
      </c>
      <c r="AP292">
        <v>0</v>
      </c>
      <c r="AQ292">
        <v>572623466.29999995</v>
      </c>
      <c r="AR292">
        <v>572623466.29999995</v>
      </c>
      <c r="AS292">
        <v>0</v>
      </c>
      <c r="AT292" t="b">
        <v>0</v>
      </c>
      <c r="AU292" t="b">
        <v>1</v>
      </c>
      <c r="AV292" t="b">
        <v>1</v>
      </c>
      <c r="AW292" t="b">
        <v>1</v>
      </c>
      <c r="BC292" t="str">
        <f t="shared" si="4"/>
        <v>Normal</v>
      </c>
    </row>
    <row r="293" spans="1:55" x14ac:dyDescent="0.2">
      <c r="A293" t="s">
        <v>39</v>
      </c>
      <c r="B293" t="s">
        <v>40</v>
      </c>
      <c r="C293">
        <v>20210101</v>
      </c>
      <c r="D293">
        <v>2021</v>
      </c>
      <c r="E293">
        <v>52</v>
      </c>
      <c r="F293" t="s">
        <v>333</v>
      </c>
      <c r="G293">
        <v>222</v>
      </c>
      <c r="H293" t="s">
        <v>319</v>
      </c>
      <c r="I293" t="s">
        <v>320</v>
      </c>
      <c r="J293" t="s">
        <v>44</v>
      </c>
      <c r="K293" t="s">
        <v>45</v>
      </c>
      <c r="L293">
        <v>0</v>
      </c>
      <c r="M293" t="s">
        <v>46</v>
      </c>
      <c r="N293" t="s">
        <v>47</v>
      </c>
      <c r="O293">
        <v>0</v>
      </c>
      <c r="P293" t="s">
        <v>46</v>
      </c>
      <c r="Q293" t="s">
        <v>47</v>
      </c>
      <c r="R293" t="s">
        <v>48</v>
      </c>
      <c r="S293" t="s">
        <v>49</v>
      </c>
      <c r="T293" t="b">
        <v>1</v>
      </c>
      <c r="U293" t="s">
        <v>50</v>
      </c>
      <c r="V293" t="s">
        <v>51</v>
      </c>
      <c r="W293">
        <v>4</v>
      </c>
      <c r="X293" t="b">
        <v>0</v>
      </c>
      <c r="Y293" t="s">
        <v>52</v>
      </c>
      <c r="Z293" t="s">
        <v>53</v>
      </c>
      <c r="AA293" t="s">
        <v>54</v>
      </c>
      <c r="AB293">
        <v>0</v>
      </c>
      <c r="AC293" t="s">
        <v>55</v>
      </c>
      <c r="AD293">
        <v>-1</v>
      </c>
      <c r="AE293" t="s">
        <v>64</v>
      </c>
      <c r="AF293">
        <v>0</v>
      </c>
      <c r="AG293" t="b">
        <v>0</v>
      </c>
      <c r="AH293">
        <v>-1</v>
      </c>
      <c r="AI293" t="s">
        <v>64</v>
      </c>
      <c r="AJ293">
        <v>0</v>
      </c>
      <c r="AK293" t="b">
        <v>0</v>
      </c>
      <c r="AL293">
        <v>0</v>
      </c>
      <c r="AM293" t="b">
        <v>0</v>
      </c>
      <c r="AN293">
        <v>0</v>
      </c>
      <c r="AO293" t="b">
        <v>0</v>
      </c>
      <c r="AP293">
        <v>0</v>
      </c>
      <c r="AQ293">
        <v>90949.5</v>
      </c>
      <c r="AR293">
        <v>90949.5</v>
      </c>
      <c r="AS293">
        <v>0</v>
      </c>
      <c r="AT293" t="b">
        <v>0</v>
      </c>
      <c r="AU293" t="b">
        <v>1</v>
      </c>
      <c r="AV293" t="b">
        <v>1</v>
      </c>
      <c r="AW293" t="b">
        <v>1</v>
      </c>
      <c r="BC293" t="str">
        <f t="shared" si="4"/>
        <v>Normal</v>
      </c>
    </row>
    <row r="294" spans="1:55" x14ac:dyDescent="0.2">
      <c r="A294" t="s">
        <v>39</v>
      </c>
      <c r="B294" t="s">
        <v>40</v>
      </c>
      <c r="C294">
        <v>20210101</v>
      </c>
      <c r="D294">
        <v>2021</v>
      </c>
      <c r="E294">
        <v>52</v>
      </c>
      <c r="F294" t="s">
        <v>333</v>
      </c>
      <c r="G294">
        <v>233</v>
      </c>
      <c r="H294" t="s">
        <v>124</v>
      </c>
      <c r="I294" t="s">
        <v>125</v>
      </c>
      <c r="J294" t="s">
        <v>44</v>
      </c>
      <c r="K294" t="s">
        <v>45</v>
      </c>
      <c r="L294">
        <v>0</v>
      </c>
      <c r="M294" t="s">
        <v>46</v>
      </c>
      <c r="N294" t="s">
        <v>47</v>
      </c>
      <c r="O294">
        <v>0</v>
      </c>
      <c r="P294" t="s">
        <v>46</v>
      </c>
      <c r="Q294" t="s">
        <v>47</v>
      </c>
      <c r="R294" t="s">
        <v>48</v>
      </c>
      <c r="S294" t="s">
        <v>49</v>
      </c>
      <c r="T294" t="b">
        <v>1</v>
      </c>
      <c r="U294" t="s">
        <v>50</v>
      </c>
      <c r="V294" t="s">
        <v>51</v>
      </c>
      <c r="W294">
        <v>4</v>
      </c>
      <c r="X294" t="b">
        <v>0</v>
      </c>
      <c r="Y294" t="s">
        <v>52</v>
      </c>
      <c r="Z294" t="s">
        <v>53</v>
      </c>
      <c r="AA294" t="s">
        <v>54</v>
      </c>
      <c r="AB294">
        <v>0</v>
      </c>
      <c r="AC294" t="s">
        <v>55</v>
      </c>
      <c r="AD294">
        <v>8</v>
      </c>
      <c r="AE294" t="s">
        <v>56</v>
      </c>
      <c r="AF294">
        <v>2330.3090000000002</v>
      </c>
      <c r="AG294" t="b">
        <v>0</v>
      </c>
      <c r="AH294">
        <v>15</v>
      </c>
      <c r="AI294" t="s">
        <v>59</v>
      </c>
      <c r="AJ294">
        <v>2330309.0279999999</v>
      </c>
      <c r="AK294" t="b">
        <v>0</v>
      </c>
      <c r="AL294">
        <v>2330.317</v>
      </c>
      <c r="AM294" t="b">
        <v>0</v>
      </c>
      <c r="AN294">
        <v>0</v>
      </c>
      <c r="AO294" t="b">
        <v>0</v>
      </c>
      <c r="AQ294">
        <v>135102364.5</v>
      </c>
      <c r="AR294">
        <v>135102364.5</v>
      </c>
      <c r="AS294">
        <v>0</v>
      </c>
      <c r="AT294" t="b">
        <v>0</v>
      </c>
      <c r="AU294" t="b">
        <v>1</v>
      </c>
      <c r="AV294" t="b">
        <v>1</v>
      </c>
      <c r="AW294" t="b">
        <v>1</v>
      </c>
      <c r="BC294" t="str">
        <f t="shared" si="4"/>
        <v>Normal</v>
      </c>
    </row>
    <row r="295" spans="1:55" x14ac:dyDescent="0.2">
      <c r="A295" t="s">
        <v>39</v>
      </c>
      <c r="B295" t="s">
        <v>40</v>
      </c>
      <c r="C295">
        <v>20210101</v>
      </c>
      <c r="D295">
        <v>2021</v>
      </c>
      <c r="E295">
        <v>52</v>
      </c>
      <c r="F295" t="s">
        <v>333</v>
      </c>
      <c r="G295">
        <v>242</v>
      </c>
      <c r="H295" t="s">
        <v>126</v>
      </c>
      <c r="I295" t="s">
        <v>127</v>
      </c>
      <c r="J295" t="s">
        <v>44</v>
      </c>
      <c r="K295" t="s">
        <v>45</v>
      </c>
      <c r="L295">
        <v>0</v>
      </c>
      <c r="M295" t="s">
        <v>46</v>
      </c>
      <c r="N295" t="s">
        <v>47</v>
      </c>
      <c r="O295">
        <v>0</v>
      </c>
      <c r="P295" t="s">
        <v>46</v>
      </c>
      <c r="Q295" t="s">
        <v>47</v>
      </c>
      <c r="R295" t="s">
        <v>48</v>
      </c>
      <c r="S295" t="s">
        <v>49</v>
      </c>
      <c r="T295" t="b">
        <v>1</v>
      </c>
      <c r="U295" t="s">
        <v>50</v>
      </c>
      <c r="V295" t="s">
        <v>51</v>
      </c>
      <c r="W295">
        <v>4</v>
      </c>
      <c r="X295" t="b">
        <v>0</v>
      </c>
      <c r="Y295" t="s">
        <v>52</v>
      </c>
      <c r="Z295" t="s">
        <v>53</v>
      </c>
      <c r="AA295" t="s">
        <v>54</v>
      </c>
      <c r="AB295">
        <v>0</v>
      </c>
      <c r="AC295" t="s">
        <v>55</v>
      </c>
      <c r="AD295">
        <v>8</v>
      </c>
      <c r="AE295" t="s">
        <v>56</v>
      </c>
      <c r="AF295">
        <v>1028.5899999999999</v>
      </c>
      <c r="AG295" t="b">
        <v>0</v>
      </c>
      <c r="AH295">
        <v>8</v>
      </c>
      <c r="AI295" t="s">
        <v>56</v>
      </c>
      <c r="AJ295">
        <v>1028.5899999999999</v>
      </c>
      <c r="AK295" t="b">
        <v>0</v>
      </c>
      <c r="AL295">
        <v>1028.5899999999999</v>
      </c>
      <c r="AM295" t="b">
        <v>0</v>
      </c>
      <c r="AN295">
        <v>0</v>
      </c>
      <c r="AO295" t="b">
        <v>0</v>
      </c>
      <c r="AP295">
        <v>0</v>
      </c>
      <c r="AQ295">
        <v>58357886.622000001</v>
      </c>
      <c r="AR295">
        <v>58357886.622000001</v>
      </c>
      <c r="AS295">
        <v>0</v>
      </c>
      <c r="AT295" t="b">
        <v>0</v>
      </c>
      <c r="AU295" t="b">
        <v>1</v>
      </c>
      <c r="AV295" t="b">
        <v>1</v>
      </c>
      <c r="AW295" t="b">
        <v>1</v>
      </c>
      <c r="BC295" t="str">
        <f t="shared" si="4"/>
        <v>Normal</v>
      </c>
    </row>
    <row r="296" spans="1:55" x14ac:dyDescent="0.2">
      <c r="A296" t="s">
        <v>39</v>
      </c>
      <c r="B296" t="s">
        <v>40</v>
      </c>
      <c r="C296">
        <v>20210101</v>
      </c>
      <c r="D296">
        <v>2021</v>
      </c>
      <c r="E296">
        <v>52</v>
      </c>
      <c r="F296" t="s">
        <v>333</v>
      </c>
      <c r="G296">
        <v>246</v>
      </c>
      <c r="H296" t="s">
        <v>128</v>
      </c>
      <c r="I296" t="s">
        <v>129</v>
      </c>
      <c r="J296" t="s">
        <v>44</v>
      </c>
      <c r="K296" t="s">
        <v>45</v>
      </c>
      <c r="L296">
        <v>0</v>
      </c>
      <c r="M296" t="s">
        <v>46</v>
      </c>
      <c r="N296" t="s">
        <v>47</v>
      </c>
      <c r="O296">
        <v>0</v>
      </c>
      <c r="P296" t="s">
        <v>46</v>
      </c>
      <c r="Q296" t="s">
        <v>47</v>
      </c>
      <c r="R296" t="s">
        <v>48</v>
      </c>
      <c r="S296" t="s">
        <v>49</v>
      </c>
      <c r="T296" t="b">
        <v>1</v>
      </c>
      <c r="U296" t="s">
        <v>50</v>
      </c>
      <c r="V296" t="s">
        <v>51</v>
      </c>
      <c r="W296">
        <v>4</v>
      </c>
      <c r="X296" t="b">
        <v>0</v>
      </c>
      <c r="Y296" t="s">
        <v>52</v>
      </c>
      <c r="Z296" t="s">
        <v>53</v>
      </c>
      <c r="AA296" t="s">
        <v>54</v>
      </c>
      <c r="AB296">
        <v>0</v>
      </c>
      <c r="AC296" t="s">
        <v>55</v>
      </c>
      <c r="AD296">
        <v>8</v>
      </c>
      <c r="AE296" t="s">
        <v>56</v>
      </c>
      <c r="AF296">
        <v>243.02799999999999</v>
      </c>
      <c r="AG296" t="b">
        <v>1</v>
      </c>
      <c r="AH296">
        <v>-1</v>
      </c>
      <c r="AI296" t="s">
        <v>64</v>
      </c>
      <c r="AJ296">
        <v>0</v>
      </c>
      <c r="AK296" t="b">
        <v>0</v>
      </c>
      <c r="AL296">
        <v>256.25299999999999</v>
      </c>
      <c r="AM296" t="b">
        <v>1</v>
      </c>
      <c r="AN296">
        <v>0</v>
      </c>
      <c r="AO296" t="b">
        <v>0</v>
      </c>
      <c r="AP296">
        <v>0</v>
      </c>
      <c r="AQ296">
        <v>13717118.151000001</v>
      </c>
      <c r="AR296">
        <v>13717118.151000001</v>
      </c>
      <c r="AS296">
        <v>6</v>
      </c>
      <c r="AT296" t="b">
        <v>0</v>
      </c>
      <c r="AU296" t="b">
        <v>1</v>
      </c>
      <c r="AV296" t="b">
        <v>1</v>
      </c>
      <c r="AW296" t="b">
        <v>1</v>
      </c>
      <c r="BC296" t="str">
        <f t="shared" si="4"/>
        <v>Normal</v>
      </c>
    </row>
    <row r="297" spans="1:55" x14ac:dyDescent="0.2">
      <c r="A297" t="s">
        <v>39</v>
      </c>
      <c r="B297" t="s">
        <v>40</v>
      </c>
      <c r="C297">
        <v>20210101</v>
      </c>
      <c r="D297">
        <v>2021</v>
      </c>
      <c r="E297">
        <v>52</v>
      </c>
      <c r="F297" t="s">
        <v>333</v>
      </c>
      <c r="G297">
        <v>251</v>
      </c>
      <c r="H297" t="s">
        <v>130</v>
      </c>
      <c r="I297" t="s">
        <v>131</v>
      </c>
      <c r="J297" t="s">
        <v>44</v>
      </c>
      <c r="K297" t="s">
        <v>45</v>
      </c>
      <c r="L297">
        <v>0</v>
      </c>
      <c r="M297" t="s">
        <v>46</v>
      </c>
      <c r="N297" t="s">
        <v>47</v>
      </c>
      <c r="O297">
        <v>0</v>
      </c>
      <c r="P297" t="s">
        <v>46</v>
      </c>
      <c r="Q297" t="s">
        <v>47</v>
      </c>
      <c r="R297" t="s">
        <v>48</v>
      </c>
      <c r="S297" t="s">
        <v>49</v>
      </c>
      <c r="T297" t="b">
        <v>1</v>
      </c>
      <c r="U297" t="s">
        <v>50</v>
      </c>
      <c r="V297" t="s">
        <v>51</v>
      </c>
      <c r="W297">
        <v>4</v>
      </c>
      <c r="X297" t="b">
        <v>0</v>
      </c>
      <c r="Y297" t="s">
        <v>52</v>
      </c>
      <c r="Z297" t="s">
        <v>53</v>
      </c>
      <c r="AA297" t="s">
        <v>54</v>
      </c>
      <c r="AB297">
        <v>0</v>
      </c>
      <c r="AC297" t="s">
        <v>55</v>
      </c>
      <c r="AD297">
        <v>-1</v>
      </c>
      <c r="AE297" t="s">
        <v>64</v>
      </c>
      <c r="AF297">
        <v>0</v>
      </c>
      <c r="AG297" t="b">
        <v>0</v>
      </c>
      <c r="AH297">
        <v>-1</v>
      </c>
      <c r="AI297" t="s">
        <v>64</v>
      </c>
      <c r="AJ297">
        <v>0</v>
      </c>
      <c r="AK297" t="b">
        <v>0</v>
      </c>
      <c r="AM297" t="b">
        <v>0</v>
      </c>
      <c r="AN297">
        <v>0</v>
      </c>
      <c r="AO297" t="b">
        <v>0</v>
      </c>
      <c r="AQ297">
        <v>1631159207.9389999</v>
      </c>
      <c r="AR297">
        <v>1631159207.9389999</v>
      </c>
      <c r="AS297">
        <v>0</v>
      </c>
      <c r="AT297" t="b">
        <v>0</v>
      </c>
      <c r="AU297" t="b">
        <v>1</v>
      </c>
      <c r="AV297" t="b">
        <v>1</v>
      </c>
      <c r="AW297" t="b">
        <v>1</v>
      </c>
      <c r="BC297" t="str">
        <f t="shared" si="4"/>
        <v>Normal</v>
      </c>
    </row>
    <row r="298" spans="1:55" x14ac:dyDescent="0.2">
      <c r="A298" t="s">
        <v>39</v>
      </c>
      <c r="B298" t="s">
        <v>40</v>
      </c>
      <c r="C298">
        <v>20210101</v>
      </c>
      <c r="D298">
        <v>2021</v>
      </c>
      <c r="E298">
        <v>52</v>
      </c>
      <c r="F298" t="s">
        <v>333</v>
      </c>
      <c r="G298">
        <v>258</v>
      </c>
      <c r="H298" t="s">
        <v>132</v>
      </c>
      <c r="I298" t="s">
        <v>133</v>
      </c>
      <c r="J298" t="s">
        <v>44</v>
      </c>
      <c r="K298" t="s">
        <v>45</v>
      </c>
      <c r="L298">
        <v>0</v>
      </c>
      <c r="M298" t="s">
        <v>46</v>
      </c>
      <c r="N298" t="s">
        <v>47</v>
      </c>
      <c r="O298">
        <v>0</v>
      </c>
      <c r="P298" t="s">
        <v>46</v>
      </c>
      <c r="Q298" t="s">
        <v>47</v>
      </c>
      <c r="R298" t="s">
        <v>48</v>
      </c>
      <c r="S298" t="s">
        <v>49</v>
      </c>
      <c r="T298" t="b">
        <v>1</v>
      </c>
      <c r="U298" t="s">
        <v>50</v>
      </c>
      <c r="V298" t="s">
        <v>51</v>
      </c>
      <c r="W298">
        <v>4</v>
      </c>
      <c r="X298" t="b">
        <v>0</v>
      </c>
      <c r="Y298" t="s">
        <v>52</v>
      </c>
      <c r="Z298" t="s">
        <v>53</v>
      </c>
      <c r="AA298" t="s">
        <v>54</v>
      </c>
      <c r="AB298">
        <v>0</v>
      </c>
      <c r="AC298" t="s">
        <v>55</v>
      </c>
      <c r="AD298">
        <v>8</v>
      </c>
      <c r="AE298" t="s">
        <v>56</v>
      </c>
      <c r="AF298">
        <v>16.366</v>
      </c>
      <c r="AG298" t="b">
        <v>0</v>
      </c>
      <c r="AH298">
        <v>15</v>
      </c>
      <c r="AI298" t="s">
        <v>59</v>
      </c>
      <c r="AJ298">
        <v>16366</v>
      </c>
      <c r="AK298" t="b">
        <v>0</v>
      </c>
      <c r="AL298">
        <v>16.366</v>
      </c>
      <c r="AM298" t="b">
        <v>0</v>
      </c>
      <c r="AN298">
        <v>0</v>
      </c>
      <c r="AO298" t="b">
        <v>0</v>
      </c>
      <c r="AQ298">
        <v>448656.37199999997</v>
      </c>
      <c r="AR298">
        <v>448656.37199999997</v>
      </c>
      <c r="AS298">
        <v>0</v>
      </c>
      <c r="AT298" t="b">
        <v>0</v>
      </c>
      <c r="AU298" t="b">
        <v>1</v>
      </c>
      <c r="AV298" t="b">
        <v>1</v>
      </c>
      <c r="AW298" t="b">
        <v>1</v>
      </c>
      <c r="BC298" t="str">
        <f t="shared" si="4"/>
        <v>Normal</v>
      </c>
    </row>
    <row r="299" spans="1:55" x14ac:dyDescent="0.2">
      <c r="A299" t="s">
        <v>39</v>
      </c>
      <c r="B299" t="s">
        <v>40</v>
      </c>
      <c r="C299">
        <v>20210101</v>
      </c>
      <c r="D299">
        <v>2021</v>
      </c>
      <c r="E299">
        <v>52</v>
      </c>
      <c r="F299" t="s">
        <v>333</v>
      </c>
      <c r="G299">
        <v>266</v>
      </c>
      <c r="H299" t="s">
        <v>134</v>
      </c>
      <c r="I299" t="s">
        <v>135</v>
      </c>
      <c r="J299" t="s">
        <v>44</v>
      </c>
      <c r="K299" t="s">
        <v>45</v>
      </c>
      <c r="L299">
        <v>0</v>
      </c>
      <c r="M299" t="s">
        <v>46</v>
      </c>
      <c r="N299" t="s">
        <v>47</v>
      </c>
      <c r="O299">
        <v>0</v>
      </c>
      <c r="P299" t="s">
        <v>46</v>
      </c>
      <c r="Q299" t="s">
        <v>47</v>
      </c>
      <c r="R299" t="s">
        <v>48</v>
      </c>
      <c r="S299" t="s">
        <v>49</v>
      </c>
      <c r="T299" t="b">
        <v>1</v>
      </c>
      <c r="U299" t="s">
        <v>50</v>
      </c>
      <c r="V299" t="s">
        <v>51</v>
      </c>
      <c r="W299">
        <v>4</v>
      </c>
      <c r="X299" t="b">
        <v>0</v>
      </c>
      <c r="Y299" t="s">
        <v>52</v>
      </c>
      <c r="Z299" t="s">
        <v>53</v>
      </c>
      <c r="AA299" t="s">
        <v>54</v>
      </c>
      <c r="AB299">
        <v>0</v>
      </c>
      <c r="AC299" t="s">
        <v>55</v>
      </c>
      <c r="AD299">
        <v>8</v>
      </c>
      <c r="AE299" t="s">
        <v>56</v>
      </c>
      <c r="AF299">
        <v>219</v>
      </c>
      <c r="AG299" t="b">
        <v>0</v>
      </c>
      <c r="AH299">
        <v>8</v>
      </c>
      <c r="AI299" t="s">
        <v>56</v>
      </c>
      <c r="AJ299">
        <v>219</v>
      </c>
      <c r="AK299" t="b">
        <v>0</v>
      </c>
      <c r="AL299">
        <v>219</v>
      </c>
      <c r="AM299" t="b">
        <v>0</v>
      </c>
      <c r="AN299">
        <v>0</v>
      </c>
      <c r="AO299" t="b">
        <v>0</v>
      </c>
      <c r="AQ299">
        <v>15187002.516000001</v>
      </c>
      <c r="AR299">
        <v>15187002.516000001</v>
      </c>
      <c r="AS299">
        <v>0</v>
      </c>
      <c r="AT299" t="b">
        <v>0</v>
      </c>
      <c r="AU299" t="b">
        <v>1</v>
      </c>
      <c r="AV299" t="b">
        <v>1</v>
      </c>
      <c r="AW299" t="b">
        <v>1</v>
      </c>
      <c r="BC299" t="str">
        <f t="shared" si="4"/>
        <v>Normal</v>
      </c>
    </row>
    <row r="300" spans="1:55" x14ac:dyDescent="0.2">
      <c r="A300" t="s">
        <v>39</v>
      </c>
      <c r="B300" t="s">
        <v>40</v>
      </c>
      <c r="C300">
        <v>20210101</v>
      </c>
      <c r="D300">
        <v>2021</v>
      </c>
      <c r="E300">
        <v>52</v>
      </c>
      <c r="F300" t="s">
        <v>333</v>
      </c>
      <c r="G300">
        <v>268</v>
      </c>
      <c r="H300" t="s">
        <v>137</v>
      </c>
      <c r="I300" t="s">
        <v>138</v>
      </c>
      <c r="J300" t="s">
        <v>44</v>
      </c>
      <c r="K300" t="s">
        <v>45</v>
      </c>
      <c r="L300">
        <v>0</v>
      </c>
      <c r="M300" t="s">
        <v>46</v>
      </c>
      <c r="N300" t="s">
        <v>47</v>
      </c>
      <c r="O300">
        <v>0</v>
      </c>
      <c r="P300" t="s">
        <v>46</v>
      </c>
      <c r="Q300" t="s">
        <v>47</v>
      </c>
      <c r="R300" t="s">
        <v>48</v>
      </c>
      <c r="S300" t="s">
        <v>49</v>
      </c>
      <c r="T300" t="b">
        <v>1</v>
      </c>
      <c r="U300" t="s">
        <v>50</v>
      </c>
      <c r="V300" t="s">
        <v>51</v>
      </c>
      <c r="W300">
        <v>4</v>
      </c>
      <c r="X300" t="b">
        <v>0</v>
      </c>
      <c r="Y300" t="s">
        <v>52</v>
      </c>
      <c r="Z300" t="s">
        <v>53</v>
      </c>
      <c r="AA300" t="s">
        <v>54</v>
      </c>
      <c r="AB300">
        <v>0</v>
      </c>
      <c r="AC300" t="s">
        <v>55</v>
      </c>
      <c r="AD300">
        <v>8</v>
      </c>
      <c r="AE300" t="s">
        <v>56</v>
      </c>
      <c r="AF300">
        <v>2106.5709999999999</v>
      </c>
      <c r="AG300" t="b">
        <v>0</v>
      </c>
      <c r="AH300">
        <v>15</v>
      </c>
      <c r="AI300" t="s">
        <v>59</v>
      </c>
      <c r="AJ300">
        <v>2106571</v>
      </c>
      <c r="AK300" t="b">
        <v>0</v>
      </c>
      <c r="AL300">
        <v>2106.52</v>
      </c>
      <c r="AM300" t="b">
        <v>0</v>
      </c>
      <c r="AN300">
        <v>0</v>
      </c>
      <c r="AO300" t="b">
        <v>0</v>
      </c>
      <c r="AQ300">
        <v>64220323.310000002</v>
      </c>
      <c r="AR300">
        <v>64220323.310000002</v>
      </c>
      <c r="AS300">
        <v>0</v>
      </c>
      <c r="AT300" t="b">
        <v>0</v>
      </c>
      <c r="AU300" t="b">
        <v>1</v>
      </c>
      <c r="AV300" t="b">
        <v>1</v>
      </c>
      <c r="AW300" t="b">
        <v>1</v>
      </c>
      <c r="BC300" t="str">
        <f t="shared" si="4"/>
        <v>Normal</v>
      </c>
    </row>
    <row r="301" spans="1:55" x14ac:dyDescent="0.2">
      <c r="A301" t="s">
        <v>39</v>
      </c>
      <c r="B301" t="s">
        <v>40</v>
      </c>
      <c r="C301">
        <v>20210101</v>
      </c>
      <c r="D301">
        <v>2021</v>
      </c>
      <c r="E301">
        <v>52</v>
      </c>
      <c r="F301" t="s">
        <v>333</v>
      </c>
      <c r="G301">
        <v>276</v>
      </c>
      <c r="H301" t="s">
        <v>139</v>
      </c>
      <c r="I301" t="s">
        <v>140</v>
      </c>
      <c r="J301" t="s">
        <v>44</v>
      </c>
      <c r="K301" t="s">
        <v>45</v>
      </c>
      <c r="L301">
        <v>0</v>
      </c>
      <c r="M301" t="s">
        <v>46</v>
      </c>
      <c r="N301" t="s">
        <v>47</v>
      </c>
      <c r="O301">
        <v>0</v>
      </c>
      <c r="P301" t="s">
        <v>46</v>
      </c>
      <c r="Q301" t="s">
        <v>47</v>
      </c>
      <c r="R301" t="s">
        <v>48</v>
      </c>
      <c r="S301" t="s">
        <v>49</v>
      </c>
      <c r="T301" t="b">
        <v>1</v>
      </c>
      <c r="U301" t="s">
        <v>50</v>
      </c>
      <c r="V301" t="s">
        <v>51</v>
      </c>
      <c r="W301">
        <v>4</v>
      </c>
      <c r="X301" t="b">
        <v>0</v>
      </c>
      <c r="Y301" t="s">
        <v>52</v>
      </c>
      <c r="Z301" t="s">
        <v>53</v>
      </c>
      <c r="AA301" t="s">
        <v>54</v>
      </c>
      <c r="AB301">
        <v>0</v>
      </c>
      <c r="AC301" t="s">
        <v>55</v>
      </c>
      <c r="AD301">
        <v>8</v>
      </c>
      <c r="AE301" t="s">
        <v>56</v>
      </c>
      <c r="AF301">
        <v>119258.788</v>
      </c>
      <c r="AG301" t="b">
        <v>1</v>
      </c>
      <c r="AH301">
        <v>-1</v>
      </c>
      <c r="AI301" t="s">
        <v>64</v>
      </c>
      <c r="AJ301">
        <v>0</v>
      </c>
      <c r="AK301" t="b">
        <v>0</v>
      </c>
      <c r="AL301" s="1">
        <v>119189.889</v>
      </c>
      <c r="AM301" t="b">
        <v>1</v>
      </c>
      <c r="AN301">
        <v>0</v>
      </c>
      <c r="AO301" t="b">
        <v>0</v>
      </c>
      <c r="AP301">
        <v>0</v>
      </c>
      <c r="AQ301">
        <v>6065677470.3970003</v>
      </c>
      <c r="AR301">
        <v>6065677470.3970003</v>
      </c>
      <c r="AS301">
        <v>6</v>
      </c>
      <c r="AT301" t="b">
        <v>0</v>
      </c>
      <c r="AU301" t="b">
        <v>1</v>
      </c>
      <c r="AV301" t="b">
        <v>1</v>
      </c>
      <c r="AW301" t="b">
        <v>1</v>
      </c>
      <c r="BC301" t="str">
        <f t="shared" si="4"/>
        <v>Outlier</v>
      </c>
    </row>
    <row r="302" spans="1:55" x14ac:dyDescent="0.2">
      <c r="A302" t="s">
        <v>39</v>
      </c>
      <c r="B302" t="s">
        <v>40</v>
      </c>
      <c r="C302">
        <v>20210101</v>
      </c>
      <c r="D302">
        <v>2021</v>
      </c>
      <c r="E302">
        <v>52</v>
      </c>
      <c r="F302" t="s">
        <v>333</v>
      </c>
      <c r="G302">
        <v>288</v>
      </c>
      <c r="H302" t="s">
        <v>141</v>
      </c>
      <c r="I302" t="s">
        <v>142</v>
      </c>
      <c r="J302" t="s">
        <v>44</v>
      </c>
      <c r="K302" t="s">
        <v>45</v>
      </c>
      <c r="L302">
        <v>0</v>
      </c>
      <c r="M302" t="s">
        <v>46</v>
      </c>
      <c r="N302" t="s">
        <v>47</v>
      </c>
      <c r="O302">
        <v>0</v>
      </c>
      <c r="P302" t="s">
        <v>46</v>
      </c>
      <c r="Q302" t="s">
        <v>47</v>
      </c>
      <c r="R302" t="s">
        <v>48</v>
      </c>
      <c r="S302" t="s">
        <v>49</v>
      </c>
      <c r="T302" t="b">
        <v>1</v>
      </c>
      <c r="U302" t="s">
        <v>50</v>
      </c>
      <c r="V302" t="s">
        <v>51</v>
      </c>
      <c r="W302">
        <v>4</v>
      </c>
      <c r="X302" t="b">
        <v>0</v>
      </c>
      <c r="Y302" t="s">
        <v>52</v>
      </c>
      <c r="Z302" t="s">
        <v>53</v>
      </c>
      <c r="AA302" t="s">
        <v>54</v>
      </c>
      <c r="AB302">
        <v>0</v>
      </c>
      <c r="AC302" t="s">
        <v>55</v>
      </c>
      <c r="AD302">
        <v>8</v>
      </c>
      <c r="AE302" t="s">
        <v>56</v>
      </c>
      <c r="AF302">
        <v>2698822.551</v>
      </c>
      <c r="AG302" t="b">
        <v>0</v>
      </c>
      <c r="AH302">
        <v>8</v>
      </c>
      <c r="AI302" t="s">
        <v>56</v>
      </c>
      <c r="AJ302">
        <v>5822523.0099999998</v>
      </c>
      <c r="AK302" t="b">
        <v>0</v>
      </c>
      <c r="AL302" s="1">
        <v>103016.86500000001</v>
      </c>
      <c r="AM302" t="b">
        <v>0</v>
      </c>
      <c r="AN302">
        <v>0</v>
      </c>
      <c r="AO302" t="b">
        <v>0</v>
      </c>
      <c r="AQ302">
        <v>5123945223.2559996</v>
      </c>
      <c r="AR302">
        <v>5123945223.2559996</v>
      </c>
      <c r="AS302">
        <v>0</v>
      </c>
      <c r="AT302" t="b">
        <v>0</v>
      </c>
      <c r="AU302" t="b">
        <v>1</v>
      </c>
      <c r="AV302" t="b">
        <v>1</v>
      </c>
      <c r="AW302" t="b">
        <v>1</v>
      </c>
      <c r="BC302" t="str">
        <f t="shared" si="4"/>
        <v>Outlier</v>
      </c>
    </row>
    <row r="303" spans="1:55" x14ac:dyDescent="0.2">
      <c r="A303" t="s">
        <v>39</v>
      </c>
      <c r="B303" t="s">
        <v>40</v>
      </c>
      <c r="C303">
        <v>20210101</v>
      </c>
      <c r="D303">
        <v>2021</v>
      </c>
      <c r="E303">
        <v>52</v>
      </c>
      <c r="F303" t="s">
        <v>333</v>
      </c>
      <c r="G303">
        <v>300</v>
      </c>
      <c r="H303" t="s">
        <v>143</v>
      </c>
      <c r="I303" t="s">
        <v>144</v>
      </c>
      <c r="J303" t="s">
        <v>44</v>
      </c>
      <c r="K303" t="s">
        <v>45</v>
      </c>
      <c r="L303">
        <v>0</v>
      </c>
      <c r="M303" t="s">
        <v>46</v>
      </c>
      <c r="N303" t="s">
        <v>47</v>
      </c>
      <c r="O303">
        <v>0</v>
      </c>
      <c r="P303" t="s">
        <v>46</v>
      </c>
      <c r="Q303" t="s">
        <v>47</v>
      </c>
      <c r="R303" t="s">
        <v>48</v>
      </c>
      <c r="S303" t="s">
        <v>49</v>
      </c>
      <c r="T303" t="b">
        <v>1</v>
      </c>
      <c r="U303" t="s">
        <v>50</v>
      </c>
      <c r="V303" t="s">
        <v>51</v>
      </c>
      <c r="W303">
        <v>4</v>
      </c>
      <c r="X303" t="b">
        <v>0</v>
      </c>
      <c r="Y303" t="s">
        <v>52</v>
      </c>
      <c r="Z303" t="s">
        <v>53</v>
      </c>
      <c r="AA303" t="s">
        <v>54</v>
      </c>
      <c r="AB303">
        <v>0</v>
      </c>
      <c r="AC303" t="s">
        <v>55</v>
      </c>
      <c r="AD303">
        <v>-1</v>
      </c>
      <c r="AE303" t="s">
        <v>64</v>
      </c>
      <c r="AF303">
        <v>0</v>
      </c>
      <c r="AG303" t="b">
        <v>0</v>
      </c>
      <c r="AH303">
        <v>15</v>
      </c>
      <c r="AI303" t="s">
        <v>59</v>
      </c>
      <c r="AJ303">
        <v>478235</v>
      </c>
      <c r="AK303" t="b">
        <v>0</v>
      </c>
      <c r="AL303">
        <v>492</v>
      </c>
      <c r="AM303" t="b">
        <v>0</v>
      </c>
      <c r="AN303">
        <v>0</v>
      </c>
      <c r="AO303" t="b">
        <v>0</v>
      </c>
      <c r="AP303">
        <v>0</v>
      </c>
      <c r="AQ303">
        <v>17651100.478</v>
      </c>
      <c r="AR303">
        <v>17651100.478</v>
      </c>
      <c r="AS303">
        <v>0</v>
      </c>
      <c r="AT303" t="b">
        <v>0</v>
      </c>
      <c r="AU303" t="b">
        <v>1</v>
      </c>
      <c r="AV303" t="b">
        <v>1</v>
      </c>
      <c r="AW303" t="b">
        <v>1</v>
      </c>
      <c r="BC303" t="str">
        <f t="shared" si="4"/>
        <v>Normal</v>
      </c>
    </row>
    <row r="304" spans="1:55" x14ac:dyDescent="0.2">
      <c r="A304" t="s">
        <v>39</v>
      </c>
      <c r="B304" t="s">
        <v>40</v>
      </c>
      <c r="C304">
        <v>20210101</v>
      </c>
      <c r="D304">
        <v>2021</v>
      </c>
      <c r="E304">
        <v>52</v>
      </c>
      <c r="F304" t="s">
        <v>333</v>
      </c>
      <c r="G304">
        <v>320</v>
      </c>
      <c r="H304" t="s">
        <v>321</v>
      </c>
      <c r="I304" t="s">
        <v>322</v>
      </c>
      <c r="J304" t="s">
        <v>44</v>
      </c>
      <c r="K304" t="s">
        <v>45</v>
      </c>
      <c r="L304">
        <v>0</v>
      </c>
      <c r="M304" t="s">
        <v>46</v>
      </c>
      <c r="N304" t="s">
        <v>47</v>
      </c>
      <c r="O304">
        <v>0</v>
      </c>
      <c r="P304" t="s">
        <v>46</v>
      </c>
      <c r="Q304" t="s">
        <v>47</v>
      </c>
      <c r="R304" t="s">
        <v>48</v>
      </c>
      <c r="S304" t="s">
        <v>49</v>
      </c>
      <c r="T304" t="b">
        <v>1</v>
      </c>
      <c r="U304" t="s">
        <v>50</v>
      </c>
      <c r="V304" t="s">
        <v>51</v>
      </c>
      <c r="W304">
        <v>4</v>
      </c>
      <c r="X304" t="b">
        <v>0</v>
      </c>
      <c r="Y304" t="s">
        <v>52</v>
      </c>
      <c r="Z304" t="s">
        <v>53</v>
      </c>
      <c r="AA304" t="s">
        <v>54</v>
      </c>
      <c r="AB304">
        <v>0</v>
      </c>
      <c r="AC304" t="s">
        <v>55</v>
      </c>
      <c r="AD304">
        <v>-1</v>
      </c>
      <c r="AE304" t="s">
        <v>64</v>
      </c>
      <c r="AF304">
        <v>0</v>
      </c>
      <c r="AG304" t="b">
        <v>1</v>
      </c>
      <c r="AH304">
        <v>-1</v>
      </c>
      <c r="AI304" t="s">
        <v>64</v>
      </c>
      <c r="AJ304">
        <v>0</v>
      </c>
      <c r="AK304" t="b">
        <v>0</v>
      </c>
      <c r="AL304">
        <v>0</v>
      </c>
      <c r="AM304" t="b">
        <v>1</v>
      </c>
      <c r="AN304">
        <v>0</v>
      </c>
      <c r="AO304" t="b">
        <v>0</v>
      </c>
      <c r="AP304">
        <v>0</v>
      </c>
      <c r="AQ304">
        <v>7300</v>
      </c>
      <c r="AR304">
        <v>7300</v>
      </c>
      <c r="AS304">
        <v>6</v>
      </c>
      <c r="AT304" t="b">
        <v>0</v>
      </c>
      <c r="AU304" t="b">
        <v>1</v>
      </c>
      <c r="AV304" t="b">
        <v>1</v>
      </c>
      <c r="AW304" t="b">
        <v>1</v>
      </c>
      <c r="BC304" t="str">
        <f t="shared" si="4"/>
        <v>Normal</v>
      </c>
    </row>
    <row r="305" spans="1:55" x14ac:dyDescent="0.2">
      <c r="A305" t="s">
        <v>39</v>
      </c>
      <c r="B305" t="s">
        <v>40</v>
      </c>
      <c r="C305">
        <v>20210101</v>
      </c>
      <c r="D305">
        <v>2021</v>
      </c>
      <c r="E305">
        <v>52</v>
      </c>
      <c r="F305" t="s">
        <v>333</v>
      </c>
      <c r="G305">
        <v>328</v>
      </c>
      <c r="H305" t="s">
        <v>145</v>
      </c>
      <c r="I305" t="s">
        <v>146</v>
      </c>
      <c r="J305" t="s">
        <v>44</v>
      </c>
      <c r="K305" t="s">
        <v>45</v>
      </c>
      <c r="L305">
        <v>0</v>
      </c>
      <c r="M305" t="s">
        <v>46</v>
      </c>
      <c r="N305" t="s">
        <v>47</v>
      </c>
      <c r="O305">
        <v>0</v>
      </c>
      <c r="P305" t="s">
        <v>46</v>
      </c>
      <c r="Q305" t="s">
        <v>47</v>
      </c>
      <c r="R305" t="s">
        <v>48</v>
      </c>
      <c r="S305" t="s">
        <v>49</v>
      </c>
      <c r="T305" t="b">
        <v>1</v>
      </c>
      <c r="U305" t="s">
        <v>50</v>
      </c>
      <c r="V305" t="s">
        <v>51</v>
      </c>
      <c r="W305">
        <v>4</v>
      </c>
      <c r="X305" t="b">
        <v>0</v>
      </c>
      <c r="Y305" t="s">
        <v>52</v>
      </c>
      <c r="Z305" t="s">
        <v>53</v>
      </c>
      <c r="AA305" t="s">
        <v>54</v>
      </c>
      <c r="AB305">
        <v>0</v>
      </c>
      <c r="AC305" t="s">
        <v>55</v>
      </c>
      <c r="AD305">
        <v>8</v>
      </c>
      <c r="AE305" t="s">
        <v>56</v>
      </c>
      <c r="AF305">
        <v>31278.52</v>
      </c>
      <c r="AG305" t="b">
        <v>0</v>
      </c>
      <c r="AH305">
        <v>8</v>
      </c>
      <c r="AI305" t="s">
        <v>56</v>
      </c>
      <c r="AJ305">
        <v>31278.52</v>
      </c>
      <c r="AK305" t="b">
        <v>0</v>
      </c>
      <c r="AL305">
        <v>31278.52</v>
      </c>
      <c r="AM305" t="b">
        <v>0</v>
      </c>
      <c r="AN305">
        <v>0</v>
      </c>
      <c r="AO305" t="b">
        <v>0</v>
      </c>
      <c r="AQ305">
        <v>1712481569.2980001</v>
      </c>
      <c r="AR305">
        <v>1712481569.2980001</v>
      </c>
      <c r="AS305">
        <v>0</v>
      </c>
      <c r="AT305" t="b">
        <v>0</v>
      </c>
      <c r="AU305" t="b">
        <v>1</v>
      </c>
      <c r="AV305" t="b">
        <v>1</v>
      </c>
      <c r="AW305" t="b">
        <v>1</v>
      </c>
      <c r="BC305" t="str">
        <f t="shared" si="4"/>
        <v>Normal</v>
      </c>
    </row>
    <row r="306" spans="1:55" x14ac:dyDescent="0.2">
      <c r="A306" t="s">
        <v>39</v>
      </c>
      <c r="B306" t="s">
        <v>40</v>
      </c>
      <c r="C306">
        <v>20210101</v>
      </c>
      <c r="D306">
        <v>2021</v>
      </c>
      <c r="E306">
        <v>52</v>
      </c>
      <c r="F306" t="s">
        <v>333</v>
      </c>
      <c r="G306">
        <v>340</v>
      </c>
      <c r="H306" t="s">
        <v>147</v>
      </c>
      <c r="I306" t="s">
        <v>148</v>
      </c>
      <c r="J306" t="s">
        <v>44</v>
      </c>
      <c r="K306" t="s">
        <v>45</v>
      </c>
      <c r="L306">
        <v>0</v>
      </c>
      <c r="M306" t="s">
        <v>46</v>
      </c>
      <c r="N306" t="s">
        <v>47</v>
      </c>
      <c r="O306">
        <v>0</v>
      </c>
      <c r="P306" t="s">
        <v>46</v>
      </c>
      <c r="Q306" t="s">
        <v>47</v>
      </c>
      <c r="R306" t="s">
        <v>48</v>
      </c>
      <c r="S306" t="s">
        <v>49</v>
      </c>
      <c r="T306" t="b">
        <v>1</v>
      </c>
      <c r="U306" t="s">
        <v>50</v>
      </c>
      <c r="V306" t="s">
        <v>51</v>
      </c>
      <c r="W306">
        <v>4</v>
      </c>
      <c r="X306" t="b">
        <v>0</v>
      </c>
      <c r="Y306" t="s">
        <v>52</v>
      </c>
      <c r="Z306" t="s">
        <v>53</v>
      </c>
      <c r="AA306" t="s">
        <v>54</v>
      </c>
      <c r="AB306">
        <v>0</v>
      </c>
      <c r="AC306" t="s">
        <v>55</v>
      </c>
      <c r="AD306">
        <v>8</v>
      </c>
      <c r="AE306" t="s">
        <v>56</v>
      </c>
      <c r="AF306">
        <v>3288.63</v>
      </c>
      <c r="AG306" t="b">
        <v>0</v>
      </c>
      <c r="AH306">
        <v>8</v>
      </c>
      <c r="AI306" t="s">
        <v>56</v>
      </c>
      <c r="AJ306">
        <v>3288.63</v>
      </c>
      <c r="AK306" t="b">
        <v>0</v>
      </c>
      <c r="AL306">
        <v>3288.63</v>
      </c>
      <c r="AM306" t="b">
        <v>0</v>
      </c>
      <c r="AN306">
        <v>0</v>
      </c>
      <c r="AO306" t="b">
        <v>0</v>
      </c>
      <c r="AP306">
        <v>0</v>
      </c>
      <c r="AQ306">
        <v>163069545.97</v>
      </c>
      <c r="AR306">
        <v>163069545.97</v>
      </c>
      <c r="AS306">
        <v>0</v>
      </c>
      <c r="AT306" t="b">
        <v>0</v>
      </c>
      <c r="AU306" t="b">
        <v>1</v>
      </c>
      <c r="AV306" t="b">
        <v>1</v>
      </c>
      <c r="AW306" t="b">
        <v>1</v>
      </c>
      <c r="BC306" t="str">
        <f t="shared" si="4"/>
        <v>Normal</v>
      </c>
    </row>
    <row r="307" spans="1:55" x14ac:dyDescent="0.2">
      <c r="A307" t="s">
        <v>39</v>
      </c>
      <c r="B307" t="s">
        <v>40</v>
      </c>
      <c r="C307">
        <v>20210101</v>
      </c>
      <c r="D307">
        <v>2021</v>
      </c>
      <c r="E307">
        <v>52</v>
      </c>
      <c r="F307" t="s">
        <v>333</v>
      </c>
      <c r="G307">
        <v>344</v>
      </c>
      <c r="H307" t="s">
        <v>149</v>
      </c>
      <c r="I307" t="s">
        <v>150</v>
      </c>
      <c r="J307" t="s">
        <v>44</v>
      </c>
      <c r="K307" t="s">
        <v>45</v>
      </c>
      <c r="L307">
        <v>0</v>
      </c>
      <c r="M307" t="s">
        <v>46</v>
      </c>
      <c r="N307" t="s">
        <v>47</v>
      </c>
      <c r="O307">
        <v>0</v>
      </c>
      <c r="P307" t="s">
        <v>46</v>
      </c>
      <c r="Q307" t="s">
        <v>47</v>
      </c>
      <c r="R307" t="s">
        <v>48</v>
      </c>
      <c r="S307" t="s">
        <v>49</v>
      </c>
      <c r="T307" t="b">
        <v>1</v>
      </c>
      <c r="U307" t="s">
        <v>50</v>
      </c>
      <c r="V307" t="s">
        <v>51</v>
      </c>
      <c r="W307">
        <v>4</v>
      </c>
      <c r="X307" t="b">
        <v>0</v>
      </c>
      <c r="Y307" t="s">
        <v>52</v>
      </c>
      <c r="Z307" t="s">
        <v>53</v>
      </c>
      <c r="AA307" t="s">
        <v>54</v>
      </c>
      <c r="AB307">
        <v>0</v>
      </c>
      <c r="AC307" t="s">
        <v>55</v>
      </c>
      <c r="AD307">
        <v>8</v>
      </c>
      <c r="AE307" t="s">
        <v>56</v>
      </c>
      <c r="AF307">
        <v>536985.00600000005</v>
      </c>
      <c r="AG307" t="b">
        <v>1</v>
      </c>
      <c r="AH307">
        <v>-1</v>
      </c>
      <c r="AI307" t="s">
        <v>64</v>
      </c>
      <c r="AJ307">
        <v>0</v>
      </c>
      <c r="AK307" t="b">
        <v>0</v>
      </c>
      <c r="AL307" s="1">
        <v>536985.00600000005</v>
      </c>
      <c r="AM307" t="b">
        <v>1</v>
      </c>
      <c r="AN307">
        <v>0</v>
      </c>
      <c r="AO307" t="b">
        <v>0</v>
      </c>
      <c r="AP307">
        <v>0</v>
      </c>
      <c r="AQ307">
        <v>30801993998.525002</v>
      </c>
      <c r="AR307">
        <v>30801993998.525002</v>
      </c>
      <c r="AS307">
        <v>6</v>
      </c>
      <c r="AT307" t="b">
        <v>0</v>
      </c>
      <c r="AU307" t="b">
        <v>1</v>
      </c>
      <c r="AV307" t="b">
        <v>1</v>
      </c>
      <c r="AW307" t="b">
        <v>1</v>
      </c>
      <c r="BC307" t="str">
        <f t="shared" si="4"/>
        <v>Outlier</v>
      </c>
    </row>
    <row r="308" spans="1:55" x14ac:dyDescent="0.2">
      <c r="A308" t="s">
        <v>39</v>
      </c>
      <c r="B308" t="s">
        <v>40</v>
      </c>
      <c r="C308">
        <v>20210101</v>
      </c>
      <c r="D308">
        <v>2021</v>
      </c>
      <c r="E308">
        <v>52</v>
      </c>
      <c r="F308" t="s">
        <v>333</v>
      </c>
      <c r="G308">
        <v>348</v>
      </c>
      <c r="H308" t="s">
        <v>151</v>
      </c>
      <c r="I308" t="s">
        <v>152</v>
      </c>
      <c r="J308" t="s">
        <v>44</v>
      </c>
      <c r="K308" t="s">
        <v>45</v>
      </c>
      <c r="L308">
        <v>0</v>
      </c>
      <c r="M308" t="s">
        <v>46</v>
      </c>
      <c r="N308" t="s">
        <v>47</v>
      </c>
      <c r="O308">
        <v>0</v>
      </c>
      <c r="P308" t="s">
        <v>46</v>
      </c>
      <c r="Q308" t="s">
        <v>47</v>
      </c>
      <c r="R308" t="s">
        <v>48</v>
      </c>
      <c r="S308" t="s">
        <v>49</v>
      </c>
      <c r="T308" t="b">
        <v>1</v>
      </c>
      <c r="U308" t="s">
        <v>50</v>
      </c>
      <c r="V308" t="s">
        <v>51</v>
      </c>
      <c r="W308">
        <v>4</v>
      </c>
      <c r="X308" t="b">
        <v>0</v>
      </c>
      <c r="Y308" t="s">
        <v>52</v>
      </c>
      <c r="Z308" t="s">
        <v>53</v>
      </c>
      <c r="AA308" t="s">
        <v>54</v>
      </c>
      <c r="AB308">
        <v>0</v>
      </c>
      <c r="AC308" t="s">
        <v>55</v>
      </c>
      <c r="AD308">
        <v>-1</v>
      </c>
      <c r="AE308" t="s">
        <v>64</v>
      </c>
      <c r="AF308">
        <v>0</v>
      </c>
      <c r="AG308" t="b">
        <v>0</v>
      </c>
      <c r="AH308">
        <v>-1</v>
      </c>
      <c r="AI308" t="s">
        <v>64</v>
      </c>
      <c r="AJ308">
        <v>0</v>
      </c>
      <c r="AK308" t="b">
        <v>0</v>
      </c>
      <c r="AL308">
        <v>0</v>
      </c>
      <c r="AM308" t="b">
        <v>0</v>
      </c>
      <c r="AN308">
        <v>0</v>
      </c>
      <c r="AO308" t="b">
        <v>0</v>
      </c>
      <c r="AP308">
        <v>0</v>
      </c>
      <c r="AQ308">
        <v>57865289</v>
      </c>
      <c r="AR308">
        <v>57865289</v>
      </c>
      <c r="AS308">
        <v>0</v>
      </c>
      <c r="AT308" t="b">
        <v>0</v>
      </c>
      <c r="AU308" t="b">
        <v>1</v>
      </c>
      <c r="AV308" t="b">
        <v>1</v>
      </c>
      <c r="AW308" t="b">
        <v>1</v>
      </c>
      <c r="BC308" t="str">
        <f t="shared" si="4"/>
        <v>Normal</v>
      </c>
    </row>
    <row r="309" spans="1:55" x14ac:dyDescent="0.2">
      <c r="A309" t="s">
        <v>39</v>
      </c>
      <c r="B309" t="s">
        <v>40</v>
      </c>
      <c r="C309">
        <v>20210101</v>
      </c>
      <c r="D309">
        <v>2021</v>
      </c>
      <c r="E309">
        <v>52</v>
      </c>
      <c r="F309" t="s">
        <v>333</v>
      </c>
      <c r="G309">
        <v>352</v>
      </c>
      <c r="H309" t="s">
        <v>153</v>
      </c>
      <c r="I309" t="s">
        <v>154</v>
      </c>
      <c r="J309" t="s">
        <v>44</v>
      </c>
      <c r="K309" t="s">
        <v>45</v>
      </c>
      <c r="L309">
        <v>0</v>
      </c>
      <c r="M309" t="s">
        <v>46</v>
      </c>
      <c r="N309" t="s">
        <v>47</v>
      </c>
      <c r="O309">
        <v>0</v>
      </c>
      <c r="P309" t="s">
        <v>46</v>
      </c>
      <c r="Q309" t="s">
        <v>47</v>
      </c>
      <c r="R309" t="s">
        <v>48</v>
      </c>
      <c r="S309" t="s">
        <v>49</v>
      </c>
      <c r="T309" t="b">
        <v>1</v>
      </c>
      <c r="U309" t="s">
        <v>50</v>
      </c>
      <c r="V309" t="s">
        <v>51</v>
      </c>
      <c r="W309">
        <v>4</v>
      </c>
      <c r="X309" t="b">
        <v>0</v>
      </c>
      <c r="Y309" t="s">
        <v>52</v>
      </c>
      <c r="Z309" t="s">
        <v>53</v>
      </c>
      <c r="AA309" t="s">
        <v>54</v>
      </c>
      <c r="AB309">
        <v>0</v>
      </c>
      <c r="AC309" t="s">
        <v>55</v>
      </c>
      <c r="AD309">
        <v>8</v>
      </c>
      <c r="AE309" t="s">
        <v>56</v>
      </c>
      <c r="AF309">
        <v>2.4529999999999998</v>
      </c>
      <c r="AG309" t="b">
        <v>1</v>
      </c>
      <c r="AH309">
        <v>-1</v>
      </c>
      <c r="AI309" t="s">
        <v>64</v>
      </c>
      <c r="AJ309">
        <v>0</v>
      </c>
      <c r="AK309" t="b">
        <v>0</v>
      </c>
      <c r="AL309">
        <v>2.4529999999999998</v>
      </c>
      <c r="AM309" t="b">
        <v>1</v>
      </c>
      <c r="AN309">
        <v>0</v>
      </c>
      <c r="AO309" t="b">
        <v>0</v>
      </c>
      <c r="AP309">
        <v>0</v>
      </c>
      <c r="AQ309">
        <v>138105.18100000001</v>
      </c>
      <c r="AR309">
        <v>138105.18100000001</v>
      </c>
      <c r="AS309">
        <v>6</v>
      </c>
      <c r="AT309" t="b">
        <v>0</v>
      </c>
      <c r="AU309" t="b">
        <v>1</v>
      </c>
      <c r="AV309" t="b">
        <v>1</v>
      </c>
      <c r="AW309" t="b">
        <v>1</v>
      </c>
      <c r="BC309" t="str">
        <f t="shared" si="4"/>
        <v>Normal</v>
      </c>
    </row>
    <row r="310" spans="1:55" x14ac:dyDescent="0.2">
      <c r="A310" t="s">
        <v>39</v>
      </c>
      <c r="B310" t="s">
        <v>40</v>
      </c>
      <c r="C310">
        <v>20210101</v>
      </c>
      <c r="D310">
        <v>2021</v>
      </c>
      <c r="E310">
        <v>52</v>
      </c>
      <c r="F310" t="s">
        <v>333</v>
      </c>
      <c r="G310">
        <v>360</v>
      </c>
      <c r="H310" t="s">
        <v>155</v>
      </c>
      <c r="I310" t="s">
        <v>156</v>
      </c>
      <c r="J310" t="s">
        <v>44</v>
      </c>
      <c r="K310" t="s">
        <v>45</v>
      </c>
      <c r="L310">
        <v>0</v>
      </c>
      <c r="M310" t="s">
        <v>46</v>
      </c>
      <c r="N310" t="s">
        <v>47</v>
      </c>
      <c r="O310">
        <v>0</v>
      </c>
      <c r="P310" t="s">
        <v>46</v>
      </c>
      <c r="Q310" t="s">
        <v>47</v>
      </c>
      <c r="R310" t="s">
        <v>48</v>
      </c>
      <c r="S310" t="s">
        <v>49</v>
      </c>
      <c r="T310" t="b">
        <v>1</v>
      </c>
      <c r="U310" t="s">
        <v>50</v>
      </c>
      <c r="V310" t="s">
        <v>51</v>
      </c>
      <c r="W310">
        <v>4</v>
      </c>
      <c r="X310" t="b">
        <v>0</v>
      </c>
      <c r="Y310" t="s">
        <v>52</v>
      </c>
      <c r="Z310" t="s">
        <v>53</v>
      </c>
      <c r="AA310" t="s">
        <v>54</v>
      </c>
      <c r="AB310">
        <v>0</v>
      </c>
      <c r="AC310" t="s">
        <v>55</v>
      </c>
      <c r="AD310">
        <v>8</v>
      </c>
      <c r="AE310" t="s">
        <v>56</v>
      </c>
      <c r="AF310">
        <v>26437.879000000001</v>
      </c>
      <c r="AG310" t="b">
        <v>0</v>
      </c>
      <c r="AH310">
        <v>8</v>
      </c>
      <c r="AI310" t="s">
        <v>56</v>
      </c>
      <c r="AJ310">
        <v>26437.879000000001</v>
      </c>
      <c r="AK310" t="b">
        <v>0</v>
      </c>
      <c r="AL310">
        <v>26437.879000000001</v>
      </c>
      <c r="AM310" t="b">
        <v>0</v>
      </c>
      <c r="AN310">
        <v>0</v>
      </c>
      <c r="AO310" t="b">
        <v>0</v>
      </c>
      <c r="AQ310">
        <v>1519588821.8740001</v>
      </c>
      <c r="AR310">
        <v>1519588821.8740001</v>
      </c>
      <c r="AS310">
        <v>0</v>
      </c>
      <c r="AT310" t="b">
        <v>0</v>
      </c>
      <c r="AU310" t="b">
        <v>1</v>
      </c>
      <c r="AV310" t="b">
        <v>1</v>
      </c>
      <c r="AW310" t="b">
        <v>1</v>
      </c>
      <c r="BC310" t="str">
        <f t="shared" si="4"/>
        <v>Normal</v>
      </c>
    </row>
    <row r="311" spans="1:55" x14ac:dyDescent="0.2">
      <c r="A311" t="s">
        <v>39</v>
      </c>
      <c r="B311" t="s">
        <v>40</v>
      </c>
      <c r="C311">
        <v>20210101</v>
      </c>
      <c r="D311">
        <v>2021</v>
      </c>
      <c r="E311">
        <v>52</v>
      </c>
      <c r="F311" t="s">
        <v>333</v>
      </c>
      <c r="G311">
        <v>372</v>
      </c>
      <c r="H311" t="s">
        <v>157</v>
      </c>
      <c r="I311" t="s">
        <v>158</v>
      </c>
      <c r="J311" t="s">
        <v>44</v>
      </c>
      <c r="K311" t="s">
        <v>45</v>
      </c>
      <c r="L311">
        <v>0</v>
      </c>
      <c r="M311" t="s">
        <v>46</v>
      </c>
      <c r="N311" t="s">
        <v>47</v>
      </c>
      <c r="O311">
        <v>0</v>
      </c>
      <c r="P311" t="s">
        <v>46</v>
      </c>
      <c r="Q311" t="s">
        <v>47</v>
      </c>
      <c r="R311" t="s">
        <v>48</v>
      </c>
      <c r="S311" t="s">
        <v>49</v>
      </c>
      <c r="T311" t="b">
        <v>1</v>
      </c>
      <c r="U311" t="s">
        <v>50</v>
      </c>
      <c r="V311" t="s">
        <v>51</v>
      </c>
      <c r="W311">
        <v>4</v>
      </c>
      <c r="X311" t="b">
        <v>0</v>
      </c>
      <c r="Y311" t="s">
        <v>52</v>
      </c>
      <c r="Z311" t="s">
        <v>53</v>
      </c>
      <c r="AA311" t="s">
        <v>54</v>
      </c>
      <c r="AB311">
        <v>0</v>
      </c>
      <c r="AC311" t="s">
        <v>55</v>
      </c>
      <c r="AD311">
        <v>8</v>
      </c>
      <c r="AE311" t="s">
        <v>56</v>
      </c>
      <c r="AF311">
        <v>596.83699999999999</v>
      </c>
      <c r="AG311" t="b">
        <v>0</v>
      </c>
      <c r="AH311">
        <v>15</v>
      </c>
      <c r="AI311" t="s">
        <v>59</v>
      </c>
      <c r="AJ311">
        <v>596837</v>
      </c>
      <c r="AK311" t="b">
        <v>0</v>
      </c>
      <c r="AL311">
        <v>1687.5139999999999</v>
      </c>
      <c r="AM311" t="b">
        <v>0</v>
      </c>
      <c r="AN311">
        <v>0</v>
      </c>
      <c r="AO311" t="b">
        <v>0</v>
      </c>
      <c r="AQ311">
        <v>15870241.297</v>
      </c>
      <c r="AR311">
        <v>15870241.297</v>
      </c>
      <c r="AS311">
        <v>0</v>
      </c>
      <c r="AT311" t="b">
        <v>0</v>
      </c>
      <c r="AU311" t="b">
        <v>1</v>
      </c>
      <c r="AV311" t="b">
        <v>1</v>
      </c>
      <c r="AW311" t="b">
        <v>1</v>
      </c>
      <c r="BC311" t="str">
        <f t="shared" si="4"/>
        <v>Normal</v>
      </c>
    </row>
    <row r="312" spans="1:55" x14ac:dyDescent="0.2">
      <c r="A312" t="s">
        <v>39</v>
      </c>
      <c r="B312" t="s">
        <v>40</v>
      </c>
      <c r="C312">
        <v>20210101</v>
      </c>
      <c r="D312">
        <v>2021</v>
      </c>
      <c r="E312">
        <v>52</v>
      </c>
      <c r="F312" t="s">
        <v>333</v>
      </c>
      <c r="G312">
        <v>376</v>
      </c>
      <c r="H312" t="s">
        <v>159</v>
      </c>
      <c r="I312" t="s">
        <v>160</v>
      </c>
      <c r="J312" t="s">
        <v>44</v>
      </c>
      <c r="K312" t="s">
        <v>45</v>
      </c>
      <c r="L312">
        <v>0</v>
      </c>
      <c r="M312" t="s">
        <v>46</v>
      </c>
      <c r="N312" t="s">
        <v>47</v>
      </c>
      <c r="O312">
        <v>0</v>
      </c>
      <c r="P312" t="s">
        <v>46</v>
      </c>
      <c r="Q312" t="s">
        <v>47</v>
      </c>
      <c r="R312" t="s">
        <v>48</v>
      </c>
      <c r="S312" t="s">
        <v>49</v>
      </c>
      <c r="T312" t="b">
        <v>1</v>
      </c>
      <c r="U312" t="s">
        <v>50</v>
      </c>
      <c r="V312" t="s">
        <v>51</v>
      </c>
      <c r="W312">
        <v>4</v>
      </c>
      <c r="X312" t="b">
        <v>0</v>
      </c>
      <c r="Y312" t="s">
        <v>52</v>
      </c>
      <c r="Z312" t="s">
        <v>53</v>
      </c>
      <c r="AA312" t="s">
        <v>54</v>
      </c>
      <c r="AB312">
        <v>0</v>
      </c>
      <c r="AC312" t="s">
        <v>55</v>
      </c>
      <c r="AD312">
        <v>8</v>
      </c>
      <c r="AE312" t="s">
        <v>56</v>
      </c>
      <c r="AF312">
        <v>197.48500000000001</v>
      </c>
      <c r="AG312" t="b">
        <v>1</v>
      </c>
      <c r="AH312">
        <v>-1</v>
      </c>
      <c r="AI312" t="s">
        <v>64</v>
      </c>
      <c r="AJ312">
        <v>0</v>
      </c>
      <c r="AK312" t="b">
        <v>0</v>
      </c>
      <c r="AL312">
        <v>197.48500000000001</v>
      </c>
      <c r="AM312" t="b">
        <v>1</v>
      </c>
      <c r="AN312">
        <v>0</v>
      </c>
      <c r="AO312" t="b">
        <v>0</v>
      </c>
      <c r="AP312">
        <v>0</v>
      </c>
      <c r="AQ312">
        <v>11094000</v>
      </c>
      <c r="AR312">
        <v>11094000</v>
      </c>
      <c r="AS312">
        <v>6</v>
      </c>
      <c r="AT312" t="b">
        <v>0</v>
      </c>
      <c r="AU312" t="b">
        <v>1</v>
      </c>
      <c r="AV312" t="b">
        <v>1</v>
      </c>
      <c r="AW312" t="b">
        <v>1</v>
      </c>
      <c r="BC312" t="str">
        <f t="shared" si="4"/>
        <v>Normal</v>
      </c>
    </row>
    <row r="313" spans="1:55" x14ac:dyDescent="0.2">
      <c r="A313" t="s">
        <v>39</v>
      </c>
      <c r="B313" t="s">
        <v>40</v>
      </c>
      <c r="C313">
        <v>20210101</v>
      </c>
      <c r="D313">
        <v>2021</v>
      </c>
      <c r="E313">
        <v>52</v>
      </c>
      <c r="F313" t="s">
        <v>333</v>
      </c>
      <c r="G313">
        <v>380</v>
      </c>
      <c r="H313" t="s">
        <v>161</v>
      </c>
      <c r="I313" t="s">
        <v>162</v>
      </c>
      <c r="J313" t="s">
        <v>44</v>
      </c>
      <c r="K313" t="s">
        <v>45</v>
      </c>
      <c r="L313">
        <v>0</v>
      </c>
      <c r="M313" t="s">
        <v>46</v>
      </c>
      <c r="N313" t="s">
        <v>47</v>
      </c>
      <c r="O313">
        <v>0</v>
      </c>
      <c r="P313" t="s">
        <v>46</v>
      </c>
      <c r="Q313" t="s">
        <v>47</v>
      </c>
      <c r="R313" t="s">
        <v>48</v>
      </c>
      <c r="S313" t="s">
        <v>49</v>
      </c>
      <c r="T313" t="b">
        <v>1</v>
      </c>
      <c r="U313" t="s">
        <v>50</v>
      </c>
      <c r="V313" t="s">
        <v>51</v>
      </c>
      <c r="W313">
        <v>4</v>
      </c>
      <c r="X313" t="b">
        <v>0</v>
      </c>
      <c r="Y313" t="s">
        <v>52</v>
      </c>
      <c r="Z313" t="s">
        <v>53</v>
      </c>
      <c r="AA313" t="s">
        <v>54</v>
      </c>
      <c r="AB313">
        <v>0</v>
      </c>
      <c r="AC313" t="s">
        <v>55</v>
      </c>
      <c r="AD313">
        <v>-1</v>
      </c>
      <c r="AE313" t="s">
        <v>64</v>
      </c>
      <c r="AF313">
        <v>0</v>
      </c>
      <c r="AG313" t="b">
        <v>0</v>
      </c>
      <c r="AH313">
        <v>-1</v>
      </c>
      <c r="AI313" t="s">
        <v>64</v>
      </c>
      <c r="AJ313">
        <v>0</v>
      </c>
      <c r="AK313" t="b">
        <v>0</v>
      </c>
      <c r="AM313" t="b">
        <v>0</v>
      </c>
      <c r="AN313">
        <v>0</v>
      </c>
      <c r="AO313" t="b">
        <v>0</v>
      </c>
      <c r="AQ313">
        <v>4239262738.6739998</v>
      </c>
      <c r="AR313">
        <v>4239262738.6739998</v>
      </c>
      <c r="AS313">
        <v>0</v>
      </c>
      <c r="AT313" t="b">
        <v>0</v>
      </c>
      <c r="AU313" t="b">
        <v>1</v>
      </c>
      <c r="AV313" t="b">
        <v>1</v>
      </c>
      <c r="AW313" t="b">
        <v>1</v>
      </c>
      <c r="BC313" t="str">
        <f t="shared" si="4"/>
        <v>Normal</v>
      </c>
    </row>
    <row r="314" spans="1:55" x14ac:dyDescent="0.2">
      <c r="A314" t="s">
        <v>39</v>
      </c>
      <c r="B314" t="s">
        <v>40</v>
      </c>
      <c r="C314">
        <v>20210101</v>
      </c>
      <c r="D314">
        <v>2021</v>
      </c>
      <c r="E314">
        <v>52</v>
      </c>
      <c r="F314" t="s">
        <v>333</v>
      </c>
      <c r="G314">
        <v>384</v>
      </c>
      <c r="H314" t="s">
        <v>163</v>
      </c>
      <c r="I314" t="s">
        <v>164</v>
      </c>
      <c r="J314" t="s">
        <v>44</v>
      </c>
      <c r="K314" t="s">
        <v>45</v>
      </c>
      <c r="L314">
        <v>0</v>
      </c>
      <c r="M314" t="s">
        <v>46</v>
      </c>
      <c r="N314" t="s">
        <v>47</v>
      </c>
      <c r="O314">
        <v>0</v>
      </c>
      <c r="P314" t="s">
        <v>46</v>
      </c>
      <c r="Q314" t="s">
        <v>47</v>
      </c>
      <c r="R314" t="s">
        <v>48</v>
      </c>
      <c r="S314" t="s">
        <v>49</v>
      </c>
      <c r="T314" t="b">
        <v>1</v>
      </c>
      <c r="U314" t="s">
        <v>50</v>
      </c>
      <c r="V314" t="s">
        <v>51</v>
      </c>
      <c r="W314">
        <v>4</v>
      </c>
      <c r="X314" t="b">
        <v>0</v>
      </c>
      <c r="Y314" t="s">
        <v>52</v>
      </c>
      <c r="Z314" t="s">
        <v>53</v>
      </c>
      <c r="AA314" t="s">
        <v>54</v>
      </c>
      <c r="AB314">
        <v>0</v>
      </c>
      <c r="AC314" t="s">
        <v>55</v>
      </c>
      <c r="AD314">
        <v>8</v>
      </c>
      <c r="AE314" t="s">
        <v>56</v>
      </c>
      <c r="AF314">
        <v>43758</v>
      </c>
      <c r="AG314" t="b">
        <v>0</v>
      </c>
      <c r="AH314">
        <v>8</v>
      </c>
      <c r="AI314" t="s">
        <v>56</v>
      </c>
      <c r="AJ314">
        <v>43758</v>
      </c>
      <c r="AK314" t="b">
        <v>0</v>
      </c>
      <c r="AL314">
        <v>43758</v>
      </c>
      <c r="AM314" t="b">
        <v>0</v>
      </c>
      <c r="AN314">
        <v>0</v>
      </c>
      <c r="AO314" t="b">
        <v>0</v>
      </c>
      <c r="AQ314">
        <v>1710834425.03</v>
      </c>
      <c r="AR314">
        <v>1710834425.03</v>
      </c>
      <c r="AS314">
        <v>0</v>
      </c>
      <c r="AT314" t="b">
        <v>0</v>
      </c>
      <c r="AU314" t="b">
        <v>1</v>
      </c>
      <c r="AV314" t="b">
        <v>1</v>
      </c>
      <c r="AW314" t="b">
        <v>1</v>
      </c>
      <c r="BC314" t="str">
        <f t="shared" si="4"/>
        <v>Normal</v>
      </c>
    </row>
    <row r="315" spans="1:55" x14ac:dyDescent="0.2">
      <c r="A315" t="s">
        <v>39</v>
      </c>
      <c r="B315" t="s">
        <v>40</v>
      </c>
      <c r="C315">
        <v>20210101</v>
      </c>
      <c r="D315">
        <v>2021</v>
      </c>
      <c r="E315">
        <v>52</v>
      </c>
      <c r="F315" t="s">
        <v>333</v>
      </c>
      <c r="G315">
        <v>388</v>
      </c>
      <c r="H315" t="s">
        <v>336</v>
      </c>
      <c r="I315" t="s">
        <v>337</v>
      </c>
      <c r="J315" t="s">
        <v>44</v>
      </c>
      <c r="K315" t="s">
        <v>45</v>
      </c>
      <c r="L315">
        <v>0</v>
      </c>
      <c r="M315" t="s">
        <v>46</v>
      </c>
      <c r="N315" t="s">
        <v>47</v>
      </c>
      <c r="O315">
        <v>0</v>
      </c>
      <c r="P315" t="s">
        <v>46</v>
      </c>
      <c r="Q315" t="s">
        <v>47</v>
      </c>
      <c r="R315" t="s">
        <v>48</v>
      </c>
      <c r="S315" t="s">
        <v>49</v>
      </c>
      <c r="T315" t="b">
        <v>1</v>
      </c>
      <c r="U315" t="s">
        <v>50</v>
      </c>
      <c r="V315" t="s">
        <v>51</v>
      </c>
      <c r="W315">
        <v>4</v>
      </c>
      <c r="X315" t="b">
        <v>0</v>
      </c>
      <c r="Y315" t="s">
        <v>52</v>
      </c>
      <c r="Z315" t="s">
        <v>53</v>
      </c>
      <c r="AA315" t="s">
        <v>54</v>
      </c>
      <c r="AB315">
        <v>0</v>
      </c>
      <c r="AC315" t="s">
        <v>55</v>
      </c>
      <c r="AD315">
        <v>8</v>
      </c>
      <c r="AE315" t="s">
        <v>56</v>
      </c>
      <c r="AF315">
        <v>0.5</v>
      </c>
      <c r="AG315" t="b">
        <v>0</v>
      </c>
      <c r="AH315">
        <v>8</v>
      </c>
      <c r="AI315" t="s">
        <v>56</v>
      </c>
      <c r="AJ315">
        <v>0.5</v>
      </c>
      <c r="AK315" t="b">
        <v>0</v>
      </c>
      <c r="AL315">
        <v>0.5</v>
      </c>
      <c r="AM315" t="b">
        <v>0</v>
      </c>
      <c r="AN315">
        <v>0</v>
      </c>
      <c r="AO315" t="b">
        <v>0</v>
      </c>
      <c r="AQ315">
        <v>286.73</v>
      </c>
      <c r="AR315">
        <v>286.73</v>
      </c>
      <c r="AS315">
        <v>0</v>
      </c>
      <c r="AT315" t="b">
        <v>0</v>
      </c>
      <c r="AU315" t="b">
        <v>1</v>
      </c>
      <c r="AV315" t="b">
        <v>1</v>
      </c>
      <c r="AW315" t="b">
        <v>1</v>
      </c>
      <c r="BC315" t="str">
        <f t="shared" si="4"/>
        <v>Normal</v>
      </c>
    </row>
    <row r="316" spans="1:55" x14ac:dyDescent="0.2">
      <c r="A316" t="s">
        <v>39</v>
      </c>
      <c r="B316" t="s">
        <v>40</v>
      </c>
      <c r="C316">
        <v>20210101</v>
      </c>
      <c r="D316">
        <v>2021</v>
      </c>
      <c r="E316">
        <v>52</v>
      </c>
      <c r="F316" t="s">
        <v>333</v>
      </c>
      <c r="G316">
        <v>392</v>
      </c>
      <c r="H316" t="s">
        <v>165</v>
      </c>
      <c r="I316" t="s">
        <v>166</v>
      </c>
      <c r="J316" t="s">
        <v>44</v>
      </c>
      <c r="K316" t="s">
        <v>45</v>
      </c>
      <c r="L316">
        <v>0</v>
      </c>
      <c r="M316" t="s">
        <v>46</v>
      </c>
      <c r="N316" t="s">
        <v>47</v>
      </c>
      <c r="O316">
        <v>0</v>
      </c>
      <c r="P316" t="s">
        <v>46</v>
      </c>
      <c r="Q316" t="s">
        <v>47</v>
      </c>
      <c r="R316" t="s">
        <v>48</v>
      </c>
      <c r="S316" t="s">
        <v>49</v>
      </c>
      <c r="T316" t="b">
        <v>1</v>
      </c>
      <c r="U316" t="s">
        <v>50</v>
      </c>
      <c r="V316" t="s">
        <v>51</v>
      </c>
      <c r="W316">
        <v>4</v>
      </c>
      <c r="X316" t="b">
        <v>0</v>
      </c>
      <c r="Y316" t="s">
        <v>52</v>
      </c>
      <c r="Z316" t="s">
        <v>53</v>
      </c>
      <c r="AA316" t="s">
        <v>54</v>
      </c>
      <c r="AB316">
        <v>0</v>
      </c>
      <c r="AC316" t="s">
        <v>55</v>
      </c>
      <c r="AD316">
        <v>8</v>
      </c>
      <c r="AE316" t="s">
        <v>56</v>
      </c>
      <c r="AF316">
        <v>166519.141</v>
      </c>
      <c r="AG316" t="b">
        <v>0</v>
      </c>
      <c r="AH316">
        <v>15</v>
      </c>
      <c r="AI316" t="s">
        <v>59</v>
      </c>
      <c r="AJ316">
        <v>166519141</v>
      </c>
      <c r="AK316" t="b">
        <v>0</v>
      </c>
      <c r="AL316" s="1">
        <v>166519.141</v>
      </c>
      <c r="AM316" t="b">
        <v>0</v>
      </c>
      <c r="AN316">
        <v>0</v>
      </c>
      <c r="AO316" t="b">
        <v>0</v>
      </c>
      <c r="AP316">
        <v>0</v>
      </c>
      <c r="AQ316">
        <v>7632708612.9359999</v>
      </c>
      <c r="AR316">
        <v>7632708612.9359999</v>
      </c>
      <c r="AS316">
        <v>0</v>
      </c>
      <c r="AT316" t="b">
        <v>0</v>
      </c>
      <c r="AU316" t="b">
        <v>1</v>
      </c>
      <c r="AV316" t="b">
        <v>1</v>
      </c>
      <c r="AW316" t="b">
        <v>1</v>
      </c>
      <c r="BC316" t="str">
        <f t="shared" si="4"/>
        <v>Outlier</v>
      </c>
    </row>
    <row r="317" spans="1:55" x14ac:dyDescent="0.2">
      <c r="A317" t="s">
        <v>39</v>
      </c>
      <c r="B317" t="s">
        <v>40</v>
      </c>
      <c r="C317">
        <v>20210101</v>
      </c>
      <c r="D317">
        <v>2021</v>
      </c>
      <c r="E317">
        <v>52</v>
      </c>
      <c r="F317" t="s">
        <v>333</v>
      </c>
      <c r="G317">
        <v>398</v>
      </c>
      <c r="H317" t="s">
        <v>167</v>
      </c>
      <c r="I317" t="s">
        <v>168</v>
      </c>
      <c r="J317" t="s">
        <v>44</v>
      </c>
      <c r="K317" t="s">
        <v>45</v>
      </c>
      <c r="L317">
        <v>0</v>
      </c>
      <c r="M317" t="s">
        <v>46</v>
      </c>
      <c r="N317" t="s">
        <v>47</v>
      </c>
      <c r="O317">
        <v>0</v>
      </c>
      <c r="P317" t="s">
        <v>46</v>
      </c>
      <c r="Q317" t="s">
        <v>47</v>
      </c>
      <c r="R317" t="s">
        <v>48</v>
      </c>
      <c r="S317" t="s">
        <v>49</v>
      </c>
      <c r="T317" t="b">
        <v>1</v>
      </c>
      <c r="U317" t="s">
        <v>50</v>
      </c>
      <c r="V317" t="s">
        <v>51</v>
      </c>
      <c r="W317">
        <v>4</v>
      </c>
      <c r="X317" t="b">
        <v>0</v>
      </c>
      <c r="Y317" t="s">
        <v>52</v>
      </c>
      <c r="Z317" t="s">
        <v>53</v>
      </c>
      <c r="AA317" t="s">
        <v>54</v>
      </c>
      <c r="AB317">
        <v>0</v>
      </c>
      <c r="AC317" t="s">
        <v>55</v>
      </c>
      <c r="AD317">
        <v>-1</v>
      </c>
      <c r="AE317" t="s">
        <v>64</v>
      </c>
      <c r="AF317">
        <v>0</v>
      </c>
      <c r="AG317" t="b">
        <v>0</v>
      </c>
      <c r="AH317">
        <v>-1</v>
      </c>
      <c r="AI317" t="s">
        <v>64</v>
      </c>
      <c r="AJ317">
        <v>0</v>
      </c>
      <c r="AK317" t="b">
        <v>0</v>
      </c>
      <c r="AM317" t="b">
        <v>0</v>
      </c>
      <c r="AN317">
        <v>0</v>
      </c>
      <c r="AO317" t="b">
        <v>0</v>
      </c>
      <c r="AQ317">
        <v>35557609.670000002</v>
      </c>
      <c r="AR317">
        <v>35557609.670000002</v>
      </c>
      <c r="AS317">
        <v>0</v>
      </c>
      <c r="AT317" t="b">
        <v>0</v>
      </c>
      <c r="AU317" t="b">
        <v>1</v>
      </c>
      <c r="AV317" t="b">
        <v>1</v>
      </c>
      <c r="AW317" t="b">
        <v>1</v>
      </c>
      <c r="BC317" t="str">
        <f t="shared" si="4"/>
        <v>Normal</v>
      </c>
    </row>
    <row r="318" spans="1:55" x14ac:dyDescent="0.2">
      <c r="A318" t="s">
        <v>39</v>
      </c>
      <c r="B318" t="s">
        <v>40</v>
      </c>
      <c r="C318">
        <v>20210101</v>
      </c>
      <c r="D318">
        <v>2021</v>
      </c>
      <c r="E318">
        <v>52</v>
      </c>
      <c r="F318" t="s">
        <v>333</v>
      </c>
      <c r="G318">
        <v>400</v>
      </c>
      <c r="H318" t="s">
        <v>169</v>
      </c>
      <c r="I318" t="s">
        <v>170</v>
      </c>
      <c r="J318" t="s">
        <v>44</v>
      </c>
      <c r="K318" t="s">
        <v>45</v>
      </c>
      <c r="L318">
        <v>0</v>
      </c>
      <c r="M318" t="s">
        <v>46</v>
      </c>
      <c r="N318" t="s">
        <v>47</v>
      </c>
      <c r="O318">
        <v>0</v>
      </c>
      <c r="P318" t="s">
        <v>46</v>
      </c>
      <c r="Q318" t="s">
        <v>47</v>
      </c>
      <c r="R318" t="s">
        <v>48</v>
      </c>
      <c r="S318" t="s">
        <v>49</v>
      </c>
      <c r="T318" t="b">
        <v>1</v>
      </c>
      <c r="U318" t="s">
        <v>50</v>
      </c>
      <c r="V318" t="s">
        <v>51</v>
      </c>
      <c r="W318">
        <v>4</v>
      </c>
      <c r="X318" t="b">
        <v>0</v>
      </c>
      <c r="Y318" t="s">
        <v>52</v>
      </c>
      <c r="Z318" t="s">
        <v>53</v>
      </c>
      <c r="AA318" t="s">
        <v>54</v>
      </c>
      <c r="AB318">
        <v>0</v>
      </c>
      <c r="AC318" t="s">
        <v>55</v>
      </c>
      <c r="AD318">
        <v>8</v>
      </c>
      <c r="AE318" t="s">
        <v>56</v>
      </c>
      <c r="AF318">
        <v>1339.82</v>
      </c>
      <c r="AG318" t="b">
        <v>1</v>
      </c>
      <c r="AH318">
        <v>-1</v>
      </c>
      <c r="AI318" t="s">
        <v>64</v>
      </c>
      <c r="AJ318">
        <v>0</v>
      </c>
      <c r="AK318" t="b">
        <v>0</v>
      </c>
      <c r="AL318">
        <v>1339.82</v>
      </c>
      <c r="AM318" t="b">
        <v>1</v>
      </c>
      <c r="AN318">
        <v>0</v>
      </c>
      <c r="AO318" t="b">
        <v>0</v>
      </c>
      <c r="AP318">
        <v>0</v>
      </c>
      <c r="AQ318">
        <v>75265931.182999998</v>
      </c>
      <c r="AR318">
        <v>75265931.182999998</v>
      </c>
      <c r="AS318">
        <v>6</v>
      </c>
      <c r="AT318" t="b">
        <v>0</v>
      </c>
      <c r="AU318" t="b">
        <v>1</v>
      </c>
      <c r="AV318" t="b">
        <v>1</v>
      </c>
      <c r="AW318" t="b">
        <v>1</v>
      </c>
      <c r="BC318" t="str">
        <f t="shared" si="4"/>
        <v>Normal</v>
      </c>
    </row>
    <row r="319" spans="1:55" x14ac:dyDescent="0.2">
      <c r="A319" t="s">
        <v>39</v>
      </c>
      <c r="B319" t="s">
        <v>40</v>
      </c>
      <c r="C319">
        <v>20210101</v>
      </c>
      <c r="D319">
        <v>2021</v>
      </c>
      <c r="E319">
        <v>52</v>
      </c>
      <c r="F319" t="s">
        <v>333</v>
      </c>
      <c r="G319">
        <v>404</v>
      </c>
      <c r="H319" t="s">
        <v>171</v>
      </c>
      <c r="I319" t="s">
        <v>172</v>
      </c>
      <c r="J319" t="s">
        <v>44</v>
      </c>
      <c r="K319" t="s">
        <v>45</v>
      </c>
      <c r="L319">
        <v>0</v>
      </c>
      <c r="M319" t="s">
        <v>46</v>
      </c>
      <c r="N319" t="s">
        <v>47</v>
      </c>
      <c r="O319">
        <v>0</v>
      </c>
      <c r="P319" t="s">
        <v>46</v>
      </c>
      <c r="Q319" t="s">
        <v>47</v>
      </c>
      <c r="R319" t="s">
        <v>48</v>
      </c>
      <c r="S319" t="s">
        <v>49</v>
      </c>
      <c r="T319" t="b">
        <v>1</v>
      </c>
      <c r="U319" t="s">
        <v>50</v>
      </c>
      <c r="V319" t="s">
        <v>51</v>
      </c>
      <c r="W319">
        <v>4</v>
      </c>
      <c r="X319" t="b">
        <v>0</v>
      </c>
      <c r="Y319" t="s">
        <v>52</v>
      </c>
      <c r="Z319" t="s">
        <v>53</v>
      </c>
      <c r="AA319" t="s">
        <v>54</v>
      </c>
      <c r="AB319">
        <v>0</v>
      </c>
      <c r="AC319" t="s">
        <v>55</v>
      </c>
      <c r="AD319">
        <v>-1</v>
      </c>
      <c r="AE319" t="s">
        <v>64</v>
      </c>
      <c r="AF319">
        <v>0</v>
      </c>
      <c r="AG319" t="b">
        <v>1</v>
      </c>
      <c r="AH319">
        <v>-1</v>
      </c>
      <c r="AI319" t="s">
        <v>64</v>
      </c>
      <c r="AJ319">
        <v>0</v>
      </c>
      <c r="AK319" t="b">
        <v>0</v>
      </c>
      <c r="AL319">
        <v>0</v>
      </c>
      <c r="AM319" t="b">
        <v>1</v>
      </c>
      <c r="AN319">
        <v>0</v>
      </c>
      <c r="AO319" t="b">
        <v>0</v>
      </c>
      <c r="AP319">
        <v>0</v>
      </c>
      <c r="AQ319">
        <v>15473552.652000001</v>
      </c>
      <c r="AR319">
        <v>15473552.652000001</v>
      </c>
      <c r="AS319">
        <v>6</v>
      </c>
      <c r="AT319" t="b">
        <v>0</v>
      </c>
      <c r="AU319" t="b">
        <v>1</v>
      </c>
      <c r="AV319" t="b">
        <v>1</v>
      </c>
      <c r="AW319" t="b">
        <v>1</v>
      </c>
      <c r="BC319" t="str">
        <f t="shared" si="4"/>
        <v>Normal</v>
      </c>
    </row>
    <row r="320" spans="1:55" x14ac:dyDescent="0.2">
      <c r="A320" t="s">
        <v>39</v>
      </c>
      <c r="B320" t="s">
        <v>40</v>
      </c>
      <c r="C320">
        <v>20210101</v>
      </c>
      <c r="D320">
        <v>2021</v>
      </c>
      <c r="E320">
        <v>52</v>
      </c>
      <c r="F320" t="s">
        <v>333</v>
      </c>
      <c r="G320">
        <v>410</v>
      </c>
      <c r="H320" t="s">
        <v>173</v>
      </c>
      <c r="I320" t="s">
        <v>174</v>
      </c>
      <c r="J320" t="s">
        <v>44</v>
      </c>
      <c r="K320" t="s">
        <v>45</v>
      </c>
      <c r="L320">
        <v>0</v>
      </c>
      <c r="M320" t="s">
        <v>46</v>
      </c>
      <c r="N320" t="s">
        <v>47</v>
      </c>
      <c r="O320">
        <v>0</v>
      </c>
      <c r="P320" t="s">
        <v>46</v>
      </c>
      <c r="Q320" t="s">
        <v>47</v>
      </c>
      <c r="R320" t="s">
        <v>48</v>
      </c>
      <c r="S320" t="s">
        <v>49</v>
      </c>
      <c r="T320" t="b">
        <v>1</v>
      </c>
      <c r="U320" t="s">
        <v>50</v>
      </c>
      <c r="V320" t="s">
        <v>51</v>
      </c>
      <c r="W320">
        <v>4</v>
      </c>
      <c r="X320" t="b">
        <v>0</v>
      </c>
      <c r="Y320" t="s">
        <v>52</v>
      </c>
      <c r="Z320" t="s">
        <v>53</v>
      </c>
      <c r="AA320" t="s">
        <v>54</v>
      </c>
      <c r="AB320">
        <v>0</v>
      </c>
      <c r="AC320" t="s">
        <v>55</v>
      </c>
      <c r="AD320">
        <v>-1</v>
      </c>
      <c r="AE320" t="s">
        <v>64</v>
      </c>
      <c r="AF320">
        <v>0</v>
      </c>
      <c r="AG320" t="b">
        <v>0</v>
      </c>
      <c r="AH320">
        <v>-1</v>
      </c>
      <c r="AI320" t="s">
        <v>64</v>
      </c>
      <c r="AJ320">
        <v>0</v>
      </c>
      <c r="AK320" t="b">
        <v>0</v>
      </c>
      <c r="AM320" t="b">
        <v>0</v>
      </c>
      <c r="AN320">
        <v>0</v>
      </c>
      <c r="AO320" t="b">
        <v>0</v>
      </c>
      <c r="AQ320">
        <v>695491655</v>
      </c>
      <c r="AR320">
        <v>695491655</v>
      </c>
      <c r="AS320">
        <v>0</v>
      </c>
      <c r="AT320" t="b">
        <v>0</v>
      </c>
      <c r="AU320" t="b">
        <v>1</v>
      </c>
      <c r="AV320" t="b">
        <v>1</v>
      </c>
      <c r="AW320" t="b">
        <v>1</v>
      </c>
      <c r="BC320" t="str">
        <f t="shared" si="4"/>
        <v>Normal</v>
      </c>
    </row>
    <row r="321" spans="1:55" x14ac:dyDescent="0.2">
      <c r="A321" t="s">
        <v>39</v>
      </c>
      <c r="B321" t="s">
        <v>40</v>
      </c>
      <c r="C321">
        <v>20210101</v>
      </c>
      <c r="D321">
        <v>2021</v>
      </c>
      <c r="E321">
        <v>52</v>
      </c>
      <c r="F321" t="s">
        <v>333</v>
      </c>
      <c r="G321">
        <v>414</v>
      </c>
      <c r="H321" t="s">
        <v>175</v>
      </c>
      <c r="I321" t="s">
        <v>176</v>
      </c>
      <c r="J321" t="s">
        <v>44</v>
      </c>
      <c r="K321" t="s">
        <v>45</v>
      </c>
      <c r="L321">
        <v>0</v>
      </c>
      <c r="M321" t="s">
        <v>46</v>
      </c>
      <c r="N321" t="s">
        <v>47</v>
      </c>
      <c r="O321">
        <v>0</v>
      </c>
      <c r="P321" t="s">
        <v>46</v>
      </c>
      <c r="Q321" t="s">
        <v>47</v>
      </c>
      <c r="R321" t="s">
        <v>48</v>
      </c>
      <c r="S321" t="s">
        <v>49</v>
      </c>
      <c r="T321" t="b">
        <v>1</v>
      </c>
      <c r="U321" t="s">
        <v>50</v>
      </c>
      <c r="V321" t="s">
        <v>51</v>
      </c>
      <c r="W321">
        <v>4</v>
      </c>
      <c r="X321" t="b">
        <v>0</v>
      </c>
      <c r="Y321" t="s">
        <v>52</v>
      </c>
      <c r="Z321" t="s">
        <v>53</v>
      </c>
      <c r="AA321" t="s">
        <v>54</v>
      </c>
      <c r="AB321">
        <v>0</v>
      </c>
      <c r="AC321" t="s">
        <v>55</v>
      </c>
      <c r="AD321">
        <v>8</v>
      </c>
      <c r="AE321" t="s">
        <v>56</v>
      </c>
      <c r="AF321">
        <v>289.42200000000003</v>
      </c>
      <c r="AG321" t="b">
        <v>0</v>
      </c>
      <c r="AH321">
        <v>8</v>
      </c>
      <c r="AI321" t="s">
        <v>56</v>
      </c>
      <c r="AJ321">
        <v>289.42200000000003</v>
      </c>
      <c r="AK321" t="b">
        <v>0</v>
      </c>
      <c r="AL321">
        <v>289.42200000000003</v>
      </c>
      <c r="AM321" t="b">
        <v>0</v>
      </c>
      <c r="AN321">
        <v>0</v>
      </c>
      <c r="AO321" t="b">
        <v>0</v>
      </c>
      <c r="AQ321">
        <v>15312085</v>
      </c>
      <c r="AR321">
        <v>15312085</v>
      </c>
      <c r="AS321">
        <v>0</v>
      </c>
      <c r="AT321" t="b">
        <v>0</v>
      </c>
      <c r="AU321" t="b">
        <v>1</v>
      </c>
      <c r="AV321" t="b">
        <v>1</v>
      </c>
      <c r="AW321" t="b">
        <v>1</v>
      </c>
      <c r="BC321" t="str">
        <f t="shared" si="4"/>
        <v>Normal</v>
      </c>
    </row>
    <row r="322" spans="1:55" x14ac:dyDescent="0.2">
      <c r="A322" t="s">
        <v>39</v>
      </c>
      <c r="B322" t="s">
        <v>40</v>
      </c>
      <c r="C322">
        <v>20210101</v>
      </c>
      <c r="D322">
        <v>2021</v>
      </c>
      <c r="E322">
        <v>52</v>
      </c>
      <c r="F322" t="s">
        <v>333</v>
      </c>
      <c r="G322">
        <v>417</v>
      </c>
      <c r="H322" t="s">
        <v>177</v>
      </c>
      <c r="I322" t="s">
        <v>178</v>
      </c>
      <c r="J322" t="s">
        <v>44</v>
      </c>
      <c r="K322" t="s">
        <v>45</v>
      </c>
      <c r="L322">
        <v>0</v>
      </c>
      <c r="M322" t="s">
        <v>46</v>
      </c>
      <c r="N322" t="s">
        <v>47</v>
      </c>
      <c r="O322">
        <v>0</v>
      </c>
      <c r="P322" t="s">
        <v>46</v>
      </c>
      <c r="Q322" t="s">
        <v>47</v>
      </c>
      <c r="R322" t="s">
        <v>48</v>
      </c>
      <c r="S322" t="s">
        <v>49</v>
      </c>
      <c r="T322" t="b">
        <v>1</v>
      </c>
      <c r="U322" t="s">
        <v>50</v>
      </c>
      <c r="V322" t="s">
        <v>51</v>
      </c>
      <c r="W322">
        <v>4</v>
      </c>
      <c r="X322" t="b">
        <v>0</v>
      </c>
      <c r="Y322" t="s">
        <v>52</v>
      </c>
      <c r="Z322" t="s">
        <v>53</v>
      </c>
      <c r="AA322" t="s">
        <v>54</v>
      </c>
      <c r="AB322">
        <v>0</v>
      </c>
      <c r="AC322" t="s">
        <v>55</v>
      </c>
      <c r="AD322">
        <v>8</v>
      </c>
      <c r="AE322" t="s">
        <v>56</v>
      </c>
      <c r="AF322">
        <v>23352.100999999999</v>
      </c>
      <c r="AG322" t="b">
        <v>0</v>
      </c>
      <c r="AH322">
        <v>15</v>
      </c>
      <c r="AI322" t="s">
        <v>59</v>
      </c>
      <c r="AJ322">
        <v>23352101</v>
      </c>
      <c r="AK322" t="b">
        <v>0</v>
      </c>
      <c r="AL322">
        <v>24643.1</v>
      </c>
      <c r="AM322" t="b">
        <v>0</v>
      </c>
      <c r="AN322">
        <v>0</v>
      </c>
      <c r="AO322" t="b">
        <v>0</v>
      </c>
      <c r="AQ322">
        <v>1412999831</v>
      </c>
      <c r="AR322">
        <v>1412999831</v>
      </c>
      <c r="AS322">
        <v>0</v>
      </c>
      <c r="AT322" t="b">
        <v>0</v>
      </c>
      <c r="AU322" t="b">
        <v>1</v>
      </c>
      <c r="AV322" t="b">
        <v>1</v>
      </c>
      <c r="AW322" t="b">
        <v>1</v>
      </c>
      <c r="BC322" t="str">
        <f t="shared" si="4"/>
        <v>Normal</v>
      </c>
    </row>
    <row r="323" spans="1:55" x14ac:dyDescent="0.2">
      <c r="A323" t="s">
        <v>39</v>
      </c>
      <c r="B323" t="s">
        <v>40</v>
      </c>
      <c r="C323">
        <v>20210101</v>
      </c>
      <c r="D323">
        <v>2021</v>
      </c>
      <c r="E323">
        <v>52</v>
      </c>
      <c r="F323" t="s">
        <v>333</v>
      </c>
      <c r="G323">
        <v>418</v>
      </c>
      <c r="H323" t="s">
        <v>179</v>
      </c>
      <c r="I323" t="s">
        <v>180</v>
      </c>
      <c r="J323" t="s">
        <v>44</v>
      </c>
      <c r="K323" t="s">
        <v>45</v>
      </c>
      <c r="L323">
        <v>0</v>
      </c>
      <c r="M323" t="s">
        <v>46</v>
      </c>
      <c r="N323" t="s">
        <v>47</v>
      </c>
      <c r="O323">
        <v>0</v>
      </c>
      <c r="P323" t="s">
        <v>46</v>
      </c>
      <c r="Q323" t="s">
        <v>47</v>
      </c>
      <c r="R323" t="s">
        <v>48</v>
      </c>
      <c r="S323" t="s">
        <v>49</v>
      </c>
      <c r="T323" t="b">
        <v>1</v>
      </c>
      <c r="U323" t="s">
        <v>50</v>
      </c>
      <c r="V323" t="s">
        <v>51</v>
      </c>
      <c r="W323">
        <v>4</v>
      </c>
      <c r="X323" t="b">
        <v>0</v>
      </c>
      <c r="Y323" t="s">
        <v>52</v>
      </c>
      <c r="Z323" t="s">
        <v>53</v>
      </c>
      <c r="AA323" t="s">
        <v>54</v>
      </c>
      <c r="AB323">
        <v>0</v>
      </c>
      <c r="AC323" t="s">
        <v>55</v>
      </c>
      <c r="AD323">
        <v>8</v>
      </c>
      <c r="AE323" t="s">
        <v>56</v>
      </c>
      <c r="AF323">
        <v>78596.23</v>
      </c>
      <c r="AG323" t="b">
        <v>0</v>
      </c>
      <c r="AH323">
        <v>8</v>
      </c>
      <c r="AI323" t="s">
        <v>56</v>
      </c>
      <c r="AJ323">
        <v>78596.23</v>
      </c>
      <c r="AK323" t="b">
        <v>0</v>
      </c>
      <c r="AL323" s="1">
        <v>78596.23</v>
      </c>
      <c r="AM323" t="b">
        <v>0</v>
      </c>
      <c r="AN323">
        <v>0</v>
      </c>
      <c r="AO323" t="b">
        <v>0</v>
      </c>
      <c r="AP323">
        <v>0</v>
      </c>
      <c r="AQ323">
        <v>961628254.77999997</v>
      </c>
      <c r="AR323">
        <v>961628254.77999997</v>
      </c>
      <c r="AS323">
        <v>0</v>
      </c>
      <c r="AT323" t="b">
        <v>0</v>
      </c>
      <c r="AU323" t="b">
        <v>1</v>
      </c>
      <c r="AV323" t="b">
        <v>1</v>
      </c>
      <c r="AW323" t="b">
        <v>1</v>
      </c>
      <c r="BC323" t="str">
        <f t="shared" ref="BC323:BC386" si="5">IF(OR(AL323&lt;$BA$2,AL323&gt;$BB$2),"Outlier","Normal")</f>
        <v>Outlier</v>
      </c>
    </row>
    <row r="324" spans="1:55" x14ac:dyDescent="0.2">
      <c r="A324" t="s">
        <v>39</v>
      </c>
      <c r="B324" t="s">
        <v>40</v>
      </c>
      <c r="C324">
        <v>20210101</v>
      </c>
      <c r="D324">
        <v>2021</v>
      </c>
      <c r="E324">
        <v>52</v>
      </c>
      <c r="F324" t="s">
        <v>333</v>
      </c>
      <c r="G324">
        <v>422</v>
      </c>
      <c r="H324" t="s">
        <v>181</v>
      </c>
      <c r="I324" t="s">
        <v>182</v>
      </c>
      <c r="J324" t="s">
        <v>44</v>
      </c>
      <c r="K324" t="s">
        <v>45</v>
      </c>
      <c r="L324">
        <v>0</v>
      </c>
      <c r="M324" t="s">
        <v>46</v>
      </c>
      <c r="N324" t="s">
        <v>47</v>
      </c>
      <c r="O324">
        <v>0</v>
      </c>
      <c r="P324" t="s">
        <v>46</v>
      </c>
      <c r="Q324" t="s">
        <v>47</v>
      </c>
      <c r="R324" t="s">
        <v>48</v>
      </c>
      <c r="S324" t="s">
        <v>49</v>
      </c>
      <c r="T324" t="b">
        <v>1</v>
      </c>
      <c r="U324" t="s">
        <v>50</v>
      </c>
      <c r="V324" t="s">
        <v>51</v>
      </c>
      <c r="W324">
        <v>4</v>
      </c>
      <c r="X324" t="b">
        <v>0</v>
      </c>
      <c r="Y324" t="s">
        <v>52</v>
      </c>
      <c r="Z324" t="s">
        <v>53</v>
      </c>
      <c r="AA324" t="s">
        <v>54</v>
      </c>
      <c r="AB324">
        <v>0</v>
      </c>
      <c r="AC324" t="s">
        <v>55</v>
      </c>
      <c r="AD324">
        <v>8</v>
      </c>
      <c r="AE324" t="s">
        <v>56</v>
      </c>
      <c r="AF324">
        <v>8197.5259999999998</v>
      </c>
      <c r="AG324" t="b">
        <v>1</v>
      </c>
      <c r="AH324">
        <v>-1</v>
      </c>
      <c r="AI324" t="s">
        <v>64</v>
      </c>
      <c r="AJ324">
        <v>0</v>
      </c>
      <c r="AK324" t="b">
        <v>0</v>
      </c>
      <c r="AL324">
        <v>8197.5259999999998</v>
      </c>
      <c r="AM324" t="b">
        <v>1</v>
      </c>
      <c r="AN324">
        <v>0</v>
      </c>
      <c r="AO324" t="b">
        <v>0</v>
      </c>
      <c r="AP324">
        <v>0</v>
      </c>
      <c r="AQ324">
        <v>451824967</v>
      </c>
      <c r="AR324">
        <v>451824967</v>
      </c>
      <c r="AS324">
        <v>6</v>
      </c>
      <c r="AT324" t="b">
        <v>0</v>
      </c>
      <c r="AU324" t="b">
        <v>1</v>
      </c>
      <c r="AV324" t="b">
        <v>1</v>
      </c>
      <c r="AW324" t="b">
        <v>1</v>
      </c>
      <c r="BC324" t="str">
        <f t="shared" si="5"/>
        <v>Normal</v>
      </c>
    </row>
    <row r="325" spans="1:55" x14ac:dyDescent="0.2">
      <c r="A325" t="s">
        <v>39</v>
      </c>
      <c r="B325" t="s">
        <v>40</v>
      </c>
      <c r="C325">
        <v>20210101</v>
      </c>
      <c r="D325">
        <v>2021</v>
      </c>
      <c r="E325">
        <v>52</v>
      </c>
      <c r="F325" t="s">
        <v>333</v>
      </c>
      <c r="G325">
        <v>428</v>
      </c>
      <c r="H325" t="s">
        <v>183</v>
      </c>
      <c r="I325" t="s">
        <v>184</v>
      </c>
      <c r="J325" t="s">
        <v>44</v>
      </c>
      <c r="K325" t="s">
        <v>45</v>
      </c>
      <c r="L325">
        <v>0</v>
      </c>
      <c r="M325" t="s">
        <v>46</v>
      </c>
      <c r="N325" t="s">
        <v>47</v>
      </c>
      <c r="O325">
        <v>0</v>
      </c>
      <c r="P325" t="s">
        <v>46</v>
      </c>
      <c r="Q325" t="s">
        <v>47</v>
      </c>
      <c r="R325" t="s">
        <v>48</v>
      </c>
      <c r="S325" t="s">
        <v>49</v>
      </c>
      <c r="T325" t="b">
        <v>1</v>
      </c>
      <c r="U325" t="s">
        <v>50</v>
      </c>
      <c r="V325" t="s">
        <v>51</v>
      </c>
      <c r="W325">
        <v>4</v>
      </c>
      <c r="X325" t="b">
        <v>0</v>
      </c>
      <c r="Y325" t="s">
        <v>52</v>
      </c>
      <c r="Z325" t="s">
        <v>53</v>
      </c>
      <c r="AA325" t="s">
        <v>54</v>
      </c>
      <c r="AB325">
        <v>0</v>
      </c>
      <c r="AC325" t="s">
        <v>55</v>
      </c>
      <c r="AD325">
        <v>8</v>
      </c>
      <c r="AE325" t="s">
        <v>56</v>
      </c>
      <c r="AF325">
        <v>149.57599999999999</v>
      </c>
      <c r="AG325" t="b">
        <v>0</v>
      </c>
      <c r="AH325">
        <v>15</v>
      </c>
      <c r="AI325" t="s">
        <v>59</v>
      </c>
      <c r="AJ325">
        <v>149576</v>
      </c>
      <c r="AK325" t="b">
        <v>0</v>
      </c>
      <c r="AL325">
        <v>151.21100000000001</v>
      </c>
      <c r="AM325" t="b">
        <v>0</v>
      </c>
      <c r="AN325">
        <v>0</v>
      </c>
      <c r="AO325" t="b">
        <v>0</v>
      </c>
      <c r="AQ325">
        <v>8207523.483</v>
      </c>
      <c r="AR325">
        <v>8207523.483</v>
      </c>
      <c r="AS325">
        <v>0</v>
      </c>
      <c r="AT325" t="b">
        <v>0</v>
      </c>
      <c r="AU325" t="b">
        <v>1</v>
      </c>
      <c r="AV325" t="b">
        <v>1</v>
      </c>
      <c r="AW325" t="b">
        <v>1</v>
      </c>
      <c r="BC325" t="str">
        <f t="shared" si="5"/>
        <v>Normal</v>
      </c>
    </row>
    <row r="326" spans="1:55" x14ac:dyDescent="0.2">
      <c r="A326" t="s">
        <v>39</v>
      </c>
      <c r="B326" t="s">
        <v>40</v>
      </c>
      <c r="C326">
        <v>20210101</v>
      </c>
      <c r="D326">
        <v>2021</v>
      </c>
      <c r="E326">
        <v>52</v>
      </c>
      <c r="F326" t="s">
        <v>333</v>
      </c>
      <c r="G326">
        <v>440</v>
      </c>
      <c r="H326" t="s">
        <v>189</v>
      </c>
      <c r="I326" t="s">
        <v>190</v>
      </c>
      <c r="J326" t="s">
        <v>44</v>
      </c>
      <c r="K326" t="s">
        <v>45</v>
      </c>
      <c r="L326">
        <v>0</v>
      </c>
      <c r="M326" t="s">
        <v>46</v>
      </c>
      <c r="N326" t="s">
        <v>47</v>
      </c>
      <c r="O326">
        <v>0</v>
      </c>
      <c r="P326" t="s">
        <v>46</v>
      </c>
      <c r="Q326" t="s">
        <v>47</v>
      </c>
      <c r="R326" t="s">
        <v>48</v>
      </c>
      <c r="S326" t="s">
        <v>49</v>
      </c>
      <c r="T326" t="b">
        <v>1</v>
      </c>
      <c r="U326" t="s">
        <v>50</v>
      </c>
      <c r="V326" t="s">
        <v>51</v>
      </c>
      <c r="W326">
        <v>4</v>
      </c>
      <c r="X326" t="b">
        <v>0</v>
      </c>
      <c r="Y326" t="s">
        <v>52</v>
      </c>
      <c r="Z326" t="s">
        <v>53</v>
      </c>
      <c r="AA326" t="s">
        <v>54</v>
      </c>
      <c r="AB326">
        <v>0</v>
      </c>
      <c r="AC326" t="s">
        <v>55</v>
      </c>
      <c r="AD326">
        <v>8</v>
      </c>
      <c r="AE326" t="s">
        <v>56</v>
      </c>
      <c r="AF326">
        <v>5.5910000000000002</v>
      </c>
      <c r="AG326" t="b">
        <v>0</v>
      </c>
      <c r="AH326">
        <v>15</v>
      </c>
      <c r="AI326" t="s">
        <v>59</v>
      </c>
      <c r="AJ326">
        <v>5591.11</v>
      </c>
      <c r="AK326" t="b">
        <v>0</v>
      </c>
      <c r="AL326">
        <v>6.0410000000000004</v>
      </c>
      <c r="AM326" t="b">
        <v>0</v>
      </c>
      <c r="AN326">
        <v>0</v>
      </c>
      <c r="AO326" t="b">
        <v>0</v>
      </c>
      <c r="AP326">
        <v>0</v>
      </c>
      <c r="AQ326">
        <v>218117</v>
      </c>
      <c r="AR326">
        <v>218117</v>
      </c>
      <c r="AS326">
        <v>0</v>
      </c>
      <c r="AT326" t="b">
        <v>0</v>
      </c>
      <c r="AU326" t="b">
        <v>1</v>
      </c>
      <c r="AV326" t="b">
        <v>1</v>
      </c>
      <c r="AW326" t="b">
        <v>1</v>
      </c>
      <c r="BC326" t="str">
        <f t="shared" si="5"/>
        <v>Normal</v>
      </c>
    </row>
    <row r="327" spans="1:55" x14ac:dyDescent="0.2">
      <c r="A327" t="s">
        <v>39</v>
      </c>
      <c r="B327" t="s">
        <v>40</v>
      </c>
      <c r="C327">
        <v>20210101</v>
      </c>
      <c r="D327">
        <v>2021</v>
      </c>
      <c r="E327">
        <v>52</v>
      </c>
      <c r="F327" t="s">
        <v>333</v>
      </c>
      <c r="G327">
        <v>442</v>
      </c>
      <c r="H327" t="s">
        <v>191</v>
      </c>
      <c r="I327" t="s">
        <v>192</v>
      </c>
      <c r="J327" t="s">
        <v>44</v>
      </c>
      <c r="K327" t="s">
        <v>45</v>
      </c>
      <c r="L327">
        <v>0</v>
      </c>
      <c r="M327" t="s">
        <v>46</v>
      </c>
      <c r="N327" t="s">
        <v>47</v>
      </c>
      <c r="O327">
        <v>0</v>
      </c>
      <c r="P327" t="s">
        <v>46</v>
      </c>
      <c r="Q327" t="s">
        <v>47</v>
      </c>
      <c r="R327" t="s">
        <v>48</v>
      </c>
      <c r="S327" t="s">
        <v>49</v>
      </c>
      <c r="T327" t="b">
        <v>1</v>
      </c>
      <c r="U327" t="s">
        <v>50</v>
      </c>
      <c r="V327" t="s">
        <v>51</v>
      </c>
      <c r="W327">
        <v>4</v>
      </c>
      <c r="X327" t="b">
        <v>0</v>
      </c>
      <c r="Y327" t="s">
        <v>52</v>
      </c>
      <c r="Z327" t="s">
        <v>53</v>
      </c>
      <c r="AA327" t="s">
        <v>54</v>
      </c>
      <c r="AB327">
        <v>0</v>
      </c>
      <c r="AC327" t="s">
        <v>55</v>
      </c>
      <c r="AD327">
        <v>8</v>
      </c>
      <c r="AE327" t="s">
        <v>56</v>
      </c>
      <c r="AF327">
        <v>958.28499999999997</v>
      </c>
      <c r="AG327" t="b">
        <v>0</v>
      </c>
      <c r="AH327">
        <v>-1</v>
      </c>
      <c r="AI327" t="s">
        <v>64</v>
      </c>
      <c r="AJ327">
        <v>0</v>
      </c>
      <c r="AK327" t="b">
        <v>0</v>
      </c>
      <c r="AL327">
        <v>1648.461</v>
      </c>
      <c r="AM327" t="b">
        <v>0</v>
      </c>
      <c r="AN327">
        <v>0</v>
      </c>
      <c r="AO327" t="b">
        <v>0</v>
      </c>
      <c r="AP327">
        <v>0</v>
      </c>
      <c r="AQ327">
        <v>53907258.501999997</v>
      </c>
      <c r="AR327">
        <v>53907258.501999997</v>
      </c>
      <c r="AS327">
        <v>0</v>
      </c>
      <c r="AT327" t="b">
        <v>0</v>
      </c>
      <c r="AU327" t="b">
        <v>1</v>
      </c>
      <c r="AV327" t="b">
        <v>1</v>
      </c>
      <c r="AW327" t="b">
        <v>1</v>
      </c>
      <c r="BC327" t="str">
        <f t="shared" si="5"/>
        <v>Normal</v>
      </c>
    </row>
    <row r="328" spans="1:55" x14ac:dyDescent="0.2">
      <c r="A328" t="s">
        <v>39</v>
      </c>
      <c r="B328" t="s">
        <v>40</v>
      </c>
      <c r="C328">
        <v>20210101</v>
      </c>
      <c r="D328">
        <v>2021</v>
      </c>
      <c r="E328">
        <v>52</v>
      </c>
      <c r="F328" t="s">
        <v>333</v>
      </c>
      <c r="G328">
        <v>446</v>
      </c>
      <c r="H328" t="s">
        <v>323</v>
      </c>
      <c r="I328" t="s">
        <v>324</v>
      </c>
      <c r="J328" t="s">
        <v>44</v>
      </c>
      <c r="K328" t="s">
        <v>45</v>
      </c>
      <c r="L328">
        <v>0</v>
      </c>
      <c r="M328" t="s">
        <v>46</v>
      </c>
      <c r="N328" t="s">
        <v>47</v>
      </c>
      <c r="O328">
        <v>0</v>
      </c>
      <c r="P328" t="s">
        <v>46</v>
      </c>
      <c r="Q328" t="s">
        <v>47</v>
      </c>
      <c r="R328" t="s">
        <v>48</v>
      </c>
      <c r="S328" t="s">
        <v>49</v>
      </c>
      <c r="T328" t="b">
        <v>1</v>
      </c>
      <c r="U328" t="s">
        <v>50</v>
      </c>
      <c r="V328" t="s">
        <v>51</v>
      </c>
      <c r="W328">
        <v>4</v>
      </c>
      <c r="X328" t="b">
        <v>0</v>
      </c>
      <c r="Y328" t="s">
        <v>52</v>
      </c>
      <c r="Z328" t="s">
        <v>53</v>
      </c>
      <c r="AA328" t="s">
        <v>54</v>
      </c>
      <c r="AB328">
        <v>0</v>
      </c>
      <c r="AC328" t="s">
        <v>55</v>
      </c>
      <c r="AD328">
        <v>8</v>
      </c>
      <c r="AE328" t="s">
        <v>56</v>
      </c>
      <c r="AF328">
        <v>75</v>
      </c>
      <c r="AG328" t="b">
        <v>0</v>
      </c>
      <c r="AH328">
        <v>8</v>
      </c>
      <c r="AI328" t="s">
        <v>56</v>
      </c>
      <c r="AJ328">
        <v>75</v>
      </c>
      <c r="AK328" t="b">
        <v>0</v>
      </c>
      <c r="AL328">
        <v>75</v>
      </c>
      <c r="AM328" t="b">
        <v>0</v>
      </c>
      <c r="AN328">
        <v>0</v>
      </c>
      <c r="AO328" t="b">
        <v>0</v>
      </c>
      <c r="AP328">
        <v>0</v>
      </c>
      <c r="AQ328">
        <v>4330810.0420000004</v>
      </c>
      <c r="AR328">
        <v>4330810.0420000004</v>
      </c>
      <c r="AS328">
        <v>0</v>
      </c>
      <c r="AT328" t="b">
        <v>0</v>
      </c>
      <c r="AU328" t="b">
        <v>1</v>
      </c>
      <c r="AV328" t="b">
        <v>1</v>
      </c>
      <c r="AW328" t="b">
        <v>1</v>
      </c>
      <c r="BC328" t="str">
        <f t="shared" si="5"/>
        <v>Normal</v>
      </c>
    </row>
    <row r="329" spans="1:55" x14ac:dyDescent="0.2">
      <c r="A329" t="s">
        <v>39</v>
      </c>
      <c r="B329" t="s">
        <v>40</v>
      </c>
      <c r="C329">
        <v>20210101</v>
      </c>
      <c r="D329">
        <v>2021</v>
      </c>
      <c r="E329">
        <v>52</v>
      </c>
      <c r="F329" t="s">
        <v>333</v>
      </c>
      <c r="G329">
        <v>458</v>
      </c>
      <c r="H329" t="s">
        <v>195</v>
      </c>
      <c r="I329" t="s">
        <v>196</v>
      </c>
      <c r="J329" t="s">
        <v>44</v>
      </c>
      <c r="K329" t="s">
        <v>45</v>
      </c>
      <c r="L329">
        <v>0</v>
      </c>
      <c r="M329" t="s">
        <v>46</v>
      </c>
      <c r="N329" t="s">
        <v>47</v>
      </c>
      <c r="O329">
        <v>0</v>
      </c>
      <c r="P329" t="s">
        <v>46</v>
      </c>
      <c r="Q329" t="s">
        <v>47</v>
      </c>
      <c r="R329" t="s">
        <v>48</v>
      </c>
      <c r="S329" t="s">
        <v>49</v>
      </c>
      <c r="T329" t="b">
        <v>1</v>
      </c>
      <c r="U329" t="s">
        <v>50</v>
      </c>
      <c r="V329" t="s">
        <v>51</v>
      </c>
      <c r="W329">
        <v>4</v>
      </c>
      <c r="X329" t="b">
        <v>0</v>
      </c>
      <c r="Y329" t="s">
        <v>52</v>
      </c>
      <c r="Z329" t="s">
        <v>53</v>
      </c>
      <c r="AA329" t="s">
        <v>54</v>
      </c>
      <c r="AB329">
        <v>0</v>
      </c>
      <c r="AC329" t="s">
        <v>55</v>
      </c>
      <c r="AD329">
        <v>8</v>
      </c>
      <c r="AE329" t="s">
        <v>56</v>
      </c>
      <c r="AF329">
        <v>3468.335</v>
      </c>
      <c r="AG329" t="b">
        <v>0</v>
      </c>
      <c r="AH329">
        <v>8</v>
      </c>
      <c r="AI329" t="s">
        <v>56</v>
      </c>
      <c r="AJ329">
        <v>3468.335</v>
      </c>
      <c r="AK329" t="b">
        <v>0</v>
      </c>
      <c r="AL329">
        <v>3468.335</v>
      </c>
      <c r="AM329" t="b">
        <v>0</v>
      </c>
      <c r="AN329">
        <v>0</v>
      </c>
      <c r="AO329" t="b">
        <v>0</v>
      </c>
      <c r="AP329">
        <v>0</v>
      </c>
      <c r="AQ329">
        <v>166733121.50400001</v>
      </c>
      <c r="AR329">
        <v>166733121.50400001</v>
      </c>
      <c r="AS329">
        <v>0</v>
      </c>
      <c r="AT329" t="b">
        <v>0</v>
      </c>
      <c r="AU329" t="b">
        <v>1</v>
      </c>
      <c r="AV329" t="b">
        <v>1</v>
      </c>
      <c r="AW329" t="b">
        <v>1</v>
      </c>
      <c r="BC329" t="str">
        <f t="shared" si="5"/>
        <v>Normal</v>
      </c>
    </row>
    <row r="330" spans="1:55" x14ac:dyDescent="0.2">
      <c r="A330" t="s">
        <v>39</v>
      </c>
      <c r="B330" t="s">
        <v>40</v>
      </c>
      <c r="C330">
        <v>20210101</v>
      </c>
      <c r="D330">
        <v>2021</v>
      </c>
      <c r="E330">
        <v>52</v>
      </c>
      <c r="F330" t="s">
        <v>333</v>
      </c>
      <c r="G330">
        <v>466</v>
      </c>
      <c r="H330" t="s">
        <v>197</v>
      </c>
      <c r="I330" t="s">
        <v>198</v>
      </c>
      <c r="J330" t="s">
        <v>44</v>
      </c>
      <c r="K330" t="s">
        <v>45</v>
      </c>
      <c r="L330">
        <v>0</v>
      </c>
      <c r="M330" t="s">
        <v>46</v>
      </c>
      <c r="N330" t="s">
        <v>47</v>
      </c>
      <c r="O330">
        <v>0</v>
      </c>
      <c r="P330" t="s">
        <v>46</v>
      </c>
      <c r="Q330" t="s">
        <v>47</v>
      </c>
      <c r="R330" t="s">
        <v>48</v>
      </c>
      <c r="S330" t="s">
        <v>49</v>
      </c>
      <c r="T330" t="b">
        <v>1</v>
      </c>
      <c r="U330" t="s">
        <v>50</v>
      </c>
      <c r="V330" t="s">
        <v>51</v>
      </c>
      <c r="W330">
        <v>4</v>
      </c>
      <c r="X330" t="b">
        <v>0</v>
      </c>
      <c r="Y330" t="s">
        <v>52</v>
      </c>
      <c r="Z330" t="s">
        <v>53</v>
      </c>
      <c r="AA330" t="s">
        <v>54</v>
      </c>
      <c r="AB330">
        <v>0</v>
      </c>
      <c r="AC330" t="s">
        <v>55</v>
      </c>
      <c r="AD330">
        <v>8</v>
      </c>
      <c r="AE330" t="s">
        <v>56</v>
      </c>
      <c r="AF330">
        <v>63908.65</v>
      </c>
      <c r="AG330" t="b">
        <v>0</v>
      </c>
      <c r="AH330">
        <v>8</v>
      </c>
      <c r="AI330" t="s">
        <v>56</v>
      </c>
      <c r="AJ330">
        <v>63908.65</v>
      </c>
      <c r="AK330" t="b">
        <v>0</v>
      </c>
      <c r="AL330">
        <v>63908.65</v>
      </c>
      <c r="AM330" t="b">
        <v>0</v>
      </c>
      <c r="AN330">
        <v>0</v>
      </c>
      <c r="AO330" t="b">
        <v>0</v>
      </c>
      <c r="AQ330">
        <v>3368386220.3499999</v>
      </c>
      <c r="AR330">
        <v>3368386220.3499999</v>
      </c>
      <c r="AS330">
        <v>0</v>
      </c>
      <c r="AT330" t="b">
        <v>0</v>
      </c>
      <c r="AU330" t="b">
        <v>1</v>
      </c>
      <c r="AV330" t="b">
        <v>1</v>
      </c>
      <c r="AW330" t="b">
        <v>1</v>
      </c>
      <c r="BC330" t="str">
        <f t="shared" si="5"/>
        <v>Normal</v>
      </c>
    </row>
    <row r="331" spans="1:55" x14ac:dyDescent="0.2">
      <c r="A331" t="s">
        <v>39</v>
      </c>
      <c r="B331" t="s">
        <v>40</v>
      </c>
      <c r="C331">
        <v>20210101</v>
      </c>
      <c r="D331">
        <v>2021</v>
      </c>
      <c r="E331">
        <v>52</v>
      </c>
      <c r="F331" t="s">
        <v>333</v>
      </c>
      <c r="G331">
        <v>470</v>
      </c>
      <c r="H331" t="s">
        <v>199</v>
      </c>
      <c r="I331" t="s">
        <v>200</v>
      </c>
      <c r="J331" t="s">
        <v>44</v>
      </c>
      <c r="K331" t="s">
        <v>45</v>
      </c>
      <c r="L331">
        <v>0</v>
      </c>
      <c r="M331" t="s">
        <v>46</v>
      </c>
      <c r="N331" t="s">
        <v>47</v>
      </c>
      <c r="O331">
        <v>0</v>
      </c>
      <c r="P331" t="s">
        <v>46</v>
      </c>
      <c r="Q331" t="s">
        <v>47</v>
      </c>
      <c r="R331" t="s">
        <v>48</v>
      </c>
      <c r="S331" t="s">
        <v>49</v>
      </c>
      <c r="T331" t="b">
        <v>1</v>
      </c>
      <c r="U331" t="s">
        <v>50</v>
      </c>
      <c r="V331" t="s">
        <v>51</v>
      </c>
      <c r="W331">
        <v>4</v>
      </c>
      <c r="X331" t="b">
        <v>0</v>
      </c>
      <c r="Y331" t="s">
        <v>52</v>
      </c>
      <c r="Z331" t="s">
        <v>53</v>
      </c>
      <c r="AA331" t="s">
        <v>54</v>
      </c>
      <c r="AB331">
        <v>0</v>
      </c>
      <c r="AC331" t="s">
        <v>55</v>
      </c>
      <c r="AD331">
        <v>8</v>
      </c>
      <c r="AE331" t="s">
        <v>56</v>
      </c>
      <c r="AF331">
        <v>53.511000000000003</v>
      </c>
      <c r="AG331" t="b">
        <v>0</v>
      </c>
      <c r="AH331">
        <v>15</v>
      </c>
      <c r="AI331" t="s">
        <v>59</v>
      </c>
      <c r="AJ331">
        <v>53511</v>
      </c>
      <c r="AK331" t="b">
        <v>0</v>
      </c>
      <c r="AL331">
        <v>56</v>
      </c>
      <c r="AM331" t="b">
        <v>0</v>
      </c>
      <c r="AN331">
        <v>0</v>
      </c>
      <c r="AO331" t="b">
        <v>0</v>
      </c>
      <c r="AQ331">
        <v>2300115.2940000002</v>
      </c>
      <c r="AR331">
        <v>2300115.2940000002</v>
      </c>
      <c r="AS331">
        <v>0</v>
      </c>
      <c r="AT331" t="b">
        <v>0</v>
      </c>
      <c r="AU331" t="b">
        <v>1</v>
      </c>
      <c r="AV331" t="b">
        <v>1</v>
      </c>
      <c r="AW331" t="b">
        <v>1</v>
      </c>
      <c r="BC331" t="str">
        <f t="shared" si="5"/>
        <v>Normal</v>
      </c>
    </row>
    <row r="332" spans="1:55" x14ac:dyDescent="0.2">
      <c r="A332" t="s">
        <v>39</v>
      </c>
      <c r="B332" t="s">
        <v>40</v>
      </c>
      <c r="C332">
        <v>20210101</v>
      </c>
      <c r="D332">
        <v>2021</v>
      </c>
      <c r="E332">
        <v>52</v>
      </c>
      <c r="F332" t="s">
        <v>333</v>
      </c>
      <c r="G332">
        <v>478</v>
      </c>
      <c r="H332" t="s">
        <v>325</v>
      </c>
      <c r="I332" t="s">
        <v>326</v>
      </c>
      <c r="J332" t="s">
        <v>44</v>
      </c>
      <c r="K332" t="s">
        <v>45</v>
      </c>
      <c r="L332">
        <v>0</v>
      </c>
      <c r="M332" t="s">
        <v>46</v>
      </c>
      <c r="N332" t="s">
        <v>47</v>
      </c>
      <c r="O332">
        <v>0</v>
      </c>
      <c r="P332" t="s">
        <v>46</v>
      </c>
      <c r="Q332" t="s">
        <v>47</v>
      </c>
      <c r="R332" t="s">
        <v>48</v>
      </c>
      <c r="S332" t="s">
        <v>49</v>
      </c>
      <c r="T332" t="b">
        <v>1</v>
      </c>
      <c r="U332" t="s">
        <v>50</v>
      </c>
      <c r="V332" t="s">
        <v>51</v>
      </c>
      <c r="W332">
        <v>4</v>
      </c>
      <c r="X332" t="b">
        <v>0</v>
      </c>
      <c r="Y332" t="s">
        <v>52</v>
      </c>
      <c r="Z332" t="s">
        <v>53</v>
      </c>
      <c r="AA332" t="s">
        <v>54</v>
      </c>
      <c r="AB332">
        <v>0</v>
      </c>
      <c r="AC332" t="s">
        <v>55</v>
      </c>
      <c r="AD332">
        <v>-1</v>
      </c>
      <c r="AE332" t="s">
        <v>64</v>
      </c>
      <c r="AF332">
        <v>0</v>
      </c>
      <c r="AG332" t="b">
        <v>0</v>
      </c>
      <c r="AH332">
        <v>-1</v>
      </c>
      <c r="AI332" t="s">
        <v>64</v>
      </c>
      <c r="AJ332">
        <v>0</v>
      </c>
      <c r="AK332" t="b">
        <v>0</v>
      </c>
      <c r="AM332" t="b">
        <v>0</v>
      </c>
      <c r="AN332">
        <v>0</v>
      </c>
      <c r="AO332" t="b">
        <v>0</v>
      </c>
      <c r="AQ332">
        <v>323937479.19999999</v>
      </c>
      <c r="AR332">
        <v>323937479.19999999</v>
      </c>
      <c r="AS332">
        <v>0</v>
      </c>
      <c r="AT332" t="b">
        <v>0</v>
      </c>
      <c r="AU332" t="b">
        <v>1</v>
      </c>
      <c r="AV332" t="b">
        <v>1</v>
      </c>
      <c r="AW332" t="b">
        <v>1</v>
      </c>
      <c r="BC332" t="str">
        <f t="shared" si="5"/>
        <v>Normal</v>
      </c>
    </row>
    <row r="333" spans="1:55" x14ac:dyDescent="0.2">
      <c r="A333" t="s">
        <v>39</v>
      </c>
      <c r="B333" t="s">
        <v>40</v>
      </c>
      <c r="C333">
        <v>20210101</v>
      </c>
      <c r="D333">
        <v>2021</v>
      </c>
      <c r="E333">
        <v>52</v>
      </c>
      <c r="F333" t="s">
        <v>333</v>
      </c>
      <c r="G333">
        <v>480</v>
      </c>
      <c r="H333" t="s">
        <v>201</v>
      </c>
      <c r="I333" t="s">
        <v>202</v>
      </c>
      <c r="J333" t="s">
        <v>44</v>
      </c>
      <c r="K333" t="s">
        <v>45</v>
      </c>
      <c r="L333">
        <v>0</v>
      </c>
      <c r="M333" t="s">
        <v>46</v>
      </c>
      <c r="N333" t="s">
        <v>47</v>
      </c>
      <c r="O333">
        <v>0</v>
      </c>
      <c r="P333" t="s">
        <v>46</v>
      </c>
      <c r="Q333" t="s">
        <v>47</v>
      </c>
      <c r="R333" t="s">
        <v>48</v>
      </c>
      <c r="S333" t="s">
        <v>49</v>
      </c>
      <c r="T333" t="b">
        <v>1</v>
      </c>
      <c r="U333" t="s">
        <v>50</v>
      </c>
      <c r="V333" t="s">
        <v>51</v>
      </c>
      <c r="W333">
        <v>4</v>
      </c>
      <c r="X333" t="b">
        <v>0</v>
      </c>
      <c r="Y333" t="s">
        <v>52</v>
      </c>
      <c r="Z333" t="s">
        <v>53</v>
      </c>
      <c r="AA333" t="s">
        <v>54</v>
      </c>
      <c r="AB333">
        <v>0</v>
      </c>
      <c r="AC333" t="s">
        <v>55</v>
      </c>
      <c r="AD333">
        <v>8</v>
      </c>
      <c r="AE333" t="s">
        <v>56</v>
      </c>
      <c r="AF333">
        <v>1</v>
      </c>
      <c r="AG333" t="b">
        <v>0</v>
      </c>
      <c r="AH333">
        <v>8</v>
      </c>
      <c r="AI333" t="s">
        <v>56</v>
      </c>
      <c r="AJ333">
        <v>1</v>
      </c>
      <c r="AK333" t="b">
        <v>0</v>
      </c>
      <c r="AL333">
        <v>1</v>
      </c>
      <c r="AM333" t="b">
        <v>0</v>
      </c>
      <c r="AN333">
        <v>0</v>
      </c>
      <c r="AO333" t="b">
        <v>0</v>
      </c>
      <c r="AP333">
        <v>0</v>
      </c>
      <c r="AQ333">
        <v>62238.216</v>
      </c>
      <c r="AR333">
        <v>62238.216</v>
      </c>
      <c r="AS333">
        <v>0</v>
      </c>
      <c r="AT333" t="b">
        <v>0</v>
      </c>
      <c r="AU333" t="b">
        <v>1</v>
      </c>
      <c r="AV333" t="b">
        <v>1</v>
      </c>
      <c r="AW333" t="b">
        <v>1</v>
      </c>
      <c r="BC333" t="str">
        <f t="shared" si="5"/>
        <v>Normal</v>
      </c>
    </row>
    <row r="334" spans="1:55" x14ac:dyDescent="0.2">
      <c r="A334" t="s">
        <v>39</v>
      </c>
      <c r="B334" t="s">
        <v>40</v>
      </c>
      <c r="C334">
        <v>20210101</v>
      </c>
      <c r="D334">
        <v>2021</v>
      </c>
      <c r="E334">
        <v>52</v>
      </c>
      <c r="F334" t="s">
        <v>333</v>
      </c>
      <c r="G334">
        <v>484</v>
      </c>
      <c r="H334" t="s">
        <v>203</v>
      </c>
      <c r="I334" t="s">
        <v>204</v>
      </c>
      <c r="J334" t="s">
        <v>44</v>
      </c>
      <c r="K334" t="s">
        <v>45</v>
      </c>
      <c r="L334">
        <v>0</v>
      </c>
      <c r="M334" t="s">
        <v>46</v>
      </c>
      <c r="N334" t="s">
        <v>47</v>
      </c>
      <c r="O334">
        <v>0</v>
      </c>
      <c r="P334" t="s">
        <v>46</v>
      </c>
      <c r="Q334" t="s">
        <v>47</v>
      </c>
      <c r="R334" t="s">
        <v>48</v>
      </c>
      <c r="S334" t="s">
        <v>49</v>
      </c>
      <c r="T334" t="b">
        <v>1</v>
      </c>
      <c r="U334" t="s">
        <v>50</v>
      </c>
      <c r="V334" t="s">
        <v>51</v>
      </c>
      <c r="W334">
        <v>4</v>
      </c>
      <c r="X334" t="b">
        <v>0</v>
      </c>
      <c r="Y334" t="s">
        <v>52</v>
      </c>
      <c r="Z334" t="s">
        <v>53</v>
      </c>
      <c r="AA334" t="s">
        <v>54</v>
      </c>
      <c r="AB334">
        <v>0</v>
      </c>
      <c r="AC334" t="s">
        <v>55</v>
      </c>
      <c r="AD334">
        <v>-1</v>
      </c>
      <c r="AE334" t="s">
        <v>64</v>
      </c>
      <c r="AF334">
        <v>0</v>
      </c>
      <c r="AG334" t="b">
        <v>1</v>
      </c>
      <c r="AH334">
        <v>-1</v>
      </c>
      <c r="AI334" t="s">
        <v>64</v>
      </c>
      <c r="AJ334">
        <v>0</v>
      </c>
      <c r="AK334" t="b">
        <v>0</v>
      </c>
      <c r="AL334">
        <v>0</v>
      </c>
      <c r="AM334" t="b">
        <v>1</v>
      </c>
      <c r="AN334">
        <v>0</v>
      </c>
      <c r="AO334" t="b">
        <v>0</v>
      </c>
      <c r="AQ334">
        <v>3413974349</v>
      </c>
      <c r="AR334">
        <v>3413974349</v>
      </c>
      <c r="AS334">
        <v>6</v>
      </c>
      <c r="AT334" t="b">
        <v>0</v>
      </c>
      <c r="AU334" t="b">
        <v>1</v>
      </c>
      <c r="AV334" t="b">
        <v>1</v>
      </c>
      <c r="AW334" t="b">
        <v>1</v>
      </c>
      <c r="BC334" t="str">
        <f t="shared" si="5"/>
        <v>Normal</v>
      </c>
    </row>
    <row r="335" spans="1:55" x14ac:dyDescent="0.2">
      <c r="A335" t="s">
        <v>39</v>
      </c>
      <c r="B335" t="s">
        <v>40</v>
      </c>
      <c r="C335">
        <v>20210101</v>
      </c>
      <c r="D335">
        <v>2021</v>
      </c>
      <c r="E335">
        <v>52</v>
      </c>
      <c r="F335" t="s">
        <v>333</v>
      </c>
      <c r="G335">
        <v>490</v>
      </c>
      <c r="H335" t="s">
        <v>205</v>
      </c>
      <c r="I335" t="s">
        <v>206</v>
      </c>
      <c r="J335" t="s">
        <v>44</v>
      </c>
      <c r="K335" t="s">
        <v>45</v>
      </c>
      <c r="L335">
        <v>0</v>
      </c>
      <c r="M335" t="s">
        <v>46</v>
      </c>
      <c r="N335" t="s">
        <v>47</v>
      </c>
      <c r="O335">
        <v>0</v>
      </c>
      <c r="P335" t="s">
        <v>46</v>
      </c>
      <c r="Q335" t="s">
        <v>47</v>
      </c>
      <c r="R335" t="s">
        <v>48</v>
      </c>
      <c r="S335" t="s">
        <v>49</v>
      </c>
      <c r="T335" t="b">
        <v>1</v>
      </c>
      <c r="U335" t="s">
        <v>50</v>
      </c>
      <c r="V335" t="s">
        <v>51</v>
      </c>
      <c r="W335">
        <v>4</v>
      </c>
      <c r="X335" t="b">
        <v>0</v>
      </c>
      <c r="Y335" t="s">
        <v>52</v>
      </c>
      <c r="Z335" t="s">
        <v>53</v>
      </c>
      <c r="AA335" t="s">
        <v>54</v>
      </c>
      <c r="AB335">
        <v>0</v>
      </c>
      <c r="AC335" t="s">
        <v>55</v>
      </c>
      <c r="AD335">
        <v>8</v>
      </c>
      <c r="AE335" t="s">
        <v>56</v>
      </c>
      <c r="AF335">
        <v>14910.258</v>
      </c>
      <c r="AG335" t="b">
        <v>1</v>
      </c>
      <c r="AH335">
        <v>-1</v>
      </c>
      <c r="AI335" t="s">
        <v>64</v>
      </c>
      <c r="AJ335">
        <v>0</v>
      </c>
      <c r="AK335" t="b">
        <v>0</v>
      </c>
      <c r="AL335">
        <v>14910.258</v>
      </c>
      <c r="AM335" t="b">
        <v>1</v>
      </c>
      <c r="AN335">
        <v>0</v>
      </c>
      <c r="AO335" t="b">
        <v>0</v>
      </c>
      <c r="AP335">
        <v>0</v>
      </c>
      <c r="AQ335">
        <v>808234685.12800002</v>
      </c>
      <c r="AR335">
        <v>808234685.12800002</v>
      </c>
      <c r="AS335">
        <v>6</v>
      </c>
      <c r="AT335" t="b">
        <v>0</v>
      </c>
      <c r="AU335" t="b">
        <v>1</v>
      </c>
      <c r="AV335" t="b">
        <v>1</v>
      </c>
      <c r="AW335" t="b">
        <v>1</v>
      </c>
      <c r="BC335" t="str">
        <f t="shared" si="5"/>
        <v>Normal</v>
      </c>
    </row>
    <row r="336" spans="1:55" x14ac:dyDescent="0.2">
      <c r="A336" t="s">
        <v>39</v>
      </c>
      <c r="B336" t="s">
        <v>40</v>
      </c>
      <c r="C336">
        <v>20210101</v>
      </c>
      <c r="D336">
        <v>2021</v>
      </c>
      <c r="E336">
        <v>52</v>
      </c>
      <c r="F336" t="s">
        <v>333</v>
      </c>
      <c r="G336">
        <v>496</v>
      </c>
      <c r="H336" t="s">
        <v>207</v>
      </c>
      <c r="I336" t="s">
        <v>208</v>
      </c>
      <c r="J336" t="s">
        <v>44</v>
      </c>
      <c r="K336" t="s">
        <v>45</v>
      </c>
      <c r="L336">
        <v>0</v>
      </c>
      <c r="M336" t="s">
        <v>46</v>
      </c>
      <c r="N336" t="s">
        <v>47</v>
      </c>
      <c r="O336">
        <v>0</v>
      </c>
      <c r="P336" t="s">
        <v>46</v>
      </c>
      <c r="Q336" t="s">
        <v>47</v>
      </c>
      <c r="R336" t="s">
        <v>48</v>
      </c>
      <c r="S336" t="s">
        <v>49</v>
      </c>
      <c r="T336" t="b">
        <v>1</v>
      </c>
      <c r="U336" t="s">
        <v>50</v>
      </c>
      <c r="V336" t="s">
        <v>51</v>
      </c>
      <c r="W336">
        <v>4</v>
      </c>
      <c r="X336" t="b">
        <v>0</v>
      </c>
      <c r="Y336" t="s">
        <v>52</v>
      </c>
      <c r="Z336" t="s">
        <v>53</v>
      </c>
      <c r="AA336" t="s">
        <v>54</v>
      </c>
      <c r="AB336">
        <v>0</v>
      </c>
      <c r="AC336" t="s">
        <v>55</v>
      </c>
      <c r="AD336">
        <v>8</v>
      </c>
      <c r="AE336" t="s">
        <v>56</v>
      </c>
      <c r="AF336">
        <v>17249.57</v>
      </c>
      <c r="AG336" t="b">
        <v>0</v>
      </c>
      <c r="AH336">
        <v>8</v>
      </c>
      <c r="AI336" t="s">
        <v>56</v>
      </c>
      <c r="AJ336">
        <v>17249.57</v>
      </c>
      <c r="AK336" t="b">
        <v>0</v>
      </c>
      <c r="AL336">
        <v>17250</v>
      </c>
      <c r="AM336" t="b">
        <v>0</v>
      </c>
      <c r="AN336">
        <v>0</v>
      </c>
      <c r="AO336" t="b">
        <v>0</v>
      </c>
      <c r="AP336">
        <v>0</v>
      </c>
      <c r="AQ336">
        <v>1004519993.83</v>
      </c>
      <c r="AR336">
        <v>1004519993.83</v>
      </c>
      <c r="AS336">
        <v>0</v>
      </c>
      <c r="AT336" t="b">
        <v>0</v>
      </c>
      <c r="AU336" t="b">
        <v>1</v>
      </c>
      <c r="AV336" t="b">
        <v>1</v>
      </c>
      <c r="AW336" t="b">
        <v>1</v>
      </c>
      <c r="BC336" t="str">
        <f t="shared" si="5"/>
        <v>Normal</v>
      </c>
    </row>
    <row r="337" spans="1:55" x14ac:dyDescent="0.2">
      <c r="A337" t="s">
        <v>39</v>
      </c>
      <c r="B337" t="s">
        <v>40</v>
      </c>
      <c r="C337">
        <v>20210101</v>
      </c>
      <c r="D337">
        <v>2021</v>
      </c>
      <c r="E337">
        <v>52</v>
      </c>
      <c r="F337" t="s">
        <v>333</v>
      </c>
      <c r="G337">
        <v>498</v>
      </c>
      <c r="H337" t="s">
        <v>209</v>
      </c>
      <c r="I337" t="s">
        <v>210</v>
      </c>
      <c r="J337" t="s">
        <v>44</v>
      </c>
      <c r="K337" t="s">
        <v>45</v>
      </c>
      <c r="L337">
        <v>0</v>
      </c>
      <c r="M337" t="s">
        <v>46</v>
      </c>
      <c r="N337" t="s">
        <v>47</v>
      </c>
      <c r="O337">
        <v>0</v>
      </c>
      <c r="P337" t="s">
        <v>46</v>
      </c>
      <c r="Q337" t="s">
        <v>47</v>
      </c>
      <c r="R337" t="s">
        <v>48</v>
      </c>
      <c r="S337" t="s">
        <v>49</v>
      </c>
      <c r="T337" t="b">
        <v>1</v>
      </c>
      <c r="U337" t="s">
        <v>50</v>
      </c>
      <c r="V337" t="s">
        <v>51</v>
      </c>
      <c r="W337">
        <v>4</v>
      </c>
      <c r="X337" t="b">
        <v>0</v>
      </c>
      <c r="Y337" t="s">
        <v>52</v>
      </c>
      <c r="Z337" t="s">
        <v>53</v>
      </c>
      <c r="AA337" t="s">
        <v>54</v>
      </c>
      <c r="AB337">
        <v>0</v>
      </c>
      <c r="AC337" t="s">
        <v>55</v>
      </c>
      <c r="AD337">
        <v>8</v>
      </c>
      <c r="AE337" t="s">
        <v>56</v>
      </c>
      <c r="AF337">
        <v>26.1</v>
      </c>
      <c r="AG337" t="b">
        <v>0</v>
      </c>
      <c r="AH337">
        <v>15</v>
      </c>
      <c r="AI337" t="s">
        <v>59</v>
      </c>
      <c r="AJ337">
        <v>26100</v>
      </c>
      <c r="AK337" t="b">
        <v>0</v>
      </c>
      <c r="AL337">
        <v>26</v>
      </c>
      <c r="AM337" t="b">
        <v>0</v>
      </c>
      <c r="AN337">
        <v>0</v>
      </c>
      <c r="AO337" t="b">
        <v>0</v>
      </c>
      <c r="AP337">
        <v>0</v>
      </c>
      <c r="AQ337">
        <v>869827</v>
      </c>
      <c r="AR337">
        <v>869827</v>
      </c>
      <c r="AS337">
        <v>0</v>
      </c>
      <c r="AT337" t="b">
        <v>0</v>
      </c>
      <c r="AU337" t="b">
        <v>1</v>
      </c>
      <c r="AV337" t="b">
        <v>1</v>
      </c>
      <c r="AW337" t="b">
        <v>1</v>
      </c>
      <c r="BC337" t="str">
        <f t="shared" si="5"/>
        <v>Normal</v>
      </c>
    </row>
    <row r="338" spans="1:55" x14ac:dyDescent="0.2">
      <c r="A338" t="s">
        <v>39</v>
      </c>
      <c r="B338" t="s">
        <v>40</v>
      </c>
      <c r="C338">
        <v>20210101</v>
      </c>
      <c r="D338">
        <v>2021</v>
      </c>
      <c r="E338">
        <v>52</v>
      </c>
      <c r="F338" t="s">
        <v>333</v>
      </c>
      <c r="G338">
        <v>504</v>
      </c>
      <c r="H338" t="s">
        <v>211</v>
      </c>
      <c r="I338" t="s">
        <v>212</v>
      </c>
      <c r="J338" t="s">
        <v>44</v>
      </c>
      <c r="K338" t="s">
        <v>45</v>
      </c>
      <c r="L338">
        <v>0</v>
      </c>
      <c r="M338" t="s">
        <v>46</v>
      </c>
      <c r="N338" t="s">
        <v>47</v>
      </c>
      <c r="O338">
        <v>0</v>
      </c>
      <c r="P338" t="s">
        <v>46</v>
      </c>
      <c r="Q338" t="s">
        <v>47</v>
      </c>
      <c r="R338" t="s">
        <v>48</v>
      </c>
      <c r="S338" t="s">
        <v>49</v>
      </c>
      <c r="T338" t="b">
        <v>1</v>
      </c>
      <c r="U338" t="s">
        <v>50</v>
      </c>
      <c r="V338" t="s">
        <v>51</v>
      </c>
      <c r="W338">
        <v>4</v>
      </c>
      <c r="X338" t="b">
        <v>0</v>
      </c>
      <c r="Y338" t="s">
        <v>52</v>
      </c>
      <c r="Z338" t="s">
        <v>53</v>
      </c>
      <c r="AA338" t="s">
        <v>54</v>
      </c>
      <c r="AB338">
        <v>0</v>
      </c>
      <c r="AC338" t="s">
        <v>55</v>
      </c>
      <c r="AD338">
        <v>-1</v>
      </c>
      <c r="AE338" t="s">
        <v>64</v>
      </c>
      <c r="AF338">
        <v>0</v>
      </c>
      <c r="AG338" t="b">
        <v>0</v>
      </c>
      <c r="AH338">
        <v>15</v>
      </c>
      <c r="AI338" t="s">
        <v>59</v>
      </c>
      <c r="AJ338">
        <v>421549.13</v>
      </c>
      <c r="AK338" t="b">
        <v>0</v>
      </c>
      <c r="AL338">
        <v>805.9</v>
      </c>
      <c r="AM338" t="b">
        <v>0</v>
      </c>
      <c r="AN338">
        <v>0</v>
      </c>
      <c r="AO338" t="b">
        <v>0</v>
      </c>
      <c r="AP338">
        <v>0</v>
      </c>
      <c r="AQ338">
        <v>40370158.938000001</v>
      </c>
      <c r="AR338">
        <v>40370158.938000001</v>
      </c>
      <c r="AS338">
        <v>0</v>
      </c>
      <c r="AT338" t="b">
        <v>0</v>
      </c>
      <c r="AU338" t="b">
        <v>1</v>
      </c>
      <c r="AV338" t="b">
        <v>1</v>
      </c>
      <c r="AW338" t="b">
        <v>1</v>
      </c>
      <c r="BC338" t="str">
        <f t="shared" si="5"/>
        <v>Normal</v>
      </c>
    </row>
    <row r="339" spans="1:55" x14ac:dyDescent="0.2">
      <c r="A339" t="s">
        <v>39</v>
      </c>
      <c r="B339" t="s">
        <v>40</v>
      </c>
      <c r="C339">
        <v>20210101</v>
      </c>
      <c r="D339">
        <v>2021</v>
      </c>
      <c r="E339">
        <v>52</v>
      </c>
      <c r="F339" t="s">
        <v>333</v>
      </c>
      <c r="G339">
        <v>508</v>
      </c>
      <c r="H339" t="s">
        <v>213</v>
      </c>
      <c r="I339" t="s">
        <v>214</v>
      </c>
      <c r="J339" t="s">
        <v>44</v>
      </c>
      <c r="K339" t="s">
        <v>45</v>
      </c>
      <c r="L339">
        <v>0</v>
      </c>
      <c r="M339" t="s">
        <v>46</v>
      </c>
      <c r="N339" t="s">
        <v>47</v>
      </c>
      <c r="O339">
        <v>0</v>
      </c>
      <c r="P339" t="s">
        <v>46</v>
      </c>
      <c r="Q339" t="s">
        <v>47</v>
      </c>
      <c r="R339" t="s">
        <v>48</v>
      </c>
      <c r="S339" t="s">
        <v>49</v>
      </c>
      <c r="T339" t="b">
        <v>1</v>
      </c>
      <c r="U339" t="s">
        <v>50</v>
      </c>
      <c r="V339" t="s">
        <v>51</v>
      </c>
      <c r="W339">
        <v>4</v>
      </c>
      <c r="X339" t="b">
        <v>0</v>
      </c>
      <c r="Y339" t="s">
        <v>52</v>
      </c>
      <c r="Z339" t="s">
        <v>53</v>
      </c>
      <c r="AA339" t="s">
        <v>54</v>
      </c>
      <c r="AB339">
        <v>0</v>
      </c>
      <c r="AC339" t="s">
        <v>55</v>
      </c>
      <c r="AD339">
        <v>-1</v>
      </c>
      <c r="AE339" t="s">
        <v>64</v>
      </c>
      <c r="AF339">
        <v>0</v>
      </c>
      <c r="AG339" t="b">
        <v>0</v>
      </c>
      <c r="AH339">
        <v>-1</v>
      </c>
      <c r="AI339" t="s">
        <v>64</v>
      </c>
      <c r="AJ339">
        <v>0</v>
      </c>
      <c r="AK339" t="b">
        <v>0</v>
      </c>
      <c r="AM339" t="b">
        <v>0</v>
      </c>
      <c r="AN339">
        <v>0</v>
      </c>
      <c r="AO339" t="b">
        <v>0</v>
      </c>
      <c r="AQ339">
        <v>995616.4</v>
      </c>
      <c r="AR339">
        <v>995616.4</v>
      </c>
      <c r="AS339">
        <v>0</v>
      </c>
      <c r="AT339" t="b">
        <v>0</v>
      </c>
      <c r="AU339" t="b">
        <v>1</v>
      </c>
      <c r="AV339" t="b">
        <v>1</v>
      </c>
      <c r="AW339" t="b">
        <v>1</v>
      </c>
      <c r="BC339" t="str">
        <f t="shared" si="5"/>
        <v>Normal</v>
      </c>
    </row>
    <row r="340" spans="1:55" x14ac:dyDescent="0.2">
      <c r="A340" t="s">
        <v>39</v>
      </c>
      <c r="B340" t="s">
        <v>40</v>
      </c>
      <c r="C340">
        <v>20210101</v>
      </c>
      <c r="D340">
        <v>2021</v>
      </c>
      <c r="E340">
        <v>52</v>
      </c>
      <c r="F340" t="s">
        <v>333</v>
      </c>
      <c r="G340">
        <v>512</v>
      </c>
      <c r="H340" t="s">
        <v>215</v>
      </c>
      <c r="I340" t="s">
        <v>216</v>
      </c>
      <c r="J340" t="s">
        <v>44</v>
      </c>
      <c r="K340" t="s">
        <v>45</v>
      </c>
      <c r="L340">
        <v>0</v>
      </c>
      <c r="M340" t="s">
        <v>46</v>
      </c>
      <c r="N340" t="s">
        <v>47</v>
      </c>
      <c r="O340">
        <v>0</v>
      </c>
      <c r="P340" t="s">
        <v>46</v>
      </c>
      <c r="Q340" t="s">
        <v>47</v>
      </c>
      <c r="R340" t="s">
        <v>48</v>
      </c>
      <c r="S340" t="s">
        <v>49</v>
      </c>
      <c r="T340" t="b">
        <v>1</v>
      </c>
      <c r="U340" t="s">
        <v>50</v>
      </c>
      <c r="V340" t="s">
        <v>51</v>
      </c>
      <c r="W340">
        <v>4</v>
      </c>
      <c r="X340" t="b">
        <v>0</v>
      </c>
      <c r="Y340" t="s">
        <v>52</v>
      </c>
      <c r="Z340" t="s">
        <v>53</v>
      </c>
      <c r="AA340" t="s">
        <v>54</v>
      </c>
      <c r="AB340">
        <v>0</v>
      </c>
      <c r="AC340" t="s">
        <v>55</v>
      </c>
      <c r="AD340">
        <v>8</v>
      </c>
      <c r="AE340" t="s">
        <v>56</v>
      </c>
      <c r="AF340">
        <v>2351</v>
      </c>
      <c r="AG340" t="b">
        <v>0</v>
      </c>
      <c r="AH340">
        <v>8</v>
      </c>
      <c r="AI340" t="s">
        <v>56</v>
      </c>
      <c r="AJ340">
        <v>2351</v>
      </c>
      <c r="AK340" t="b">
        <v>0</v>
      </c>
      <c r="AL340">
        <v>2351</v>
      </c>
      <c r="AM340" t="b">
        <v>0</v>
      </c>
      <c r="AN340">
        <v>0</v>
      </c>
      <c r="AO340" t="b">
        <v>0</v>
      </c>
      <c r="AQ340">
        <v>28259924.533</v>
      </c>
      <c r="AR340">
        <v>28259924.533</v>
      </c>
      <c r="AS340">
        <v>0</v>
      </c>
      <c r="AT340" t="b">
        <v>0</v>
      </c>
      <c r="AU340" t="b">
        <v>1</v>
      </c>
      <c r="AV340" t="b">
        <v>1</v>
      </c>
      <c r="AW340" t="b">
        <v>1</v>
      </c>
      <c r="BC340" t="str">
        <f t="shared" si="5"/>
        <v>Normal</v>
      </c>
    </row>
    <row r="341" spans="1:55" x14ac:dyDescent="0.2">
      <c r="A341" t="s">
        <v>39</v>
      </c>
      <c r="B341" t="s">
        <v>40</v>
      </c>
      <c r="C341">
        <v>20210101</v>
      </c>
      <c r="D341">
        <v>2021</v>
      </c>
      <c r="E341">
        <v>52</v>
      </c>
      <c r="F341" t="s">
        <v>333</v>
      </c>
      <c r="G341">
        <v>516</v>
      </c>
      <c r="H341" t="s">
        <v>217</v>
      </c>
      <c r="I341" t="s">
        <v>218</v>
      </c>
      <c r="J341" t="s">
        <v>44</v>
      </c>
      <c r="K341" t="s">
        <v>45</v>
      </c>
      <c r="L341">
        <v>0</v>
      </c>
      <c r="M341" t="s">
        <v>46</v>
      </c>
      <c r="N341" t="s">
        <v>47</v>
      </c>
      <c r="O341">
        <v>0</v>
      </c>
      <c r="P341" t="s">
        <v>46</v>
      </c>
      <c r="Q341" t="s">
        <v>47</v>
      </c>
      <c r="R341" t="s">
        <v>48</v>
      </c>
      <c r="S341" t="s">
        <v>49</v>
      </c>
      <c r="T341" t="b">
        <v>1</v>
      </c>
      <c r="U341" t="s">
        <v>50</v>
      </c>
      <c r="V341" t="s">
        <v>51</v>
      </c>
      <c r="W341">
        <v>4</v>
      </c>
      <c r="X341" t="b">
        <v>0</v>
      </c>
      <c r="Y341" t="s">
        <v>52</v>
      </c>
      <c r="Z341" t="s">
        <v>53</v>
      </c>
      <c r="AA341" t="s">
        <v>54</v>
      </c>
      <c r="AB341">
        <v>0</v>
      </c>
      <c r="AC341" t="s">
        <v>55</v>
      </c>
      <c r="AD341">
        <v>8</v>
      </c>
      <c r="AE341" t="s">
        <v>56</v>
      </c>
      <c r="AF341">
        <v>8110.24</v>
      </c>
      <c r="AG341" t="b">
        <v>0</v>
      </c>
      <c r="AH341">
        <v>8</v>
      </c>
      <c r="AI341" t="s">
        <v>56</v>
      </c>
      <c r="AJ341">
        <v>8110.24</v>
      </c>
      <c r="AK341" t="b">
        <v>0</v>
      </c>
      <c r="AL341">
        <v>8110.24</v>
      </c>
      <c r="AM341" t="b">
        <v>0</v>
      </c>
      <c r="AN341">
        <v>0</v>
      </c>
      <c r="AO341" t="b">
        <v>0</v>
      </c>
      <c r="AQ341">
        <v>440147872.76499999</v>
      </c>
      <c r="AR341">
        <v>440147872.76499999</v>
      </c>
      <c r="AS341">
        <v>0</v>
      </c>
      <c r="AT341" t="b">
        <v>0</v>
      </c>
      <c r="AU341" t="b">
        <v>1</v>
      </c>
      <c r="AV341" t="b">
        <v>1</v>
      </c>
      <c r="AW341" t="b">
        <v>1</v>
      </c>
      <c r="BC341" t="str">
        <f t="shared" si="5"/>
        <v>Normal</v>
      </c>
    </row>
    <row r="342" spans="1:55" x14ac:dyDescent="0.2">
      <c r="A342" t="s">
        <v>39</v>
      </c>
      <c r="B342" t="s">
        <v>40</v>
      </c>
      <c r="C342">
        <v>20210101</v>
      </c>
      <c r="D342">
        <v>2021</v>
      </c>
      <c r="E342">
        <v>52</v>
      </c>
      <c r="F342" t="s">
        <v>333</v>
      </c>
      <c r="G342">
        <v>528</v>
      </c>
      <c r="H342" t="s">
        <v>219</v>
      </c>
      <c r="I342" t="s">
        <v>220</v>
      </c>
      <c r="J342" t="s">
        <v>44</v>
      </c>
      <c r="K342" t="s">
        <v>45</v>
      </c>
      <c r="L342">
        <v>0</v>
      </c>
      <c r="M342" t="s">
        <v>46</v>
      </c>
      <c r="N342" t="s">
        <v>47</v>
      </c>
      <c r="O342">
        <v>0</v>
      </c>
      <c r="P342" t="s">
        <v>46</v>
      </c>
      <c r="Q342" t="s">
        <v>47</v>
      </c>
      <c r="R342" t="s">
        <v>48</v>
      </c>
      <c r="S342" t="s">
        <v>49</v>
      </c>
      <c r="T342" t="b">
        <v>1</v>
      </c>
      <c r="U342" t="s">
        <v>50</v>
      </c>
      <c r="V342" t="s">
        <v>51</v>
      </c>
      <c r="W342">
        <v>4</v>
      </c>
      <c r="X342" t="b">
        <v>0</v>
      </c>
      <c r="Y342" t="s">
        <v>52</v>
      </c>
      <c r="Z342" t="s">
        <v>53</v>
      </c>
      <c r="AA342" t="s">
        <v>54</v>
      </c>
      <c r="AB342">
        <v>0</v>
      </c>
      <c r="AC342" t="s">
        <v>55</v>
      </c>
      <c r="AD342">
        <v>-1</v>
      </c>
      <c r="AE342" t="s">
        <v>64</v>
      </c>
      <c r="AF342">
        <v>0</v>
      </c>
      <c r="AG342" t="b">
        <v>0</v>
      </c>
      <c r="AH342">
        <v>-1</v>
      </c>
      <c r="AI342" t="s">
        <v>64</v>
      </c>
      <c r="AJ342">
        <v>0</v>
      </c>
      <c r="AK342" t="b">
        <v>0</v>
      </c>
      <c r="AL342">
        <v>0</v>
      </c>
      <c r="AM342" t="b">
        <v>0</v>
      </c>
      <c r="AN342">
        <v>0</v>
      </c>
      <c r="AO342" t="b">
        <v>0</v>
      </c>
      <c r="AP342">
        <v>0</v>
      </c>
      <c r="AQ342">
        <v>300011153.61500001</v>
      </c>
      <c r="AR342">
        <v>300011153.61500001</v>
      </c>
      <c r="AS342">
        <v>0</v>
      </c>
      <c r="AT342" t="b">
        <v>0</v>
      </c>
      <c r="AU342" t="b">
        <v>1</v>
      </c>
      <c r="AV342" t="b">
        <v>1</v>
      </c>
      <c r="AW342" t="b">
        <v>1</v>
      </c>
      <c r="BC342" t="str">
        <f t="shared" si="5"/>
        <v>Normal</v>
      </c>
    </row>
    <row r="343" spans="1:55" x14ac:dyDescent="0.2">
      <c r="A343" t="s">
        <v>39</v>
      </c>
      <c r="B343" t="s">
        <v>40</v>
      </c>
      <c r="C343">
        <v>20210101</v>
      </c>
      <c r="D343">
        <v>2021</v>
      </c>
      <c r="E343">
        <v>52</v>
      </c>
      <c r="F343" t="s">
        <v>333</v>
      </c>
      <c r="G343">
        <v>554</v>
      </c>
      <c r="H343" t="s">
        <v>223</v>
      </c>
      <c r="I343" t="s">
        <v>224</v>
      </c>
      <c r="J343" t="s">
        <v>44</v>
      </c>
      <c r="K343" t="s">
        <v>45</v>
      </c>
      <c r="L343">
        <v>0</v>
      </c>
      <c r="M343" t="s">
        <v>46</v>
      </c>
      <c r="N343" t="s">
        <v>47</v>
      </c>
      <c r="O343">
        <v>0</v>
      </c>
      <c r="P343" t="s">
        <v>46</v>
      </c>
      <c r="Q343" t="s">
        <v>47</v>
      </c>
      <c r="R343" t="s">
        <v>48</v>
      </c>
      <c r="S343" t="s">
        <v>49</v>
      </c>
      <c r="T343" t="b">
        <v>1</v>
      </c>
      <c r="U343" t="s">
        <v>50</v>
      </c>
      <c r="V343" t="s">
        <v>51</v>
      </c>
      <c r="W343">
        <v>4</v>
      </c>
      <c r="X343" t="b">
        <v>0</v>
      </c>
      <c r="Y343" t="s">
        <v>52</v>
      </c>
      <c r="Z343" t="s">
        <v>53</v>
      </c>
      <c r="AA343" t="s">
        <v>54</v>
      </c>
      <c r="AB343">
        <v>0</v>
      </c>
      <c r="AC343" t="s">
        <v>55</v>
      </c>
      <c r="AD343">
        <v>8</v>
      </c>
      <c r="AE343" t="s">
        <v>56</v>
      </c>
      <c r="AF343">
        <v>8214.0689999999995</v>
      </c>
      <c r="AG343" t="b">
        <v>0</v>
      </c>
      <c r="AH343">
        <v>15</v>
      </c>
      <c r="AI343" t="s">
        <v>59</v>
      </c>
      <c r="AJ343">
        <v>8214069</v>
      </c>
      <c r="AK343" t="b">
        <v>0</v>
      </c>
      <c r="AL343">
        <v>8214.0689999999995</v>
      </c>
      <c r="AM343" t="b">
        <v>0</v>
      </c>
      <c r="AN343">
        <v>0</v>
      </c>
      <c r="AO343" t="b">
        <v>0</v>
      </c>
      <c r="AQ343">
        <v>333771730.15399998</v>
      </c>
      <c r="AR343">
        <v>333771730.15399998</v>
      </c>
      <c r="AS343">
        <v>0</v>
      </c>
      <c r="AT343" t="b">
        <v>0</v>
      </c>
      <c r="AU343" t="b">
        <v>1</v>
      </c>
      <c r="AV343" t="b">
        <v>1</v>
      </c>
      <c r="AW343" t="b">
        <v>1</v>
      </c>
      <c r="BC343" t="str">
        <f t="shared" si="5"/>
        <v>Normal</v>
      </c>
    </row>
    <row r="344" spans="1:55" x14ac:dyDescent="0.2">
      <c r="A344" t="s">
        <v>39</v>
      </c>
      <c r="B344" t="s">
        <v>40</v>
      </c>
      <c r="C344">
        <v>20210101</v>
      </c>
      <c r="D344">
        <v>2021</v>
      </c>
      <c r="E344">
        <v>52</v>
      </c>
      <c r="F344" t="s">
        <v>333</v>
      </c>
      <c r="G344">
        <v>558</v>
      </c>
      <c r="H344" t="s">
        <v>225</v>
      </c>
      <c r="I344" t="s">
        <v>226</v>
      </c>
      <c r="J344" t="s">
        <v>44</v>
      </c>
      <c r="K344" t="s">
        <v>45</v>
      </c>
      <c r="L344">
        <v>0</v>
      </c>
      <c r="M344" t="s">
        <v>46</v>
      </c>
      <c r="N344" t="s">
        <v>47</v>
      </c>
      <c r="O344">
        <v>0</v>
      </c>
      <c r="P344" t="s">
        <v>46</v>
      </c>
      <c r="Q344" t="s">
        <v>47</v>
      </c>
      <c r="R344" t="s">
        <v>48</v>
      </c>
      <c r="S344" t="s">
        <v>49</v>
      </c>
      <c r="T344" t="b">
        <v>1</v>
      </c>
      <c r="U344" t="s">
        <v>50</v>
      </c>
      <c r="V344" t="s">
        <v>51</v>
      </c>
      <c r="W344">
        <v>4</v>
      </c>
      <c r="X344" t="b">
        <v>0</v>
      </c>
      <c r="Y344" t="s">
        <v>52</v>
      </c>
      <c r="Z344" t="s">
        <v>53</v>
      </c>
      <c r="AA344" t="s">
        <v>54</v>
      </c>
      <c r="AB344">
        <v>0</v>
      </c>
      <c r="AC344" t="s">
        <v>55</v>
      </c>
      <c r="AD344">
        <v>8</v>
      </c>
      <c r="AE344" t="s">
        <v>56</v>
      </c>
      <c r="AF344">
        <v>26466.5</v>
      </c>
      <c r="AG344" t="b">
        <v>0</v>
      </c>
      <c r="AH344">
        <v>8</v>
      </c>
      <c r="AI344" t="s">
        <v>56</v>
      </c>
      <c r="AJ344">
        <v>26466.5</v>
      </c>
      <c r="AK344" t="b">
        <v>0</v>
      </c>
      <c r="AL344">
        <v>26466.5</v>
      </c>
      <c r="AM344" t="b">
        <v>0</v>
      </c>
      <c r="AN344">
        <v>0</v>
      </c>
      <c r="AO344" t="b">
        <v>0</v>
      </c>
      <c r="AP344">
        <v>0</v>
      </c>
      <c r="AQ344">
        <v>867704738.89999998</v>
      </c>
      <c r="AR344">
        <v>867704738.89999998</v>
      </c>
      <c r="AS344">
        <v>0</v>
      </c>
      <c r="AT344" t="b">
        <v>0</v>
      </c>
      <c r="AU344" t="b">
        <v>1</v>
      </c>
      <c r="AV344" t="b">
        <v>1</v>
      </c>
      <c r="AW344" t="b">
        <v>1</v>
      </c>
      <c r="BC344" t="str">
        <f t="shared" si="5"/>
        <v>Normal</v>
      </c>
    </row>
    <row r="345" spans="1:55" x14ac:dyDescent="0.2">
      <c r="A345" t="s">
        <v>39</v>
      </c>
      <c r="B345" t="s">
        <v>40</v>
      </c>
      <c r="C345">
        <v>20210101</v>
      </c>
      <c r="D345">
        <v>2021</v>
      </c>
      <c r="E345">
        <v>52</v>
      </c>
      <c r="F345" t="s">
        <v>333</v>
      </c>
      <c r="G345">
        <v>562</v>
      </c>
      <c r="H345" t="s">
        <v>227</v>
      </c>
      <c r="I345" t="s">
        <v>228</v>
      </c>
      <c r="J345" t="s">
        <v>44</v>
      </c>
      <c r="K345" t="s">
        <v>45</v>
      </c>
      <c r="L345">
        <v>0</v>
      </c>
      <c r="M345" t="s">
        <v>46</v>
      </c>
      <c r="N345" t="s">
        <v>47</v>
      </c>
      <c r="O345">
        <v>0</v>
      </c>
      <c r="P345" t="s">
        <v>46</v>
      </c>
      <c r="Q345" t="s">
        <v>47</v>
      </c>
      <c r="R345" t="s">
        <v>48</v>
      </c>
      <c r="S345" t="s">
        <v>49</v>
      </c>
      <c r="T345" t="b">
        <v>1</v>
      </c>
      <c r="U345" t="s">
        <v>50</v>
      </c>
      <c r="V345" t="s">
        <v>51</v>
      </c>
      <c r="W345">
        <v>4</v>
      </c>
      <c r="X345" t="b">
        <v>0</v>
      </c>
      <c r="Y345" t="s">
        <v>52</v>
      </c>
      <c r="Z345" t="s">
        <v>53</v>
      </c>
      <c r="AA345" t="s">
        <v>54</v>
      </c>
      <c r="AB345">
        <v>0</v>
      </c>
      <c r="AC345" t="s">
        <v>55</v>
      </c>
      <c r="AD345">
        <v>8</v>
      </c>
      <c r="AE345" t="s">
        <v>56</v>
      </c>
      <c r="AF345">
        <v>3246</v>
      </c>
      <c r="AG345" t="b">
        <v>0</v>
      </c>
      <c r="AH345">
        <v>8</v>
      </c>
      <c r="AI345" t="s">
        <v>56</v>
      </c>
      <c r="AJ345">
        <v>3246</v>
      </c>
      <c r="AK345" t="b">
        <v>0</v>
      </c>
      <c r="AL345">
        <v>3246</v>
      </c>
      <c r="AM345" t="b">
        <v>0</v>
      </c>
      <c r="AN345">
        <v>0</v>
      </c>
      <c r="AO345" t="b">
        <v>0</v>
      </c>
      <c r="AQ345">
        <v>78733379.642000005</v>
      </c>
      <c r="AR345">
        <v>78733379.642000005</v>
      </c>
      <c r="AS345">
        <v>0</v>
      </c>
      <c r="AT345" t="b">
        <v>0</v>
      </c>
      <c r="AU345" t="b">
        <v>1</v>
      </c>
      <c r="AV345" t="b">
        <v>1</v>
      </c>
      <c r="AW345" t="b">
        <v>1</v>
      </c>
      <c r="BC345" t="str">
        <f t="shared" si="5"/>
        <v>Normal</v>
      </c>
    </row>
    <row r="346" spans="1:55" x14ac:dyDescent="0.2">
      <c r="A346" t="s">
        <v>39</v>
      </c>
      <c r="B346" t="s">
        <v>40</v>
      </c>
      <c r="C346">
        <v>20210101</v>
      </c>
      <c r="D346">
        <v>2021</v>
      </c>
      <c r="E346">
        <v>52</v>
      </c>
      <c r="F346" t="s">
        <v>333</v>
      </c>
      <c r="G346">
        <v>566</v>
      </c>
      <c r="H346" t="s">
        <v>329</v>
      </c>
      <c r="I346" t="s">
        <v>330</v>
      </c>
      <c r="J346" t="s">
        <v>44</v>
      </c>
      <c r="K346" t="s">
        <v>45</v>
      </c>
      <c r="L346">
        <v>0</v>
      </c>
      <c r="M346" t="s">
        <v>46</v>
      </c>
      <c r="N346" t="s">
        <v>47</v>
      </c>
      <c r="O346">
        <v>0</v>
      </c>
      <c r="P346" t="s">
        <v>46</v>
      </c>
      <c r="Q346" t="s">
        <v>47</v>
      </c>
      <c r="R346" t="s">
        <v>95</v>
      </c>
      <c r="S346" t="s">
        <v>49</v>
      </c>
      <c r="T346" t="b">
        <v>1</v>
      </c>
      <c r="U346" t="s">
        <v>50</v>
      </c>
      <c r="V346" t="s">
        <v>51</v>
      </c>
      <c r="W346">
        <v>4</v>
      </c>
      <c r="X346" t="b">
        <v>0</v>
      </c>
      <c r="Y346" t="s">
        <v>52</v>
      </c>
      <c r="Z346" t="s">
        <v>53</v>
      </c>
      <c r="AA346" t="s">
        <v>54</v>
      </c>
      <c r="AB346">
        <v>0</v>
      </c>
      <c r="AC346" t="s">
        <v>55</v>
      </c>
      <c r="AD346">
        <v>-1</v>
      </c>
      <c r="AE346" t="s">
        <v>64</v>
      </c>
      <c r="AF346">
        <v>0</v>
      </c>
      <c r="AG346" t="b">
        <v>0</v>
      </c>
      <c r="AH346">
        <v>-1</v>
      </c>
      <c r="AI346" t="s">
        <v>64</v>
      </c>
      <c r="AJ346">
        <v>0</v>
      </c>
      <c r="AK346" t="b">
        <v>0</v>
      </c>
      <c r="AL346">
        <v>0</v>
      </c>
      <c r="AM346" t="b">
        <v>0</v>
      </c>
      <c r="AN346">
        <v>0</v>
      </c>
      <c r="AO346" t="b">
        <v>0</v>
      </c>
      <c r="AP346">
        <v>0</v>
      </c>
      <c r="AQ346">
        <v>8290482.5599999996</v>
      </c>
      <c r="AR346">
        <v>8290482.5599999996</v>
      </c>
      <c r="AS346">
        <v>0</v>
      </c>
      <c r="AT346" t="b">
        <v>0</v>
      </c>
      <c r="AU346" t="b">
        <v>1</v>
      </c>
      <c r="AV346" t="b">
        <v>1</v>
      </c>
      <c r="AW346" t="b">
        <v>1</v>
      </c>
      <c r="BC346" t="str">
        <f t="shared" si="5"/>
        <v>Normal</v>
      </c>
    </row>
    <row r="347" spans="1:55" x14ac:dyDescent="0.2">
      <c r="A347" t="s">
        <v>39</v>
      </c>
      <c r="B347" t="s">
        <v>40</v>
      </c>
      <c r="C347">
        <v>20210101</v>
      </c>
      <c r="D347">
        <v>2021</v>
      </c>
      <c r="E347">
        <v>52</v>
      </c>
      <c r="F347" t="s">
        <v>333</v>
      </c>
      <c r="G347">
        <v>579</v>
      </c>
      <c r="H347" t="s">
        <v>229</v>
      </c>
      <c r="I347" t="s">
        <v>230</v>
      </c>
      <c r="J347" t="s">
        <v>44</v>
      </c>
      <c r="K347" t="s">
        <v>45</v>
      </c>
      <c r="L347">
        <v>0</v>
      </c>
      <c r="M347" t="s">
        <v>46</v>
      </c>
      <c r="N347" t="s">
        <v>47</v>
      </c>
      <c r="O347">
        <v>0</v>
      </c>
      <c r="P347" t="s">
        <v>46</v>
      </c>
      <c r="Q347" t="s">
        <v>47</v>
      </c>
      <c r="R347" t="s">
        <v>48</v>
      </c>
      <c r="S347" t="s">
        <v>49</v>
      </c>
      <c r="T347" t="b">
        <v>1</v>
      </c>
      <c r="U347" t="s">
        <v>50</v>
      </c>
      <c r="V347" t="s">
        <v>51</v>
      </c>
      <c r="W347">
        <v>4</v>
      </c>
      <c r="X347" t="b">
        <v>0</v>
      </c>
      <c r="Y347" t="s">
        <v>52</v>
      </c>
      <c r="Z347" t="s">
        <v>53</v>
      </c>
      <c r="AA347" t="s">
        <v>54</v>
      </c>
      <c r="AB347">
        <v>0</v>
      </c>
      <c r="AC347" t="s">
        <v>55</v>
      </c>
      <c r="AD347">
        <v>8</v>
      </c>
      <c r="AE347" t="s">
        <v>56</v>
      </c>
      <c r="AF347">
        <v>2285.0050000000001</v>
      </c>
      <c r="AG347" t="b">
        <v>1</v>
      </c>
      <c r="AH347">
        <v>-1</v>
      </c>
      <c r="AI347" t="s">
        <v>64</v>
      </c>
      <c r="AJ347">
        <v>0</v>
      </c>
      <c r="AK347" t="b">
        <v>0</v>
      </c>
      <c r="AL347">
        <v>2285.0050000000001</v>
      </c>
      <c r="AM347" t="b">
        <v>1</v>
      </c>
      <c r="AN347">
        <v>0</v>
      </c>
      <c r="AO347" t="b">
        <v>0</v>
      </c>
      <c r="AQ347">
        <v>125937055.05400001</v>
      </c>
      <c r="AR347">
        <v>125937055.05400001</v>
      </c>
      <c r="AS347">
        <v>6</v>
      </c>
      <c r="AT347" t="b">
        <v>0</v>
      </c>
      <c r="AU347" t="b">
        <v>1</v>
      </c>
      <c r="AV347" t="b">
        <v>1</v>
      </c>
      <c r="AW347" t="b">
        <v>1</v>
      </c>
      <c r="BC347" t="str">
        <f t="shared" si="5"/>
        <v>Normal</v>
      </c>
    </row>
    <row r="348" spans="1:55" x14ac:dyDescent="0.2">
      <c r="A348" t="s">
        <v>39</v>
      </c>
      <c r="B348" t="s">
        <v>40</v>
      </c>
      <c r="C348">
        <v>20210101</v>
      </c>
      <c r="D348">
        <v>2021</v>
      </c>
      <c r="E348">
        <v>52</v>
      </c>
      <c r="F348" t="s">
        <v>333</v>
      </c>
      <c r="G348">
        <v>586</v>
      </c>
      <c r="H348" t="s">
        <v>338</v>
      </c>
      <c r="I348" t="s">
        <v>339</v>
      </c>
      <c r="J348" t="s">
        <v>44</v>
      </c>
      <c r="K348" t="s">
        <v>45</v>
      </c>
      <c r="L348">
        <v>0</v>
      </c>
      <c r="M348" t="s">
        <v>46</v>
      </c>
      <c r="N348" t="s">
        <v>47</v>
      </c>
      <c r="O348">
        <v>0</v>
      </c>
      <c r="P348" t="s">
        <v>46</v>
      </c>
      <c r="Q348" t="s">
        <v>47</v>
      </c>
      <c r="R348" t="s">
        <v>48</v>
      </c>
      <c r="S348" t="s">
        <v>49</v>
      </c>
      <c r="T348" t="b">
        <v>1</v>
      </c>
      <c r="U348" t="s">
        <v>50</v>
      </c>
      <c r="V348" t="s">
        <v>51</v>
      </c>
      <c r="W348">
        <v>4</v>
      </c>
      <c r="X348" t="b">
        <v>0</v>
      </c>
      <c r="Y348" t="s">
        <v>52</v>
      </c>
      <c r="Z348" t="s">
        <v>53</v>
      </c>
      <c r="AA348" t="s">
        <v>54</v>
      </c>
      <c r="AB348">
        <v>0</v>
      </c>
      <c r="AC348" t="s">
        <v>55</v>
      </c>
      <c r="AD348">
        <v>8</v>
      </c>
      <c r="AE348" t="s">
        <v>56</v>
      </c>
      <c r="AF348">
        <v>2.5000000000000001E-2</v>
      </c>
      <c r="AG348" t="b">
        <v>0</v>
      </c>
      <c r="AH348">
        <v>15</v>
      </c>
      <c r="AI348" t="s">
        <v>59</v>
      </c>
      <c r="AJ348">
        <v>25</v>
      </c>
      <c r="AK348" t="b">
        <v>0</v>
      </c>
      <c r="AL348">
        <v>2.5000000000000001E-2</v>
      </c>
      <c r="AM348" t="b">
        <v>0</v>
      </c>
      <c r="AN348">
        <v>0</v>
      </c>
      <c r="AO348" t="b">
        <v>0</v>
      </c>
      <c r="AP348">
        <v>0</v>
      </c>
      <c r="AQ348">
        <v>419.82400000000001</v>
      </c>
      <c r="AR348">
        <v>419.82400000000001</v>
      </c>
      <c r="AS348">
        <v>0</v>
      </c>
      <c r="AT348" t="b">
        <v>0</v>
      </c>
      <c r="AU348" t="b">
        <v>1</v>
      </c>
      <c r="AV348" t="b">
        <v>1</v>
      </c>
      <c r="AW348" t="b">
        <v>1</v>
      </c>
      <c r="BC348" t="str">
        <f t="shared" si="5"/>
        <v>Normal</v>
      </c>
    </row>
    <row r="349" spans="1:55" x14ac:dyDescent="0.2">
      <c r="A349" t="s">
        <v>39</v>
      </c>
      <c r="B349" t="s">
        <v>40</v>
      </c>
      <c r="C349">
        <v>20210101</v>
      </c>
      <c r="D349">
        <v>2021</v>
      </c>
      <c r="E349">
        <v>52</v>
      </c>
      <c r="F349" t="s">
        <v>333</v>
      </c>
      <c r="G349">
        <v>591</v>
      </c>
      <c r="H349" t="s">
        <v>231</v>
      </c>
      <c r="I349" t="s">
        <v>232</v>
      </c>
      <c r="J349" t="s">
        <v>44</v>
      </c>
      <c r="K349" t="s">
        <v>45</v>
      </c>
      <c r="L349">
        <v>0</v>
      </c>
      <c r="M349" t="s">
        <v>46</v>
      </c>
      <c r="N349" t="s">
        <v>47</v>
      </c>
      <c r="O349">
        <v>0</v>
      </c>
      <c r="P349" t="s">
        <v>46</v>
      </c>
      <c r="Q349" t="s">
        <v>47</v>
      </c>
      <c r="R349" t="s">
        <v>48</v>
      </c>
      <c r="S349" t="s">
        <v>49</v>
      </c>
      <c r="T349" t="b">
        <v>1</v>
      </c>
      <c r="U349" t="s">
        <v>50</v>
      </c>
      <c r="V349" t="s">
        <v>51</v>
      </c>
      <c r="W349">
        <v>4</v>
      </c>
      <c r="X349" t="b">
        <v>0</v>
      </c>
      <c r="Y349" t="s">
        <v>52</v>
      </c>
      <c r="Z349" t="s">
        <v>53</v>
      </c>
      <c r="AA349" t="s">
        <v>54</v>
      </c>
      <c r="AB349">
        <v>0</v>
      </c>
      <c r="AC349" t="s">
        <v>55</v>
      </c>
      <c r="AD349">
        <v>8</v>
      </c>
      <c r="AE349" t="s">
        <v>56</v>
      </c>
      <c r="AF349">
        <v>297</v>
      </c>
      <c r="AG349" t="b">
        <v>0</v>
      </c>
      <c r="AH349">
        <v>8</v>
      </c>
      <c r="AI349" t="s">
        <v>56</v>
      </c>
      <c r="AJ349">
        <v>297</v>
      </c>
      <c r="AK349" t="b">
        <v>0</v>
      </c>
      <c r="AL349">
        <v>297</v>
      </c>
      <c r="AM349" t="b">
        <v>0</v>
      </c>
      <c r="AN349">
        <v>297</v>
      </c>
      <c r="AO349" t="b">
        <v>0</v>
      </c>
      <c r="AP349">
        <v>0</v>
      </c>
      <c r="AQ349">
        <v>12044785</v>
      </c>
      <c r="AR349">
        <v>12044785</v>
      </c>
      <c r="AS349">
        <v>0</v>
      </c>
      <c r="AT349" t="b">
        <v>0</v>
      </c>
      <c r="AU349" t="b">
        <v>1</v>
      </c>
      <c r="AV349" t="b">
        <v>1</v>
      </c>
      <c r="AW349" t="b">
        <v>1</v>
      </c>
      <c r="BC349" t="str">
        <f t="shared" si="5"/>
        <v>Normal</v>
      </c>
    </row>
    <row r="350" spans="1:55" x14ac:dyDescent="0.2">
      <c r="A350" t="s">
        <v>39</v>
      </c>
      <c r="B350" t="s">
        <v>40</v>
      </c>
      <c r="C350">
        <v>20210101</v>
      </c>
      <c r="D350">
        <v>2021</v>
      </c>
      <c r="E350">
        <v>52</v>
      </c>
      <c r="F350" t="s">
        <v>333</v>
      </c>
      <c r="G350">
        <v>598</v>
      </c>
      <c r="H350" t="s">
        <v>340</v>
      </c>
      <c r="I350" t="s">
        <v>341</v>
      </c>
      <c r="J350" t="s">
        <v>44</v>
      </c>
      <c r="K350" t="s">
        <v>45</v>
      </c>
      <c r="L350">
        <v>0</v>
      </c>
      <c r="M350" t="s">
        <v>46</v>
      </c>
      <c r="N350" t="s">
        <v>47</v>
      </c>
      <c r="O350">
        <v>0</v>
      </c>
      <c r="P350" t="s">
        <v>46</v>
      </c>
      <c r="Q350" t="s">
        <v>47</v>
      </c>
      <c r="R350" t="s">
        <v>48</v>
      </c>
      <c r="S350" t="s">
        <v>49</v>
      </c>
      <c r="T350" t="b">
        <v>1</v>
      </c>
      <c r="U350" t="s">
        <v>50</v>
      </c>
      <c r="V350" t="s">
        <v>51</v>
      </c>
      <c r="W350">
        <v>4</v>
      </c>
      <c r="X350" t="b">
        <v>0</v>
      </c>
      <c r="Y350" t="s">
        <v>52</v>
      </c>
      <c r="Z350" t="s">
        <v>53</v>
      </c>
      <c r="AA350" t="s">
        <v>54</v>
      </c>
      <c r="AB350">
        <v>0</v>
      </c>
      <c r="AC350" t="s">
        <v>55</v>
      </c>
      <c r="AD350">
        <v>8</v>
      </c>
      <c r="AE350" t="s">
        <v>56</v>
      </c>
      <c r="AF350">
        <v>6406.8090000000002</v>
      </c>
      <c r="AG350" t="b">
        <v>1</v>
      </c>
      <c r="AH350">
        <v>-1</v>
      </c>
      <c r="AI350" t="s">
        <v>64</v>
      </c>
      <c r="AJ350">
        <v>0</v>
      </c>
      <c r="AK350" t="b">
        <v>0</v>
      </c>
      <c r="AL350">
        <v>6406.8090000000002</v>
      </c>
      <c r="AM350" t="b">
        <v>1</v>
      </c>
      <c r="AN350">
        <v>0</v>
      </c>
      <c r="AO350" t="b">
        <v>0</v>
      </c>
      <c r="AQ350">
        <v>248362564.68000001</v>
      </c>
      <c r="AR350">
        <v>248362564.68000001</v>
      </c>
      <c r="AS350">
        <v>6</v>
      </c>
      <c r="AT350" t="b">
        <v>0</v>
      </c>
      <c r="AU350" t="b">
        <v>1</v>
      </c>
      <c r="AV350" t="b">
        <v>1</v>
      </c>
      <c r="AW350" t="b">
        <v>1</v>
      </c>
      <c r="BC350" t="str">
        <f t="shared" si="5"/>
        <v>Normal</v>
      </c>
    </row>
    <row r="351" spans="1:55" x14ac:dyDescent="0.2">
      <c r="A351" t="s">
        <v>39</v>
      </c>
      <c r="B351" t="s">
        <v>40</v>
      </c>
      <c r="C351">
        <v>20210101</v>
      </c>
      <c r="D351">
        <v>2021</v>
      </c>
      <c r="E351">
        <v>52</v>
      </c>
      <c r="F351" t="s">
        <v>333</v>
      </c>
      <c r="G351">
        <v>600</v>
      </c>
      <c r="H351" t="s">
        <v>233</v>
      </c>
      <c r="I351" t="s">
        <v>234</v>
      </c>
      <c r="J351" t="s">
        <v>44</v>
      </c>
      <c r="K351" t="s">
        <v>45</v>
      </c>
      <c r="L351">
        <v>0</v>
      </c>
      <c r="M351" t="s">
        <v>46</v>
      </c>
      <c r="N351" t="s">
        <v>47</v>
      </c>
      <c r="O351">
        <v>0</v>
      </c>
      <c r="P351" t="s">
        <v>46</v>
      </c>
      <c r="Q351" t="s">
        <v>47</v>
      </c>
      <c r="R351" t="s">
        <v>48</v>
      </c>
      <c r="S351" t="s">
        <v>49</v>
      </c>
      <c r="T351" t="b">
        <v>1</v>
      </c>
      <c r="U351" t="s">
        <v>50</v>
      </c>
      <c r="V351" t="s">
        <v>51</v>
      </c>
      <c r="W351">
        <v>4</v>
      </c>
      <c r="X351" t="b">
        <v>0</v>
      </c>
      <c r="Y351" t="s">
        <v>52</v>
      </c>
      <c r="Z351" t="s">
        <v>53</v>
      </c>
      <c r="AA351" t="s">
        <v>54</v>
      </c>
      <c r="AB351">
        <v>0</v>
      </c>
      <c r="AC351" t="s">
        <v>55</v>
      </c>
      <c r="AD351">
        <v>8</v>
      </c>
      <c r="AE351" t="s">
        <v>56</v>
      </c>
      <c r="AF351">
        <v>134</v>
      </c>
      <c r="AG351" t="b">
        <v>0</v>
      </c>
      <c r="AH351">
        <v>8</v>
      </c>
      <c r="AI351" t="s">
        <v>56</v>
      </c>
      <c r="AJ351">
        <v>134</v>
      </c>
      <c r="AK351" t="b">
        <v>0</v>
      </c>
      <c r="AL351">
        <v>134</v>
      </c>
      <c r="AM351" t="b">
        <v>0</v>
      </c>
      <c r="AN351">
        <v>0</v>
      </c>
      <c r="AO351" t="b">
        <v>0</v>
      </c>
      <c r="AP351">
        <v>0</v>
      </c>
      <c r="AQ351">
        <v>6693082</v>
      </c>
      <c r="AR351">
        <v>6693082</v>
      </c>
      <c r="AS351">
        <v>0</v>
      </c>
      <c r="AT351" t="b">
        <v>0</v>
      </c>
      <c r="AU351" t="b">
        <v>1</v>
      </c>
      <c r="AV351" t="b">
        <v>1</v>
      </c>
      <c r="AW351" t="b">
        <v>1</v>
      </c>
      <c r="BC351" t="str">
        <f t="shared" si="5"/>
        <v>Normal</v>
      </c>
    </row>
    <row r="352" spans="1:55" x14ac:dyDescent="0.2">
      <c r="A352" t="s">
        <v>39</v>
      </c>
      <c r="B352" t="s">
        <v>40</v>
      </c>
      <c r="C352">
        <v>20210101</v>
      </c>
      <c r="D352">
        <v>2021</v>
      </c>
      <c r="E352">
        <v>52</v>
      </c>
      <c r="F352" t="s">
        <v>333</v>
      </c>
      <c r="G352">
        <v>604</v>
      </c>
      <c r="H352" t="s">
        <v>235</v>
      </c>
      <c r="I352" t="s">
        <v>236</v>
      </c>
      <c r="J352" t="s">
        <v>44</v>
      </c>
      <c r="K352" t="s">
        <v>45</v>
      </c>
      <c r="L352">
        <v>0</v>
      </c>
      <c r="M352" t="s">
        <v>46</v>
      </c>
      <c r="N352" t="s">
        <v>47</v>
      </c>
      <c r="O352">
        <v>0</v>
      </c>
      <c r="P352" t="s">
        <v>46</v>
      </c>
      <c r="Q352" t="s">
        <v>47</v>
      </c>
      <c r="R352" t="s">
        <v>48</v>
      </c>
      <c r="S352" t="s">
        <v>49</v>
      </c>
      <c r="T352" t="b">
        <v>1</v>
      </c>
      <c r="U352" t="s">
        <v>50</v>
      </c>
      <c r="V352" t="s">
        <v>51</v>
      </c>
      <c r="W352">
        <v>4</v>
      </c>
      <c r="X352" t="b">
        <v>0</v>
      </c>
      <c r="Y352" t="s">
        <v>52</v>
      </c>
      <c r="Z352" t="s">
        <v>53</v>
      </c>
      <c r="AA352" t="s">
        <v>54</v>
      </c>
      <c r="AB352">
        <v>0</v>
      </c>
      <c r="AC352" t="s">
        <v>55</v>
      </c>
      <c r="AD352">
        <v>8</v>
      </c>
      <c r="AE352" t="s">
        <v>56</v>
      </c>
      <c r="AF352">
        <v>423520.06</v>
      </c>
      <c r="AG352" t="b">
        <v>0</v>
      </c>
      <c r="AH352">
        <v>8</v>
      </c>
      <c r="AI352" t="s">
        <v>56</v>
      </c>
      <c r="AJ352">
        <v>423520.06</v>
      </c>
      <c r="AK352" t="b">
        <v>0</v>
      </c>
      <c r="AL352" s="1">
        <v>423520.06</v>
      </c>
      <c r="AM352" t="b">
        <v>0</v>
      </c>
      <c r="AN352">
        <v>0</v>
      </c>
      <c r="AO352" t="b">
        <v>0</v>
      </c>
      <c r="AP352">
        <v>0</v>
      </c>
      <c r="AQ352">
        <v>7719126071.8800001</v>
      </c>
      <c r="AR352">
        <v>7719126071.8800001</v>
      </c>
      <c r="AS352">
        <v>0</v>
      </c>
      <c r="AT352" t="b">
        <v>0</v>
      </c>
      <c r="AU352" t="b">
        <v>1</v>
      </c>
      <c r="AV352" t="b">
        <v>1</v>
      </c>
      <c r="AW352" t="b">
        <v>1</v>
      </c>
      <c r="BC352" t="str">
        <f t="shared" si="5"/>
        <v>Outlier</v>
      </c>
    </row>
    <row r="353" spans="1:55" x14ac:dyDescent="0.2">
      <c r="A353" t="s">
        <v>39</v>
      </c>
      <c r="B353" t="s">
        <v>40</v>
      </c>
      <c r="C353">
        <v>20210101</v>
      </c>
      <c r="D353">
        <v>2021</v>
      </c>
      <c r="E353">
        <v>52</v>
      </c>
      <c r="F353" t="s">
        <v>333</v>
      </c>
      <c r="G353">
        <v>608</v>
      </c>
      <c r="H353" t="s">
        <v>237</v>
      </c>
      <c r="I353" t="s">
        <v>238</v>
      </c>
      <c r="J353" t="s">
        <v>44</v>
      </c>
      <c r="K353" t="s">
        <v>45</v>
      </c>
      <c r="L353">
        <v>0</v>
      </c>
      <c r="M353" t="s">
        <v>46</v>
      </c>
      <c r="N353" t="s">
        <v>47</v>
      </c>
      <c r="O353">
        <v>0</v>
      </c>
      <c r="P353" t="s">
        <v>46</v>
      </c>
      <c r="Q353" t="s">
        <v>47</v>
      </c>
      <c r="R353" t="s">
        <v>48</v>
      </c>
      <c r="S353" t="s">
        <v>49</v>
      </c>
      <c r="T353" t="b">
        <v>1</v>
      </c>
      <c r="U353" t="s">
        <v>50</v>
      </c>
      <c r="V353" t="s">
        <v>51</v>
      </c>
      <c r="W353">
        <v>4</v>
      </c>
      <c r="X353" t="b">
        <v>0</v>
      </c>
      <c r="Y353" t="s">
        <v>52</v>
      </c>
      <c r="Z353" t="s">
        <v>53</v>
      </c>
      <c r="AA353" t="s">
        <v>54</v>
      </c>
      <c r="AB353">
        <v>0</v>
      </c>
      <c r="AC353" t="s">
        <v>55</v>
      </c>
      <c r="AD353">
        <v>-1</v>
      </c>
      <c r="AE353" t="s">
        <v>64</v>
      </c>
      <c r="AF353">
        <v>0</v>
      </c>
      <c r="AG353" t="b">
        <v>0</v>
      </c>
      <c r="AH353">
        <v>-1</v>
      </c>
      <c r="AI353" t="s">
        <v>64</v>
      </c>
      <c r="AJ353">
        <v>0</v>
      </c>
      <c r="AK353" t="b">
        <v>0</v>
      </c>
      <c r="AM353" t="b">
        <v>0</v>
      </c>
      <c r="AN353">
        <v>141914.63</v>
      </c>
      <c r="AO353" t="b">
        <v>0</v>
      </c>
      <c r="AQ353">
        <v>954698456</v>
      </c>
      <c r="AR353">
        <v>954698456</v>
      </c>
      <c r="AS353">
        <v>0</v>
      </c>
      <c r="AT353" t="b">
        <v>0</v>
      </c>
      <c r="AU353" t="b">
        <v>1</v>
      </c>
      <c r="AV353" t="b">
        <v>1</v>
      </c>
      <c r="AW353" t="b">
        <v>1</v>
      </c>
      <c r="BC353" t="str">
        <f t="shared" si="5"/>
        <v>Normal</v>
      </c>
    </row>
    <row r="354" spans="1:55" x14ac:dyDescent="0.2">
      <c r="A354" t="s">
        <v>39</v>
      </c>
      <c r="B354" t="s">
        <v>40</v>
      </c>
      <c r="C354">
        <v>20210101</v>
      </c>
      <c r="D354">
        <v>2021</v>
      </c>
      <c r="E354">
        <v>52</v>
      </c>
      <c r="F354" t="s">
        <v>333</v>
      </c>
      <c r="G354">
        <v>616</v>
      </c>
      <c r="H354" t="s">
        <v>239</v>
      </c>
      <c r="I354" t="s">
        <v>240</v>
      </c>
      <c r="J354" t="s">
        <v>44</v>
      </c>
      <c r="K354" t="s">
        <v>45</v>
      </c>
      <c r="L354">
        <v>0</v>
      </c>
      <c r="M354" t="s">
        <v>46</v>
      </c>
      <c r="N354" t="s">
        <v>47</v>
      </c>
      <c r="O354">
        <v>0</v>
      </c>
      <c r="P354" t="s">
        <v>46</v>
      </c>
      <c r="Q354" t="s">
        <v>47</v>
      </c>
      <c r="R354" t="s">
        <v>48</v>
      </c>
      <c r="S354" t="s">
        <v>49</v>
      </c>
      <c r="T354" t="b">
        <v>1</v>
      </c>
      <c r="U354" t="s">
        <v>50</v>
      </c>
      <c r="V354" t="s">
        <v>51</v>
      </c>
      <c r="W354">
        <v>4</v>
      </c>
      <c r="X354" t="b">
        <v>0</v>
      </c>
      <c r="Y354" t="s">
        <v>52</v>
      </c>
      <c r="Z354" t="s">
        <v>53</v>
      </c>
      <c r="AA354" t="s">
        <v>54</v>
      </c>
      <c r="AB354">
        <v>0</v>
      </c>
      <c r="AC354" t="s">
        <v>55</v>
      </c>
      <c r="AD354">
        <v>8</v>
      </c>
      <c r="AE354" t="s">
        <v>56</v>
      </c>
      <c r="AF354">
        <v>2218.172</v>
      </c>
      <c r="AG354" t="b">
        <v>1</v>
      </c>
      <c r="AH354">
        <v>-1</v>
      </c>
      <c r="AI354" t="s">
        <v>64</v>
      </c>
      <c r="AJ354">
        <v>0</v>
      </c>
      <c r="AK354" t="b">
        <v>0</v>
      </c>
      <c r="AL354">
        <v>2250.6039999999998</v>
      </c>
      <c r="AM354" t="b">
        <v>1</v>
      </c>
      <c r="AN354">
        <v>0</v>
      </c>
      <c r="AO354" t="b">
        <v>0</v>
      </c>
      <c r="AP354">
        <v>0</v>
      </c>
      <c r="AQ354">
        <v>119498104</v>
      </c>
      <c r="AR354">
        <v>119498104</v>
      </c>
      <c r="AS354">
        <v>6</v>
      </c>
      <c r="AT354" t="b">
        <v>0</v>
      </c>
      <c r="AU354" t="b">
        <v>1</v>
      </c>
      <c r="AV354" t="b">
        <v>1</v>
      </c>
      <c r="AW354" t="b">
        <v>1</v>
      </c>
      <c r="BC354" t="str">
        <f t="shared" si="5"/>
        <v>Normal</v>
      </c>
    </row>
    <row r="355" spans="1:55" x14ac:dyDescent="0.2">
      <c r="A355" t="s">
        <v>39</v>
      </c>
      <c r="B355" t="s">
        <v>40</v>
      </c>
      <c r="C355">
        <v>20210101</v>
      </c>
      <c r="D355">
        <v>2021</v>
      </c>
      <c r="E355">
        <v>52</v>
      </c>
      <c r="F355" t="s">
        <v>333</v>
      </c>
      <c r="G355">
        <v>620</v>
      </c>
      <c r="H355" t="s">
        <v>241</v>
      </c>
      <c r="I355" t="s">
        <v>242</v>
      </c>
      <c r="J355" t="s">
        <v>44</v>
      </c>
      <c r="K355" t="s">
        <v>45</v>
      </c>
      <c r="L355">
        <v>0</v>
      </c>
      <c r="M355" t="s">
        <v>46</v>
      </c>
      <c r="N355" t="s">
        <v>47</v>
      </c>
      <c r="O355">
        <v>0</v>
      </c>
      <c r="P355" t="s">
        <v>46</v>
      </c>
      <c r="Q355" t="s">
        <v>47</v>
      </c>
      <c r="R355" t="s">
        <v>48</v>
      </c>
      <c r="S355" t="s">
        <v>49</v>
      </c>
      <c r="T355" t="b">
        <v>1</v>
      </c>
      <c r="U355" t="s">
        <v>50</v>
      </c>
      <c r="V355" t="s">
        <v>51</v>
      </c>
      <c r="W355">
        <v>4</v>
      </c>
      <c r="X355" t="b">
        <v>0</v>
      </c>
      <c r="Y355" t="s">
        <v>52</v>
      </c>
      <c r="Z355" t="s">
        <v>53</v>
      </c>
      <c r="AA355" t="s">
        <v>54</v>
      </c>
      <c r="AB355">
        <v>0</v>
      </c>
      <c r="AC355" t="s">
        <v>55</v>
      </c>
      <c r="AD355">
        <v>8</v>
      </c>
      <c r="AE355" t="s">
        <v>56</v>
      </c>
      <c r="AF355">
        <v>2390.2049999999999</v>
      </c>
      <c r="AG355" t="b">
        <v>0</v>
      </c>
      <c r="AH355">
        <v>15</v>
      </c>
      <c r="AI355" t="s">
        <v>59</v>
      </c>
      <c r="AJ355">
        <v>2390205</v>
      </c>
      <c r="AK355" t="b">
        <v>0</v>
      </c>
      <c r="AM355" t="b">
        <v>0</v>
      </c>
      <c r="AN355">
        <v>0</v>
      </c>
      <c r="AO355" t="b">
        <v>0</v>
      </c>
      <c r="AQ355">
        <v>131305606.847</v>
      </c>
      <c r="AR355">
        <v>131305606.847</v>
      </c>
      <c r="AS355">
        <v>0</v>
      </c>
      <c r="AT355" t="b">
        <v>0</v>
      </c>
      <c r="AU355" t="b">
        <v>1</v>
      </c>
      <c r="AV355" t="b">
        <v>1</v>
      </c>
      <c r="AW355" t="b">
        <v>1</v>
      </c>
      <c r="BC355" t="str">
        <f t="shared" si="5"/>
        <v>Normal</v>
      </c>
    </row>
    <row r="356" spans="1:55" x14ac:dyDescent="0.2">
      <c r="A356" t="s">
        <v>39</v>
      </c>
      <c r="B356" t="s">
        <v>40</v>
      </c>
      <c r="C356">
        <v>20210101</v>
      </c>
      <c r="D356">
        <v>2021</v>
      </c>
      <c r="E356">
        <v>52</v>
      </c>
      <c r="F356" t="s">
        <v>333</v>
      </c>
      <c r="G356">
        <v>634</v>
      </c>
      <c r="H356" t="s">
        <v>243</v>
      </c>
      <c r="I356" t="s">
        <v>244</v>
      </c>
      <c r="J356" t="s">
        <v>44</v>
      </c>
      <c r="K356" t="s">
        <v>45</v>
      </c>
      <c r="L356">
        <v>0</v>
      </c>
      <c r="M356" t="s">
        <v>46</v>
      </c>
      <c r="N356" t="s">
        <v>47</v>
      </c>
      <c r="O356">
        <v>0</v>
      </c>
      <c r="P356" t="s">
        <v>46</v>
      </c>
      <c r="Q356" t="s">
        <v>47</v>
      </c>
      <c r="R356" t="s">
        <v>48</v>
      </c>
      <c r="S356" t="s">
        <v>49</v>
      </c>
      <c r="T356" t="b">
        <v>1</v>
      </c>
      <c r="U356" t="s">
        <v>50</v>
      </c>
      <c r="V356" t="s">
        <v>51</v>
      </c>
      <c r="W356">
        <v>4</v>
      </c>
      <c r="X356" t="b">
        <v>0</v>
      </c>
      <c r="Y356" t="s">
        <v>52</v>
      </c>
      <c r="Z356" t="s">
        <v>53</v>
      </c>
      <c r="AA356" t="s">
        <v>54</v>
      </c>
      <c r="AB356">
        <v>0</v>
      </c>
      <c r="AC356" t="s">
        <v>55</v>
      </c>
      <c r="AD356">
        <v>-1</v>
      </c>
      <c r="AE356" t="s">
        <v>64</v>
      </c>
      <c r="AF356">
        <v>0</v>
      </c>
      <c r="AG356" t="b">
        <v>0</v>
      </c>
      <c r="AH356">
        <v>-1</v>
      </c>
      <c r="AI356" t="s">
        <v>64</v>
      </c>
      <c r="AJ356">
        <v>0</v>
      </c>
      <c r="AK356" t="b">
        <v>0</v>
      </c>
      <c r="AL356">
        <v>0</v>
      </c>
      <c r="AM356" t="b">
        <v>0</v>
      </c>
      <c r="AN356">
        <v>0</v>
      </c>
      <c r="AO356" t="b">
        <v>0</v>
      </c>
      <c r="AP356">
        <v>0</v>
      </c>
      <c r="AQ356">
        <v>2914604.8319999999</v>
      </c>
      <c r="AR356">
        <v>2914604.8319999999</v>
      </c>
      <c r="AS356">
        <v>0</v>
      </c>
      <c r="AT356" t="b">
        <v>0</v>
      </c>
      <c r="AU356" t="b">
        <v>1</v>
      </c>
      <c r="AV356" t="b">
        <v>1</v>
      </c>
      <c r="AW356" t="b">
        <v>1</v>
      </c>
      <c r="BC356" t="str">
        <f t="shared" si="5"/>
        <v>Normal</v>
      </c>
    </row>
    <row r="357" spans="1:55" x14ac:dyDescent="0.2">
      <c r="A357" t="s">
        <v>39</v>
      </c>
      <c r="B357" t="s">
        <v>40</v>
      </c>
      <c r="C357">
        <v>20210101</v>
      </c>
      <c r="D357">
        <v>2021</v>
      </c>
      <c r="E357">
        <v>52</v>
      </c>
      <c r="F357" t="s">
        <v>333</v>
      </c>
      <c r="G357">
        <v>643</v>
      </c>
      <c r="H357" t="s">
        <v>245</v>
      </c>
      <c r="I357" t="s">
        <v>246</v>
      </c>
      <c r="J357" t="s">
        <v>44</v>
      </c>
      <c r="K357" t="s">
        <v>45</v>
      </c>
      <c r="L357">
        <v>0</v>
      </c>
      <c r="M357" t="s">
        <v>46</v>
      </c>
      <c r="N357" t="s">
        <v>47</v>
      </c>
      <c r="O357">
        <v>0</v>
      </c>
      <c r="P357" t="s">
        <v>46</v>
      </c>
      <c r="Q357" t="s">
        <v>47</v>
      </c>
      <c r="R357" t="s">
        <v>48</v>
      </c>
      <c r="S357" t="s">
        <v>49</v>
      </c>
      <c r="T357" t="b">
        <v>1</v>
      </c>
      <c r="U357" t="s">
        <v>50</v>
      </c>
      <c r="V357" t="s">
        <v>51</v>
      </c>
      <c r="W357">
        <v>4</v>
      </c>
      <c r="X357" t="b">
        <v>0</v>
      </c>
      <c r="Y357" t="s">
        <v>52</v>
      </c>
      <c r="Z357" t="s">
        <v>53</v>
      </c>
      <c r="AA357" t="s">
        <v>54</v>
      </c>
      <c r="AB357">
        <v>0</v>
      </c>
      <c r="AC357" t="s">
        <v>55</v>
      </c>
      <c r="AD357">
        <v>8</v>
      </c>
      <c r="AE357" t="s">
        <v>56</v>
      </c>
      <c r="AF357">
        <v>302143.04599999997</v>
      </c>
      <c r="AG357" t="b">
        <v>1</v>
      </c>
      <c r="AH357">
        <v>-1</v>
      </c>
      <c r="AI357" t="s">
        <v>64</v>
      </c>
      <c r="AJ357">
        <v>0</v>
      </c>
      <c r="AK357" t="b">
        <v>0</v>
      </c>
      <c r="AL357" s="1">
        <v>302144.34399999998</v>
      </c>
      <c r="AM357" t="b">
        <v>1</v>
      </c>
      <c r="AN357">
        <v>0</v>
      </c>
      <c r="AO357" t="b">
        <v>0</v>
      </c>
      <c r="AP357">
        <v>0</v>
      </c>
      <c r="AQ357">
        <v>17362802257.967999</v>
      </c>
      <c r="AR357">
        <v>17362802257.967999</v>
      </c>
      <c r="AS357">
        <v>6</v>
      </c>
      <c r="AT357" t="b">
        <v>0</v>
      </c>
      <c r="AU357" t="b">
        <v>1</v>
      </c>
      <c r="AV357" t="b">
        <v>1</v>
      </c>
      <c r="AW357" t="b">
        <v>1</v>
      </c>
      <c r="BC357" t="str">
        <f t="shared" si="5"/>
        <v>Outlier</v>
      </c>
    </row>
    <row r="358" spans="1:55" x14ac:dyDescent="0.2">
      <c r="A358" t="s">
        <v>39</v>
      </c>
      <c r="B358" t="s">
        <v>40</v>
      </c>
      <c r="C358">
        <v>20210101</v>
      </c>
      <c r="D358">
        <v>2021</v>
      </c>
      <c r="E358">
        <v>52</v>
      </c>
      <c r="F358" t="s">
        <v>333</v>
      </c>
      <c r="G358">
        <v>646</v>
      </c>
      <c r="H358" t="s">
        <v>247</v>
      </c>
      <c r="I358" t="s">
        <v>248</v>
      </c>
      <c r="J358" t="s">
        <v>44</v>
      </c>
      <c r="K358" t="s">
        <v>45</v>
      </c>
      <c r="L358">
        <v>0</v>
      </c>
      <c r="M358" t="s">
        <v>46</v>
      </c>
      <c r="N358" t="s">
        <v>47</v>
      </c>
      <c r="O358">
        <v>0</v>
      </c>
      <c r="P358" t="s">
        <v>46</v>
      </c>
      <c r="Q358" t="s">
        <v>47</v>
      </c>
      <c r="R358" t="s">
        <v>95</v>
      </c>
      <c r="S358" t="s">
        <v>49</v>
      </c>
      <c r="T358" t="b">
        <v>1</v>
      </c>
      <c r="U358" t="s">
        <v>50</v>
      </c>
      <c r="V358" t="s">
        <v>51</v>
      </c>
      <c r="W358">
        <v>4</v>
      </c>
      <c r="X358" t="b">
        <v>0</v>
      </c>
      <c r="Y358" t="s">
        <v>52</v>
      </c>
      <c r="Z358" t="s">
        <v>53</v>
      </c>
      <c r="AA358" t="s">
        <v>54</v>
      </c>
      <c r="AB358">
        <v>0</v>
      </c>
      <c r="AC358" t="s">
        <v>55</v>
      </c>
      <c r="AD358">
        <v>8</v>
      </c>
      <c r="AE358" t="s">
        <v>56</v>
      </c>
      <c r="AF358">
        <v>6341</v>
      </c>
      <c r="AG358" t="b">
        <v>0</v>
      </c>
      <c r="AH358">
        <v>8</v>
      </c>
      <c r="AI358" t="s">
        <v>56</v>
      </c>
      <c r="AJ358">
        <v>6341</v>
      </c>
      <c r="AK358" t="b">
        <v>0</v>
      </c>
      <c r="AL358">
        <v>6341</v>
      </c>
      <c r="AM358" t="b">
        <v>0</v>
      </c>
      <c r="AN358">
        <v>0</v>
      </c>
      <c r="AO358" t="b">
        <v>0</v>
      </c>
      <c r="AQ358">
        <v>363142984.30000001</v>
      </c>
      <c r="AR358">
        <v>363142984.30000001</v>
      </c>
      <c r="AS358">
        <v>0</v>
      </c>
      <c r="AT358" t="b">
        <v>0</v>
      </c>
      <c r="AU358" t="b">
        <v>1</v>
      </c>
      <c r="AV358" t="b">
        <v>1</v>
      </c>
      <c r="AW358" t="b">
        <v>1</v>
      </c>
      <c r="BC358" t="str">
        <f t="shared" si="5"/>
        <v>Normal</v>
      </c>
    </row>
    <row r="359" spans="1:55" x14ac:dyDescent="0.2">
      <c r="A359" t="s">
        <v>39</v>
      </c>
      <c r="B359" t="s">
        <v>40</v>
      </c>
      <c r="C359">
        <v>20210101</v>
      </c>
      <c r="D359">
        <v>2021</v>
      </c>
      <c r="E359">
        <v>52</v>
      </c>
      <c r="F359" t="s">
        <v>333</v>
      </c>
      <c r="G359">
        <v>682</v>
      </c>
      <c r="H359" t="s">
        <v>249</v>
      </c>
      <c r="I359" t="s">
        <v>250</v>
      </c>
      <c r="J359" t="s">
        <v>44</v>
      </c>
      <c r="K359" t="s">
        <v>45</v>
      </c>
      <c r="L359">
        <v>0</v>
      </c>
      <c r="M359" t="s">
        <v>46</v>
      </c>
      <c r="N359" t="s">
        <v>47</v>
      </c>
      <c r="O359">
        <v>0</v>
      </c>
      <c r="P359" t="s">
        <v>46</v>
      </c>
      <c r="Q359" t="s">
        <v>47</v>
      </c>
      <c r="R359" t="s">
        <v>48</v>
      </c>
      <c r="S359" t="s">
        <v>49</v>
      </c>
      <c r="T359" t="b">
        <v>1</v>
      </c>
      <c r="U359" t="s">
        <v>50</v>
      </c>
      <c r="V359" t="s">
        <v>51</v>
      </c>
      <c r="W359">
        <v>4</v>
      </c>
      <c r="X359" t="b">
        <v>0</v>
      </c>
      <c r="Y359" t="s">
        <v>52</v>
      </c>
      <c r="Z359" t="s">
        <v>53</v>
      </c>
      <c r="AA359" t="s">
        <v>54</v>
      </c>
      <c r="AB359">
        <v>0</v>
      </c>
      <c r="AC359" t="s">
        <v>55</v>
      </c>
      <c r="AD359">
        <v>8</v>
      </c>
      <c r="AE359" t="s">
        <v>56</v>
      </c>
      <c r="AF359">
        <v>23283</v>
      </c>
      <c r="AG359" t="b">
        <v>0</v>
      </c>
      <c r="AH359">
        <v>8</v>
      </c>
      <c r="AI359" t="s">
        <v>56</v>
      </c>
      <c r="AJ359">
        <v>23283</v>
      </c>
      <c r="AK359" t="b">
        <v>0</v>
      </c>
      <c r="AL359">
        <v>23283</v>
      </c>
      <c r="AM359" t="b">
        <v>0</v>
      </c>
      <c r="AN359">
        <v>0</v>
      </c>
      <c r="AO359" t="b">
        <v>0</v>
      </c>
      <c r="AQ359">
        <v>1113200938.5699999</v>
      </c>
      <c r="AR359">
        <v>1113200938.5699999</v>
      </c>
      <c r="AS359">
        <v>0</v>
      </c>
      <c r="AT359" t="b">
        <v>0</v>
      </c>
      <c r="AU359" t="b">
        <v>1</v>
      </c>
      <c r="AV359" t="b">
        <v>1</v>
      </c>
      <c r="AW359" t="b">
        <v>1</v>
      </c>
      <c r="BC359" t="str">
        <f t="shared" si="5"/>
        <v>Normal</v>
      </c>
    </row>
    <row r="360" spans="1:55" x14ac:dyDescent="0.2">
      <c r="A360" t="s">
        <v>39</v>
      </c>
      <c r="B360" t="s">
        <v>40</v>
      </c>
      <c r="C360">
        <v>20210101</v>
      </c>
      <c r="D360">
        <v>2021</v>
      </c>
      <c r="E360">
        <v>52</v>
      </c>
      <c r="F360" t="s">
        <v>333</v>
      </c>
      <c r="G360">
        <v>686</v>
      </c>
      <c r="H360" t="s">
        <v>251</v>
      </c>
      <c r="I360" t="s">
        <v>252</v>
      </c>
      <c r="J360" t="s">
        <v>44</v>
      </c>
      <c r="K360" t="s">
        <v>45</v>
      </c>
      <c r="L360">
        <v>0</v>
      </c>
      <c r="M360" t="s">
        <v>46</v>
      </c>
      <c r="N360" t="s">
        <v>47</v>
      </c>
      <c r="O360">
        <v>0</v>
      </c>
      <c r="P360" t="s">
        <v>46</v>
      </c>
      <c r="Q360" t="s">
        <v>47</v>
      </c>
      <c r="R360" t="s">
        <v>48</v>
      </c>
      <c r="S360" t="s">
        <v>49</v>
      </c>
      <c r="T360" t="b">
        <v>1</v>
      </c>
      <c r="U360" t="s">
        <v>50</v>
      </c>
      <c r="V360" t="s">
        <v>51</v>
      </c>
      <c r="W360">
        <v>4</v>
      </c>
      <c r="X360" t="b">
        <v>0</v>
      </c>
      <c r="Y360" t="s">
        <v>52</v>
      </c>
      <c r="Z360" t="s">
        <v>53</v>
      </c>
      <c r="AA360" t="s">
        <v>54</v>
      </c>
      <c r="AB360">
        <v>0</v>
      </c>
      <c r="AC360" t="s">
        <v>55</v>
      </c>
      <c r="AD360">
        <v>8</v>
      </c>
      <c r="AE360" t="s">
        <v>56</v>
      </c>
      <c r="AF360">
        <v>18818</v>
      </c>
      <c r="AG360" t="b">
        <v>0</v>
      </c>
      <c r="AH360">
        <v>8</v>
      </c>
      <c r="AI360" t="s">
        <v>56</v>
      </c>
      <c r="AJ360">
        <v>18818</v>
      </c>
      <c r="AK360" t="b">
        <v>0</v>
      </c>
      <c r="AL360">
        <v>18818</v>
      </c>
      <c r="AM360" t="b">
        <v>0</v>
      </c>
      <c r="AN360">
        <v>0</v>
      </c>
      <c r="AO360" t="b">
        <v>0</v>
      </c>
      <c r="AP360">
        <v>0</v>
      </c>
      <c r="AQ360">
        <v>973392397.86899996</v>
      </c>
      <c r="AR360">
        <v>973392397.86899996</v>
      </c>
      <c r="AS360">
        <v>0</v>
      </c>
      <c r="AT360" t="b">
        <v>0</v>
      </c>
      <c r="AU360" t="b">
        <v>1</v>
      </c>
      <c r="AV360" t="b">
        <v>1</v>
      </c>
      <c r="AW360" t="b">
        <v>1</v>
      </c>
      <c r="BC360" t="str">
        <f t="shared" si="5"/>
        <v>Normal</v>
      </c>
    </row>
    <row r="361" spans="1:55" x14ac:dyDescent="0.2">
      <c r="A361" t="s">
        <v>39</v>
      </c>
      <c r="B361" t="s">
        <v>40</v>
      </c>
      <c r="C361">
        <v>20210101</v>
      </c>
      <c r="D361">
        <v>2021</v>
      </c>
      <c r="E361">
        <v>52</v>
      </c>
      <c r="F361" t="s">
        <v>333</v>
      </c>
      <c r="G361">
        <v>688</v>
      </c>
      <c r="H361" t="s">
        <v>253</v>
      </c>
      <c r="I361" t="s">
        <v>254</v>
      </c>
      <c r="J361" t="s">
        <v>44</v>
      </c>
      <c r="K361" t="s">
        <v>45</v>
      </c>
      <c r="L361">
        <v>0</v>
      </c>
      <c r="M361" t="s">
        <v>46</v>
      </c>
      <c r="N361" t="s">
        <v>47</v>
      </c>
      <c r="O361">
        <v>0</v>
      </c>
      <c r="P361" t="s">
        <v>46</v>
      </c>
      <c r="Q361" t="s">
        <v>47</v>
      </c>
      <c r="R361" t="s">
        <v>48</v>
      </c>
      <c r="S361" t="s">
        <v>49</v>
      </c>
      <c r="T361" t="b">
        <v>1</v>
      </c>
      <c r="U361" t="s">
        <v>50</v>
      </c>
      <c r="V361" t="s">
        <v>51</v>
      </c>
      <c r="W361">
        <v>4</v>
      </c>
      <c r="X361" t="b">
        <v>0</v>
      </c>
      <c r="Y361" t="s">
        <v>52</v>
      </c>
      <c r="Z361" t="s">
        <v>53</v>
      </c>
      <c r="AA361" t="s">
        <v>54</v>
      </c>
      <c r="AB361">
        <v>0</v>
      </c>
      <c r="AC361" t="s">
        <v>55</v>
      </c>
      <c r="AD361">
        <v>8</v>
      </c>
      <c r="AE361" t="s">
        <v>56</v>
      </c>
      <c r="AF361">
        <v>565.70100000000002</v>
      </c>
      <c r="AG361" t="b">
        <v>0</v>
      </c>
      <c r="AH361">
        <v>15</v>
      </c>
      <c r="AI361" t="s">
        <v>59</v>
      </c>
      <c r="AJ361">
        <v>565701</v>
      </c>
      <c r="AK361" t="b">
        <v>0</v>
      </c>
      <c r="AL361">
        <v>566.49</v>
      </c>
      <c r="AM361" t="b">
        <v>0</v>
      </c>
      <c r="AN361">
        <v>0</v>
      </c>
      <c r="AO361" t="b">
        <v>0</v>
      </c>
      <c r="AP361">
        <v>19250204</v>
      </c>
      <c r="AQ361">
        <v>19154309</v>
      </c>
      <c r="AR361">
        <v>19154309</v>
      </c>
      <c r="AS361">
        <v>0</v>
      </c>
      <c r="AT361" t="b">
        <v>0</v>
      </c>
      <c r="AU361" t="b">
        <v>1</v>
      </c>
      <c r="AV361" t="b">
        <v>1</v>
      </c>
      <c r="AW361" t="b">
        <v>1</v>
      </c>
      <c r="BC361" t="str">
        <f t="shared" si="5"/>
        <v>Normal</v>
      </c>
    </row>
    <row r="362" spans="1:55" x14ac:dyDescent="0.2">
      <c r="A362" t="s">
        <v>39</v>
      </c>
      <c r="B362" t="s">
        <v>40</v>
      </c>
      <c r="C362">
        <v>20210101</v>
      </c>
      <c r="D362">
        <v>2021</v>
      </c>
      <c r="E362">
        <v>52</v>
      </c>
      <c r="F362" t="s">
        <v>333</v>
      </c>
      <c r="G362">
        <v>699</v>
      </c>
      <c r="H362" t="s">
        <v>255</v>
      </c>
      <c r="I362" t="s">
        <v>256</v>
      </c>
      <c r="J362" t="s">
        <v>44</v>
      </c>
      <c r="K362" t="s">
        <v>45</v>
      </c>
      <c r="L362">
        <v>0</v>
      </c>
      <c r="M362" t="s">
        <v>46</v>
      </c>
      <c r="N362" t="s">
        <v>47</v>
      </c>
      <c r="O362">
        <v>0</v>
      </c>
      <c r="P362" t="s">
        <v>46</v>
      </c>
      <c r="Q362" t="s">
        <v>47</v>
      </c>
      <c r="R362" t="s">
        <v>48</v>
      </c>
      <c r="S362" t="s">
        <v>49</v>
      </c>
      <c r="T362" t="b">
        <v>1</v>
      </c>
      <c r="U362" t="s">
        <v>50</v>
      </c>
      <c r="V362" t="s">
        <v>51</v>
      </c>
      <c r="W362">
        <v>4</v>
      </c>
      <c r="X362" t="b">
        <v>0</v>
      </c>
      <c r="Y362" t="s">
        <v>52</v>
      </c>
      <c r="Z362" t="s">
        <v>53</v>
      </c>
      <c r="AA362" t="s">
        <v>54</v>
      </c>
      <c r="AB362">
        <v>0</v>
      </c>
      <c r="AC362" t="s">
        <v>55</v>
      </c>
      <c r="AD362">
        <v>8</v>
      </c>
      <c r="AE362" t="s">
        <v>56</v>
      </c>
      <c r="AF362">
        <v>105.14700000000001</v>
      </c>
      <c r="AG362" t="b">
        <v>1</v>
      </c>
      <c r="AH362">
        <v>-1</v>
      </c>
      <c r="AI362" t="s">
        <v>64</v>
      </c>
      <c r="AJ362">
        <v>0</v>
      </c>
      <c r="AK362" t="b">
        <v>0</v>
      </c>
      <c r="AL362">
        <v>105.14700000000001</v>
      </c>
      <c r="AM362" t="b">
        <v>1</v>
      </c>
      <c r="AN362">
        <v>0</v>
      </c>
      <c r="AO362" t="b">
        <v>0</v>
      </c>
      <c r="AP362">
        <v>0</v>
      </c>
      <c r="AQ362">
        <v>5318136.3890000004</v>
      </c>
      <c r="AR362">
        <v>5318136.3890000004</v>
      </c>
      <c r="AS362">
        <v>6</v>
      </c>
      <c r="AT362" t="b">
        <v>0</v>
      </c>
      <c r="AU362" t="b">
        <v>1</v>
      </c>
      <c r="AV362" t="b">
        <v>1</v>
      </c>
      <c r="AW362" t="b">
        <v>1</v>
      </c>
      <c r="BC362" t="str">
        <f t="shared" si="5"/>
        <v>Normal</v>
      </c>
    </row>
    <row r="363" spans="1:55" x14ac:dyDescent="0.2">
      <c r="A363" t="s">
        <v>39</v>
      </c>
      <c r="B363" t="s">
        <v>40</v>
      </c>
      <c r="C363">
        <v>20210101</v>
      </c>
      <c r="D363">
        <v>2021</v>
      </c>
      <c r="E363">
        <v>52</v>
      </c>
      <c r="F363" t="s">
        <v>333</v>
      </c>
      <c r="G363">
        <v>702</v>
      </c>
      <c r="H363" t="s">
        <v>257</v>
      </c>
      <c r="I363" t="s">
        <v>258</v>
      </c>
      <c r="J363" t="s">
        <v>44</v>
      </c>
      <c r="K363" t="s">
        <v>45</v>
      </c>
      <c r="L363">
        <v>0</v>
      </c>
      <c r="M363" t="s">
        <v>46</v>
      </c>
      <c r="N363" t="s">
        <v>47</v>
      </c>
      <c r="O363">
        <v>0</v>
      </c>
      <c r="P363" t="s">
        <v>46</v>
      </c>
      <c r="Q363" t="s">
        <v>47</v>
      </c>
      <c r="R363" t="s">
        <v>48</v>
      </c>
      <c r="S363" t="s">
        <v>49</v>
      </c>
      <c r="T363" t="b">
        <v>1</v>
      </c>
      <c r="U363" t="s">
        <v>50</v>
      </c>
      <c r="V363" t="s">
        <v>51</v>
      </c>
      <c r="W363">
        <v>4</v>
      </c>
      <c r="X363" t="b">
        <v>0</v>
      </c>
      <c r="Y363" t="s">
        <v>52</v>
      </c>
      <c r="Z363" t="s">
        <v>53</v>
      </c>
      <c r="AA363" t="s">
        <v>54</v>
      </c>
      <c r="AB363">
        <v>0</v>
      </c>
      <c r="AC363" t="s">
        <v>55</v>
      </c>
      <c r="AD363">
        <v>-1</v>
      </c>
      <c r="AE363" t="s">
        <v>64</v>
      </c>
      <c r="AF363">
        <v>0</v>
      </c>
      <c r="AG363" t="b">
        <v>0</v>
      </c>
      <c r="AH363">
        <v>-1</v>
      </c>
      <c r="AI363" t="s">
        <v>64</v>
      </c>
      <c r="AJ363">
        <v>0</v>
      </c>
      <c r="AK363" t="b">
        <v>0</v>
      </c>
      <c r="AM363" t="b">
        <v>0</v>
      </c>
      <c r="AN363">
        <v>0</v>
      </c>
      <c r="AO363" t="b">
        <v>0</v>
      </c>
      <c r="AQ363">
        <v>15017757921.120001</v>
      </c>
      <c r="AR363">
        <v>15017757921.120001</v>
      </c>
      <c r="AS363">
        <v>0</v>
      </c>
      <c r="AT363" t="b">
        <v>0</v>
      </c>
      <c r="AU363" t="b">
        <v>1</v>
      </c>
      <c r="AV363" t="b">
        <v>1</v>
      </c>
      <c r="AW363" t="b">
        <v>1</v>
      </c>
      <c r="BC363" t="str">
        <f t="shared" si="5"/>
        <v>Normal</v>
      </c>
    </row>
    <row r="364" spans="1:55" x14ac:dyDescent="0.2">
      <c r="A364" t="s">
        <v>39</v>
      </c>
      <c r="B364" t="s">
        <v>40</v>
      </c>
      <c r="C364">
        <v>20210101</v>
      </c>
      <c r="D364">
        <v>2021</v>
      </c>
      <c r="E364">
        <v>52</v>
      </c>
      <c r="F364" t="s">
        <v>333</v>
      </c>
      <c r="G364">
        <v>703</v>
      </c>
      <c r="H364" t="s">
        <v>259</v>
      </c>
      <c r="I364" t="s">
        <v>260</v>
      </c>
      <c r="J364" t="s">
        <v>44</v>
      </c>
      <c r="K364" t="s">
        <v>45</v>
      </c>
      <c r="L364">
        <v>0</v>
      </c>
      <c r="M364" t="s">
        <v>46</v>
      </c>
      <c r="N364" t="s">
        <v>47</v>
      </c>
      <c r="O364">
        <v>0</v>
      </c>
      <c r="P364" t="s">
        <v>46</v>
      </c>
      <c r="Q364" t="s">
        <v>47</v>
      </c>
      <c r="R364" t="s">
        <v>48</v>
      </c>
      <c r="S364" t="s">
        <v>49</v>
      </c>
      <c r="T364" t="b">
        <v>1</v>
      </c>
      <c r="U364" t="s">
        <v>50</v>
      </c>
      <c r="V364" t="s">
        <v>51</v>
      </c>
      <c r="W364">
        <v>4</v>
      </c>
      <c r="X364" t="b">
        <v>0</v>
      </c>
      <c r="Y364" t="s">
        <v>52</v>
      </c>
      <c r="Z364" t="s">
        <v>53</v>
      </c>
      <c r="AA364" t="s">
        <v>54</v>
      </c>
      <c r="AB364">
        <v>0</v>
      </c>
      <c r="AC364" t="s">
        <v>55</v>
      </c>
      <c r="AD364">
        <v>8</v>
      </c>
      <c r="AE364" t="s">
        <v>56</v>
      </c>
      <c r="AF364">
        <v>875.73699999999997</v>
      </c>
      <c r="AG364" t="b">
        <v>0</v>
      </c>
      <c r="AH364">
        <v>15</v>
      </c>
      <c r="AI364" t="s">
        <v>59</v>
      </c>
      <c r="AJ364">
        <v>875737</v>
      </c>
      <c r="AK364" t="b">
        <v>0</v>
      </c>
      <c r="AM364" t="b">
        <v>0</v>
      </c>
      <c r="AN364">
        <v>0</v>
      </c>
      <c r="AO364" t="b">
        <v>0</v>
      </c>
      <c r="AQ364">
        <v>42297121.119000003</v>
      </c>
      <c r="AR364">
        <v>42297121.119000003</v>
      </c>
      <c r="AS364">
        <v>0</v>
      </c>
      <c r="AT364" t="b">
        <v>0</v>
      </c>
      <c r="AU364" t="b">
        <v>1</v>
      </c>
      <c r="AV364" t="b">
        <v>1</v>
      </c>
      <c r="AW364" t="b">
        <v>1</v>
      </c>
      <c r="BC364" t="str">
        <f t="shared" si="5"/>
        <v>Normal</v>
      </c>
    </row>
    <row r="365" spans="1:55" x14ac:dyDescent="0.2">
      <c r="A365" t="s">
        <v>39</v>
      </c>
      <c r="B365" t="s">
        <v>40</v>
      </c>
      <c r="C365">
        <v>20210101</v>
      </c>
      <c r="D365">
        <v>2021</v>
      </c>
      <c r="E365">
        <v>52</v>
      </c>
      <c r="F365" t="s">
        <v>333</v>
      </c>
      <c r="G365">
        <v>704</v>
      </c>
      <c r="H365" t="s">
        <v>261</v>
      </c>
      <c r="I365" t="s">
        <v>262</v>
      </c>
      <c r="J365" t="s">
        <v>44</v>
      </c>
      <c r="K365" t="s">
        <v>45</v>
      </c>
      <c r="L365">
        <v>0</v>
      </c>
      <c r="M365" t="s">
        <v>46</v>
      </c>
      <c r="N365" t="s">
        <v>47</v>
      </c>
      <c r="O365">
        <v>0</v>
      </c>
      <c r="P365" t="s">
        <v>46</v>
      </c>
      <c r="Q365" t="s">
        <v>47</v>
      </c>
      <c r="R365" t="s">
        <v>48</v>
      </c>
      <c r="S365" t="s">
        <v>49</v>
      </c>
      <c r="T365" t="b">
        <v>1</v>
      </c>
      <c r="U365" t="s">
        <v>50</v>
      </c>
      <c r="V365" t="s">
        <v>51</v>
      </c>
      <c r="W365">
        <v>4</v>
      </c>
      <c r="X365" t="b">
        <v>0</v>
      </c>
      <c r="Y365" t="s">
        <v>52</v>
      </c>
      <c r="Z365" t="s">
        <v>53</v>
      </c>
      <c r="AA365" t="s">
        <v>54</v>
      </c>
      <c r="AB365">
        <v>0</v>
      </c>
      <c r="AC365" t="s">
        <v>55</v>
      </c>
      <c r="AD365">
        <v>8</v>
      </c>
      <c r="AE365" t="s">
        <v>56</v>
      </c>
      <c r="AF365">
        <v>128.69300000000001</v>
      </c>
      <c r="AG365" t="b">
        <v>1</v>
      </c>
      <c r="AH365">
        <v>-1</v>
      </c>
      <c r="AI365" t="s">
        <v>64</v>
      </c>
      <c r="AJ365">
        <v>0</v>
      </c>
      <c r="AK365" t="b">
        <v>0</v>
      </c>
      <c r="AL365">
        <v>128.69300000000001</v>
      </c>
      <c r="AM365" t="b">
        <v>1</v>
      </c>
      <c r="AN365">
        <v>0</v>
      </c>
      <c r="AO365" t="b">
        <v>0</v>
      </c>
      <c r="AP365">
        <v>0</v>
      </c>
      <c r="AQ365">
        <v>7300122</v>
      </c>
      <c r="AR365">
        <v>7300122</v>
      </c>
      <c r="AS365">
        <v>6</v>
      </c>
      <c r="AT365" t="b">
        <v>0</v>
      </c>
      <c r="AU365" t="b">
        <v>1</v>
      </c>
      <c r="AV365" t="b">
        <v>1</v>
      </c>
      <c r="AW365" t="b">
        <v>1</v>
      </c>
      <c r="BC365" t="str">
        <f t="shared" si="5"/>
        <v>Normal</v>
      </c>
    </row>
    <row r="366" spans="1:55" x14ac:dyDescent="0.2">
      <c r="A366" t="s">
        <v>39</v>
      </c>
      <c r="B366" t="s">
        <v>40</v>
      </c>
      <c r="C366">
        <v>20210101</v>
      </c>
      <c r="D366">
        <v>2021</v>
      </c>
      <c r="E366">
        <v>52</v>
      </c>
      <c r="F366" t="s">
        <v>333</v>
      </c>
      <c r="G366">
        <v>705</v>
      </c>
      <c r="H366" t="s">
        <v>263</v>
      </c>
      <c r="I366" t="s">
        <v>264</v>
      </c>
      <c r="J366" t="s">
        <v>44</v>
      </c>
      <c r="K366" t="s">
        <v>45</v>
      </c>
      <c r="L366">
        <v>0</v>
      </c>
      <c r="M366" t="s">
        <v>46</v>
      </c>
      <c r="N366" t="s">
        <v>47</v>
      </c>
      <c r="O366">
        <v>0</v>
      </c>
      <c r="P366" t="s">
        <v>46</v>
      </c>
      <c r="Q366" t="s">
        <v>47</v>
      </c>
      <c r="R366" t="s">
        <v>48</v>
      </c>
      <c r="S366" t="s">
        <v>49</v>
      </c>
      <c r="T366" t="b">
        <v>1</v>
      </c>
      <c r="U366" t="s">
        <v>50</v>
      </c>
      <c r="V366" t="s">
        <v>51</v>
      </c>
      <c r="W366">
        <v>4</v>
      </c>
      <c r="X366" t="b">
        <v>0</v>
      </c>
      <c r="Y366" t="s">
        <v>52</v>
      </c>
      <c r="Z366" t="s">
        <v>53</v>
      </c>
      <c r="AA366" t="s">
        <v>54</v>
      </c>
      <c r="AB366">
        <v>0</v>
      </c>
      <c r="AC366" t="s">
        <v>55</v>
      </c>
      <c r="AD366">
        <v>8</v>
      </c>
      <c r="AE366" t="s">
        <v>56</v>
      </c>
      <c r="AF366">
        <v>455.60599999999999</v>
      </c>
      <c r="AG366" t="b">
        <v>0</v>
      </c>
      <c r="AH366">
        <v>15</v>
      </c>
      <c r="AI366" t="s">
        <v>59</v>
      </c>
      <c r="AJ366">
        <v>455606</v>
      </c>
      <c r="AK366" t="b">
        <v>0</v>
      </c>
      <c r="AL366">
        <v>456.72699999999998</v>
      </c>
      <c r="AM366" t="b">
        <v>0</v>
      </c>
      <c r="AN366">
        <v>0</v>
      </c>
      <c r="AO366" t="b">
        <v>0</v>
      </c>
      <c r="AP366">
        <v>0</v>
      </c>
      <c r="AQ366">
        <v>26311454.807999998</v>
      </c>
      <c r="AR366">
        <v>26311454.807999998</v>
      </c>
      <c r="AS366">
        <v>0</v>
      </c>
      <c r="AT366" t="b">
        <v>0</v>
      </c>
      <c r="AU366" t="b">
        <v>1</v>
      </c>
      <c r="AV366" t="b">
        <v>1</v>
      </c>
      <c r="AW366" t="b">
        <v>1</v>
      </c>
      <c r="BC366" t="str">
        <f t="shared" si="5"/>
        <v>Normal</v>
      </c>
    </row>
    <row r="367" spans="1:55" x14ac:dyDescent="0.2">
      <c r="A367" t="s">
        <v>39</v>
      </c>
      <c r="B367" t="s">
        <v>40</v>
      </c>
      <c r="C367">
        <v>20210101</v>
      </c>
      <c r="D367">
        <v>2021</v>
      </c>
      <c r="E367">
        <v>52</v>
      </c>
      <c r="F367" t="s">
        <v>333</v>
      </c>
      <c r="G367">
        <v>710</v>
      </c>
      <c r="H367" t="s">
        <v>265</v>
      </c>
      <c r="I367" t="s">
        <v>266</v>
      </c>
      <c r="J367" t="s">
        <v>44</v>
      </c>
      <c r="K367" t="s">
        <v>45</v>
      </c>
      <c r="L367">
        <v>0</v>
      </c>
      <c r="M367" t="s">
        <v>46</v>
      </c>
      <c r="N367" t="s">
        <v>47</v>
      </c>
      <c r="O367">
        <v>0</v>
      </c>
      <c r="P367" t="s">
        <v>46</v>
      </c>
      <c r="Q367" t="s">
        <v>47</v>
      </c>
      <c r="R367" t="s">
        <v>48</v>
      </c>
      <c r="S367" t="s">
        <v>49</v>
      </c>
      <c r="T367" t="b">
        <v>1</v>
      </c>
      <c r="U367" t="s">
        <v>50</v>
      </c>
      <c r="V367" t="s">
        <v>51</v>
      </c>
      <c r="W367">
        <v>4</v>
      </c>
      <c r="X367" t="b">
        <v>0</v>
      </c>
      <c r="Y367" t="s">
        <v>52</v>
      </c>
      <c r="Z367" t="s">
        <v>53</v>
      </c>
      <c r="AA367" t="s">
        <v>54</v>
      </c>
      <c r="AB367">
        <v>0</v>
      </c>
      <c r="AC367" t="s">
        <v>55</v>
      </c>
      <c r="AD367">
        <v>-1</v>
      </c>
      <c r="AE367" t="s">
        <v>64</v>
      </c>
      <c r="AF367">
        <v>0</v>
      </c>
      <c r="AG367" t="b">
        <v>0</v>
      </c>
      <c r="AH367">
        <v>-1</v>
      </c>
      <c r="AI367" t="s">
        <v>64</v>
      </c>
      <c r="AJ367">
        <v>0</v>
      </c>
      <c r="AK367" t="b">
        <v>0</v>
      </c>
      <c r="AL367">
        <v>0</v>
      </c>
      <c r="AM367" t="b">
        <v>0</v>
      </c>
      <c r="AN367">
        <v>0</v>
      </c>
      <c r="AO367" t="b">
        <v>0</v>
      </c>
      <c r="AP367">
        <v>0</v>
      </c>
      <c r="AQ367">
        <v>7307599435.2040005</v>
      </c>
      <c r="AR367">
        <v>7307599435.2040005</v>
      </c>
      <c r="AS367">
        <v>0</v>
      </c>
      <c r="AT367" t="b">
        <v>0</v>
      </c>
      <c r="AU367" t="b">
        <v>1</v>
      </c>
      <c r="AV367" t="b">
        <v>1</v>
      </c>
      <c r="AW367" t="b">
        <v>1</v>
      </c>
      <c r="BC367" t="str">
        <f t="shared" si="5"/>
        <v>Normal</v>
      </c>
    </row>
    <row r="368" spans="1:55" x14ac:dyDescent="0.2">
      <c r="A368" t="s">
        <v>39</v>
      </c>
      <c r="B368" t="s">
        <v>40</v>
      </c>
      <c r="C368">
        <v>20210101</v>
      </c>
      <c r="D368">
        <v>2021</v>
      </c>
      <c r="E368">
        <v>52</v>
      </c>
      <c r="F368" t="s">
        <v>333</v>
      </c>
      <c r="G368">
        <v>716</v>
      </c>
      <c r="H368" t="s">
        <v>267</v>
      </c>
      <c r="I368" t="s">
        <v>268</v>
      </c>
      <c r="J368" t="s">
        <v>44</v>
      </c>
      <c r="K368" t="s">
        <v>45</v>
      </c>
      <c r="L368">
        <v>0</v>
      </c>
      <c r="M368" t="s">
        <v>46</v>
      </c>
      <c r="N368" t="s">
        <v>47</v>
      </c>
      <c r="O368">
        <v>0</v>
      </c>
      <c r="P368" t="s">
        <v>46</v>
      </c>
      <c r="Q368" t="s">
        <v>47</v>
      </c>
      <c r="R368" t="s">
        <v>48</v>
      </c>
      <c r="S368" t="s">
        <v>49</v>
      </c>
      <c r="T368" t="b">
        <v>1</v>
      </c>
      <c r="U368" t="s">
        <v>50</v>
      </c>
      <c r="V368" t="s">
        <v>51</v>
      </c>
      <c r="W368">
        <v>4</v>
      </c>
      <c r="X368" t="b">
        <v>0</v>
      </c>
      <c r="Y368" t="s">
        <v>52</v>
      </c>
      <c r="Z368" t="s">
        <v>53</v>
      </c>
      <c r="AA368" t="s">
        <v>54</v>
      </c>
      <c r="AB368">
        <v>0</v>
      </c>
      <c r="AC368" t="s">
        <v>55</v>
      </c>
      <c r="AD368">
        <v>8</v>
      </c>
      <c r="AE368" t="s">
        <v>56</v>
      </c>
      <c r="AF368">
        <v>22573.538</v>
      </c>
      <c r="AG368" t="b">
        <v>0</v>
      </c>
      <c r="AH368">
        <v>15</v>
      </c>
      <c r="AI368" t="s">
        <v>59</v>
      </c>
      <c r="AJ368">
        <v>10279003.6</v>
      </c>
      <c r="AK368" t="b">
        <v>0</v>
      </c>
      <c r="AM368" t="b">
        <v>0</v>
      </c>
      <c r="AN368">
        <v>0</v>
      </c>
      <c r="AO368" t="b">
        <v>0</v>
      </c>
      <c r="AQ368">
        <v>1612843356.29</v>
      </c>
      <c r="AR368">
        <v>1612843356.29</v>
      </c>
      <c r="AS368">
        <v>0</v>
      </c>
      <c r="AT368" t="b">
        <v>0</v>
      </c>
      <c r="AU368" t="b">
        <v>1</v>
      </c>
      <c r="AV368" t="b">
        <v>1</v>
      </c>
      <c r="AW368" t="b">
        <v>1</v>
      </c>
      <c r="BC368" t="str">
        <f t="shared" si="5"/>
        <v>Normal</v>
      </c>
    </row>
    <row r="369" spans="1:55" x14ac:dyDescent="0.2">
      <c r="A369" t="s">
        <v>39</v>
      </c>
      <c r="B369" t="s">
        <v>40</v>
      </c>
      <c r="C369">
        <v>20210101</v>
      </c>
      <c r="D369">
        <v>2021</v>
      </c>
      <c r="E369">
        <v>52</v>
      </c>
      <c r="F369" t="s">
        <v>333</v>
      </c>
      <c r="G369">
        <v>724</v>
      </c>
      <c r="H369" t="s">
        <v>269</v>
      </c>
      <c r="I369" t="s">
        <v>270</v>
      </c>
      <c r="J369" t="s">
        <v>44</v>
      </c>
      <c r="K369" t="s">
        <v>45</v>
      </c>
      <c r="L369">
        <v>0</v>
      </c>
      <c r="M369" t="s">
        <v>46</v>
      </c>
      <c r="N369" t="s">
        <v>47</v>
      </c>
      <c r="O369">
        <v>0</v>
      </c>
      <c r="P369" t="s">
        <v>46</v>
      </c>
      <c r="Q369" t="s">
        <v>47</v>
      </c>
      <c r="R369" t="s">
        <v>48</v>
      </c>
      <c r="S369" t="s">
        <v>49</v>
      </c>
      <c r="T369" t="b">
        <v>1</v>
      </c>
      <c r="U369" t="s">
        <v>50</v>
      </c>
      <c r="V369" t="s">
        <v>51</v>
      </c>
      <c r="W369">
        <v>4</v>
      </c>
      <c r="X369" t="b">
        <v>0</v>
      </c>
      <c r="Y369" t="s">
        <v>52</v>
      </c>
      <c r="Z369" t="s">
        <v>53</v>
      </c>
      <c r="AA369" t="s">
        <v>54</v>
      </c>
      <c r="AB369">
        <v>0</v>
      </c>
      <c r="AC369" t="s">
        <v>55</v>
      </c>
      <c r="AD369">
        <v>-1</v>
      </c>
      <c r="AE369" t="s">
        <v>64</v>
      </c>
      <c r="AF369">
        <v>0</v>
      </c>
      <c r="AG369" t="b">
        <v>1</v>
      </c>
      <c r="AH369">
        <v>-1</v>
      </c>
      <c r="AI369" t="s">
        <v>64</v>
      </c>
      <c r="AJ369">
        <v>0</v>
      </c>
      <c r="AK369" t="b">
        <v>0</v>
      </c>
      <c r="AL369">
        <v>0</v>
      </c>
      <c r="AM369" t="b">
        <v>1</v>
      </c>
      <c r="AN369">
        <v>0</v>
      </c>
      <c r="AO369" t="b">
        <v>0</v>
      </c>
      <c r="AP369">
        <v>0</v>
      </c>
      <c r="AQ369">
        <v>1966867704.1730001</v>
      </c>
      <c r="AR369">
        <v>1966867704.1730001</v>
      </c>
      <c r="AS369">
        <v>6</v>
      </c>
      <c r="AT369" t="b">
        <v>0</v>
      </c>
      <c r="AU369" t="b">
        <v>1</v>
      </c>
      <c r="AV369" t="b">
        <v>1</v>
      </c>
      <c r="AW369" t="b">
        <v>1</v>
      </c>
      <c r="BC369" t="str">
        <f t="shared" si="5"/>
        <v>Normal</v>
      </c>
    </row>
    <row r="370" spans="1:55" x14ac:dyDescent="0.2">
      <c r="A370" t="s">
        <v>39</v>
      </c>
      <c r="B370" t="s">
        <v>40</v>
      </c>
      <c r="C370">
        <v>20210101</v>
      </c>
      <c r="D370">
        <v>2021</v>
      </c>
      <c r="E370">
        <v>52</v>
      </c>
      <c r="F370" t="s">
        <v>333</v>
      </c>
      <c r="G370">
        <v>740</v>
      </c>
      <c r="H370" t="s">
        <v>271</v>
      </c>
      <c r="I370" t="s">
        <v>272</v>
      </c>
      <c r="J370" t="s">
        <v>44</v>
      </c>
      <c r="K370" t="s">
        <v>45</v>
      </c>
      <c r="L370">
        <v>0</v>
      </c>
      <c r="M370" t="s">
        <v>46</v>
      </c>
      <c r="N370" t="s">
        <v>47</v>
      </c>
      <c r="O370">
        <v>0</v>
      </c>
      <c r="P370" t="s">
        <v>46</v>
      </c>
      <c r="Q370" t="s">
        <v>47</v>
      </c>
      <c r="R370" t="s">
        <v>136</v>
      </c>
      <c r="S370" t="s">
        <v>49</v>
      </c>
      <c r="T370" t="b">
        <v>1</v>
      </c>
      <c r="U370" t="s">
        <v>50</v>
      </c>
      <c r="V370" t="s">
        <v>51</v>
      </c>
      <c r="W370">
        <v>4</v>
      </c>
      <c r="X370" t="b">
        <v>0</v>
      </c>
      <c r="Y370" t="s">
        <v>52</v>
      </c>
      <c r="Z370" t="s">
        <v>53</v>
      </c>
      <c r="AA370" t="s">
        <v>54</v>
      </c>
      <c r="AB370">
        <v>0</v>
      </c>
      <c r="AC370" t="s">
        <v>55</v>
      </c>
      <c r="AD370">
        <v>-1</v>
      </c>
      <c r="AE370" t="s">
        <v>64</v>
      </c>
      <c r="AF370">
        <v>0</v>
      </c>
      <c r="AG370" t="b">
        <v>0</v>
      </c>
      <c r="AH370">
        <v>-1</v>
      </c>
      <c r="AI370" t="s">
        <v>64</v>
      </c>
      <c r="AJ370">
        <v>0</v>
      </c>
      <c r="AK370" t="b">
        <v>0</v>
      </c>
      <c r="AL370">
        <v>33271.96</v>
      </c>
      <c r="AM370" t="b">
        <v>0</v>
      </c>
      <c r="AN370">
        <v>35976.080000000002</v>
      </c>
      <c r="AO370" t="b">
        <v>0</v>
      </c>
      <c r="AQ370">
        <v>1855905387.1400001</v>
      </c>
      <c r="AR370">
        <v>1855905387.1400001</v>
      </c>
      <c r="AS370">
        <v>0</v>
      </c>
      <c r="AT370" t="b">
        <v>0</v>
      </c>
      <c r="AU370" t="b">
        <v>1</v>
      </c>
      <c r="AV370" t="b">
        <v>1</v>
      </c>
      <c r="AW370" t="b">
        <v>1</v>
      </c>
      <c r="BC370" t="str">
        <f t="shared" si="5"/>
        <v>Normal</v>
      </c>
    </row>
    <row r="371" spans="1:55" x14ac:dyDescent="0.2">
      <c r="A371" t="s">
        <v>39</v>
      </c>
      <c r="B371" t="s">
        <v>40</v>
      </c>
      <c r="C371">
        <v>20210101</v>
      </c>
      <c r="D371">
        <v>2021</v>
      </c>
      <c r="E371">
        <v>52</v>
      </c>
      <c r="F371" t="s">
        <v>333</v>
      </c>
      <c r="G371">
        <v>752</v>
      </c>
      <c r="H371" t="s">
        <v>275</v>
      </c>
      <c r="I371" t="s">
        <v>276</v>
      </c>
      <c r="J371" t="s">
        <v>44</v>
      </c>
      <c r="K371" t="s">
        <v>45</v>
      </c>
      <c r="L371">
        <v>0</v>
      </c>
      <c r="M371" t="s">
        <v>46</v>
      </c>
      <c r="N371" t="s">
        <v>47</v>
      </c>
      <c r="O371">
        <v>0</v>
      </c>
      <c r="P371" t="s">
        <v>46</v>
      </c>
      <c r="Q371" t="s">
        <v>47</v>
      </c>
      <c r="R371" t="s">
        <v>48</v>
      </c>
      <c r="S371" t="s">
        <v>49</v>
      </c>
      <c r="T371" t="b">
        <v>1</v>
      </c>
      <c r="U371" t="s">
        <v>50</v>
      </c>
      <c r="V371" t="s">
        <v>51</v>
      </c>
      <c r="W371">
        <v>4</v>
      </c>
      <c r="X371" t="b">
        <v>0</v>
      </c>
      <c r="Y371" t="s">
        <v>52</v>
      </c>
      <c r="Z371" t="s">
        <v>53</v>
      </c>
      <c r="AA371" t="s">
        <v>54</v>
      </c>
      <c r="AB371">
        <v>0</v>
      </c>
      <c r="AC371" t="s">
        <v>55</v>
      </c>
      <c r="AD371">
        <v>8</v>
      </c>
      <c r="AE371" t="s">
        <v>56</v>
      </c>
      <c r="AF371">
        <v>13185.085999999999</v>
      </c>
      <c r="AG371" t="b">
        <v>1</v>
      </c>
      <c r="AH371">
        <v>-1</v>
      </c>
      <c r="AI371" t="s">
        <v>64</v>
      </c>
      <c r="AJ371">
        <v>0</v>
      </c>
      <c r="AK371" t="b">
        <v>0</v>
      </c>
      <c r="AL371">
        <v>13857.71</v>
      </c>
      <c r="AM371" t="b">
        <v>1</v>
      </c>
      <c r="AN371">
        <v>0</v>
      </c>
      <c r="AO371" t="b">
        <v>0</v>
      </c>
      <c r="AQ371">
        <v>806568183.79700005</v>
      </c>
      <c r="AR371">
        <v>806568183.79700005</v>
      </c>
      <c r="AS371">
        <v>6</v>
      </c>
      <c r="AT371" t="b">
        <v>0</v>
      </c>
      <c r="AU371" t="b">
        <v>1</v>
      </c>
      <c r="AV371" t="b">
        <v>1</v>
      </c>
      <c r="AW371" t="b">
        <v>1</v>
      </c>
      <c r="BC371" t="str">
        <f t="shared" si="5"/>
        <v>Normal</v>
      </c>
    </row>
    <row r="372" spans="1:55" x14ac:dyDescent="0.2">
      <c r="A372" t="s">
        <v>39</v>
      </c>
      <c r="B372" t="s">
        <v>40</v>
      </c>
      <c r="C372">
        <v>20210101</v>
      </c>
      <c r="D372">
        <v>2021</v>
      </c>
      <c r="E372">
        <v>52</v>
      </c>
      <c r="F372" t="s">
        <v>333</v>
      </c>
      <c r="G372">
        <v>757</v>
      </c>
      <c r="H372" t="s">
        <v>277</v>
      </c>
      <c r="I372" t="s">
        <v>278</v>
      </c>
      <c r="J372" t="s">
        <v>44</v>
      </c>
      <c r="K372" t="s">
        <v>45</v>
      </c>
      <c r="L372">
        <v>0</v>
      </c>
      <c r="M372" t="s">
        <v>46</v>
      </c>
      <c r="N372" t="s">
        <v>47</v>
      </c>
      <c r="O372">
        <v>0</v>
      </c>
      <c r="P372" t="s">
        <v>46</v>
      </c>
      <c r="Q372" t="s">
        <v>47</v>
      </c>
      <c r="R372" t="s">
        <v>48</v>
      </c>
      <c r="S372" t="s">
        <v>49</v>
      </c>
      <c r="T372" t="b">
        <v>1</v>
      </c>
      <c r="U372" t="s">
        <v>50</v>
      </c>
      <c r="V372" t="s">
        <v>51</v>
      </c>
      <c r="W372">
        <v>4</v>
      </c>
      <c r="X372" t="b">
        <v>0</v>
      </c>
      <c r="Y372" t="s">
        <v>52</v>
      </c>
      <c r="Z372" t="s">
        <v>53</v>
      </c>
      <c r="AA372" t="s">
        <v>54</v>
      </c>
      <c r="AB372">
        <v>0</v>
      </c>
      <c r="AC372" t="s">
        <v>55</v>
      </c>
      <c r="AD372">
        <v>8</v>
      </c>
      <c r="AE372" t="s">
        <v>56</v>
      </c>
      <c r="AF372">
        <v>1500525.3759999999</v>
      </c>
      <c r="AG372" t="b">
        <v>1</v>
      </c>
      <c r="AH372">
        <v>-1</v>
      </c>
      <c r="AI372" t="s">
        <v>64</v>
      </c>
      <c r="AJ372">
        <v>0</v>
      </c>
      <c r="AK372" t="b">
        <v>0</v>
      </c>
      <c r="AL372" s="1">
        <v>1500525.3759999999</v>
      </c>
      <c r="AM372" t="b">
        <v>1</v>
      </c>
      <c r="AN372">
        <v>0</v>
      </c>
      <c r="AO372" t="b">
        <v>0</v>
      </c>
      <c r="AP372">
        <v>0</v>
      </c>
      <c r="AQ372">
        <v>86757610493.817993</v>
      </c>
      <c r="AR372">
        <v>86757610493.817993</v>
      </c>
      <c r="AS372">
        <v>6</v>
      </c>
      <c r="AT372" t="b">
        <v>0</v>
      </c>
      <c r="AU372" t="b">
        <v>1</v>
      </c>
      <c r="AV372" t="b">
        <v>1</v>
      </c>
      <c r="AW372" t="b">
        <v>1</v>
      </c>
      <c r="BC372" t="str">
        <f t="shared" si="5"/>
        <v>Outlier</v>
      </c>
    </row>
    <row r="373" spans="1:55" x14ac:dyDescent="0.2">
      <c r="A373" t="s">
        <v>39</v>
      </c>
      <c r="B373" t="s">
        <v>40</v>
      </c>
      <c r="C373">
        <v>20210101</v>
      </c>
      <c r="D373">
        <v>2021</v>
      </c>
      <c r="E373">
        <v>52</v>
      </c>
      <c r="F373" t="s">
        <v>333</v>
      </c>
      <c r="G373">
        <v>762</v>
      </c>
      <c r="H373" t="s">
        <v>342</v>
      </c>
      <c r="I373" t="s">
        <v>343</v>
      </c>
      <c r="J373" t="s">
        <v>44</v>
      </c>
      <c r="K373" t="s">
        <v>45</v>
      </c>
      <c r="L373">
        <v>0</v>
      </c>
      <c r="M373" t="s">
        <v>46</v>
      </c>
      <c r="N373" t="s">
        <v>47</v>
      </c>
      <c r="O373">
        <v>0</v>
      </c>
      <c r="P373" t="s">
        <v>46</v>
      </c>
      <c r="Q373" t="s">
        <v>47</v>
      </c>
      <c r="R373" t="s">
        <v>95</v>
      </c>
      <c r="S373" t="s">
        <v>49</v>
      </c>
      <c r="T373" t="b">
        <v>1</v>
      </c>
      <c r="U373" t="s">
        <v>50</v>
      </c>
      <c r="V373" t="s">
        <v>51</v>
      </c>
      <c r="W373">
        <v>4</v>
      </c>
      <c r="X373" t="b">
        <v>0</v>
      </c>
      <c r="Y373" t="s">
        <v>52</v>
      </c>
      <c r="Z373" t="s">
        <v>53</v>
      </c>
      <c r="AA373" t="s">
        <v>54</v>
      </c>
      <c r="AB373">
        <v>0</v>
      </c>
      <c r="AC373" t="s">
        <v>55</v>
      </c>
      <c r="AD373">
        <v>8</v>
      </c>
      <c r="AE373" t="s">
        <v>56</v>
      </c>
      <c r="AF373">
        <v>6229.7929999999997</v>
      </c>
      <c r="AG373" t="b">
        <v>1</v>
      </c>
      <c r="AH373">
        <v>-1</v>
      </c>
      <c r="AI373" t="s">
        <v>64</v>
      </c>
      <c r="AJ373">
        <v>0</v>
      </c>
      <c r="AK373" t="b">
        <v>0</v>
      </c>
      <c r="AL373">
        <v>6229.7929999999997</v>
      </c>
      <c r="AM373" t="b">
        <v>1</v>
      </c>
      <c r="AN373">
        <v>0</v>
      </c>
      <c r="AO373" t="b">
        <v>0</v>
      </c>
      <c r="AQ373">
        <v>351150013</v>
      </c>
      <c r="AR373">
        <v>351150013</v>
      </c>
      <c r="AS373">
        <v>6</v>
      </c>
      <c r="AT373" t="b">
        <v>0</v>
      </c>
      <c r="AU373" t="b">
        <v>1</v>
      </c>
      <c r="AV373" t="b">
        <v>1</v>
      </c>
      <c r="AW373" t="b">
        <v>1</v>
      </c>
      <c r="BC373" t="str">
        <f t="shared" si="5"/>
        <v>Normal</v>
      </c>
    </row>
    <row r="374" spans="1:55" x14ac:dyDescent="0.2">
      <c r="A374" t="s">
        <v>39</v>
      </c>
      <c r="B374" t="s">
        <v>40</v>
      </c>
      <c r="C374">
        <v>20210101</v>
      </c>
      <c r="D374">
        <v>2021</v>
      </c>
      <c r="E374">
        <v>52</v>
      </c>
      <c r="F374" t="s">
        <v>333</v>
      </c>
      <c r="G374">
        <v>764</v>
      </c>
      <c r="H374" t="s">
        <v>279</v>
      </c>
      <c r="I374" t="s">
        <v>280</v>
      </c>
      <c r="J374" t="s">
        <v>44</v>
      </c>
      <c r="K374" t="s">
        <v>45</v>
      </c>
      <c r="L374">
        <v>0</v>
      </c>
      <c r="M374" t="s">
        <v>46</v>
      </c>
      <c r="N374" t="s">
        <v>47</v>
      </c>
      <c r="O374">
        <v>0</v>
      </c>
      <c r="P374" t="s">
        <v>46</v>
      </c>
      <c r="Q374" t="s">
        <v>47</v>
      </c>
      <c r="R374" t="s">
        <v>48</v>
      </c>
      <c r="S374" t="s">
        <v>49</v>
      </c>
      <c r="T374" t="b">
        <v>1</v>
      </c>
      <c r="U374" t="s">
        <v>50</v>
      </c>
      <c r="V374" t="s">
        <v>51</v>
      </c>
      <c r="W374">
        <v>4</v>
      </c>
      <c r="X374" t="b">
        <v>0</v>
      </c>
      <c r="Y374" t="s">
        <v>52</v>
      </c>
      <c r="Z374" t="s">
        <v>53</v>
      </c>
      <c r="AA374" t="s">
        <v>54</v>
      </c>
      <c r="AB374">
        <v>0</v>
      </c>
      <c r="AC374" t="s">
        <v>55</v>
      </c>
      <c r="AD374">
        <v>-1</v>
      </c>
      <c r="AE374" t="s">
        <v>64</v>
      </c>
      <c r="AF374">
        <v>0</v>
      </c>
      <c r="AG374" t="b">
        <v>0</v>
      </c>
      <c r="AH374">
        <v>-1</v>
      </c>
      <c r="AI374" t="s">
        <v>64</v>
      </c>
      <c r="AJ374">
        <v>0</v>
      </c>
      <c r="AK374" t="b">
        <v>0</v>
      </c>
      <c r="AM374" t="b">
        <v>0</v>
      </c>
      <c r="AN374">
        <v>0</v>
      </c>
      <c r="AO374" t="b">
        <v>0</v>
      </c>
      <c r="AQ374">
        <v>3884115060.3959999</v>
      </c>
      <c r="AR374">
        <v>3884115060.3959999</v>
      </c>
      <c r="AS374">
        <v>0</v>
      </c>
      <c r="AT374" t="b">
        <v>0</v>
      </c>
      <c r="AU374" t="b">
        <v>1</v>
      </c>
      <c r="AV374" t="b">
        <v>1</v>
      </c>
      <c r="AW374" t="b">
        <v>1</v>
      </c>
      <c r="BC374" t="str">
        <f t="shared" si="5"/>
        <v>Normal</v>
      </c>
    </row>
    <row r="375" spans="1:55" x14ac:dyDescent="0.2">
      <c r="A375" t="s">
        <v>39</v>
      </c>
      <c r="B375" t="s">
        <v>40</v>
      </c>
      <c r="C375">
        <v>20210101</v>
      </c>
      <c r="D375">
        <v>2021</v>
      </c>
      <c r="E375">
        <v>52</v>
      </c>
      <c r="F375" t="s">
        <v>333</v>
      </c>
      <c r="G375">
        <v>780</v>
      </c>
      <c r="H375" t="s">
        <v>283</v>
      </c>
      <c r="I375" t="s">
        <v>284</v>
      </c>
      <c r="J375" t="s">
        <v>44</v>
      </c>
      <c r="K375" t="s">
        <v>45</v>
      </c>
      <c r="L375">
        <v>0</v>
      </c>
      <c r="M375" t="s">
        <v>46</v>
      </c>
      <c r="N375" t="s">
        <v>47</v>
      </c>
      <c r="O375">
        <v>0</v>
      </c>
      <c r="P375" t="s">
        <v>46</v>
      </c>
      <c r="Q375" t="s">
        <v>47</v>
      </c>
      <c r="R375" t="s">
        <v>95</v>
      </c>
      <c r="S375" t="s">
        <v>49</v>
      </c>
      <c r="T375" t="b">
        <v>1</v>
      </c>
      <c r="U375" t="s">
        <v>50</v>
      </c>
      <c r="V375" t="s">
        <v>51</v>
      </c>
      <c r="W375">
        <v>4</v>
      </c>
      <c r="X375" t="b">
        <v>0</v>
      </c>
      <c r="Y375" t="s">
        <v>52</v>
      </c>
      <c r="Z375" t="s">
        <v>53</v>
      </c>
      <c r="AA375" t="s">
        <v>54</v>
      </c>
      <c r="AB375">
        <v>0</v>
      </c>
      <c r="AC375" t="s">
        <v>55</v>
      </c>
      <c r="AD375">
        <v>8</v>
      </c>
      <c r="AE375" t="s">
        <v>56</v>
      </c>
      <c r="AF375">
        <v>9</v>
      </c>
      <c r="AG375" t="b">
        <v>0</v>
      </c>
      <c r="AH375">
        <v>8</v>
      </c>
      <c r="AI375" t="s">
        <v>56</v>
      </c>
      <c r="AJ375">
        <v>9</v>
      </c>
      <c r="AK375" t="b">
        <v>0</v>
      </c>
      <c r="AL375">
        <v>9</v>
      </c>
      <c r="AM375" t="b">
        <v>0</v>
      </c>
      <c r="AN375">
        <v>0</v>
      </c>
      <c r="AO375" t="b">
        <v>0</v>
      </c>
      <c r="AP375">
        <v>0</v>
      </c>
      <c r="AQ375">
        <v>88046.063999999998</v>
      </c>
      <c r="AR375">
        <v>88046.063999999998</v>
      </c>
      <c r="AS375">
        <v>0</v>
      </c>
      <c r="AT375" t="b">
        <v>0</v>
      </c>
      <c r="AU375" t="b">
        <v>1</v>
      </c>
      <c r="AV375" t="b">
        <v>1</v>
      </c>
      <c r="AW375" t="b">
        <v>1</v>
      </c>
      <c r="BC375" t="str">
        <f t="shared" si="5"/>
        <v>Normal</v>
      </c>
    </row>
    <row r="376" spans="1:55" x14ac:dyDescent="0.2">
      <c r="A376" t="s">
        <v>39</v>
      </c>
      <c r="B376" t="s">
        <v>40</v>
      </c>
      <c r="C376">
        <v>20210101</v>
      </c>
      <c r="D376">
        <v>2021</v>
      </c>
      <c r="E376">
        <v>52</v>
      </c>
      <c r="F376" t="s">
        <v>333</v>
      </c>
      <c r="G376">
        <v>784</v>
      </c>
      <c r="H376" t="s">
        <v>285</v>
      </c>
      <c r="I376" t="s">
        <v>286</v>
      </c>
      <c r="J376" t="s">
        <v>44</v>
      </c>
      <c r="K376" t="s">
        <v>45</v>
      </c>
      <c r="L376">
        <v>0</v>
      </c>
      <c r="M376" t="s">
        <v>46</v>
      </c>
      <c r="N376" t="s">
        <v>47</v>
      </c>
      <c r="O376">
        <v>0</v>
      </c>
      <c r="P376" t="s">
        <v>46</v>
      </c>
      <c r="Q376" t="s">
        <v>47</v>
      </c>
      <c r="R376" t="s">
        <v>48</v>
      </c>
      <c r="S376" t="s">
        <v>49</v>
      </c>
      <c r="T376" t="b">
        <v>1</v>
      </c>
      <c r="U376" t="s">
        <v>50</v>
      </c>
      <c r="V376" t="s">
        <v>51</v>
      </c>
      <c r="W376">
        <v>4</v>
      </c>
      <c r="X376" t="b">
        <v>0</v>
      </c>
      <c r="Y376" t="s">
        <v>52</v>
      </c>
      <c r="Z376" t="s">
        <v>53</v>
      </c>
      <c r="AA376" t="s">
        <v>54</v>
      </c>
      <c r="AB376">
        <v>0</v>
      </c>
      <c r="AC376" t="s">
        <v>55</v>
      </c>
      <c r="AD376">
        <v>-1</v>
      </c>
      <c r="AE376" t="s">
        <v>64</v>
      </c>
      <c r="AF376">
        <v>0</v>
      </c>
      <c r="AG376" t="b">
        <v>0</v>
      </c>
      <c r="AH376">
        <v>-1</v>
      </c>
      <c r="AI376" t="s">
        <v>64</v>
      </c>
      <c r="AJ376">
        <v>0</v>
      </c>
      <c r="AK376" t="b">
        <v>0</v>
      </c>
      <c r="AL376">
        <v>0</v>
      </c>
      <c r="AM376" t="b">
        <v>0</v>
      </c>
      <c r="AN376">
        <v>0</v>
      </c>
      <c r="AO376" t="b">
        <v>0</v>
      </c>
      <c r="AP376">
        <v>0</v>
      </c>
      <c r="AQ376">
        <v>33786922894.626999</v>
      </c>
      <c r="AR376">
        <v>33786922894.626999</v>
      </c>
      <c r="AS376">
        <v>0</v>
      </c>
      <c r="AT376" t="b">
        <v>0</v>
      </c>
      <c r="AU376" t="b">
        <v>1</v>
      </c>
      <c r="AV376" t="b">
        <v>1</v>
      </c>
      <c r="AW376" t="b">
        <v>1</v>
      </c>
      <c r="BC376" t="str">
        <f t="shared" si="5"/>
        <v>Normal</v>
      </c>
    </row>
    <row r="377" spans="1:55" x14ac:dyDescent="0.2">
      <c r="A377" t="s">
        <v>39</v>
      </c>
      <c r="B377" t="s">
        <v>40</v>
      </c>
      <c r="C377">
        <v>20210101</v>
      </c>
      <c r="D377">
        <v>2021</v>
      </c>
      <c r="E377">
        <v>52</v>
      </c>
      <c r="F377" t="s">
        <v>333</v>
      </c>
      <c r="G377">
        <v>788</v>
      </c>
      <c r="H377" t="s">
        <v>344</v>
      </c>
      <c r="I377" t="s">
        <v>345</v>
      </c>
      <c r="J377" t="s">
        <v>44</v>
      </c>
      <c r="K377" t="s">
        <v>45</v>
      </c>
      <c r="L377">
        <v>0</v>
      </c>
      <c r="M377" t="s">
        <v>46</v>
      </c>
      <c r="N377" t="s">
        <v>47</v>
      </c>
      <c r="O377">
        <v>0</v>
      </c>
      <c r="P377" t="s">
        <v>46</v>
      </c>
      <c r="Q377" t="s">
        <v>47</v>
      </c>
      <c r="R377" t="s">
        <v>48</v>
      </c>
      <c r="S377" t="s">
        <v>49</v>
      </c>
      <c r="T377" t="b">
        <v>1</v>
      </c>
      <c r="U377" t="s">
        <v>50</v>
      </c>
      <c r="V377" t="s">
        <v>51</v>
      </c>
      <c r="W377">
        <v>4</v>
      </c>
      <c r="X377" t="b">
        <v>0</v>
      </c>
      <c r="Y377" t="s">
        <v>52</v>
      </c>
      <c r="Z377" t="s">
        <v>53</v>
      </c>
      <c r="AA377" t="s">
        <v>54</v>
      </c>
      <c r="AB377">
        <v>0</v>
      </c>
      <c r="AC377" t="s">
        <v>55</v>
      </c>
      <c r="AD377">
        <v>8</v>
      </c>
      <c r="AE377" t="s">
        <v>56</v>
      </c>
      <c r="AF377">
        <v>0.97299999999999998</v>
      </c>
      <c r="AG377" t="b">
        <v>0</v>
      </c>
      <c r="AH377">
        <v>15</v>
      </c>
      <c r="AI377" t="s">
        <v>59</v>
      </c>
      <c r="AJ377">
        <v>973</v>
      </c>
      <c r="AK377" t="b">
        <v>0</v>
      </c>
      <c r="AL377">
        <v>4</v>
      </c>
      <c r="AM377" t="b">
        <v>0</v>
      </c>
      <c r="AN377">
        <v>0</v>
      </c>
      <c r="AO377" t="b">
        <v>0</v>
      </c>
      <c r="AP377">
        <v>0</v>
      </c>
      <c r="AQ377">
        <v>30808.868999999999</v>
      </c>
      <c r="AR377">
        <v>30808.868999999999</v>
      </c>
      <c r="AS377">
        <v>0</v>
      </c>
      <c r="AT377" t="b">
        <v>0</v>
      </c>
      <c r="AU377" t="b">
        <v>1</v>
      </c>
      <c r="AV377" t="b">
        <v>1</v>
      </c>
      <c r="AW377" t="b">
        <v>1</v>
      </c>
      <c r="BC377" t="str">
        <f t="shared" si="5"/>
        <v>Normal</v>
      </c>
    </row>
    <row r="378" spans="1:55" x14ac:dyDescent="0.2">
      <c r="A378" t="s">
        <v>39</v>
      </c>
      <c r="B378" t="s">
        <v>40</v>
      </c>
      <c r="C378">
        <v>20210101</v>
      </c>
      <c r="D378">
        <v>2021</v>
      </c>
      <c r="E378">
        <v>52</v>
      </c>
      <c r="F378" t="s">
        <v>333</v>
      </c>
      <c r="G378">
        <v>792</v>
      </c>
      <c r="H378" t="s">
        <v>287</v>
      </c>
      <c r="I378" t="s">
        <v>288</v>
      </c>
      <c r="J378" t="s">
        <v>44</v>
      </c>
      <c r="K378" t="s">
        <v>45</v>
      </c>
      <c r="L378">
        <v>0</v>
      </c>
      <c r="M378" t="s">
        <v>46</v>
      </c>
      <c r="N378" t="s">
        <v>47</v>
      </c>
      <c r="O378">
        <v>0</v>
      </c>
      <c r="P378" t="s">
        <v>46</v>
      </c>
      <c r="Q378" t="s">
        <v>47</v>
      </c>
      <c r="R378" t="s">
        <v>48</v>
      </c>
      <c r="S378" t="s">
        <v>49</v>
      </c>
      <c r="T378" t="b">
        <v>1</v>
      </c>
      <c r="U378" t="s">
        <v>50</v>
      </c>
      <c r="V378" t="s">
        <v>51</v>
      </c>
      <c r="W378">
        <v>4</v>
      </c>
      <c r="X378" t="b">
        <v>0</v>
      </c>
      <c r="Y378" t="s">
        <v>52</v>
      </c>
      <c r="Z378" t="s">
        <v>53</v>
      </c>
      <c r="AA378" t="s">
        <v>54</v>
      </c>
      <c r="AB378">
        <v>0</v>
      </c>
      <c r="AC378" t="s">
        <v>55</v>
      </c>
      <c r="AD378">
        <v>8</v>
      </c>
      <c r="AE378" t="s">
        <v>56</v>
      </c>
      <c r="AF378">
        <v>60725.862000000001</v>
      </c>
      <c r="AG378" t="b">
        <v>0</v>
      </c>
      <c r="AH378">
        <v>15</v>
      </c>
      <c r="AI378" t="s">
        <v>59</v>
      </c>
      <c r="AJ378">
        <v>60725862</v>
      </c>
      <c r="AK378" t="b">
        <v>0</v>
      </c>
      <c r="AM378" t="b">
        <v>0</v>
      </c>
      <c r="AN378">
        <v>0</v>
      </c>
      <c r="AO378" t="b">
        <v>0</v>
      </c>
      <c r="AQ378">
        <v>3482598318</v>
      </c>
      <c r="AR378">
        <v>3482598318</v>
      </c>
      <c r="AS378">
        <v>0</v>
      </c>
      <c r="AT378" t="b">
        <v>0</v>
      </c>
      <c r="AU378" t="b">
        <v>1</v>
      </c>
      <c r="AV378" t="b">
        <v>1</v>
      </c>
      <c r="AW378" t="b">
        <v>1</v>
      </c>
      <c r="BC378" t="str">
        <f t="shared" si="5"/>
        <v>Normal</v>
      </c>
    </row>
    <row r="379" spans="1:55" x14ac:dyDescent="0.2">
      <c r="A379" t="s">
        <v>39</v>
      </c>
      <c r="B379" t="s">
        <v>40</v>
      </c>
      <c r="C379">
        <v>20210101</v>
      </c>
      <c r="D379">
        <v>2021</v>
      </c>
      <c r="E379">
        <v>52</v>
      </c>
      <c r="F379" t="s">
        <v>333</v>
      </c>
      <c r="G379">
        <v>800</v>
      </c>
      <c r="H379" t="s">
        <v>289</v>
      </c>
      <c r="I379" t="s">
        <v>290</v>
      </c>
      <c r="J379" t="s">
        <v>44</v>
      </c>
      <c r="K379" t="s">
        <v>45</v>
      </c>
      <c r="L379">
        <v>0</v>
      </c>
      <c r="M379" t="s">
        <v>46</v>
      </c>
      <c r="N379" t="s">
        <v>47</v>
      </c>
      <c r="O379">
        <v>0</v>
      </c>
      <c r="P379" t="s">
        <v>46</v>
      </c>
      <c r="Q379" t="s">
        <v>47</v>
      </c>
      <c r="R379" t="s">
        <v>48</v>
      </c>
      <c r="S379" t="s">
        <v>49</v>
      </c>
      <c r="T379" t="b">
        <v>1</v>
      </c>
      <c r="U379" t="s">
        <v>50</v>
      </c>
      <c r="V379" t="s">
        <v>51</v>
      </c>
      <c r="W379">
        <v>4</v>
      </c>
      <c r="X379" t="b">
        <v>0</v>
      </c>
      <c r="Y379" t="s">
        <v>52</v>
      </c>
      <c r="Z379" t="s">
        <v>53</v>
      </c>
      <c r="AA379" t="s">
        <v>54</v>
      </c>
      <c r="AB379">
        <v>0</v>
      </c>
      <c r="AC379" t="s">
        <v>55</v>
      </c>
      <c r="AD379">
        <v>8</v>
      </c>
      <c r="AE379" t="s">
        <v>56</v>
      </c>
      <c r="AF379">
        <v>18444.240000000002</v>
      </c>
      <c r="AG379" t="b">
        <v>0</v>
      </c>
      <c r="AH379">
        <v>15</v>
      </c>
      <c r="AI379" t="s">
        <v>59</v>
      </c>
      <c r="AJ379">
        <v>18444240</v>
      </c>
      <c r="AK379" t="b">
        <v>0</v>
      </c>
      <c r="AL379">
        <v>18342.990000000002</v>
      </c>
      <c r="AM379" t="b">
        <v>0</v>
      </c>
      <c r="AN379">
        <v>0</v>
      </c>
      <c r="AO379" t="b">
        <v>0</v>
      </c>
      <c r="AQ379">
        <v>1032854557.1</v>
      </c>
      <c r="AR379">
        <v>1032854557.1</v>
      </c>
      <c r="AS379">
        <v>0</v>
      </c>
      <c r="AT379" t="b">
        <v>0</v>
      </c>
      <c r="AU379" t="b">
        <v>1</v>
      </c>
      <c r="AV379" t="b">
        <v>1</v>
      </c>
      <c r="AW379" t="b">
        <v>1</v>
      </c>
      <c r="BC379" t="str">
        <f t="shared" si="5"/>
        <v>Normal</v>
      </c>
    </row>
    <row r="380" spans="1:55" x14ac:dyDescent="0.2">
      <c r="A380" t="s">
        <v>39</v>
      </c>
      <c r="B380" t="s">
        <v>40</v>
      </c>
      <c r="C380">
        <v>20210101</v>
      </c>
      <c r="D380">
        <v>2021</v>
      </c>
      <c r="E380">
        <v>52</v>
      </c>
      <c r="F380" t="s">
        <v>333</v>
      </c>
      <c r="G380">
        <v>804</v>
      </c>
      <c r="H380" t="s">
        <v>291</v>
      </c>
      <c r="I380" t="s">
        <v>292</v>
      </c>
      <c r="J380" t="s">
        <v>44</v>
      </c>
      <c r="K380" t="s">
        <v>45</v>
      </c>
      <c r="L380">
        <v>0</v>
      </c>
      <c r="M380" t="s">
        <v>46</v>
      </c>
      <c r="N380" t="s">
        <v>47</v>
      </c>
      <c r="O380">
        <v>0</v>
      </c>
      <c r="P380" t="s">
        <v>46</v>
      </c>
      <c r="Q380" t="s">
        <v>47</v>
      </c>
      <c r="R380" t="s">
        <v>48</v>
      </c>
      <c r="S380" t="s">
        <v>49</v>
      </c>
      <c r="T380" t="b">
        <v>1</v>
      </c>
      <c r="U380" t="s">
        <v>50</v>
      </c>
      <c r="V380" t="s">
        <v>51</v>
      </c>
      <c r="W380">
        <v>4</v>
      </c>
      <c r="X380" t="b">
        <v>0</v>
      </c>
      <c r="Y380" t="s">
        <v>52</v>
      </c>
      <c r="Z380" t="s">
        <v>53</v>
      </c>
      <c r="AA380" t="s">
        <v>54</v>
      </c>
      <c r="AB380">
        <v>0</v>
      </c>
      <c r="AC380" t="s">
        <v>55</v>
      </c>
      <c r="AD380">
        <v>8</v>
      </c>
      <c r="AE380" t="s">
        <v>56</v>
      </c>
      <c r="AF380">
        <v>512.80399999999997</v>
      </c>
      <c r="AG380" t="b">
        <v>0</v>
      </c>
      <c r="AH380">
        <v>15</v>
      </c>
      <c r="AI380" t="s">
        <v>59</v>
      </c>
      <c r="AJ380">
        <v>512804.16</v>
      </c>
      <c r="AK380" t="b">
        <v>0</v>
      </c>
      <c r="AL380">
        <v>512.80999999999995</v>
      </c>
      <c r="AM380" t="b">
        <v>0</v>
      </c>
      <c r="AN380">
        <v>0</v>
      </c>
      <c r="AO380" t="b">
        <v>0</v>
      </c>
      <c r="AP380">
        <v>0</v>
      </c>
      <c r="AQ380">
        <v>27621641.690000001</v>
      </c>
      <c r="AR380">
        <v>27621641.690000001</v>
      </c>
      <c r="AS380">
        <v>0</v>
      </c>
      <c r="AT380" t="b">
        <v>0</v>
      </c>
      <c r="AU380" t="b">
        <v>1</v>
      </c>
      <c r="AV380" t="b">
        <v>1</v>
      </c>
      <c r="AW380" t="b">
        <v>1</v>
      </c>
      <c r="BC380" t="str">
        <f t="shared" si="5"/>
        <v>Normal</v>
      </c>
    </row>
    <row r="381" spans="1:55" x14ac:dyDescent="0.2">
      <c r="A381" t="s">
        <v>39</v>
      </c>
      <c r="B381" t="s">
        <v>40</v>
      </c>
      <c r="C381">
        <v>20210101</v>
      </c>
      <c r="D381">
        <v>2021</v>
      </c>
      <c r="E381">
        <v>52</v>
      </c>
      <c r="F381" t="s">
        <v>333</v>
      </c>
      <c r="G381">
        <v>807</v>
      </c>
      <c r="H381" t="s">
        <v>331</v>
      </c>
      <c r="I381" t="s">
        <v>332</v>
      </c>
      <c r="J381" t="s">
        <v>44</v>
      </c>
      <c r="K381" t="s">
        <v>45</v>
      </c>
      <c r="L381">
        <v>0</v>
      </c>
      <c r="M381" t="s">
        <v>46</v>
      </c>
      <c r="N381" t="s">
        <v>47</v>
      </c>
      <c r="O381">
        <v>0</v>
      </c>
      <c r="P381" t="s">
        <v>46</v>
      </c>
      <c r="Q381" t="s">
        <v>47</v>
      </c>
      <c r="R381" t="s">
        <v>48</v>
      </c>
      <c r="S381" t="s">
        <v>49</v>
      </c>
      <c r="T381" t="b">
        <v>1</v>
      </c>
      <c r="U381" t="s">
        <v>50</v>
      </c>
      <c r="V381" t="s">
        <v>51</v>
      </c>
      <c r="W381">
        <v>4</v>
      </c>
      <c r="X381" t="b">
        <v>0</v>
      </c>
      <c r="Y381" t="s">
        <v>52</v>
      </c>
      <c r="Z381" t="s">
        <v>53</v>
      </c>
      <c r="AA381" t="s">
        <v>54</v>
      </c>
      <c r="AB381">
        <v>0</v>
      </c>
      <c r="AC381" t="s">
        <v>55</v>
      </c>
      <c r="AD381">
        <v>8</v>
      </c>
      <c r="AE381" t="s">
        <v>56</v>
      </c>
      <c r="AF381">
        <v>18.699000000000002</v>
      </c>
      <c r="AG381" t="b">
        <v>0</v>
      </c>
      <c r="AH381">
        <v>15</v>
      </c>
      <c r="AI381" t="s">
        <v>59</v>
      </c>
      <c r="AJ381">
        <v>18699</v>
      </c>
      <c r="AK381" t="b">
        <v>0</v>
      </c>
      <c r="AL381">
        <v>19</v>
      </c>
      <c r="AM381" t="b">
        <v>0</v>
      </c>
      <c r="AN381">
        <v>0</v>
      </c>
      <c r="AO381" t="b">
        <v>0</v>
      </c>
      <c r="AP381">
        <v>0</v>
      </c>
      <c r="AQ381">
        <v>686141.09</v>
      </c>
      <c r="AR381">
        <v>686141.09</v>
      </c>
      <c r="AS381">
        <v>0</v>
      </c>
      <c r="AT381" t="b">
        <v>0</v>
      </c>
      <c r="AU381" t="b">
        <v>1</v>
      </c>
      <c r="AV381" t="b">
        <v>1</v>
      </c>
      <c r="AW381" t="b">
        <v>1</v>
      </c>
      <c r="BC381" t="str">
        <f t="shared" si="5"/>
        <v>Normal</v>
      </c>
    </row>
    <row r="382" spans="1:55" x14ac:dyDescent="0.2">
      <c r="A382" t="s">
        <v>39</v>
      </c>
      <c r="B382" t="s">
        <v>40</v>
      </c>
      <c r="C382">
        <v>20210101</v>
      </c>
      <c r="D382">
        <v>2021</v>
      </c>
      <c r="E382">
        <v>52</v>
      </c>
      <c r="F382" t="s">
        <v>333</v>
      </c>
      <c r="G382">
        <v>818</v>
      </c>
      <c r="H382" t="s">
        <v>293</v>
      </c>
      <c r="I382" t="s">
        <v>294</v>
      </c>
      <c r="J382" t="s">
        <v>44</v>
      </c>
      <c r="K382" t="s">
        <v>45</v>
      </c>
      <c r="L382">
        <v>0</v>
      </c>
      <c r="M382" t="s">
        <v>46</v>
      </c>
      <c r="N382" t="s">
        <v>47</v>
      </c>
      <c r="O382">
        <v>0</v>
      </c>
      <c r="P382" t="s">
        <v>46</v>
      </c>
      <c r="Q382" t="s">
        <v>47</v>
      </c>
      <c r="R382" t="s">
        <v>95</v>
      </c>
      <c r="S382" t="s">
        <v>49</v>
      </c>
      <c r="T382" t="b">
        <v>1</v>
      </c>
      <c r="U382" t="s">
        <v>50</v>
      </c>
      <c r="V382" t="s">
        <v>51</v>
      </c>
      <c r="W382">
        <v>4</v>
      </c>
      <c r="X382" t="b">
        <v>0</v>
      </c>
      <c r="Y382" t="s">
        <v>52</v>
      </c>
      <c r="Z382" t="s">
        <v>53</v>
      </c>
      <c r="AA382" t="s">
        <v>54</v>
      </c>
      <c r="AB382">
        <v>0</v>
      </c>
      <c r="AC382" t="s">
        <v>55</v>
      </c>
      <c r="AD382">
        <v>8</v>
      </c>
      <c r="AE382" t="s">
        <v>56</v>
      </c>
      <c r="AF382">
        <v>19760.995999999999</v>
      </c>
      <c r="AG382" t="b">
        <v>1</v>
      </c>
      <c r="AH382">
        <v>-1</v>
      </c>
      <c r="AI382" t="s">
        <v>64</v>
      </c>
      <c r="AJ382">
        <v>0</v>
      </c>
      <c r="AK382" t="b">
        <v>0</v>
      </c>
      <c r="AL382">
        <v>19760.995999999999</v>
      </c>
      <c r="AM382" t="b">
        <v>1</v>
      </c>
      <c r="AN382">
        <v>0</v>
      </c>
      <c r="AO382" t="b">
        <v>0</v>
      </c>
      <c r="AQ382">
        <v>1110229359.2479999</v>
      </c>
      <c r="AR382">
        <v>1110229359.2479999</v>
      </c>
      <c r="AS382">
        <v>6</v>
      </c>
      <c r="AT382" t="b">
        <v>0</v>
      </c>
      <c r="AU382" t="b">
        <v>1</v>
      </c>
      <c r="AV382" t="b">
        <v>1</v>
      </c>
      <c r="AW382" t="b">
        <v>1</v>
      </c>
      <c r="BC382" t="str">
        <f t="shared" si="5"/>
        <v>Normal</v>
      </c>
    </row>
    <row r="383" spans="1:55" x14ac:dyDescent="0.2">
      <c r="A383" t="s">
        <v>39</v>
      </c>
      <c r="B383" t="s">
        <v>40</v>
      </c>
      <c r="C383">
        <v>20210101</v>
      </c>
      <c r="D383">
        <v>2021</v>
      </c>
      <c r="E383">
        <v>52</v>
      </c>
      <c r="F383" t="s">
        <v>333</v>
      </c>
      <c r="G383">
        <v>826</v>
      </c>
      <c r="H383" t="s">
        <v>295</v>
      </c>
      <c r="I383" t="s">
        <v>296</v>
      </c>
      <c r="J383" t="s">
        <v>44</v>
      </c>
      <c r="K383" t="s">
        <v>45</v>
      </c>
      <c r="L383">
        <v>0</v>
      </c>
      <c r="M383" t="s">
        <v>46</v>
      </c>
      <c r="N383" t="s">
        <v>47</v>
      </c>
      <c r="O383">
        <v>0</v>
      </c>
      <c r="P383" t="s">
        <v>46</v>
      </c>
      <c r="Q383" t="s">
        <v>47</v>
      </c>
      <c r="R383" t="s">
        <v>48</v>
      </c>
      <c r="S383" t="s">
        <v>49</v>
      </c>
      <c r="T383" t="b">
        <v>1</v>
      </c>
      <c r="U383" t="s">
        <v>50</v>
      </c>
      <c r="V383" t="s">
        <v>51</v>
      </c>
      <c r="W383">
        <v>4</v>
      </c>
      <c r="X383" t="b">
        <v>0</v>
      </c>
      <c r="Y383" t="s">
        <v>52</v>
      </c>
      <c r="Z383" t="s">
        <v>53</v>
      </c>
      <c r="AA383" t="s">
        <v>54</v>
      </c>
      <c r="AB383">
        <v>0</v>
      </c>
      <c r="AC383" t="s">
        <v>55</v>
      </c>
      <c r="AD383">
        <v>8</v>
      </c>
      <c r="AE383" t="s">
        <v>56</v>
      </c>
      <c r="AF383">
        <v>725046.93799999997</v>
      </c>
      <c r="AG383" t="b">
        <v>1</v>
      </c>
      <c r="AH383">
        <v>-1</v>
      </c>
      <c r="AI383" t="s">
        <v>64</v>
      </c>
      <c r="AJ383">
        <v>0</v>
      </c>
      <c r="AK383" t="b">
        <v>0</v>
      </c>
      <c r="AL383" s="1">
        <v>716479.80900000001</v>
      </c>
      <c r="AM383" t="b">
        <v>1</v>
      </c>
      <c r="AN383">
        <v>0</v>
      </c>
      <c r="AO383" t="b">
        <v>0</v>
      </c>
      <c r="AP383">
        <v>0</v>
      </c>
      <c r="AQ383">
        <v>41432361732.552002</v>
      </c>
      <c r="AR383">
        <v>41432361732.552002</v>
      </c>
      <c r="AS383">
        <v>6</v>
      </c>
      <c r="AT383" t="b">
        <v>0</v>
      </c>
      <c r="AU383" t="b">
        <v>1</v>
      </c>
      <c r="AV383" t="b">
        <v>1</v>
      </c>
      <c r="AW383" t="b">
        <v>1</v>
      </c>
      <c r="BC383" t="str">
        <f t="shared" si="5"/>
        <v>Outlier</v>
      </c>
    </row>
    <row r="384" spans="1:55" x14ac:dyDescent="0.2">
      <c r="A384" t="s">
        <v>39</v>
      </c>
      <c r="B384" t="s">
        <v>40</v>
      </c>
      <c r="C384">
        <v>20210101</v>
      </c>
      <c r="D384">
        <v>2021</v>
      </c>
      <c r="E384">
        <v>52</v>
      </c>
      <c r="F384" t="s">
        <v>333</v>
      </c>
      <c r="G384">
        <v>834</v>
      </c>
      <c r="H384" t="s">
        <v>297</v>
      </c>
      <c r="I384" t="s">
        <v>298</v>
      </c>
      <c r="J384" t="s">
        <v>44</v>
      </c>
      <c r="K384" t="s">
        <v>45</v>
      </c>
      <c r="L384">
        <v>0</v>
      </c>
      <c r="M384" t="s">
        <v>46</v>
      </c>
      <c r="N384" t="s">
        <v>47</v>
      </c>
      <c r="O384">
        <v>0</v>
      </c>
      <c r="P384" t="s">
        <v>46</v>
      </c>
      <c r="Q384" t="s">
        <v>47</v>
      </c>
      <c r="R384" t="s">
        <v>48</v>
      </c>
      <c r="S384" t="s">
        <v>49</v>
      </c>
      <c r="T384" t="b">
        <v>1</v>
      </c>
      <c r="U384" t="s">
        <v>50</v>
      </c>
      <c r="V384" t="s">
        <v>51</v>
      </c>
      <c r="W384">
        <v>4</v>
      </c>
      <c r="X384" t="b">
        <v>0</v>
      </c>
      <c r="Y384" t="s">
        <v>52</v>
      </c>
      <c r="Z384" t="s">
        <v>53</v>
      </c>
      <c r="AA384" t="s">
        <v>54</v>
      </c>
      <c r="AB384">
        <v>0</v>
      </c>
      <c r="AC384" t="s">
        <v>55</v>
      </c>
      <c r="AD384">
        <v>-1</v>
      </c>
      <c r="AE384" t="s">
        <v>64</v>
      </c>
      <c r="AF384">
        <v>0</v>
      </c>
      <c r="AG384" t="b">
        <v>0</v>
      </c>
      <c r="AH384">
        <v>15</v>
      </c>
      <c r="AI384" t="s">
        <v>59</v>
      </c>
      <c r="AJ384">
        <v>968202.68</v>
      </c>
      <c r="AK384" t="b">
        <v>0</v>
      </c>
      <c r="AL384">
        <v>0</v>
      </c>
      <c r="AM384" t="b">
        <v>0</v>
      </c>
      <c r="AN384">
        <v>0</v>
      </c>
      <c r="AO384" t="b">
        <v>0</v>
      </c>
      <c r="AP384">
        <v>0</v>
      </c>
      <c r="AQ384">
        <v>2743129698.5</v>
      </c>
      <c r="AR384">
        <v>2743129698.5</v>
      </c>
      <c r="AS384">
        <v>0</v>
      </c>
      <c r="AT384" t="b">
        <v>0</v>
      </c>
      <c r="AU384" t="b">
        <v>1</v>
      </c>
      <c r="AV384" t="b">
        <v>1</v>
      </c>
      <c r="AW384" t="b">
        <v>1</v>
      </c>
      <c r="BC384" t="str">
        <f t="shared" si="5"/>
        <v>Normal</v>
      </c>
    </row>
    <row r="385" spans="1:55" x14ac:dyDescent="0.2">
      <c r="A385" t="s">
        <v>39</v>
      </c>
      <c r="B385" t="s">
        <v>40</v>
      </c>
      <c r="C385">
        <v>20210101</v>
      </c>
      <c r="D385">
        <v>2021</v>
      </c>
      <c r="E385">
        <v>52</v>
      </c>
      <c r="F385" t="s">
        <v>333</v>
      </c>
      <c r="G385">
        <v>842</v>
      </c>
      <c r="H385" t="s">
        <v>299</v>
      </c>
      <c r="I385" t="s">
        <v>299</v>
      </c>
      <c r="J385" t="s">
        <v>44</v>
      </c>
      <c r="K385" t="s">
        <v>45</v>
      </c>
      <c r="L385">
        <v>0</v>
      </c>
      <c r="M385" t="s">
        <v>46</v>
      </c>
      <c r="N385" t="s">
        <v>47</v>
      </c>
      <c r="O385">
        <v>0</v>
      </c>
      <c r="P385" t="s">
        <v>46</v>
      </c>
      <c r="Q385" t="s">
        <v>47</v>
      </c>
      <c r="R385" t="s">
        <v>48</v>
      </c>
      <c r="S385" t="s">
        <v>49</v>
      </c>
      <c r="T385" t="b">
        <v>1</v>
      </c>
      <c r="U385" t="s">
        <v>50</v>
      </c>
      <c r="V385" t="s">
        <v>51</v>
      </c>
      <c r="W385">
        <v>4</v>
      </c>
      <c r="X385" t="b">
        <v>0</v>
      </c>
      <c r="Y385" t="s">
        <v>52</v>
      </c>
      <c r="Z385" t="s">
        <v>53</v>
      </c>
      <c r="AA385" t="s">
        <v>54</v>
      </c>
      <c r="AB385">
        <v>0</v>
      </c>
      <c r="AC385" t="s">
        <v>55</v>
      </c>
      <c r="AD385">
        <v>8</v>
      </c>
      <c r="AE385" t="s">
        <v>56</v>
      </c>
      <c r="AF385">
        <v>481772.94099999999</v>
      </c>
      <c r="AG385" t="b">
        <v>1</v>
      </c>
      <c r="AH385">
        <v>-1</v>
      </c>
      <c r="AI385" t="s">
        <v>64</v>
      </c>
      <c r="AJ385">
        <v>0</v>
      </c>
      <c r="AK385" t="b">
        <v>0</v>
      </c>
      <c r="AL385" s="1">
        <v>481772.94099999999</v>
      </c>
      <c r="AM385" t="b">
        <v>1</v>
      </c>
      <c r="AN385">
        <v>0</v>
      </c>
      <c r="AO385" t="b">
        <v>0</v>
      </c>
      <c r="AP385">
        <v>0</v>
      </c>
      <c r="AQ385">
        <v>27719367195</v>
      </c>
      <c r="AR385">
        <v>27719367195</v>
      </c>
      <c r="AS385">
        <v>6</v>
      </c>
      <c r="AT385" t="b">
        <v>0</v>
      </c>
      <c r="AU385" t="b">
        <v>1</v>
      </c>
      <c r="AV385" t="b">
        <v>1</v>
      </c>
      <c r="AW385" t="b">
        <v>1</v>
      </c>
      <c r="BC385" t="str">
        <f t="shared" si="5"/>
        <v>Outlier</v>
      </c>
    </row>
    <row r="386" spans="1:55" x14ac:dyDescent="0.2">
      <c r="A386" t="s">
        <v>39</v>
      </c>
      <c r="B386" t="s">
        <v>40</v>
      </c>
      <c r="C386">
        <v>20210101</v>
      </c>
      <c r="D386">
        <v>2021</v>
      </c>
      <c r="E386">
        <v>52</v>
      </c>
      <c r="F386" t="s">
        <v>333</v>
      </c>
      <c r="G386">
        <v>854</v>
      </c>
      <c r="H386" t="s">
        <v>300</v>
      </c>
      <c r="I386" t="s">
        <v>301</v>
      </c>
      <c r="J386" t="s">
        <v>44</v>
      </c>
      <c r="K386" t="s">
        <v>45</v>
      </c>
      <c r="L386">
        <v>0</v>
      </c>
      <c r="M386" t="s">
        <v>46</v>
      </c>
      <c r="N386" t="s">
        <v>47</v>
      </c>
      <c r="O386">
        <v>0</v>
      </c>
      <c r="P386" t="s">
        <v>46</v>
      </c>
      <c r="Q386" t="s">
        <v>47</v>
      </c>
      <c r="R386" t="s">
        <v>48</v>
      </c>
      <c r="S386" t="s">
        <v>49</v>
      </c>
      <c r="T386" t="b">
        <v>1</v>
      </c>
      <c r="U386" t="s">
        <v>50</v>
      </c>
      <c r="V386" t="s">
        <v>51</v>
      </c>
      <c r="W386">
        <v>4</v>
      </c>
      <c r="X386" t="b">
        <v>0</v>
      </c>
      <c r="Y386" t="s">
        <v>52</v>
      </c>
      <c r="Z386" t="s">
        <v>53</v>
      </c>
      <c r="AA386" t="s">
        <v>54</v>
      </c>
      <c r="AB386">
        <v>0</v>
      </c>
      <c r="AC386" t="s">
        <v>55</v>
      </c>
      <c r="AD386">
        <v>8</v>
      </c>
      <c r="AE386" t="s">
        <v>56</v>
      </c>
      <c r="AF386">
        <v>67360</v>
      </c>
      <c r="AG386" t="b">
        <v>0</v>
      </c>
      <c r="AH386">
        <v>8</v>
      </c>
      <c r="AI386" t="s">
        <v>56</v>
      </c>
      <c r="AJ386">
        <v>67360</v>
      </c>
      <c r="AK386" t="b">
        <v>0</v>
      </c>
      <c r="AL386" s="1">
        <v>67360</v>
      </c>
      <c r="AM386" t="b">
        <v>0</v>
      </c>
      <c r="AN386">
        <v>0</v>
      </c>
      <c r="AO386" t="b">
        <v>0</v>
      </c>
      <c r="AP386">
        <v>0</v>
      </c>
      <c r="AQ386">
        <v>3916733285.368</v>
      </c>
      <c r="AR386">
        <v>3916733285.368</v>
      </c>
      <c r="AS386">
        <v>0</v>
      </c>
      <c r="AT386" t="b">
        <v>0</v>
      </c>
      <c r="AU386" t="b">
        <v>1</v>
      </c>
      <c r="AV386" t="b">
        <v>1</v>
      </c>
      <c r="AW386" t="b">
        <v>1</v>
      </c>
      <c r="BC386" t="str">
        <f t="shared" si="5"/>
        <v>Outlier</v>
      </c>
    </row>
    <row r="387" spans="1:55" x14ac:dyDescent="0.2">
      <c r="A387" t="s">
        <v>39</v>
      </c>
      <c r="B387" t="s">
        <v>40</v>
      </c>
      <c r="C387">
        <v>20210101</v>
      </c>
      <c r="D387">
        <v>2021</v>
      </c>
      <c r="E387">
        <v>52</v>
      </c>
      <c r="F387" t="s">
        <v>333</v>
      </c>
      <c r="G387">
        <v>858</v>
      </c>
      <c r="H387" t="s">
        <v>302</v>
      </c>
      <c r="I387" t="s">
        <v>303</v>
      </c>
      <c r="J387" t="s">
        <v>44</v>
      </c>
      <c r="K387" t="s">
        <v>45</v>
      </c>
      <c r="L387">
        <v>0</v>
      </c>
      <c r="M387" t="s">
        <v>46</v>
      </c>
      <c r="N387" t="s">
        <v>47</v>
      </c>
      <c r="O387">
        <v>0</v>
      </c>
      <c r="P387" t="s">
        <v>46</v>
      </c>
      <c r="Q387" t="s">
        <v>47</v>
      </c>
      <c r="R387" t="s">
        <v>48</v>
      </c>
      <c r="S387" t="s">
        <v>49</v>
      </c>
      <c r="T387" t="b">
        <v>1</v>
      </c>
      <c r="U387" t="s">
        <v>50</v>
      </c>
      <c r="V387" t="s">
        <v>51</v>
      </c>
      <c r="W387">
        <v>4</v>
      </c>
      <c r="X387" t="b">
        <v>0</v>
      </c>
      <c r="Y387" t="s">
        <v>52</v>
      </c>
      <c r="Z387" t="s">
        <v>53</v>
      </c>
      <c r="AA387" t="s">
        <v>54</v>
      </c>
      <c r="AB387">
        <v>0</v>
      </c>
      <c r="AC387" t="s">
        <v>55</v>
      </c>
      <c r="AD387">
        <v>8</v>
      </c>
      <c r="AE387" t="s">
        <v>56</v>
      </c>
      <c r="AF387">
        <v>2.2949999999999999</v>
      </c>
      <c r="AG387" t="b">
        <v>0</v>
      </c>
      <c r="AH387">
        <v>8</v>
      </c>
      <c r="AI387" t="s">
        <v>56</v>
      </c>
      <c r="AJ387">
        <v>2.2949999999999999</v>
      </c>
      <c r="AK387" t="b">
        <v>0</v>
      </c>
      <c r="AL387">
        <v>2.2949999999999999</v>
      </c>
      <c r="AM387" t="b">
        <v>0</v>
      </c>
      <c r="AN387">
        <v>0</v>
      </c>
      <c r="AO387" t="b">
        <v>0</v>
      </c>
      <c r="AQ387">
        <v>128480</v>
      </c>
      <c r="AR387">
        <v>128480</v>
      </c>
      <c r="AS387">
        <v>0</v>
      </c>
      <c r="AT387" t="b">
        <v>0</v>
      </c>
      <c r="AU387" t="b">
        <v>1</v>
      </c>
      <c r="AV387" t="b">
        <v>1</v>
      </c>
      <c r="AW387" t="b">
        <v>1</v>
      </c>
      <c r="BC387" t="str">
        <f t="shared" ref="BC387:BC450" si="6">IF(OR(AL387&lt;$BA$2,AL387&gt;$BB$2),"Outlier","Normal")</f>
        <v>Normal</v>
      </c>
    </row>
    <row r="388" spans="1:55" x14ac:dyDescent="0.2">
      <c r="A388" t="s">
        <v>39</v>
      </c>
      <c r="B388" t="s">
        <v>40</v>
      </c>
      <c r="C388">
        <v>20210101</v>
      </c>
      <c r="D388">
        <v>2021</v>
      </c>
      <c r="E388">
        <v>52</v>
      </c>
      <c r="F388" t="s">
        <v>333</v>
      </c>
      <c r="G388">
        <v>860</v>
      </c>
      <c r="H388" t="s">
        <v>304</v>
      </c>
      <c r="I388" t="s">
        <v>305</v>
      </c>
      <c r="J388" t="s">
        <v>44</v>
      </c>
      <c r="K388" t="s">
        <v>45</v>
      </c>
      <c r="L388">
        <v>0</v>
      </c>
      <c r="M388" t="s">
        <v>46</v>
      </c>
      <c r="N388" t="s">
        <v>47</v>
      </c>
      <c r="O388">
        <v>0</v>
      </c>
      <c r="P388" t="s">
        <v>46</v>
      </c>
      <c r="Q388" t="s">
        <v>47</v>
      </c>
      <c r="R388" t="s">
        <v>48</v>
      </c>
      <c r="S388" t="s">
        <v>49</v>
      </c>
      <c r="T388" t="b">
        <v>1</v>
      </c>
      <c r="U388" t="s">
        <v>50</v>
      </c>
      <c r="V388" t="s">
        <v>51</v>
      </c>
      <c r="W388">
        <v>4</v>
      </c>
      <c r="X388" t="b">
        <v>0</v>
      </c>
      <c r="Y388" t="s">
        <v>52</v>
      </c>
      <c r="Z388" t="s">
        <v>53</v>
      </c>
      <c r="AA388" t="s">
        <v>54</v>
      </c>
      <c r="AB388">
        <v>0</v>
      </c>
      <c r="AC388" t="s">
        <v>55</v>
      </c>
      <c r="AD388">
        <v>8</v>
      </c>
      <c r="AE388" t="s">
        <v>56</v>
      </c>
      <c r="AF388">
        <v>73276.966</v>
      </c>
      <c r="AG388" t="b">
        <v>1</v>
      </c>
      <c r="AH388">
        <v>-1</v>
      </c>
      <c r="AI388" t="s">
        <v>64</v>
      </c>
      <c r="AJ388">
        <v>0</v>
      </c>
      <c r="AK388" t="b">
        <v>0</v>
      </c>
      <c r="AL388" s="1">
        <v>73276.966</v>
      </c>
      <c r="AM388" t="b">
        <v>1</v>
      </c>
      <c r="AN388">
        <v>0</v>
      </c>
      <c r="AO388" t="b">
        <v>0</v>
      </c>
      <c r="AP388">
        <v>0</v>
      </c>
      <c r="AQ388">
        <v>4109750000</v>
      </c>
      <c r="AR388">
        <v>4109750000</v>
      </c>
      <c r="AS388">
        <v>6</v>
      </c>
      <c r="AT388" t="b">
        <v>0</v>
      </c>
      <c r="AU388" t="b">
        <v>1</v>
      </c>
      <c r="AV388" t="b">
        <v>1</v>
      </c>
      <c r="AW388" t="b">
        <v>1</v>
      </c>
      <c r="BC388" t="str">
        <f t="shared" si="6"/>
        <v>Outlier</v>
      </c>
    </row>
    <row r="389" spans="1:55" x14ac:dyDescent="0.2">
      <c r="A389" t="s">
        <v>39</v>
      </c>
      <c r="B389" t="s">
        <v>40</v>
      </c>
      <c r="C389">
        <v>20210101</v>
      </c>
      <c r="D389">
        <v>2021</v>
      </c>
      <c r="E389">
        <v>52</v>
      </c>
      <c r="F389" t="s">
        <v>333</v>
      </c>
      <c r="G389">
        <v>894</v>
      </c>
      <c r="H389" t="s">
        <v>307</v>
      </c>
      <c r="I389" t="s">
        <v>308</v>
      </c>
      <c r="J389" t="s">
        <v>44</v>
      </c>
      <c r="K389" t="s">
        <v>45</v>
      </c>
      <c r="L389">
        <v>0</v>
      </c>
      <c r="M389" t="s">
        <v>46</v>
      </c>
      <c r="N389" t="s">
        <v>47</v>
      </c>
      <c r="O389">
        <v>0</v>
      </c>
      <c r="P389" t="s">
        <v>46</v>
      </c>
      <c r="Q389" t="s">
        <v>47</v>
      </c>
      <c r="R389" t="s">
        <v>48</v>
      </c>
      <c r="S389" t="s">
        <v>49</v>
      </c>
      <c r="T389" t="b">
        <v>1</v>
      </c>
      <c r="U389" t="s">
        <v>50</v>
      </c>
      <c r="V389" t="s">
        <v>51</v>
      </c>
      <c r="W389">
        <v>4</v>
      </c>
      <c r="X389" t="b">
        <v>0</v>
      </c>
      <c r="Y389" t="s">
        <v>52</v>
      </c>
      <c r="Z389" t="s">
        <v>53</v>
      </c>
      <c r="AA389" t="s">
        <v>54</v>
      </c>
      <c r="AB389">
        <v>0</v>
      </c>
      <c r="AC389" t="s">
        <v>55</v>
      </c>
      <c r="AD389">
        <v>-1</v>
      </c>
      <c r="AE389" t="s">
        <v>64</v>
      </c>
      <c r="AF389">
        <v>0</v>
      </c>
      <c r="AG389" t="b">
        <v>0</v>
      </c>
      <c r="AH389">
        <v>15</v>
      </c>
      <c r="AI389" t="s">
        <v>59</v>
      </c>
      <c r="AJ389">
        <v>74</v>
      </c>
      <c r="AK389" t="b">
        <v>0</v>
      </c>
      <c r="AL389">
        <v>1121.81</v>
      </c>
      <c r="AM389" t="b">
        <v>0</v>
      </c>
      <c r="AN389">
        <v>0</v>
      </c>
      <c r="AO389" t="b">
        <v>0</v>
      </c>
      <c r="AQ389">
        <v>64992330.476000004</v>
      </c>
      <c r="AR389">
        <v>64992330.476000004</v>
      </c>
      <c r="AS389">
        <v>0</v>
      </c>
      <c r="AT389" t="b">
        <v>0</v>
      </c>
      <c r="AU389" t="b">
        <v>1</v>
      </c>
      <c r="AV389" t="b">
        <v>1</v>
      </c>
      <c r="AW389" t="b">
        <v>1</v>
      </c>
      <c r="BC389" t="str">
        <f t="shared" si="6"/>
        <v>Normal</v>
      </c>
    </row>
    <row r="390" spans="1:55" x14ac:dyDescent="0.2">
      <c r="A390" t="s">
        <v>39</v>
      </c>
      <c r="B390" t="s">
        <v>40</v>
      </c>
      <c r="C390">
        <v>20220101</v>
      </c>
      <c r="D390">
        <v>2022</v>
      </c>
      <c r="E390">
        <v>52</v>
      </c>
      <c r="F390" t="s">
        <v>346</v>
      </c>
      <c r="G390">
        <v>20</v>
      </c>
      <c r="H390" t="s">
        <v>42</v>
      </c>
      <c r="I390" t="s">
        <v>43</v>
      </c>
      <c r="J390" t="s">
        <v>44</v>
      </c>
      <c r="K390" t="s">
        <v>45</v>
      </c>
      <c r="L390">
        <v>0</v>
      </c>
      <c r="M390" t="s">
        <v>46</v>
      </c>
      <c r="N390" t="s">
        <v>47</v>
      </c>
      <c r="O390">
        <v>0</v>
      </c>
      <c r="P390" t="s">
        <v>46</v>
      </c>
      <c r="Q390" t="s">
        <v>47</v>
      </c>
      <c r="R390" t="s">
        <v>347</v>
      </c>
      <c r="S390" t="s">
        <v>49</v>
      </c>
      <c r="T390" t="b">
        <v>1</v>
      </c>
      <c r="U390" t="s">
        <v>50</v>
      </c>
      <c r="V390" t="s">
        <v>51</v>
      </c>
      <c r="W390">
        <v>4</v>
      </c>
      <c r="X390" t="b">
        <v>0</v>
      </c>
      <c r="Y390" t="s">
        <v>52</v>
      </c>
      <c r="Z390" t="s">
        <v>53</v>
      </c>
      <c r="AA390" t="s">
        <v>54</v>
      </c>
      <c r="AB390">
        <v>0</v>
      </c>
      <c r="AC390" t="s">
        <v>55</v>
      </c>
      <c r="AD390">
        <v>8</v>
      </c>
      <c r="AE390" t="s">
        <v>56</v>
      </c>
      <c r="AF390">
        <v>97.21</v>
      </c>
      <c r="AG390" t="b">
        <v>0</v>
      </c>
      <c r="AH390">
        <v>8</v>
      </c>
      <c r="AI390" t="s">
        <v>56</v>
      </c>
      <c r="AJ390">
        <v>97.21</v>
      </c>
      <c r="AK390" t="b">
        <v>0</v>
      </c>
      <c r="AL390">
        <v>97.21</v>
      </c>
      <c r="AM390" t="b">
        <v>0</v>
      </c>
      <c r="AN390">
        <v>0</v>
      </c>
      <c r="AO390" t="b">
        <v>0</v>
      </c>
      <c r="AQ390">
        <v>4988183.466</v>
      </c>
      <c r="AR390">
        <v>4988183.466</v>
      </c>
      <c r="AS390">
        <v>0</v>
      </c>
      <c r="AT390" t="b">
        <v>0</v>
      </c>
      <c r="AU390" t="b">
        <v>1</v>
      </c>
      <c r="AV390" t="b">
        <v>1</v>
      </c>
      <c r="AW390" t="b">
        <v>1</v>
      </c>
      <c r="BC390" t="str">
        <f t="shared" si="6"/>
        <v>Normal</v>
      </c>
    </row>
    <row r="391" spans="1:55" x14ac:dyDescent="0.2">
      <c r="A391" t="s">
        <v>39</v>
      </c>
      <c r="B391" t="s">
        <v>40</v>
      </c>
      <c r="C391">
        <v>20220101</v>
      </c>
      <c r="D391">
        <v>2022</v>
      </c>
      <c r="E391">
        <v>52</v>
      </c>
      <c r="F391" t="s">
        <v>346</v>
      </c>
      <c r="G391">
        <v>24</v>
      </c>
      <c r="H391" t="s">
        <v>334</v>
      </c>
      <c r="I391" t="s">
        <v>335</v>
      </c>
      <c r="J391" t="s">
        <v>44</v>
      </c>
      <c r="K391" t="s">
        <v>45</v>
      </c>
      <c r="L391">
        <v>0</v>
      </c>
      <c r="M391" t="s">
        <v>46</v>
      </c>
      <c r="N391" t="s">
        <v>47</v>
      </c>
      <c r="O391">
        <v>0</v>
      </c>
      <c r="P391" t="s">
        <v>46</v>
      </c>
      <c r="Q391" t="s">
        <v>47</v>
      </c>
      <c r="R391" t="s">
        <v>48</v>
      </c>
      <c r="S391" t="s">
        <v>49</v>
      </c>
      <c r="T391" t="b">
        <v>1</v>
      </c>
      <c r="U391" t="s">
        <v>50</v>
      </c>
      <c r="V391" t="s">
        <v>51</v>
      </c>
      <c r="W391">
        <v>4</v>
      </c>
      <c r="X391" t="b">
        <v>0</v>
      </c>
      <c r="Y391" t="s">
        <v>52</v>
      </c>
      <c r="Z391" t="s">
        <v>53</v>
      </c>
      <c r="AA391" t="s">
        <v>54</v>
      </c>
      <c r="AB391">
        <v>0</v>
      </c>
      <c r="AC391" t="s">
        <v>55</v>
      </c>
      <c r="AD391">
        <v>-1</v>
      </c>
      <c r="AE391" t="s">
        <v>64</v>
      </c>
      <c r="AF391">
        <v>0</v>
      </c>
      <c r="AG391" t="b">
        <v>0</v>
      </c>
      <c r="AH391">
        <v>-1</v>
      </c>
      <c r="AI391" t="s">
        <v>64</v>
      </c>
      <c r="AJ391">
        <v>0</v>
      </c>
      <c r="AK391" t="b">
        <v>0</v>
      </c>
      <c r="AM391" t="b">
        <v>0</v>
      </c>
      <c r="AN391">
        <v>0</v>
      </c>
      <c r="AO391" t="b">
        <v>0</v>
      </c>
      <c r="AQ391">
        <v>5735824.5870000003</v>
      </c>
      <c r="AR391">
        <v>5735824.5870000003</v>
      </c>
      <c r="AS391">
        <v>0</v>
      </c>
      <c r="AT391" t="b">
        <v>0</v>
      </c>
      <c r="AU391" t="b">
        <v>1</v>
      </c>
      <c r="AV391" t="b">
        <v>1</v>
      </c>
      <c r="AW391" t="b">
        <v>1</v>
      </c>
      <c r="BC391" t="str">
        <f t="shared" si="6"/>
        <v>Normal</v>
      </c>
    </row>
    <row r="392" spans="1:55" x14ac:dyDescent="0.2">
      <c r="A392" t="s">
        <v>39</v>
      </c>
      <c r="B392" t="s">
        <v>40</v>
      </c>
      <c r="C392">
        <v>20220101</v>
      </c>
      <c r="D392">
        <v>2022</v>
      </c>
      <c r="E392">
        <v>52</v>
      </c>
      <c r="F392" t="s">
        <v>346</v>
      </c>
      <c r="G392">
        <v>31</v>
      </c>
      <c r="H392" t="s">
        <v>57</v>
      </c>
      <c r="I392" t="s">
        <v>58</v>
      </c>
      <c r="J392" t="s">
        <v>44</v>
      </c>
      <c r="K392" t="s">
        <v>45</v>
      </c>
      <c r="L392">
        <v>0</v>
      </c>
      <c r="M392" t="s">
        <v>46</v>
      </c>
      <c r="N392" t="s">
        <v>47</v>
      </c>
      <c r="O392">
        <v>0</v>
      </c>
      <c r="P392" t="s">
        <v>46</v>
      </c>
      <c r="Q392" t="s">
        <v>47</v>
      </c>
      <c r="R392" t="s">
        <v>347</v>
      </c>
      <c r="S392" t="s">
        <v>49</v>
      </c>
      <c r="T392" t="b">
        <v>1</v>
      </c>
      <c r="U392" t="s">
        <v>50</v>
      </c>
      <c r="V392" t="s">
        <v>51</v>
      </c>
      <c r="W392">
        <v>4</v>
      </c>
      <c r="X392" t="b">
        <v>0</v>
      </c>
      <c r="Y392" t="s">
        <v>52</v>
      </c>
      <c r="Z392" t="s">
        <v>53</v>
      </c>
      <c r="AA392" t="s">
        <v>54</v>
      </c>
      <c r="AB392">
        <v>0</v>
      </c>
      <c r="AC392" t="s">
        <v>55</v>
      </c>
      <c r="AD392">
        <v>8</v>
      </c>
      <c r="AE392" t="s">
        <v>56</v>
      </c>
      <c r="AF392">
        <v>5489.05</v>
      </c>
      <c r="AG392" t="b">
        <v>0</v>
      </c>
      <c r="AH392">
        <v>15</v>
      </c>
      <c r="AI392" t="s">
        <v>59</v>
      </c>
      <c r="AJ392">
        <v>5489050</v>
      </c>
      <c r="AK392" t="b">
        <v>0</v>
      </c>
      <c r="AL392">
        <v>5489.05</v>
      </c>
      <c r="AM392" t="b">
        <v>0</v>
      </c>
      <c r="AN392">
        <v>0</v>
      </c>
      <c r="AO392" t="b">
        <v>0</v>
      </c>
      <c r="AQ392">
        <v>185624742.63999999</v>
      </c>
      <c r="AR392">
        <v>185624742.63999999</v>
      </c>
      <c r="AS392">
        <v>0</v>
      </c>
      <c r="AT392" t="b">
        <v>0</v>
      </c>
      <c r="AU392" t="b">
        <v>1</v>
      </c>
      <c r="AV392" t="b">
        <v>1</v>
      </c>
      <c r="AW392" t="b">
        <v>1</v>
      </c>
      <c r="BC392" t="str">
        <f t="shared" si="6"/>
        <v>Normal</v>
      </c>
    </row>
    <row r="393" spans="1:55" x14ac:dyDescent="0.2">
      <c r="A393" t="s">
        <v>39</v>
      </c>
      <c r="B393" t="s">
        <v>40</v>
      </c>
      <c r="C393">
        <v>20220101</v>
      </c>
      <c r="D393">
        <v>2022</v>
      </c>
      <c r="E393">
        <v>52</v>
      </c>
      <c r="F393" t="s">
        <v>346</v>
      </c>
      <c r="G393">
        <v>32</v>
      </c>
      <c r="H393" t="s">
        <v>60</v>
      </c>
      <c r="I393" t="s">
        <v>61</v>
      </c>
      <c r="J393" t="s">
        <v>44</v>
      </c>
      <c r="K393" t="s">
        <v>45</v>
      </c>
      <c r="L393">
        <v>0</v>
      </c>
      <c r="M393" t="s">
        <v>46</v>
      </c>
      <c r="N393" t="s">
        <v>47</v>
      </c>
      <c r="O393">
        <v>0</v>
      </c>
      <c r="P393" t="s">
        <v>46</v>
      </c>
      <c r="Q393" t="s">
        <v>47</v>
      </c>
      <c r="R393" t="s">
        <v>48</v>
      </c>
      <c r="S393" t="s">
        <v>49</v>
      </c>
      <c r="T393" t="b">
        <v>1</v>
      </c>
      <c r="U393" t="s">
        <v>50</v>
      </c>
      <c r="V393" t="s">
        <v>51</v>
      </c>
      <c r="W393">
        <v>4</v>
      </c>
      <c r="X393" t="b">
        <v>0</v>
      </c>
      <c r="Y393" t="s">
        <v>52</v>
      </c>
      <c r="Z393" t="s">
        <v>53</v>
      </c>
      <c r="AA393" t="s">
        <v>54</v>
      </c>
      <c r="AB393">
        <v>0</v>
      </c>
      <c r="AC393" t="s">
        <v>55</v>
      </c>
      <c r="AD393">
        <v>8</v>
      </c>
      <c r="AE393" t="s">
        <v>56</v>
      </c>
      <c r="AF393">
        <v>167338.29999999999</v>
      </c>
      <c r="AG393" t="b">
        <v>0</v>
      </c>
      <c r="AH393">
        <v>8</v>
      </c>
      <c r="AI393" t="s">
        <v>56</v>
      </c>
      <c r="AJ393">
        <v>167338.29999999999</v>
      </c>
      <c r="AK393" t="b">
        <v>0</v>
      </c>
      <c r="AL393" s="1">
        <v>167338.29999999999</v>
      </c>
      <c r="AM393" t="b">
        <v>0</v>
      </c>
      <c r="AN393">
        <v>0</v>
      </c>
      <c r="AO393" t="b">
        <v>0</v>
      </c>
      <c r="AQ393">
        <v>960206836.86000001</v>
      </c>
      <c r="AR393">
        <v>960206836.86000001</v>
      </c>
      <c r="AS393">
        <v>0</v>
      </c>
      <c r="AT393" t="b">
        <v>0</v>
      </c>
      <c r="AU393" t="b">
        <v>1</v>
      </c>
      <c r="AV393" t="b">
        <v>1</v>
      </c>
      <c r="AW393" t="b">
        <v>1</v>
      </c>
      <c r="BC393" t="str">
        <f t="shared" si="6"/>
        <v>Outlier</v>
      </c>
    </row>
    <row r="394" spans="1:55" x14ac:dyDescent="0.2">
      <c r="A394" t="s">
        <v>39</v>
      </c>
      <c r="B394" t="s">
        <v>40</v>
      </c>
      <c r="C394">
        <v>20220101</v>
      </c>
      <c r="D394">
        <v>2022</v>
      </c>
      <c r="E394">
        <v>52</v>
      </c>
      <c r="F394" t="s">
        <v>346</v>
      </c>
      <c r="G394">
        <v>36</v>
      </c>
      <c r="H394" t="s">
        <v>62</v>
      </c>
      <c r="I394" t="s">
        <v>63</v>
      </c>
      <c r="J394" t="s">
        <v>44</v>
      </c>
      <c r="K394" t="s">
        <v>45</v>
      </c>
      <c r="L394">
        <v>0</v>
      </c>
      <c r="M394" t="s">
        <v>46</v>
      </c>
      <c r="N394" t="s">
        <v>47</v>
      </c>
      <c r="O394">
        <v>0</v>
      </c>
      <c r="P394" t="s">
        <v>46</v>
      </c>
      <c r="Q394" t="s">
        <v>47</v>
      </c>
      <c r="R394" t="s">
        <v>347</v>
      </c>
      <c r="S394" t="s">
        <v>49</v>
      </c>
      <c r="T394" t="b">
        <v>1</v>
      </c>
      <c r="U394" t="s">
        <v>50</v>
      </c>
      <c r="V394" t="s">
        <v>51</v>
      </c>
      <c r="W394">
        <v>4</v>
      </c>
      <c r="X394" t="b">
        <v>0</v>
      </c>
      <c r="Y394" t="s">
        <v>52</v>
      </c>
      <c r="Z394" t="s">
        <v>53</v>
      </c>
      <c r="AA394" t="s">
        <v>54</v>
      </c>
      <c r="AB394">
        <v>0</v>
      </c>
      <c r="AC394" t="s">
        <v>55</v>
      </c>
      <c r="AD394">
        <v>-1</v>
      </c>
      <c r="AE394" t="s">
        <v>64</v>
      </c>
      <c r="AF394">
        <v>0</v>
      </c>
      <c r="AG394" t="b">
        <v>0</v>
      </c>
      <c r="AH394">
        <v>-1</v>
      </c>
      <c r="AI394" t="s">
        <v>64</v>
      </c>
      <c r="AJ394">
        <v>0</v>
      </c>
      <c r="AK394" t="b">
        <v>0</v>
      </c>
      <c r="AM394" t="b">
        <v>0</v>
      </c>
      <c r="AN394">
        <v>404024.74300000002</v>
      </c>
      <c r="AO394" t="b">
        <v>0</v>
      </c>
      <c r="AQ394">
        <v>16305297662.559999</v>
      </c>
      <c r="AR394">
        <v>16305297662.559999</v>
      </c>
      <c r="AS394">
        <v>0</v>
      </c>
      <c r="AT394" t="b">
        <v>0</v>
      </c>
      <c r="AU394" t="b">
        <v>1</v>
      </c>
      <c r="AV394" t="b">
        <v>1</v>
      </c>
      <c r="AW394" t="b">
        <v>1</v>
      </c>
      <c r="BC394" t="str">
        <f t="shared" si="6"/>
        <v>Normal</v>
      </c>
    </row>
    <row r="395" spans="1:55" x14ac:dyDescent="0.2">
      <c r="A395" t="s">
        <v>39</v>
      </c>
      <c r="B395" t="s">
        <v>40</v>
      </c>
      <c r="C395">
        <v>20220101</v>
      </c>
      <c r="D395">
        <v>2022</v>
      </c>
      <c r="E395">
        <v>52</v>
      </c>
      <c r="F395" t="s">
        <v>346</v>
      </c>
      <c r="G395">
        <v>40</v>
      </c>
      <c r="H395" t="s">
        <v>65</v>
      </c>
      <c r="I395" t="s">
        <v>66</v>
      </c>
      <c r="J395" t="s">
        <v>44</v>
      </c>
      <c r="K395" t="s">
        <v>45</v>
      </c>
      <c r="L395">
        <v>0</v>
      </c>
      <c r="M395" t="s">
        <v>46</v>
      </c>
      <c r="N395" t="s">
        <v>47</v>
      </c>
      <c r="O395">
        <v>0</v>
      </c>
      <c r="P395" t="s">
        <v>46</v>
      </c>
      <c r="Q395" t="s">
        <v>47</v>
      </c>
      <c r="R395" t="s">
        <v>347</v>
      </c>
      <c r="S395" t="s">
        <v>49</v>
      </c>
      <c r="T395" t="b">
        <v>1</v>
      </c>
      <c r="U395" t="s">
        <v>50</v>
      </c>
      <c r="V395" t="s">
        <v>51</v>
      </c>
      <c r="W395">
        <v>4</v>
      </c>
      <c r="X395" t="b">
        <v>0</v>
      </c>
      <c r="Y395" t="s">
        <v>52</v>
      </c>
      <c r="Z395" t="s">
        <v>53</v>
      </c>
      <c r="AA395" t="s">
        <v>54</v>
      </c>
      <c r="AB395">
        <v>0</v>
      </c>
      <c r="AC395" t="s">
        <v>55</v>
      </c>
      <c r="AD395">
        <v>8</v>
      </c>
      <c r="AE395" t="s">
        <v>56</v>
      </c>
      <c r="AF395">
        <v>45391.247000000003</v>
      </c>
      <c r="AG395" t="b">
        <v>1</v>
      </c>
      <c r="AH395">
        <v>-1</v>
      </c>
      <c r="AI395" t="s">
        <v>64</v>
      </c>
      <c r="AJ395">
        <v>0</v>
      </c>
      <c r="AK395" t="b">
        <v>0</v>
      </c>
      <c r="AL395">
        <v>45391.247000000003</v>
      </c>
      <c r="AM395" t="b">
        <v>1</v>
      </c>
      <c r="AN395">
        <v>0</v>
      </c>
      <c r="AO395" t="b">
        <v>0</v>
      </c>
      <c r="AQ395">
        <v>2589282752.0760002</v>
      </c>
      <c r="AR395">
        <v>2589282752.0760002</v>
      </c>
      <c r="AS395">
        <v>6</v>
      </c>
      <c r="AT395" t="b">
        <v>0</v>
      </c>
      <c r="AU395" t="b">
        <v>1</v>
      </c>
      <c r="AV395" t="b">
        <v>1</v>
      </c>
      <c r="AW395" t="b">
        <v>1</v>
      </c>
      <c r="BC395" t="str">
        <f t="shared" si="6"/>
        <v>Normal</v>
      </c>
    </row>
    <row r="396" spans="1:55" x14ac:dyDescent="0.2">
      <c r="A396" t="s">
        <v>39</v>
      </c>
      <c r="B396" t="s">
        <v>40</v>
      </c>
      <c r="C396">
        <v>20220101</v>
      </c>
      <c r="D396">
        <v>2022</v>
      </c>
      <c r="E396">
        <v>52</v>
      </c>
      <c r="F396" t="s">
        <v>346</v>
      </c>
      <c r="G396">
        <v>44</v>
      </c>
      <c r="H396" t="s">
        <v>348</v>
      </c>
      <c r="I396" t="s">
        <v>349</v>
      </c>
      <c r="J396" t="s">
        <v>44</v>
      </c>
      <c r="K396" t="s">
        <v>45</v>
      </c>
      <c r="L396">
        <v>0</v>
      </c>
      <c r="M396" t="s">
        <v>46</v>
      </c>
      <c r="N396" t="s">
        <v>47</v>
      </c>
      <c r="O396">
        <v>0</v>
      </c>
      <c r="P396" t="s">
        <v>46</v>
      </c>
      <c r="Q396" t="s">
        <v>47</v>
      </c>
      <c r="R396" t="s">
        <v>48</v>
      </c>
      <c r="S396" t="s">
        <v>49</v>
      </c>
      <c r="T396" t="b">
        <v>1</v>
      </c>
      <c r="U396" t="s">
        <v>50</v>
      </c>
      <c r="V396" t="s">
        <v>51</v>
      </c>
      <c r="W396">
        <v>4</v>
      </c>
      <c r="X396" t="b">
        <v>0</v>
      </c>
      <c r="Y396" t="s">
        <v>52</v>
      </c>
      <c r="Z396" t="s">
        <v>53</v>
      </c>
      <c r="AA396" t="s">
        <v>54</v>
      </c>
      <c r="AB396">
        <v>0</v>
      </c>
      <c r="AC396" t="s">
        <v>55</v>
      </c>
      <c r="AD396">
        <v>8</v>
      </c>
      <c r="AE396" t="s">
        <v>56</v>
      </c>
      <c r="AF396">
        <v>2.2679999999999998</v>
      </c>
      <c r="AG396" t="b">
        <v>0</v>
      </c>
      <c r="AH396">
        <v>8</v>
      </c>
      <c r="AI396" t="s">
        <v>56</v>
      </c>
      <c r="AJ396">
        <v>2.2679999999999998</v>
      </c>
      <c r="AK396" t="b">
        <v>0</v>
      </c>
      <c r="AL396">
        <v>2.2679999999999998</v>
      </c>
      <c r="AM396" t="b">
        <v>0</v>
      </c>
      <c r="AN396">
        <v>0</v>
      </c>
      <c r="AO396" t="b">
        <v>0</v>
      </c>
      <c r="AQ396">
        <v>8514</v>
      </c>
      <c r="AR396">
        <v>8514</v>
      </c>
      <c r="AS396">
        <v>0</v>
      </c>
      <c r="AT396" t="b">
        <v>0</v>
      </c>
      <c r="AU396" t="b">
        <v>1</v>
      </c>
      <c r="AV396" t="b">
        <v>1</v>
      </c>
      <c r="AW396" t="b">
        <v>1</v>
      </c>
      <c r="BC396" t="str">
        <f t="shared" si="6"/>
        <v>Normal</v>
      </c>
    </row>
    <row r="397" spans="1:55" x14ac:dyDescent="0.2">
      <c r="A397" t="s">
        <v>39</v>
      </c>
      <c r="B397" t="s">
        <v>40</v>
      </c>
      <c r="C397">
        <v>20220101</v>
      </c>
      <c r="D397">
        <v>2022</v>
      </c>
      <c r="E397">
        <v>52</v>
      </c>
      <c r="F397" t="s">
        <v>346</v>
      </c>
      <c r="G397">
        <v>48</v>
      </c>
      <c r="H397" t="s">
        <v>67</v>
      </c>
      <c r="I397" t="s">
        <v>68</v>
      </c>
      <c r="J397" t="s">
        <v>44</v>
      </c>
      <c r="K397" t="s">
        <v>45</v>
      </c>
      <c r="L397">
        <v>0</v>
      </c>
      <c r="M397" t="s">
        <v>46</v>
      </c>
      <c r="N397" t="s">
        <v>47</v>
      </c>
      <c r="O397">
        <v>0</v>
      </c>
      <c r="P397" t="s">
        <v>46</v>
      </c>
      <c r="Q397" t="s">
        <v>47</v>
      </c>
      <c r="R397" t="s">
        <v>347</v>
      </c>
      <c r="S397" t="s">
        <v>49</v>
      </c>
      <c r="T397" t="b">
        <v>1</v>
      </c>
      <c r="U397" t="s">
        <v>50</v>
      </c>
      <c r="V397" t="s">
        <v>51</v>
      </c>
      <c r="W397">
        <v>4</v>
      </c>
      <c r="X397" t="b">
        <v>0</v>
      </c>
      <c r="Y397" t="s">
        <v>52</v>
      </c>
      <c r="Z397" t="s">
        <v>53</v>
      </c>
      <c r="AA397" t="s">
        <v>54</v>
      </c>
      <c r="AB397">
        <v>0</v>
      </c>
      <c r="AC397" t="s">
        <v>55</v>
      </c>
      <c r="AD397">
        <v>8</v>
      </c>
      <c r="AE397" t="s">
        <v>56</v>
      </c>
      <c r="AF397">
        <v>1606.7629999999999</v>
      </c>
      <c r="AG397" t="b">
        <v>0</v>
      </c>
      <c r="AH397">
        <v>15</v>
      </c>
      <c r="AI397" t="s">
        <v>59</v>
      </c>
      <c r="AJ397">
        <v>1606762.64</v>
      </c>
      <c r="AK397" t="b">
        <v>0</v>
      </c>
      <c r="AL397">
        <v>1606.17</v>
      </c>
      <c r="AM397" t="b">
        <v>0</v>
      </c>
      <c r="AN397">
        <v>0</v>
      </c>
      <c r="AO397" t="b">
        <v>0</v>
      </c>
      <c r="AQ397">
        <v>90480664.777999997</v>
      </c>
      <c r="AR397">
        <v>90480664.777999997</v>
      </c>
      <c r="AS397">
        <v>0</v>
      </c>
      <c r="AT397" t="b">
        <v>0</v>
      </c>
      <c r="AU397" t="b">
        <v>1</v>
      </c>
      <c r="AV397" t="b">
        <v>1</v>
      </c>
      <c r="AW397" t="b">
        <v>1</v>
      </c>
      <c r="BC397" t="str">
        <f t="shared" si="6"/>
        <v>Normal</v>
      </c>
    </row>
    <row r="398" spans="1:55" x14ac:dyDescent="0.2">
      <c r="A398" t="s">
        <v>39</v>
      </c>
      <c r="B398" t="s">
        <v>40</v>
      </c>
      <c r="C398">
        <v>20220101</v>
      </c>
      <c r="D398">
        <v>2022</v>
      </c>
      <c r="E398">
        <v>52</v>
      </c>
      <c r="F398" t="s">
        <v>346</v>
      </c>
      <c r="G398">
        <v>51</v>
      </c>
      <c r="H398" t="s">
        <v>69</v>
      </c>
      <c r="I398" t="s">
        <v>70</v>
      </c>
      <c r="J398" t="s">
        <v>44</v>
      </c>
      <c r="K398" t="s">
        <v>45</v>
      </c>
      <c r="L398">
        <v>0</v>
      </c>
      <c r="M398" t="s">
        <v>46</v>
      </c>
      <c r="N398" t="s">
        <v>47</v>
      </c>
      <c r="O398">
        <v>0</v>
      </c>
      <c r="P398" t="s">
        <v>46</v>
      </c>
      <c r="Q398" t="s">
        <v>47</v>
      </c>
      <c r="R398" t="s">
        <v>347</v>
      </c>
      <c r="S398" t="s">
        <v>49</v>
      </c>
      <c r="T398" t="b">
        <v>1</v>
      </c>
      <c r="U398" t="s">
        <v>50</v>
      </c>
      <c r="V398" t="s">
        <v>51</v>
      </c>
      <c r="W398">
        <v>4</v>
      </c>
      <c r="X398" t="b">
        <v>0</v>
      </c>
      <c r="Y398" t="s">
        <v>52</v>
      </c>
      <c r="Z398" t="s">
        <v>53</v>
      </c>
      <c r="AA398" t="s">
        <v>54</v>
      </c>
      <c r="AB398">
        <v>0</v>
      </c>
      <c r="AC398" t="s">
        <v>55</v>
      </c>
      <c r="AD398">
        <v>8</v>
      </c>
      <c r="AE398" t="s">
        <v>56</v>
      </c>
      <c r="AF398">
        <v>8979.59</v>
      </c>
      <c r="AG398" t="b">
        <v>0</v>
      </c>
      <c r="AH398">
        <v>15</v>
      </c>
      <c r="AI398" t="s">
        <v>59</v>
      </c>
      <c r="AJ398">
        <v>8979589.7599999998</v>
      </c>
      <c r="AK398" t="b">
        <v>0</v>
      </c>
      <c r="AL398">
        <v>9184.4570000000003</v>
      </c>
      <c r="AM398" t="b">
        <v>0</v>
      </c>
      <c r="AN398">
        <v>0</v>
      </c>
      <c r="AO398" t="b">
        <v>0</v>
      </c>
      <c r="AQ398">
        <v>414205978.31</v>
      </c>
      <c r="AR398">
        <v>414205978.31</v>
      </c>
      <c r="AS398">
        <v>0</v>
      </c>
      <c r="AT398" t="b">
        <v>0</v>
      </c>
      <c r="AU398" t="b">
        <v>1</v>
      </c>
      <c r="AV398" t="b">
        <v>1</v>
      </c>
      <c r="AW398" t="b">
        <v>1</v>
      </c>
      <c r="BC398" t="str">
        <f t="shared" si="6"/>
        <v>Normal</v>
      </c>
    </row>
    <row r="399" spans="1:55" x14ac:dyDescent="0.2">
      <c r="A399" t="s">
        <v>39</v>
      </c>
      <c r="B399" t="s">
        <v>40</v>
      </c>
      <c r="C399">
        <v>20220101</v>
      </c>
      <c r="D399">
        <v>2022</v>
      </c>
      <c r="E399">
        <v>52</v>
      </c>
      <c r="F399" t="s">
        <v>346</v>
      </c>
      <c r="G399">
        <v>52</v>
      </c>
      <c r="H399" t="s">
        <v>71</v>
      </c>
      <c r="I399" t="s">
        <v>72</v>
      </c>
      <c r="J399" t="s">
        <v>44</v>
      </c>
      <c r="K399" t="s">
        <v>45</v>
      </c>
      <c r="L399">
        <v>0</v>
      </c>
      <c r="M399" t="s">
        <v>46</v>
      </c>
      <c r="N399" t="s">
        <v>47</v>
      </c>
      <c r="O399">
        <v>0</v>
      </c>
      <c r="P399" t="s">
        <v>46</v>
      </c>
      <c r="Q399" t="s">
        <v>47</v>
      </c>
      <c r="R399" t="s">
        <v>48</v>
      </c>
      <c r="S399" t="s">
        <v>49</v>
      </c>
      <c r="T399" t="b">
        <v>1</v>
      </c>
      <c r="U399" t="s">
        <v>50</v>
      </c>
      <c r="V399" t="s">
        <v>51</v>
      </c>
      <c r="W399">
        <v>4</v>
      </c>
      <c r="X399" t="b">
        <v>0</v>
      </c>
      <c r="Y399" t="s">
        <v>52</v>
      </c>
      <c r="Z399" t="s">
        <v>53</v>
      </c>
      <c r="AA399" t="s">
        <v>54</v>
      </c>
      <c r="AB399">
        <v>0</v>
      </c>
      <c r="AC399" t="s">
        <v>55</v>
      </c>
      <c r="AD399">
        <v>8</v>
      </c>
      <c r="AE399" t="s">
        <v>56</v>
      </c>
      <c r="AF399">
        <v>23</v>
      </c>
      <c r="AG399" t="b">
        <v>0</v>
      </c>
      <c r="AH399">
        <v>8</v>
      </c>
      <c r="AI399" t="s">
        <v>56</v>
      </c>
      <c r="AJ399">
        <v>23</v>
      </c>
      <c r="AK399" t="b">
        <v>0</v>
      </c>
      <c r="AL399">
        <v>23</v>
      </c>
      <c r="AM399" t="b">
        <v>0</v>
      </c>
      <c r="AN399">
        <v>0</v>
      </c>
      <c r="AO399" t="b">
        <v>0</v>
      </c>
      <c r="AQ399">
        <v>636401.5</v>
      </c>
      <c r="AR399">
        <v>636401.5</v>
      </c>
      <c r="AS399">
        <v>0</v>
      </c>
      <c r="AT399" t="b">
        <v>0</v>
      </c>
      <c r="AU399" t="b">
        <v>1</v>
      </c>
      <c r="AV399" t="b">
        <v>1</v>
      </c>
      <c r="AW399" t="b">
        <v>1</v>
      </c>
      <c r="BC399" t="str">
        <f t="shared" si="6"/>
        <v>Normal</v>
      </c>
    </row>
    <row r="400" spans="1:55" x14ac:dyDescent="0.2">
      <c r="A400" t="s">
        <v>39</v>
      </c>
      <c r="B400" t="s">
        <v>40</v>
      </c>
      <c r="C400">
        <v>20220101</v>
      </c>
      <c r="D400">
        <v>2022</v>
      </c>
      <c r="E400">
        <v>52</v>
      </c>
      <c r="F400" t="s">
        <v>346</v>
      </c>
      <c r="G400">
        <v>56</v>
      </c>
      <c r="H400" t="s">
        <v>73</v>
      </c>
      <c r="I400" t="s">
        <v>74</v>
      </c>
      <c r="J400" t="s">
        <v>44</v>
      </c>
      <c r="K400" t="s">
        <v>45</v>
      </c>
      <c r="L400">
        <v>0</v>
      </c>
      <c r="M400" t="s">
        <v>46</v>
      </c>
      <c r="N400" t="s">
        <v>47</v>
      </c>
      <c r="O400">
        <v>0</v>
      </c>
      <c r="P400" t="s">
        <v>46</v>
      </c>
      <c r="Q400" t="s">
        <v>47</v>
      </c>
      <c r="R400" t="s">
        <v>347</v>
      </c>
      <c r="S400" t="s">
        <v>49</v>
      </c>
      <c r="T400" t="b">
        <v>1</v>
      </c>
      <c r="U400" t="s">
        <v>50</v>
      </c>
      <c r="V400" t="s">
        <v>51</v>
      </c>
      <c r="W400">
        <v>4</v>
      </c>
      <c r="X400" t="b">
        <v>0</v>
      </c>
      <c r="Y400" t="s">
        <v>52</v>
      </c>
      <c r="Z400" t="s">
        <v>53</v>
      </c>
      <c r="AA400" t="s">
        <v>54</v>
      </c>
      <c r="AB400">
        <v>0</v>
      </c>
      <c r="AC400" t="s">
        <v>55</v>
      </c>
      <c r="AD400">
        <v>-1</v>
      </c>
      <c r="AE400" t="s">
        <v>64</v>
      </c>
      <c r="AF400">
        <v>0</v>
      </c>
      <c r="AG400" t="b">
        <v>0</v>
      </c>
      <c r="AH400">
        <v>-1</v>
      </c>
      <c r="AI400" t="s">
        <v>64</v>
      </c>
      <c r="AJ400">
        <v>0</v>
      </c>
      <c r="AK400" t="b">
        <v>0</v>
      </c>
      <c r="AM400" t="b">
        <v>0</v>
      </c>
      <c r="AN400">
        <v>0</v>
      </c>
      <c r="AO400" t="b">
        <v>0</v>
      </c>
      <c r="AQ400">
        <v>1230529762.2679999</v>
      </c>
      <c r="AR400">
        <v>1230529762.2679999</v>
      </c>
      <c r="AS400">
        <v>0</v>
      </c>
      <c r="AT400" t="b">
        <v>0</v>
      </c>
      <c r="AU400" t="b">
        <v>1</v>
      </c>
      <c r="AV400" t="b">
        <v>1</v>
      </c>
      <c r="AW400" t="b">
        <v>1</v>
      </c>
      <c r="BC400" t="str">
        <f t="shared" si="6"/>
        <v>Normal</v>
      </c>
    </row>
    <row r="401" spans="1:55" x14ac:dyDescent="0.2">
      <c r="A401" t="s">
        <v>39</v>
      </c>
      <c r="B401" t="s">
        <v>40</v>
      </c>
      <c r="C401">
        <v>20220101</v>
      </c>
      <c r="D401">
        <v>2022</v>
      </c>
      <c r="E401">
        <v>52</v>
      </c>
      <c r="F401" t="s">
        <v>346</v>
      </c>
      <c r="G401">
        <v>68</v>
      </c>
      <c r="H401" t="s">
        <v>75</v>
      </c>
      <c r="I401" t="s">
        <v>76</v>
      </c>
      <c r="J401" t="s">
        <v>44</v>
      </c>
      <c r="K401" t="s">
        <v>45</v>
      </c>
      <c r="L401">
        <v>0</v>
      </c>
      <c r="M401" t="s">
        <v>46</v>
      </c>
      <c r="N401" t="s">
        <v>47</v>
      </c>
      <c r="O401">
        <v>0</v>
      </c>
      <c r="P401" t="s">
        <v>46</v>
      </c>
      <c r="Q401" t="s">
        <v>47</v>
      </c>
      <c r="R401" t="s">
        <v>347</v>
      </c>
      <c r="S401" t="s">
        <v>49</v>
      </c>
      <c r="T401" t="b">
        <v>1</v>
      </c>
      <c r="U401" t="s">
        <v>50</v>
      </c>
      <c r="V401" t="s">
        <v>51</v>
      </c>
      <c r="W401">
        <v>4</v>
      </c>
      <c r="X401" t="b">
        <v>0</v>
      </c>
      <c r="Y401" t="s">
        <v>52</v>
      </c>
      <c r="Z401" t="s">
        <v>53</v>
      </c>
      <c r="AA401" t="s">
        <v>54</v>
      </c>
      <c r="AB401">
        <v>0</v>
      </c>
      <c r="AC401" t="s">
        <v>55</v>
      </c>
      <c r="AD401">
        <v>8</v>
      </c>
      <c r="AE401" t="s">
        <v>56</v>
      </c>
      <c r="AF401">
        <v>64434.07</v>
      </c>
      <c r="AG401" t="b">
        <v>0</v>
      </c>
      <c r="AH401">
        <v>8</v>
      </c>
      <c r="AI401" t="s">
        <v>56</v>
      </c>
      <c r="AJ401">
        <v>64434.07</v>
      </c>
      <c r="AK401" t="b">
        <v>0</v>
      </c>
      <c r="AL401">
        <v>64434.07</v>
      </c>
      <c r="AM401" t="b">
        <v>0</v>
      </c>
      <c r="AN401">
        <v>69320.03</v>
      </c>
      <c r="AO401" t="b">
        <v>0</v>
      </c>
      <c r="AQ401">
        <v>3003218538.8099999</v>
      </c>
      <c r="AR401">
        <v>3003218538.8099999</v>
      </c>
      <c r="AS401">
        <v>0</v>
      </c>
      <c r="AT401" t="b">
        <v>0</v>
      </c>
      <c r="AU401" t="b">
        <v>1</v>
      </c>
      <c r="AV401" t="b">
        <v>1</v>
      </c>
      <c r="AW401" t="b">
        <v>1</v>
      </c>
      <c r="BC401" t="str">
        <f t="shared" si="6"/>
        <v>Normal</v>
      </c>
    </row>
    <row r="402" spans="1:55" x14ac:dyDescent="0.2">
      <c r="A402" t="s">
        <v>39</v>
      </c>
      <c r="B402" t="s">
        <v>40</v>
      </c>
      <c r="C402">
        <v>20220101</v>
      </c>
      <c r="D402">
        <v>2022</v>
      </c>
      <c r="E402">
        <v>52</v>
      </c>
      <c r="F402" t="s">
        <v>346</v>
      </c>
      <c r="G402">
        <v>70</v>
      </c>
      <c r="H402" t="s">
        <v>77</v>
      </c>
      <c r="I402" t="s">
        <v>78</v>
      </c>
      <c r="J402" t="s">
        <v>44</v>
      </c>
      <c r="K402" t="s">
        <v>45</v>
      </c>
      <c r="L402">
        <v>0</v>
      </c>
      <c r="M402" t="s">
        <v>46</v>
      </c>
      <c r="N402" t="s">
        <v>47</v>
      </c>
      <c r="O402">
        <v>0</v>
      </c>
      <c r="P402" t="s">
        <v>46</v>
      </c>
      <c r="Q402" t="s">
        <v>47</v>
      </c>
      <c r="R402" t="s">
        <v>347</v>
      </c>
      <c r="S402" t="s">
        <v>49</v>
      </c>
      <c r="T402" t="b">
        <v>1</v>
      </c>
      <c r="U402" t="s">
        <v>50</v>
      </c>
      <c r="V402" t="s">
        <v>51</v>
      </c>
      <c r="W402">
        <v>4</v>
      </c>
      <c r="X402" t="b">
        <v>0</v>
      </c>
      <c r="Y402" t="s">
        <v>52</v>
      </c>
      <c r="Z402" t="s">
        <v>53</v>
      </c>
      <c r="AA402" t="s">
        <v>54</v>
      </c>
      <c r="AB402">
        <v>0</v>
      </c>
      <c r="AC402" t="s">
        <v>55</v>
      </c>
      <c r="AD402">
        <v>8</v>
      </c>
      <c r="AE402" t="s">
        <v>56</v>
      </c>
      <c r="AF402">
        <v>19.07</v>
      </c>
      <c r="AG402" t="b">
        <v>0</v>
      </c>
      <c r="AH402">
        <v>8</v>
      </c>
      <c r="AI402" t="s">
        <v>56</v>
      </c>
      <c r="AJ402">
        <v>19.07</v>
      </c>
      <c r="AK402" t="b">
        <v>0</v>
      </c>
      <c r="AL402">
        <v>19.07</v>
      </c>
      <c r="AM402" t="b">
        <v>0</v>
      </c>
      <c r="AN402">
        <v>0</v>
      </c>
      <c r="AO402" t="b">
        <v>0</v>
      </c>
      <c r="AQ402">
        <v>646068.91</v>
      </c>
      <c r="AR402">
        <v>646068.91</v>
      </c>
      <c r="AS402">
        <v>0</v>
      </c>
      <c r="AT402" t="b">
        <v>0</v>
      </c>
      <c r="AU402" t="b">
        <v>1</v>
      </c>
      <c r="AV402" t="b">
        <v>1</v>
      </c>
      <c r="AW402" t="b">
        <v>1</v>
      </c>
      <c r="BC402" t="str">
        <f t="shared" si="6"/>
        <v>Normal</v>
      </c>
    </row>
    <row r="403" spans="1:55" x14ac:dyDescent="0.2">
      <c r="A403" t="s">
        <v>39</v>
      </c>
      <c r="B403" t="s">
        <v>40</v>
      </c>
      <c r="C403">
        <v>20220101</v>
      </c>
      <c r="D403">
        <v>2022</v>
      </c>
      <c r="E403">
        <v>52</v>
      </c>
      <c r="F403" t="s">
        <v>346</v>
      </c>
      <c r="G403">
        <v>72</v>
      </c>
      <c r="H403" t="s">
        <v>79</v>
      </c>
      <c r="I403" t="s">
        <v>80</v>
      </c>
      <c r="J403" t="s">
        <v>44</v>
      </c>
      <c r="K403" t="s">
        <v>45</v>
      </c>
      <c r="L403">
        <v>0</v>
      </c>
      <c r="M403" t="s">
        <v>46</v>
      </c>
      <c r="N403" t="s">
        <v>47</v>
      </c>
      <c r="O403">
        <v>0</v>
      </c>
      <c r="P403" t="s">
        <v>46</v>
      </c>
      <c r="Q403" t="s">
        <v>47</v>
      </c>
      <c r="R403" t="s">
        <v>347</v>
      </c>
      <c r="S403" t="s">
        <v>49</v>
      </c>
      <c r="T403" t="b">
        <v>1</v>
      </c>
      <c r="U403" t="s">
        <v>50</v>
      </c>
      <c r="V403" t="s">
        <v>51</v>
      </c>
      <c r="W403">
        <v>4</v>
      </c>
      <c r="X403" t="b">
        <v>0</v>
      </c>
      <c r="Y403" t="s">
        <v>52</v>
      </c>
      <c r="Z403" t="s">
        <v>53</v>
      </c>
      <c r="AA403" t="s">
        <v>54</v>
      </c>
      <c r="AB403">
        <v>0</v>
      </c>
      <c r="AC403" t="s">
        <v>55</v>
      </c>
      <c r="AD403">
        <v>-1</v>
      </c>
      <c r="AE403" t="s">
        <v>64</v>
      </c>
      <c r="AF403">
        <v>0</v>
      </c>
      <c r="AG403" t="b">
        <v>0</v>
      </c>
      <c r="AH403">
        <v>-1</v>
      </c>
      <c r="AI403" t="s">
        <v>64</v>
      </c>
      <c r="AJ403">
        <v>0</v>
      </c>
      <c r="AK403" t="b">
        <v>0</v>
      </c>
      <c r="AM403" t="b">
        <v>0</v>
      </c>
      <c r="AN403">
        <v>0</v>
      </c>
      <c r="AO403" t="b">
        <v>0</v>
      </c>
      <c r="AQ403">
        <v>25589524.434</v>
      </c>
      <c r="AR403">
        <v>25589524.434</v>
      </c>
      <c r="AS403">
        <v>0</v>
      </c>
      <c r="AT403" t="b">
        <v>0</v>
      </c>
      <c r="AU403" t="b">
        <v>1</v>
      </c>
      <c r="AV403" t="b">
        <v>1</v>
      </c>
      <c r="AW403" t="b">
        <v>1</v>
      </c>
      <c r="BC403" t="str">
        <f t="shared" si="6"/>
        <v>Normal</v>
      </c>
    </row>
    <row r="404" spans="1:55" x14ac:dyDescent="0.2">
      <c r="A404" t="s">
        <v>39</v>
      </c>
      <c r="B404" t="s">
        <v>40</v>
      </c>
      <c r="C404">
        <v>20220101</v>
      </c>
      <c r="D404">
        <v>2022</v>
      </c>
      <c r="E404">
        <v>52</v>
      </c>
      <c r="F404" t="s">
        <v>346</v>
      </c>
      <c r="G404">
        <v>76</v>
      </c>
      <c r="H404" t="s">
        <v>81</v>
      </c>
      <c r="I404" t="s">
        <v>82</v>
      </c>
      <c r="J404" t="s">
        <v>44</v>
      </c>
      <c r="K404" t="s">
        <v>45</v>
      </c>
      <c r="L404">
        <v>0</v>
      </c>
      <c r="M404" t="s">
        <v>46</v>
      </c>
      <c r="N404" t="s">
        <v>47</v>
      </c>
      <c r="O404">
        <v>0</v>
      </c>
      <c r="P404" t="s">
        <v>46</v>
      </c>
      <c r="Q404" t="s">
        <v>47</v>
      </c>
      <c r="R404" t="s">
        <v>347</v>
      </c>
      <c r="S404" t="s">
        <v>49</v>
      </c>
      <c r="T404" t="b">
        <v>1</v>
      </c>
      <c r="U404" t="s">
        <v>50</v>
      </c>
      <c r="V404" t="s">
        <v>51</v>
      </c>
      <c r="W404">
        <v>4</v>
      </c>
      <c r="X404" t="b">
        <v>0</v>
      </c>
      <c r="Y404" t="s">
        <v>52</v>
      </c>
      <c r="Z404" t="s">
        <v>53</v>
      </c>
      <c r="AA404" t="s">
        <v>54</v>
      </c>
      <c r="AB404">
        <v>0</v>
      </c>
      <c r="AC404" t="s">
        <v>55</v>
      </c>
      <c r="AD404">
        <v>-1</v>
      </c>
      <c r="AE404" t="s">
        <v>64</v>
      </c>
      <c r="AF404">
        <v>0</v>
      </c>
      <c r="AG404" t="b">
        <v>0</v>
      </c>
      <c r="AH404">
        <v>-1</v>
      </c>
      <c r="AI404" t="s">
        <v>64</v>
      </c>
      <c r="AJ404">
        <v>0</v>
      </c>
      <c r="AK404" t="b">
        <v>0</v>
      </c>
      <c r="AL404">
        <v>0</v>
      </c>
      <c r="AM404" t="b">
        <v>0</v>
      </c>
      <c r="AN404">
        <v>0</v>
      </c>
      <c r="AO404" t="b">
        <v>0</v>
      </c>
      <c r="AP404">
        <v>0</v>
      </c>
      <c r="AQ404">
        <v>4907612561</v>
      </c>
      <c r="AR404">
        <v>4907612561</v>
      </c>
      <c r="AS404">
        <v>0</v>
      </c>
      <c r="AT404" t="b">
        <v>0</v>
      </c>
      <c r="AU404" t="b">
        <v>1</v>
      </c>
      <c r="AV404" t="b">
        <v>1</v>
      </c>
      <c r="AW404" t="b">
        <v>1</v>
      </c>
      <c r="BC404" t="str">
        <f t="shared" si="6"/>
        <v>Normal</v>
      </c>
    </row>
    <row r="405" spans="1:55" x14ac:dyDescent="0.2">
      <c r="A405" t="s">
        <v>39</v>
      </c>
      <c r="B405" t="s">
        <v>40</v>
      </c>
      <c r="C405">
        <v>20220101</v>
      </c>
      <c r="D405">
        <v>2022</v>
      </c>
      <c r="E405">
        <v>52</v>
      </c>
      <c r="F405" t="s">
        <v>346</v>
      </c>
      <c r="G405">
        <v>96</v>
      </c>
      <c r="H405" t="s">
        <v>313</v>
      </c>
      <c r="I405" t="s">
        <v>314</v>
      </c>
      <c r="J405" t="s">
        <v>44</v>
      </c>
      <c r="K405" t="s">
        <v>45</v>
      </c>
      <c r="L405">
        <v>0</v>
      </c>
      <c r="M405" t="s">
        <v>46</v>
      </c>
      <c r="N405" t="s">
        <v>47</v>
      </c>
      <c r="O405">
        <v>0</v>
      </c>
      <c r="P405" t="s">
        <v>46</v>
      </c>
      <c r="Q405" t="s">
        <v>47</v>
      </c>
      <c r="R405" t="s">
        <v>48</v>
      </c>
      <c r="S405" t="s">
        <v>49</v>
      </c>
      <c r="T405" t="b">
        <v>1</v>
      </c>
      <c r="U405" t="s">
        <v>50</v>
      </c>
      <c r="V405" t="s">
        <v>51</v>
      </c>
      <c r="W405">
        <v>4</v>
      </c>
      <c r="X405" t="b">
        <v>0</v>
      </c>
      <c r="Y405" t="s">
        <v>52</v>
      </c>
      <c r="Z405" t="s">
        <v>53</v>
      </c>
      <c r="AA405" t="s">
        <v>54</v>
      </c>
      <c r="AB405">
        <v>0</v>
      </c>
      <c r="AC405" t="s">
        <v>55</v>
      </c>
      <c r="AD405">
        <v>8</v>
      </c>
      <c r="AE405" t="s">
        <v>56</v>
      </c>
      <c r="AF405">
        <v>109.4</v>
      </c>
      <c r="AG405" t="b">
        <v>0</v>
      </c>
      <c r="AH405">
        <v>8</v>
      </c>
      <c r="AI405" t="s">
        <v>56</v>
      </c>
      <c r="AJ405">
        <v>109.4</v>
      </c>
      <c r="AK405" t="b">
        <v>0</v>
      </c>
      <c r="AL405">
        <v>109.4</v>
      </c>
      <c r="AM405" t="b">
        <v>0</v>
      </c>
      <c r="AN405">
        <v>0</v>
      </c>
      <c r="AO405" t="b">
        <v>0</v>
      </c>
      <c r="AQ405">
        <v>3787591.87</v>
      </c>
      <c r="AR405">
        <v>3787591.87</v>
      </c>
      <c r="AS405">
        <v>0</v>
      </c>
      <c r="AT405" t="b">
        <v>0</v>
      </c>
      <c r="AU405" t="b">
        <v>1</v>
      </c>
      <c r="AV405" t="b">
        <v>1</v>
      </c>
      <c r="AW405" t="b">
        <v>1</v>
      </c>
      <c r="BC405" t="str">
        <f t="shared" si="6"/>
        <v>Normal</v>
      </c>
    </row>
    <row r="406" spans="1:55" x14ac:dyDescent="0.2">
      <c r="A406" t="s">
        <v>39</v>
      </c>
      <c r="B406" t="s">
        <v>40</v>
      </c>
      <c r="C406">
        <v>20220101</v>
      </c>
      <c r="D406">
        <v>2022</v>
      </c>
      <c r="E406">
        <v>52</v>
      </c>
      <c r="F406" t="s">
        <v>346</v>
      </c>
      <c r="G406">
        <v>100</v>
      </c>
      <c r="H406" t="s">
        <v>83</v>
      </c>
      <c r="I406" t="s">
        <v>84</v>
      </c>
      <c r="J406" t="s">
        <v>44</v>
      </c>
      <c r="K406" t="s">
        <v>45</v>
      </c>
      <c r="L406">
        <v>0</v>
      </c>
      <c r="M406" t="s">
        <v>46</v>
      </c>
      <c r="N406" t="s">
        <v>47</v>
      </c>
      <c r="O406">
        <v>0</v>
      </c>
      <c r="P406" t="s">
        <v>46</v>
      </c>
      <c r="Q406" t="s">
        <v>47</v>
      </c>
      <c r="R406" t="s">
        <v>347</v>
      </c>
      <c r="S406" t="s">
        <v>49</v>
      </c>
      <c r="T406" t="b">
        <v>1</v>
      </c>
      <c r="U406" t="s">
        <v>50</v>
      </c>
      <c r="V406" t="s">
        <v>51</v>
      </c>
      <c r="W406">
        <v>4</v>
      </c>
      <c r="X406" t="b">
        <v>0</v>
      </c>
      <c r="Y406" t="s">
        <v>52</v>
      </c>
      <c r="Z406" t="s">
        <v>53</v>
      </c>
      <c r="AA406" t="s">
        <v>54</v>
      </c>
      <c r="AB406">
        <v>0</v>
      </c>
      <c r="AC406" t="s">
        <v>55</v>
      </c>
      <c r="AD406">
        <v>8</v>
      </c>
      <c r="AE406" t="s">
        <v>56</v>
      </c>
      <c r="AF406">
        <v>1627.165</v>
      </c>
      <c r="AG406" t="b">
        <v>0</v>
      </c>
      <c r="AH406">
        <v>15</v>
      </c>
      <c r="AI406" t="s">
        <v>59</v>
      </c>
      <c r="AJ406">
        <v>1627165</v>
      </c>
      <c r="AK406" t="b">
        <v>0</v>
      </c>
      <c r="AL406">
        <v>1644.317</v>
      </c>
      <c r="AM406" t="b">
        <v>0</v>
      </c>
      <c r="AN406">
        <v>0</v>
      </c>
      <c r="AO406" t="b">
        <v>0</v>
      </c>
      <c r="AQ406">
        <v>18144281.925000001</v>
      </c>
      <c r="AR406">
        <v>18144281.925000001</v>
      </c>
      <c r="AS406">
        <v>0</v>
      </c>
      <c r="AT406" t="b">
        <v>0</v>
      </c>
      <c r="AU406" t="b">
        <v>1</v>
      </c>
      <c r="AV406" t="b">
        <v>1</v>
      </c>
      <c r="AW406" t="b">
        <v>1</v>
      </c>
      <c r="BC406" t="str">
        <f t="shared" si="6"/>
        <v>Normal</v>
      </c>
    </row>
    <row r="407" spans="1:55" x14ac:dyDescent="0.2">
      <c r="A407" t="s">
        <v>39</v>
      </c>
      <c r="B407" t="s">
        <v>40</v>
      </c>
      <c r="C407">
        <v>20220101</v>
      </c>
      <c r="D407">
        <v>2022</v>
      </c>
      <c r="E407">
        <v>52</v>
      </c>
      <c r="F407" t="s">
        <v>346</v>
      </c>
      <c r="G407">
        <v>108</v>
      </c>
      <c r="H407" t="s">
        <v>85</v>
      </c>
      <c r="I407" t="s">
        <v>86</v>
      </c>
      <c r="J407" t="s">
        <v>44</v>
      </c>
      <c r="K407" t="s">
        <v>45</v>
      </c>
      <c r="L407">
        <v>0</v>
      </c>
      <c r="M407" t="s">
        <v>46</v>
      </c>
      <c r="N407" t="s">
        <v>47</v>
      </c>
      <c r="O407">
        <v>0</v>
      </c>
      <c r="P407" t="s">
        <v>46</v>
      </c>
      <c r="Q407" t="s">
        <v>47</v>
      </c>
      <c r="R407" t="s">
        <v>347</v>
      </c>
      <c r="S407" t="s">
        <v>49</v>
      </c>
      <c r="T407" t="b">
        <v>1</v>
      </c>
      <c r="U407" t="s">
        <v>50</v>
      </c>
      <c r="V407" t="s">
        <v>51</v>
      </c>
      <c r="W407">
        <v>4</v>
      </c>
      <c r="X407" t="b">
        <v>0</v>
      </c>
      <c r="Y407" t="s">
        <v>52</v>
      </c>
      <c r="Z407" t="s">
        <v>53</v>
      </c>
      <c r="AA407" t="s">
        <v>54</v>
      </c>
      <c r="AB407">
        <v>0</v>
      </c>
      <c r="AC407" t="s">
        <v>55</v>
      </c>
      <c r="AD407">
        <v>8</v>
      </c>
      <c r="AE407" t="s">
        <v>56</v>
      </c>
      <c r="AF407">
        <v>913.93</v>
      </c>
      <c r="AG407" t="b">
        <v>0</v>
      </c>
      <c r="AH407">
        <v>8</v>
      </c>
      <c r="AI407" t="s">
        <v>56</v>
      </c>
      <c r="AJ407">
        <v>913.93</v>
      </c>
      <c r="AK407" t="b">
        <v>0</v>
      </c>
      <c r="AL407">
        <v>913.93</v>
      </c>
      <c r="AM407" t="b">
        <v>0</v>
      </c>
      <c r="AN407">
        <v>0</v>
      </c>
      <c r="AO407" t="b">
        <v>0</v>
      </c>
      <c r="AQ407">
        <v>51898519.523000002</v>
      </c>
      <c r="AR407">
        <v>51898519.523000002</v>
      </c>
      <c r="AS407">
        <v>0</v>
      </c>
      <c r="AT407" t="b">
        <v>0</v>
      </c>
      <c r="AU407" t="b">
        <v>1</v>
      </c>
      <c r="AV407" t="b">
        <v>1</v>
      </c>
      <c r="AW407" t="b">
        <v>1</v>
      </c>
      <c r="BC407" t="str">
        <f t="shared" si="6"/>
        <v>Normal</v>
      </c>
    </row>
    <row r="408" spans="1:55" x14ac:dyDescent="0.2">
      <c r="A408" t="s">
        <v>39</v>
      </c>
      <c r="B408" t="s">
        <v>40</v>
      </c>
      <c r="C408">
        <v>20220101</v>
      </c>
      <c r="D408">
        <v>2022</v>
      </c>
      <c r="E408">
        <v>52</v>
      </c>
      <c r="F408" t="s">
        <v>346</v>
      </c>
      <c r="G408">
        <v>116</v>
      </c>
      <c r="H408" t="s">
        <v>87</v>
      </c>
      <c r="I408" t="s">
        <v>88</v>
      </c>
      <c r="J408" t="s">
        <v>44</v>
      </c>
      <c r="K408" t="s">
        <v>45</v>
      </c>
      <c r="L408">
        <v>0</v>
      </c>
      <c r="M408" t="s">
        <v>46</v>
      </c>
      <c r="N408" t="s">
        <v>47</v>
      </c>
      <c r="O408">
        <v>0</v>
      </c>
      <c r="P408" t="s">
        <v>46</v>
      </c>
      <c r="Q408" t="s">
        <v>47</v>
      </c>
      <c r="R408" t="s">
        <v>347</v>
      </c>
      <c r="S408" t="s">
        <v>49</v>
      </c>
      <c r="T408" t="b">
        <v>1</v>
      </c>
      <c r="U408" t="s">
        <v>50</v>
      </c>
      <c r="V408" t="s">
        <v>51</v>
      </c>
      <c r="W408">
        <v>4</v>
      </c>
      <c r="X408" t="b">
        <v>0</v>
      </c>
      <c r="Y408" t="s">
        <v>52</v>
      </c>
      <c r="Z408" t="s">
        <v>53</v>
      </c>
      <c r="AA408" t="s">
        <v>54</v>
      </c>
      <c r="AB408">
        <v>0</v>
      </c>
      <c r="AC408" t="s">
        <v>55</v>
      </c>
      <c r="AD408">
        <v>8</v>
      </c>
      <c r="AE408" t="s">
        <v>56</v>
      </c>
      <c r="AF408">
        <v>4094.41</v>
      </c>
      <c r="AG408" t="b">
        <v>0</v>
      </c>
      <c r="AH408">
        <v>8</v>
      </c>
      <c r="AI408" t="s">
        <v>56</v>
      </c>
      <c r="AJ408">
        <v>4094.41</v>
      </c>
      <c r="AK408" t="b">
        <v>0</v>
      </c>
      <c r="AL408">
        <v>4094.41</v>
      </c>
      <c r="AM408" t="b">
        <v>0</v>
      </c>
      <c r="AN408">
        <v>0</v>
      </c>
      <c r="AO408" t="b">
        <v>0</v>
      </c>
      <c r="AQ408">
        <v>231702144.13</v>
      </c>
      <c r="AR408">
        <v>231702144.13</v>
      </c>
      <c r="AS408">
        <v>0</v>
      </c>
      <c r="AT408" t="b">
        <v>0</v>
      </c>
      <c r="AU408" t="b">
        <v>1</v>
      </c>
      <c r="AV408" t="b">
        <v>1</v>
      </c>
      <c r="AW408" t="b">
        <v>1</v>
      </c>
      <c r="BC408" t="str">
        <f t="shared" si="6"/>
        <v>Normal</v>
      </c>
    </row>
    <row r="409" spans="1:55" x14ac:dyDescent="0.2">
      <c r="A409" t="s">
        <v>39</v>
      </c>
      <c r="B409" t="s">
        <v>40</v>
      </c>
      <c r="C409">
        <v>20220101</v>
      </c>
      <c r="D409">
        <v>2022</v>
      </c>
      <c r="E409">
        <v>52</v>
      </c>
      <c r="F409" t="s">
        <v>346</v>
      </c>
      <c r="G409">
        <v>120</v>
      </c>
      <c r="H409" t="s">
        <v>89</v>
      </c>
      <c r="I409" t="s">
        <v>90</v>
      </c>
      <c r="J409" t="s">
        <v>44</v>
      </c>
      <c r="K409" t="s">
        <v>45</v>
      </c>
      <c r="L409">
        <v>0</v>
      </c>
      <c r="M409" t="s">
        <v>46</v>
      </c>
      <c r="N409" t="s">
        <v>47</v>
      </c>
      <c r="O409">
        <v>0</v>
      </c>
      <c r="P409" t="s">
        <v>46</v>
      </c>
      <c r="Q409" t="s">
        <v>47</v>
      </c>
      <c r="R409" t="s">
        <v>347</v>
      </c>
      <c r="S409" t="s">
        <v>49</v>
      </c>
      <c r="T409" t="b">
        <v>1</v>
      </c>
      <c r="U409" t="s">
        <v>50</v>
      </c>
      <c r="V409" t="s">
        <v>51</v>
      </c>
      <c r="W409">
        <v>4</v>
      </c>
      <c r="X409" t="b">
        <v>0</v>
      </c>
      <c r="Y409" t="s">
        <v>52</v>
      </c>
      <c r="Z409" t="s">
        <v>53</v>
      </c>
      <c r="AA409" t="s">
        <v>54</v>
      </c>
      <c r="AB409">
        <v>0</v>
      </c>
      <c r="AC409" t="s">
        <v>55</v>
      </c>
      <c r="AD409">
        <v>8</v>
      </c>
      <c r="AE409" t="s">
        <v>56</v>
      </c>
      <c r="AF409">
        <v>3.45</v>
      </c>
      <c r="AG409" t="b">
        <v>0</v>
      </c>
      <c r="AH409">
        <v>8</v>
      </c>
      <c r="AI409" t="s">
        <v>56</v>
      </c>
      <c r="AJ409">
        <v>3.45</v>
      </c>
      <c r="AK409" t="b">
        <v>0</v>
      </c>
      <c r="AL409">
        <v>3.45</v>
      </c>
      <c r="AM409" t="b">
        <v>0</v>
      </c>
      <c r="AN409">
        <v>0</v>
      </c>
      <c r="AO409" t="b">
        <v>0</v>
      </c>
      <c r="AQ409">
        <v>99108.385999999999</v>
      </c>
      <c r="AR409">
        <v>99108.385999999999</v>
      </c>
      <c r="AS409">
        <v>0</v>
      </c>
      <c r="AT409" t="b">
        <v>0</v>
      </c>
      <c r="AU409" t="b">
        <v>1</v>
      </c>
      <c r="AV409" t="b">
        <v>1</v>
      </c>
      <c r="AW409" t="b">
        <v>1</v>
      </c>
      <c r="BC409" t="str">
        <f t="shared" si="6"/>
        <v>Normal</v>
      </c>
    </row>
    <row r="410" spans="1:55" x14ac:dyDescent="0.2">
      <c r="A410" t="s">
        <v>39</v>
      </c>
      <c r="B410" t="s">
        <v>40</v>
      </c>
      <c r="C410">
        <v>20220101</v>
      </c>
      <c r="D410">
        <v>2022</v>
      </c>
      <c r="E410">
        <v>52</v>
      </c>
      <c r="F410" t="s">
        <v>346</v>
      </c>
      <c r="G410">
        <v>124</v>
      </c>
      <c r="H410" t="s">
        <v>91</v>
      </c>
      <c r="I410" t="s">
        <v>92</v>
      </c>
      <c r="J410" t="s">
        <v>44</v>
      </c>
      <c r="K410" t="s">
        <v>45</v>
      </c>
      <c r="L410">
        <v>0</v>
      </c>
      <c r="M410" t="s">
        <v>46</v>
      </c>
      <c r="N410" t="s">
        <v>47</v>
      </c>
      <c r="O410">
        <v>0</v>
      </c>
      <c r="P410" t="s">
        <v>46</v>
      </c>
      <c r="Q410" t="s">
        <v>47</v>
      </c>
      <c r="R410" t="s">
        <v>347</v>
      </c>
      <c r="S410" t="s">
        <v>49</v>
      </c>
      <c r="T410" t="b">
        <v>1</v>
      </c>
      <c r="U410" t="s">
        <v>50</v>
      </c>
      <c r="V410" t="s">
        <v>51</v>
      </c>
      <c r="W410">
        <v>4</v>
      </c>
      <c r="X410" t="b">
        <v>0</v>
      </c>
      <c r="Y410" t="s">
        <v>52</v>
      </c>
      <c r="Z410" t="s">
        <v>53</v>
      </c>
      <c r="AA410" t="s">
        <v>54</v>
      </c>
      <c r="AB410">
        <v>0</v>
      </c>
      <c r="AC410" t="s">
        <v>55</v>
      </c>
      <c r="AD410">
        <v>8</v>
      </c>
      <c r="AE410" t="s">
        <v>56</v>
      </c>
      <c r="AF410">
        <v>336759.337</v>
      </c>
      <c r="AG410" t="b">
        <v>0</v>
      </c>
      <c r="AH410">
        <v>15</v>
      </c>
      <c r="AI410" t="s">
        <v>59</v>
      </c>
      <c r="AJ410">
        <v>336759337</v>
      </c>
      <c r="AK410" t="b">
        <v>0</v>
      </c>
      <c r="AL410" s="1">
        <v>336759.337</v>
      </c>
      <c r="AM410" t="b">
        <v>0</v>
      </c>
      <c r="AN410">
        <v>0</v>
      </c>
      <c r="AO410" t="b">
        <v>0</v>
      </c>
      <c r="AQ410">
        <v>18493810189.588001</v>
      </c>
      <c r="AR410">
        <v>18493810189.588001</v>
      </c>
      <c r="AS410">
        <v>0</v>
      </c>
      <c r="AT410" t="b">
        <v>0</v>
      </c>
      <c r="AU410" t="b">
        <v>1</v>
      </c>
      <c r="AV410" t="b">
        <v>1</v>
      </c>
      <c r="AW410" t="b">
        <v>1</v>
      </c>
      <c r="BC410" t="str">
        <f t="shared" si="6"/>
        <v>Outlier</v>
      </c>
    </row>
    <row r="411" spans="1:55" x14ac:dyDescent="0.2">
      <c r="A411" t="s">
        <v>39</v>
      </c>
      <c r="B411" t="s">
        <v>40</v>
      </c>
      <c r="C411">
        <v>20220101</v>
      </c>
      <c r="D411">
        <v>2022</v>
      </c>
      <c r="E411">
        <v>52</v>
      </c>
      <c r="F411" t="s">
        <v>346</v>
      </c>
      <c r="G411">
        <v>140</v>
      </c>
      <c r="H411" t="s">
        <v>93</v>
      </c>
      <c r="I411" t="s">
        <v>94</v>
      </c>
      <c r="J411" t="s">
        <v>44</v>
      </c>
      <c r="K411" t="s">
        <v>45</v>
      </c>
      <c r="L411">
        <v>0</v>
      </c>
      <c r="M411" t="s">
        <v>46</v>
      </c>
      <c r="N411" t="s">
        <v>47</v>
      </c>
      <c r="O411">
        <v>0</v>
      </c>
      <c r="P411" t="s">
        <v>46</v>
      </c>
      <c r="Q411" t="s">
        <v>47</v>
      </c>
      <c r="R411" t="s">
        <v>48</v>
      </c>
      <c r="S411" t="s">
        <v>49</v>
      </c>
      <c r="T411" t="b">
        <v>1</v>
      </c>
      <c r="U411" t="s">
        <v>50</v>
      </c>
      <c r="V411" t="s">
        <v>51</v>
      </c>
      <c r="W411">
        <v>4</v>
      </c>
      <c r="X411" t="b">
        <v>0</v>
      </c>
      <c r="Y411" t="s">
        <v>52</v>
      </c>
      <c r="Z411" t="s">
        <v>53</v>
      </c>
      <c r="AA411" t="s">
        <v>54</v>
      </c>
      <c r="AB411">
        <v>0</v>
      </c>
      <c r="AC411" t="s">
        <v>55</v>
      </c>
      <c r="AD411">
        <v>8</v>
      </c>
      <c r="AE411" t="s">
        <v>56</v>
      </c>
      <c r="AF411">
        <v>6058.4759999999997</v>
      </c>
      <c r="AG411" t="b">
        <v>1</v>
      </c>
      <c r="AH411">
        <v>-1</v>
      </c>
      <c r="AI411" t="s">
        <v>64</v>
      </c>
      <c r="AJ411">
        <v>0</v>
      </c>
      <c r="AK411" t="b">
        <v>0</v>
      </c>
      <c r="AL411">
        <v>6058.4759999999997</v>
      </c>
      <c r="AM411" t="b">
        <v>1</v>
      </c>
      <c r="AN411">
        <v>0</v>
      </c>
      <c r="AO411" t="b">
        <v>0</v>
      </c>
      <c r="AQ411">
        <v>51279574.116999999</v>
      </c>
      <c r="AR411">
        <v>51279574.116999999</v>
      </c>
      <c r="AS411">
        <v>6</v>
      </c>
      <c r="AT411" t="b">
        <v>0</v>
      </c>
      <c r="AU411" t="b">
        <v>1</v>
      </c>
      <c r="AV411" t="b">
        <v>1</v>
      </c>
      <c r="AW411" t="b">
        <v>1</v>
      </c>
      <c r="BC411" t="str">
        <f t="shared" si="6"/>
        <v>Normal</v>
      </c>
    </row>
    <row r="412" spans="1:55" x14ac:dyDescent="0.2">
      <c r="A412" t="s">
        <v>39</v>
      </c>
      <c r="B412" t="s">
        <v>40</v>
      </c>
      <c r="C412">
        <v>20220101</v>
      </c>
      <c r="D412">
        <v>2022</v>
      </c>
      <c r="E412">
        <v>52</v>
      </c>
      <c r="F412" t="s">
        <v>346</v>
      </c>
      <c r="G412">
        <v>144</v>
      </c>
      <c r="H412" t="s">
        <v>317</v>
      </c>
      <c r="I412" t="s">
        <v>318</v>
      </c>
      <c r="J412" t="s">
        <v>44</v>
      </c>
      <c r="K412" t="s">
        <v>45</v>
      </c>
      <c r="L412">
        <v>0</v>
      </c>
      <c r="M412" t="s">
        <v>46</v>
      </c>
      <c r="N412" t="s">
        <v>47</v>
      </c>
      <c r="O412">
        <v>0</v>
      </c>
      <c r="P412" t="s">
        <v>46</v>
      </c>
      <c r="Q412" t="s">
        <v>47</v>
      </c>
      <c r="R412" t="s">
        <v>48</v>
      </c>
      <c r="S412" t="s">
        <v>49</v>
      </c>
      <c r="T412" t="b">
        <v>1</v>
      </c>
      <c r="U412" t="s">
        <v>50</v>
      </c>
      <c r="V412" t="s">
        <v>51</v>
      </c>
      <c r="W412">
        <v>4</v>
      </c>
      <c r="X412" t="b">
        <v>0</v>
      </c>
      <c r="Y412" t="s">
        <v>52</v>
      </c>
      <c r="Z412" t="s">
        <v>53</v>
      </c>
      <c r="AA412" t="s">
        <v>54</v>
      </c>
      <c r="AB412">
        <v>0</v>
      </c>
      <c r="AC412" t="s">
        <v>55</v>
      </c>
      <c r="AD412">
        <v>-1</v>
      </c>
      <c r="AE412" t="s">
        <v>64</v>
      </c>
      <c r="AF412">
        <v>0</v>
      </c>
      <c r="AG412" t="b">
        <v>0</v>
      </c>
      <c r="AH412">
        <v>-1</v>
      </c>
      <c r="AI412" t="s">
        <v>64</v>
      </c>
      <c r="AJ412">
        <v>0</v>
      </c>
      <c r="AK412" t="b">
        <v>0</v>
      </c>
      <c r="AL412">
        <v>0</v>
      </c>
      <c r="AM412" t="b">
        <v>0</v>
      </c>
      <c r="AN412">
        <v>0</v>
      </c>
      <c r="AO412" t="b">
        <v>0</v>
      </c>
      <c r="AP412">
        <v>0</v>
      </c>
      <c r="AQ412">
        <v>420.90499999999997</v>
      </c>
      <c r="AR412">
        <v>420.90499999999997</v>
      </c>
      <c r="AS412">
        <v>0</v>
      </c>
      <c r="AT412" t="b">
        <v>0</v>
      </c>
      <c r="AU412" t="b">
        <v>1</v>
      </c>
      <c r="AV412" t="b">
        <v>1</v>
      </c>
      <c r="AW412" t="b">
        <v>1</v>
      </c>
      <c r="BC412" t="str">
        <f t="shared" si="6"/>
        <v>Normal</v>
      </c>
    </row>
    <row r="413" spans="1:55" x14ac:dyDescent="0.2">
      <c r="A413" t="s">
        <v>39</v>
      </c>
      <c r="B413" t="s">
        <v>40</v>
      </c>
      <c r="C413">
        <v>20220101</v>
      </c>
      <c r="D413">
        <v>2022</v>
      </c>
      <c r="E413">
        <v>52</v>
      </c>
      <c r="F413" t="s">
        <v>346</v>
      </c>
      <c r="G413">
        <v>152</v>
      </c>
      <c r="H413" t="s">
        <v>96</v>
      </c>
      <c r="I413" t="s">
        <v>97</v>
      </c>
      <c r="J413" t="s">
        <v>44</v>
      </c>
      <c r="K413" t="s">
        <v>45</v>
      </c>
      <c r="L413">
        <v>0</v>
      </c>
      <c r="M413" t="s">
        <v>46</v>
      </c>
      <c r="N413" t="s">
        <v>47</v>
      </c>
      <c r="O413">
        <v>0</v>
      </c>
      <c r="P413" t="s">
        <v>46</v>
      </c>
      <c r="Q413" t="s">
        <v>47</v>
      </c>
      <c r="R413" t="s">
        <v>347</v>
      </c>
      <c r="S413" t="s">
        <v>49</v>
      </c>
      <c r="T413" t="b">
        <v>1</v>
      </c>
      <c r="U413" t="s">
        <v>50</v>
      </c>
      <c r="V413" t="s">
        <v>51</v>
      </c>
      <c r="W413">
        <v>4</v>
      </c>
      <c r="X413" t="b">
        <v>0</v>
      </c>
      <c r="Y413" t="s">
        <v>52</v>
      </c>
      <c r="Z413" t="s">
        <v>53</v>
      </c>
      <c r="AA413" t="s">
        <v>54</v>
      </c>
      <c r="AB413">
        <v>0</v>
      </c>
      <c r="AC413" t="s">
        <v>55</v>
      </c>
      <c r="AD413">
        <v>8</v>
      </c>
      <c r="AE413" t="s">
        <v>56</v>
      </c>
      <c r="AF413">
        <v>14830.632</v>
      </c>
      <c r="AG413" t="b">
        <v>0</v>
      </c>
      <c r="AH413">
        <v>8</v>
      </c>
      <c r="AI413" t="s">
        <v>56</v>
      </c>
      <c r="AJ413">
        <v>14830.632</v>
      </c>
      <c r="AK413" t="b">
        <v>0</v>
      </c>
      <c r="AL413">
        <v>14830.632</v>
      </c>
      <c r="AM413" t="b">
        <v>0</v>
      </c>
      <c r="AN413">
        <v>0</v>
      </c>
      <c r="AO413" t="b">
        <v>0</v>
      </c>
      <c r="AQ413">
        <v>838381963.204</v>
      </c>
      <c r="AR413">
        <v>838381963.204</v>
      </c>
      <c r="AS413">
        <v>0</v>
      </c>
      <c r="AT413" t="b">
        <v>0</v>
      </c>
      <c r="AU413" t="b">
        <v>1</v>
      </c>
      <c r="AV413" t="b">
        <v>1</v>
      </c>
      <c r="AW413" t="b">
        <v>1</v>
      </c>
      <c r="BC413" t="str">
        <f t="shared" si="6"/>
        <v>Normal</v>
      </c>
    </row>
    <row r="414" spans="1:55" x14ac:dyDescent="0.2">
      <c r="A414" t="s">
        <v>39</v>
      </c>
      <c r="B414" t="s">
        <v>40</v>
      </c>
      <c r="C414">
        <v>20220101</v>
      </c>
      <c r="D414">
        <v>2022</v>
      </c>
      <c r="E414">
        <v>52</v>
      </c>
      <c r="F414" t="s">
        <v>346</v>
      </c>
      <c r="G414">
        <v>156</v>
      </c>
      <c r="H414" t="s">
        <v>98</v>
      </c>
      <c r="I414" t="s">
        <v>99</v>
      </c>
      <c r="J414" t="s">
        <v>44</v>
      </c>
      <c r="K414" t="s">
        <v>45</v>
      </c>
      <c r="L414">
        <v>0</v>
      </c>
      <c r="M414" t="s">
        <v>46</v>
      </c>
      <c r="N414" t="s">
        <v>47</v>
      </c>
      <c r="O414">
        <v>0</v>
      </c>
      <c r="P414" t="s">
        <v>46</v>
      </c>
      <c r="Q414" t="s">
        <v>47</v>
      </c>
      <c r="R414" t="s">
        <v>347</v>
      </c>
      <c r="S414" t="s">
        <v>49</v>
      </c>
      <c r="T414" t="b">
        <v>1</v>
      </c>
      <c r="U414" t="s">
        <v>50</v>
      </c>
      <c r="V414" t="s">
        <v>51</v>
      </c>
      <c r="W414">
        <v>4</v>
      </c>
      <c r="X414" t="b">
        <v>0</v>
      </c>
      <c r="Y414" t="s">
        <v>52</v>
      </c>
      <c r="Z414" t="s">
        <v>53</v>
      </c>
      <c r="AA414" t="s">
        <v>54</v>
      </c>
      <c r="AB414">
        <v>0</v>
      </c>
      <c r="AC414" t="s">
        <v>55</v>
      </c>
      <c r="AD414">
        <v>8</v>
      </c>
      <c r="AE414" t="s">
        <v>56</v>
      </c>
      <c r="AF414">
        <v>55306.508000000002</v>
      </c>
      <c r="AG414" t="b">
        <v>1</v>
      </c>
      <c r="AH414">
        <v>-1</v>
      </c>
      <c r="AI414" t="s">
        <v>64</v>
      </c>
      <c r="AJ414">
        <v>0</v>
      </c>
      <c r="AK414" t="b">
        <v>0</v>
      </c>
      <c r="AL414">
        <v>55306.508000000002</v>
      </c>
      <c r="AM414" t="b">
        <v>1</v>
      </c>
      <c r="AN414">
        <v>0</v>
      </c>
      <c r="AO414" t="b">
        <v>0</v>
      </c>
      <c r="AQ414">
        <v>3281251509</v>
      </c>
      <c r="AR414">
        <v>3281251509</v>
      </c>
      <c r="AS414">
        <v>6</v>
      </c>
      <c r="AT414" t="b">
        <v>0</v>
      </c>
      <c r="AU414" t="b">
        <v>1</v>
      </c>
      <c r="AV414" t="b">
        <v>1</v>
      </c>
      <c r="AW414" t="b">
        <v>1</v>
      </c>
      <c r="BC414" t="str">
        <f t="shared" si="6"/>
        <v>Normal</v>
      </c>
    </row>
    <row r="415" spans="1:55" x14ac:dyDescent="0.2">
      <c r="A415" t="s">
        <v>39</v>
      </c>
      <c r="B415" t="s">
        <v>40</v>
      </c>
      <c r="C415">
        <v>20220101</v>
      </c>
      <c r="D415">
        <v>2022</v>
      </c>
      <c r="E415">
        <v>52</v>
      </c>
      <c r="F415" t="s">
        <v>346</v>
      </c>
      <c r="G415">
        <v>170</v>
      </c>
      <c r="H415" t="s">
        <v>100</v>
      </c>
      <c r="I415" t="s">
        <v>101</v>
      </c>
      <c r="J415" t="s">
        <v>44</v>
      </c>
      <c r="K415" t="s">
        <v>45</v>
      </c>
      <c r="L415">
        <v>0</v>
      </c>
      <c r="M415" t="s">
        <v>46</v>
      </c>
      <c r="N415" t="s">
        <v>47</v>
      </c>
      <c r="O415">
        <v>0</v>
      </c>
      <c r="P415" t="s">
        <v>46</v>
      </c>
      <c r="Q415" t="s">
        <v>47</v>
      </c>
      <c r="R415" t="s">
        <v>347</v>
      </c>
      <c r="S415" t="s">
        <v>49</v>
      </c>
      <c r="T415" t="b">
        <v>1</v>
      </c>
      <c r="U415" t="s">
        <v>50</v>
      </c>
      <c r="V415" t="s">
        <v>51</v>
      </c>
      <c r="W415">
        <v>4</v>
      </c>
      <c r="X415" t="b">
        <v>0</v>
      </c>
      <c r="Y415" t="s">
        <v>52</v>
      </c>
      <c r="Z415" t="s">
        <v>53</v>
      </c>
      <c r="AA415" t="s">
        <v>54</v>
      </c>
      <c r="AB415">
        <v>0</v>
      </c>
      <c r="AC415" t="s">
        <v>55</v>
      </c>
      <c r="AD415">
        <v>8</v>
      </c>
      <c r="AE415" t="s">
        <v>56</v>
      </c>
      <c r="AF415">
        <v>70678.960000000006</v>
      </c>
      <c r="AG415" t="b">
        <v>0</v>
      </c>
      <c r="AH415">
        <v>8</v>
      </c>
      <c r="AI415" t="s">
        <v>56</v>
      </c>
      <c r="AJ415">
        <v>70678.960000000006</v>
      </c>
      <c r="AK415" t="b">
        <v>0</v>
      </c>
      <c r="AL415" s="1">
        <v>70678.960000000006</v>
      </c>
      <c r="AM415" t="b">
        <v>0</v>
      </c>
      <c r="AN415">
        <v>0</v>
      </c>
      <c r="AO415" t="b">
        <v>0</v>
      </c>
      <c r="AQ415">
        <v>2976116302.4200001</v>
      </c>
      <c r="AR415">
        <v>2976116302.4200001</v>
      </c>
      <c r="AS415">
        <v>0</v>
      </c>
      <c r="AT415" t="b">
        <v>0</v>
      </c>
      <c r="AU415" t="b">
        <v>1</v>
      </c>
      <c r="AV415" t="b">
        <v>1</v>
      </c>
      <c r="AW415" t="b">
        <v>1</v>
      </c>
      <c r="BC415" t="str">
        <f t="shared" si="6"/>
        <v>Outlier</v>
      </c>
    </row>
    <row r="416" spans="1:55" x14ac:dyDescent="0.2">
      <c r="A416" t="s">
        <v>39</v>
      </c>
      <c r="B416" t="s">
        <v>40</v>
      </c>
      <c r="C416">
        <v>20220101</v>
      </c>
      <c r="D416">
        <v>2022</v>
      </c>
      <c r="E416">
        <v>52</v>
      </c>
      <c r="F416" t="s">
        <v>346</v>
      </c>
      <c r="G416">
        <v>178</v>
      </c>
      <c r="H416" t="s">
        <v>102</v>
      </c>
      <c r="I416" t="s">
        <v>103</v>
      </c>
      <c r="J416" t="s">
        <v>44</v>
      </c>
      <c r="K416" t="s">
        <v>45</v>
      </c>
      <c r="L416">
        <v>0</v>
      </c>
      <c r="M416" t="s">
        <v>46</v>
      </c>
      <c r="N416" t="s">
        <v>47</v>
      </c>
      <c r="O416">
        <v>0</v>
      </c>
      <c r="P416" t="s">
        <v>46</v>
      </c>
      <c r="Q416" t="s">
        <v>47</v>
      </c>
      <c r="R416" t="s">
        <v>48</v>
      </c>
      <c r="S416" t="s">
        <v>49</v>
      </c>
      <c r="T416" t="b">
        <v>1</v>
      </c>
      <c r="U416" t="s">
        <v>50</v>
      </c>
      <c r="V416" t="s">
        <v>51</v>
      </c>
      <c r="W416">
        <v>4</v>
      </c>
      <c r="X416" t="b">
        <v>0</v>
      </c>
      <c r="Y416" t="s">
        <v>52</v>
      </c>
      <c r="Z416" t="s">
        <v>53</v>
      </c>
      <c r="AA416" t="s">
        <v>54</v>
      </c>
      <c r="AB416">
        <v>0</v>
      </c>
      <c r="AC416" t="s">
        <v>55</v>
      </c>
      <c r="AD416">
        <v>8</v>
      </c>
      <c r="AE416" t="s">
        <v>56</v>
      </c>
      <c r="AF416">
        <v>18</v>
      </c>
      <c r="AG416" t="b">
        <v>0</v>
      </c>
      <c r="AH416">
        <v>8</v>
      </c>
      <c r="AI416" t="s">
        <v>56</v>
      </c>
      <c r="AJ416">
        <v>18</v>
      </c>
      <c r="AK416" t="b">
        <v>0</v>
      </c>
      <c r="AL416">
        <v>18</v>
      </c>
      <c r="AM416" t="b">
        <v>0</v>
      </c>
      <c r="AN416">
        <v>0</v>
      </c>
      <c r="AO416" t="b">
        <v>0</v>
      </c>
      <c r="AQ416">
        <v>27487.771000000001</v>
      </c>
      <c r="AR416">
        <v>27487.771000000001</v>
      </c>
      <c r="AS416">
        <v>0</v>
      </c>
      <c r="AT416" t="b">
        <v>0</v>
      </c>
      <c r="AU416" t="b">
        <v>1</v>
      </c>
      <c r="AV416" t="b">
        <v>1</v>
      </c>
      <c r="AW416" t="b">
        <v>1</v>
      </c>
      <c r="BC416" t="str">
        <f t="shared" si="6"/>
        <v>Normal</v>
      </c>
    </row>
    <row r="417" spans="1:55" x14ac:dyDescent="0.2">
      <c r="A417" t="s">
        <v>39</v>
      </c>
      <c r="B417" t="s">
        <v>40</v>
      </c>
      <c r="C417">
        <v>20220101</v>
      </c>
      <c r="D417">
        <v>2022</v>
      </c>
      <c r="E417">
        <v>52</v>
      </c>
      <c r="F417" t="s">
        <v>346</v>
      </c>
      <c r="G417">
        <v>180</v>
      </c>
      <c r="H417" t="s">
        <v>104</v>
      </c>
      <c r="I417" t="s">
        <v>105</v>
      </c>
      <c r="J417" t="s">
        <v>44</v>
      </c>
      <c r="K417" t="s">
        <v>45</v>
      </c>
      <c r="L417">
        <v>0</v>
      </c>
      <c r="M417" t="s">
        <v>46</v>
      </c>
      <c r="N417" t="s">
        <v>47</v>
      </c>
      <c r="O417">
        <v>0</v>
      </c>
      <c r="P417" t="s">
        <v>46</v>
      </c>
      <c r="Q417" t="s">
        <v>47</v>
      </c>
      <c r="R417" t="s">
        <v>95</v>
      </c>
      <c r="S417" t="s">
        <v>49</v>
      </c>
      <c r="T417" t="b">
        <v>1</v>
      </c>
      <c r="U417" t="s">
        <v>50</v>
      </c>
      <c r="V417" t="s">
        <v>51</v>
      </c>
      <c r="W417">
        <v>4</v>
      </c>
      <c r="X417" t="b">
        <v>0</v>
      </c>
      <c r="Y417" t="s">
        <v>52</v>
      </c>
      <c r="Z417" t="s">
        <v>53</v>
      </c>
      <c r="AA417" t="s">
        <v>54</v>
      </c>
      <c r="AB417">
        <v>0</v>
      </c>
      <c r="AC417" t="s">
        <v>55</v>
      </c>
      <c r="AD417">
        <v>-1</v>
      </c>
      <c r="AE417" t="s">
        <v>64</v>
      </c>
      <c r="AF417">
        <v>0</v>
      </c>
      <c r="AG417" t="b">
        <v>0</v>
      </c>
      <c r="AH417">
        <v>-1</v>
      </c>
      <c r="AI417" t="s">
        <v>64</v>
      </c>
      <c r="AJ417">
        <v>0</v>
      </c>
      <c r="AK417" t="b">
        <v>0</v>
      </c>
      <c r="AM417" t="b">
        <v>0</v>
      </c>
      <c r="AN417">
        <v>0</v>
      </c>
      <c r="AO417" t="b">
        <v>0</v>
      </c>
      <c r="AQ417">
        <v>2663727.1329999999</v>
      </c>
      <c r="AR417">
        <v>2663727.1329999999</v>
      </c>
      <c r="AS417">
        <v>0</v>
      </c>
      <c r="AT417" t="b">
        <v>0</v>
      </c>
      <c r="AU417" t="b">
        <v>1</v>
      </c>
      <c r="AV417" t="b">
        <v>1</v>
      </c>
      <c r="AW417" t="b">
        <v>1</v>
      </c>
      <c r="BC417" t="str">
        <f t="shared" si="6"/>
        <v>Normal</v>
      </c>
    </row>
    <row r="418" spans="1:55" x14ac:dyDescent="0.2">
      <c r="A418" t="s">
        <v>39</v>
      </c>
      <c r="B418" t="s">
        <v>40</v>
      </c>
      <c r="C418">
        <v>20220101</v>
      </c>
      <c r="D418">
        <v>2022</v>
      </c>
      <c r="E418">
        <v>52</v>
      </c>
      <c r="F418" t="s">
        <v>346</v>
      </c>
      <c r="G418">
        <v>188</v>
      </c>
      <c r="H418" t="s">
        <v>106</v>
      </c>
      <c r="I418" t="s">
        <v>107</v>
      </c>
      <c r="J418" t="s">
        <v>44</v>
      </c>
      <c r="K418" t="s">
        <v>45</v>
      </c>
      <c r="L418">
        <v>0</v>
      </c>
      <c r="M418" t="s">
        <v>46</v>
      </c>
      <c r="N418" t="s">
        <v>47</v>
      </c>
      <c r="O418">
        <v>0</v>
      </c>
      <c r="P418" t="s">
        <v>46</v>
      </c>
      <c r="Q418" t="s">
        <v>47</v>
      </c>
      <c r="R418" t="s">
        <v>347</v>
      </c>
      <c r="S418" t="s">
        <v>49</v>
      </c>
      <c r="T418" t="b">
        <v>1</v>
      </c>
      <c r="U418" t="s">
        <v>50</v>
      </c>
      <c r="V418" t="s">
        <v>51</v>
      </c>
      <c r="W418">
        <v>4</v>
      </c>
      <c r="X418" t="b">
        <v>0</v>
      </c>
      <c r="Y418" t="s">
        <v>52</v>
      </c>
      <c r="Z418" t="s">
        <v>53</v>
      </c>
      <c r="AA418" t="s">
        <v>54</v>
      </c>
      <c r="AB418">
        <v>0</v>
      </c>
      <c r="AC418" t="s">
        <v>55</v>
      </c>
      <c r="AD418">
        <v>8</v>
      </c>
      <c r="AE418" t="s">
        <v>56</v>
      </c>
      <c r="AF418">
        <v>425.05500000000001</v>
      </c>
      <c r="AG418" t="b">
        <v>0</v>
      </c>
      <c r="AH418">
        <v>8</v>
      </c>
      <c r="AI418" t="s">
        <v>56</v>
      </c>
      <c r="AJ418">
        <v>425.05500000000001</v>
      </c>
      <c r="AK418" t="b">
        <v>0</v>
      </c>
      <c r="AL418">
        <v>425.05500000000001</v>
      </c>
      <c r="AM418" t="b">
        <v>0</v>
      </c>
      <c r="AN418">
        <v>0</v>
      </c>
      <c r="AO418" t="b">
        <v>0</v>
      </c>
      <c r="AQ418">
        <v>9554899.7400000002</v>
      </c>
      <c r="AR418">
        <v>9554899.7400000002</v>
      </c>
      <c r="AS418">
        <v>0</v>
      </c>
      <c r="AT418" t="b">
        <v>0</v>
      </c>
      <c r="AU418" t="b">
        <v>1</v>
      </c>
      <c r="AV418" t="b">
        <v>1</v>
      </c>
      <c r="AW418" t="b">
        <v>1</v>
      </c>
      <c r="BC418" t="str">
        <f t="shared" si="6"/>
        <v>Normal</v>
      </c>
    </row>
    <row r="419" spans="1:55" x14ac:dyDescent="0.2">
      <c r="A419" t="s">
        <v>39</v>
      </c>
      <c r="B419" t="s">
        <v>40</v>
      </c>
      <c r="C419">
        <v>20220101</v>
      </c>
      <c r="D419">
        <v>2022</v>
      </c>
      <c r="E419">
        <v>52</v>
      </c>
      <c r="F419" t="s">
        <v>346</v>
      </c>
      <c r="G419">
        <v>191</v>
      </c>
      <c r="H419" t="s">
        <v>108</v>
      </c>
      <c r="I419" t="s">
        <v>109</v>
      </c>
      <c r="J419" t="s">
        <v>44</v>
      </c>
      <c r="K419" t="s">
        <v>45</v>
      </c>
      <c r="L419">
        <v>0</v>
      </c>
      <c r="M419" t="s">
        <v>46</v>
      </c>
      <c r="N419" t="s">
        <v>47</v>
      </c>
      <c r="O419">
        <v>0</v>
      </c>
      <c r="P419" t="s">
        <v>46</v>
      </c>
      <c r="Q419" t="s">
        <v>47</v>
      </c>
      <c r="R419" t="s">
        <v>347</v>
      </c>
      <c r="S419" t="s">
        <v>49</v>
      </c>
      <c r="T419" t="b">
        <v>1</v>
      </c>
      <c r="U419" t="s">
        <v>50</v>
      </c>
      <c r="V419" t="s">
        <v>51</v>
      </c>
      <c r="W419">
        <v>4</v>
      </c>
      <c r="X419" t="b">
        <v>0</v>
      </c>
      <c r="Y419" t="s">
        <v>52</v>
      </c>
      <c r="Z419" t="s">
        <v>53</v>
      </c>
      <c r="AA419" t="s">
        <v>54</v>
      </c>
      <c r="AB419">
        <v>0</v>
      </c>
      <c r="AC419" t="s">
        <v>55</v>
      </c>
      <c r="AD419">
        <v>8</v>
      </c>
      <c r="AE419" t="s">
        <v>56</v>
      </c>
      <c r="AF419">
        <v>2521.529</v>
      </c>
      <c r="AG419" t="b">
        <v>0</v>
      </c>
      <c r="AH419">
        <v>15</v>
      </c>
      <c r="AI419" t="s">
        <v>59</v>
      </c>
      <c r="AJ419">
        <v>2521529.4</v>
      </c>
      <c r="AK419" t="b">
        <v>0</v>
      </c>
      <c r="AL419">
        <v>2531.3000000000002</v>
      </c>
      <c r="AM419" t="b">
        <v>0</v>
      </c>
      <c r="AN419">
        <v>0</v>
      </c>
      <c r="AO419" t="b">
        <v>0</v>
      </c>
      <c r="AQ419">
        <v>139502581</v>
      </c>
      <c r="AR419">
        <v>139502581</v>
      </c>
      <c r="AS419">
        <v>0</v>
      </c>
      <c r="AT419" t="b">
        <v>0</v>
      </c>
      <c r="AU419" t="b">
        <v>1</v>
      </c>
      <c r="AV419" t="b">
        <v>1</v>
      </c>
      <c r="AW419" t="b">
        <v>1</v>
      </c>
      <c r="BC419" t="str">
        <f t="shared" si="6"/>
        <v>Normal</v>
      </c>
    </row>
    <row r="420" spans="1:55" x14ac:dyDescent="0.2">
      <c r="A420" t="s">
        <v>39</v>
      </c>
      <c r="B420" t="s">
        <v>40</v>
      </c>
      <c r="C420">
        <v>20220101</v>
      </c>
      <c r="D420">
        <v>2022</v>
      </c>
      <c r="E420">
        <v>52</v>
      </c>
      <c r="F420" t="s">
        <v>346</v>
      </c>
      <c r="G420">
        <v>196</v>
      </c>
      <c r="H420" t="s">
        <v>112</v>
      </c>
      <c r="I420" t="s">
        <v>113</v>
      </c>
      <c r="J420" t="s">
        <v>44</v>
      </c>
      <c r="K420" t="s">
        <v>45</v>
      </c>
      <c r="L420">
        <v>0</v>
      </c>
      <c r="M420" t="s">
        <v>46</v>
      </c>
      <c r="N420" t="s">
        <v>47</v>
      </c>
      <c r="O420">
        <v>0</v>
      </c>
      <c r="P420" t="s">
        <v>46</v>
      </c>
      <c r="Q420" t="s">
        <v>47</v>
      </c>
      <c r="R420" t="s">
        <v>347</v>
      </c>
      <c r="S420" t="s">
        <v>49</v>
      </c>
      <c r="T420" t="b">
        <v>1</v>
      </c>
      <c r="U420" t="s">
        <v>50</v>
      </c>
      <c r="V420" t="s">
        <v>51</v>
      </c>
      <c r="W420">
        <v>4</v>
      </c>
      <c r="X420" t="b">
        <v>0</v>
      </c>
      <c r="Y420" t="s">
        <v>52</v>
      </c>
      <c r="Z420" t="s">
        <v>53</v>
      </c>
      <c r="AA420" t="s">
        <v>54</v>
      </c>
      <c r="AB420">
        <v>0</v>
      </c>
      <c r="AC420" t="s">
        <v>55</v>
      </c>
      <c r="AD420">
        <v>8</v>
      </c>
      <c r="AE420" t="s">
        <v>56</v>
      </c>
      <c r="AF420">
        <v>497.863</v>
      </c>
      <c r="AG420" t="b">
        <v>0</v>
      </c>
      <c r="AH420">
        <v>15</v>
      </c>
      <c r="AI420" t="s">
        <v>59</v>
      </c>
      <c r="AJ420">
        <v>497863</v>
      </c>
      <c r="AK420" t="b">
        <v>0</v>
      </c>
      <c r="AL420">
        <v>511</v>
      </c>
      <c r="AM420" t="b">
        <v>0</v>
      </c>
      <c r="AN420">
        <v>0</v>
      </c>
      <c r="AO420" t="b">
        <v>0</v>
      </c>
      <c r="AQ420">
        <v>25238641.868000001</v>
      </c>
      <c r="AR420">
        <v>25238641.868000001</v>
      </c>
      <c r="AS420">
        <v>0</v>
      </c>
      <c r="AT420" t="b">
        <v>0</v>
      </c>
      <c r="AU420" t="b">
        <v>1</v>
      </c>
      <c r="AV420" t="b">
        <v>1</v>
      </c>
      <c r="AW420" t="b">
        <v>1</v>
      </c>
      <c r="BC420" t="str">
        <f t="shared" si="6"/>
        <v>Normal</v>
      </c>
    </row>
    <row r="421" spans="1:55" x14ac:dyDescent="0.2">
      <c r="A421" t="s">
        <v>39</v>
      </c>
      <c r="B421" t="s">
        <v>40</v>
      </c>
      <c r="C421">
        <v>20220101</v>
      </c>
      <c r="D421">
        <v>2022</v>
      </c>
      <c r="E421">
        <v>52</v>
      </c>
      <c r="F421" t="s">
        <v>346</v>
      </c>
      <c r="G421">
        <v>203</v>
      </c>
      <c r="H421" t="s">
        <v>114</v>
      </c>
      <c r="I421" t="s">
        <v>115</v>
      </c>
      <c r="J421" t="s">
        <v>44</v>
      </c>
      <c r="K421" t="s">
        <v>45</v>
      </c>
      <c r="L421">
        <v>0</v>
      </c>
      <c r="M421" t="s">
        <v>46</v>
      </c>
      <c r="N421" t="s">
        <v>47</v>
      </c>
      <c r="O421">
        <v>0</v>
      </c>
      <c r="P421" t="s">
        <v>46</v>
      </c>
      <c r="Q421" t="s">
        <v>47</v>
      </c>
      <c r="R421" t="s">
        <v>347</v>
      </c>
      <c r="S421" t="s">
        <v>49</v>
      </c>
      <c r="T421" t="b">
        <v>1</v>
      </c>
      <c r="U421" t="s">
        <v>50</v>
      </c>
      <c r="V421" t="s">
        <v>51</v>
      </c>
      <c r="W421">
        <v>4</v>
      </c>
      <c r="X421" t="b">
        <v>0</v>
      </c>
      <c r="Y421" t="s">
        <v>52</v>
      </c>
      <c r="Z421" t="s">
        <v>53</v>
      </c>
      <c r="AA421" t="s">
        <v>54</v>
      </c>
      <c r="AB421">
        <v>0</v>
      </c>
      <c r="AC421" t="s">
        <v>55</v>
      </c>
      <c r="AD421">
        <v>-1</v>
      </c>
      <c r="AE421" t="s">
        <v>64</v>
      </c>
      <c r="AF421">
        <v>0</v>
      </c>
      <c r="AG421" t="b">
        <v>0</v>
      </c>
      <c r="AH421">
        <v>-1</v>
      </c>
      <c r="AI421" t="s">
        <v>64</v>
      </c>
      <c r="AJ421">
        <v>0</v>
      </c>
      <c r="AK421" t="b">
        <v>0</v>
      </c>
      <c r="AM421" t="b">
        <v>0</v>
      </c>
      <c r="AN421">
        <v>0</v>
      </c>
      <c r="AO421" t="b">
        <v>0</v>
      </c>
      <c r="AQ421">
        <v>91869715</v>
      </c>
      <c r="AR421">
        <v>91869715</v>
      </c>
      <c r="AS421">
        <v>0</v>
      </c>
      <c r="AT421" t="b">
        <v>0</v>
      </c>
      <c r="AU421" t="b">
        <v>1</v>
      </c>
      <c r="AV421" t="b">
        <v>1</v>
      </c>
      <c r="AW421" t="b">
        <v>1</v>
      </c>
      <c r="BC421" t="str">
        <f t="shared" si="6"/>
        <v>Normal</v>
      </c>
    </row>
    <row r="422" spans="1:55" x14ac:dyDescent="0.2">
      <c r="A422" t="s">
        <v>39</v>
      </c>
      <c r="B422" t="s">
        <v>40</v>
      </c>
      <c r="C422">
        <v>20220101</v>
      </c>
      <c r="D422">
        <v>2022</v>
      </c>
      <c r="E422">
        <v>52</v>
      </c>
      <c r="F422" t="s">
        <v>346</v>
      </c>
      <c r="G422">
        <v>204</v>
      </c>
      <c r="H422" t="s">
        <v>116</v>
      </c>
      <c r="I422" t="s">
        <v>117</v>
      </c>
      <c r="J422" t="s">
        <v>44</v>
      </c>
      <c r="K422" t="s">
        <v>45</v>
      </c>
      <c r="L422">
        <v>0</v>
      </c>
      <c r="M422" t="s">
        <v>46</v>
      </c>
      <c r="N422" t="s">
        <v>47</v>
      </c>
      <c r="O422">
        <v>0</v>
      </c>
      <c r="P422" t="s">
        <v>46</v>
      </c>
      <c r="Q422" t="s">
        <v>47</v>
      </c>
      <c r="R422" t="s">
        <v>347</v>
      </c>
      <c r="S422" t="s">
        <v>49</v>
      </c>
      <c r="T422" t="b">
        <v>1</v>
      </c>
      <c r="U422" t="s">
        <v>50</v>
      </c>
      <c r="V422" t="s">
        <v>51</v>
      </c>
      <c r="W422">
        <v>4</v>
      </c>
      <c r="X422" t="b">
        <v>0</v>
      </c>
      <c r="Y422" t="s">
        <v>52</v>
      </c>
      <c r="Z422" t="s">
        <v>53</v>
      </c>
      <c r="AA422" t="s">
        <v>54</v>
      </c>
      <c r="AB422">
        <v>0</v>
      </c>
      <c r="AC422" t="s">
        <v>55</v>
      </c>
      <c r="AD422">
        <v>8</v>
      </c>
      <c r="AE422" t="s">
        <v>56</v>
      </c>
      <c r="AF422">
        <v>2905</v>
      </c>
      <c r="AG422" t="b">
        <v>0</v>
      </c>
      <c r="AH422">
        <v>8</v>
      </c>
      <c r="AI422" t="s">
        <v>56</v>
      </c>
      <c r="AJ422">
        <v>2905</v>
      </c>
      <c r="AK422" t="b">
        <v>0</v>
      </c>
      <c r="AL422">
        <v>2905</v>
      </c>
      <c r="AM422" t="b">
        <v>0</v>
      </c>
      <c r="AN422">
        <v>0</v>
      </c>
      <c r="AO422" t="b">
        <v>0</v>
      </c>
      <c r="AQ422">
        <v>4513909.5089999996</v>
      </c>
      <c r="AR422">
        <v>4513909.5089999996</v>
      </c>
      <c r="AS422">
        <v>0</v>
      </c>
      <c r="AT422" t="b">
        <v>0</v>
      </c>
      <c r="AU422" t="b">
        <v>1</v>
      </c>
      <c r="AV422" t="b">
        <v>1</v>
      </c>
      <c r="AW422" t="b">
        <v>1</v>
      </c>
      <c r="BC422" t="str">
        <f t="shared" si="6"/>
        <v>Normal</v>
      </c>
    </row>
    <row r="423" spans="1:55" x14ac:dyDescent="0.2">
      <c r="A423" t="s">
        <v>39</v>
      </c>
      <c r="B423" t="s">
        <v>40</v>
      </c>
      <c r="C423">
        <v>20220101</v>
      </c>
      <c r="D423">
        <v>2022</v>
      </c>
      <c r="E423">
        <v>52</v>
      </c>
      <c r="F423" t="s">
        <v>346</v>
      </c>
      <c r="G423">
        <v>208</v>
      </c>
      <c r="H423" t="s">
        <v>118</v>
      </c>
      <c r="I423" t="s">
        <v>119</v>
      </c>
      <c r="J423" t="s">
        <v>44</v>
      </c>
      <c r="K423" t="s">
        <v>45</v>
      </c>
      <c r="L423">
        <v>0</v>
      </c>
      <c r="M423" t="s">
        <v>46</v>
      </c>
      <c r="N423" t="s">
        <v>47</v>
      </c>
      <c r="O423">
        <v>0</v>
      </c>
      <c r="P423" t="s">
        <v>46</v>
      </c>
      <c r="Q423" t="s">
        <v>47</v>
      </c>
      <c r="R423" t="s">
        <v>347</v>
      </c>
      <c r="S423" t="s">
        <v>49</v>
      </c>
      <c r="T423" t="b">
        <v>1</v>
      </c>
      <c r="U423" t="s">
        <v>50</v>
      </c>
      <c r="V423" t="s">
        <v>51</v>
      </c>
      <c r="W423">
        <v>4</v>
      </c>
      <c r="X423" t="b">
        <v>0</v>
      </c>
      <c r="Y423" t="s">
        <v>52</v>
      </c>
      <c r="Z423" t="s">
        <v>53</v>
      </c>
      <c r="AA423" t="s">
        <v>54</v>
      </c>
      <c r="AB423">
        <v>0</v>
      </c>
      <c r="AC423" t="s">
        <v>55</v>
      </c>
      <c r="AD423">
        <v>-1</v>
      </c>
      <c r="AE423" t="s">
        <v>64</v>
      </c>
      <c r="AF423">
        <v>0</v>
      </c>
      <c r="AG423" t="b">
        <v>0</v>
      </c>
      <c r="AH423">
        <v>-1</v>
      </c>
      <c r="AI423" t="s">
        <v>64</v>
      </c>
      <c r="AJ423">
        <v>0</v>
      </c>
      <c r="AK423" t="b">
        <v>0</v>
      </c>
      <c r="AM423" t="b">
        <v>0</v>
      </c>
      <c r="AN423">
        <v>0</v>
      </c>
      <c r="AO423" t="b">
        <v>0</v>
      </c>
      <c r="AQ423">
        <v>24831195.760000002</v>
      </c>
      <c r="AR423">
        <v>24831195.760000002</v>
      </c>
      <c r="AS423">
        <v>0</v>
      </c>
      <c r="AT423" t="b">
        <v>0</v>
      </c>
      <c r="AU423" t="b">
        <v>1</v>
      </c>
      <c r="AV423" t="b">
        <v>1</v>
      </c>
      <c r="AW423" t="b">
        <v>1</v>
      </c>
      <c r="BC423" t="str">
        <f t="shared" si="6"/>
        <v>Normal</v>
      </c>
    </row>
    <row r="424" spans="1:55" x14ac:dyDescent="0.2">
      <c r="A424" t="s">
        <v>39</v>
      </c>
      <c r="B424" t="s">
        <v>40</v>
      </c>
      <c r="C424">
        <v>20220101</v>
      </c>
      <c r="D424">
        <v>2022</v>
      </c>
      <c r="E424">
        <v>52</v>
      </c>
      <c r="F424" t="s">
        <v>346</v>
      </c>
      <c r="G424">
        <v>214</v>
      </c>
      <c r="H424" t="s">
        <v>120</v>
      </c>
      <c r="I424" t="s">
        <v>121</v>
      </c>
      <c r="J424" t="s">
        <v>44</v>
      </c>
      <c r="K424" t="s">
        <v>45</v>
      </c>
      <c r="L424">
        <v>0</v>
      </c>
      <c r="M424" t="s">
        <v>46</v>
      </c>
      <c r="N424" t="s">
        <v>47</v>
      </c>
      <c r="O424">
        <v>0</v>
      </c>
      <c r="P424" t="s">
        <v>46</v>
      </c>
      <c r="Q424" t="s">
        <v>47</v>
      </c>
      <c r="R424" t="s">
        <v>48</v>
      </c>
      <c r="S424" t="s">
        <v>49</v>
      </c>
      <c r="T424" t="b">
        <v>1</v>
      </c>
      <c r="U424" t="s">
        <v>50</v>
      </c>
      <c r="V424" t="s">
        <v>51</v>
      </c>
      <c r="W424">
        <v>4</v>
      </c>
      <c r="X424" t="b">
        <v>0</v>
      </c>
      <c r="Y424" t="s">
        <v>52</v>
      </c>
      <c r="Z424" t="s">
        <v>53</v>
      </c>
      <c r="AA424" t="s">
        <v>54</v>
      </c>
      <c r="AB424">
        <v>0</v>
      </c>
      <c r="AC424" t="s">
        <v>55</v>
      </c>
      <c r="AD424">
        <v>8</v>
      </c>
      <c r="AE424" t="s">
        <v>56</v>
      </c>
      <c r="AF424">
        <v>91191.197</v>
      </c>
      <c r="AG424" t="b">
        <v>1</v>
      </c>
      <c r="AH424">
        <v>-1</v>
      </c>
      <c r="AI424" t="s">
        <v>64</v>
      </c>
      <c r="AJ424">
        <v>0</v>
      </c>
      <c r="AK424" t="b">
        <v>0</v>
      </c>
      <c r="AL424" s="1">
        <v>91209.642999999996</v>
      </c>
      <c r="AM424" t="b">
        <v>1</v>
      </c>
      <c r="AN424">
        <v>0</v>
      </c>
      <c r="AO424" t="b">
        <v>0</v>
      </c>
      <c r="AQ424">
        <v>1377806604.223</v>
      </c>
      <c r="AR424">
        <v>1377806604.223</v>
      </c>
      <c r="AS424">
        <v>6</v>
      </c>
      <c r="AT424" t="b">
        <v>0</v>
      </c>
      <c r="AU424" t="b">
        <v>1</v>
      </c>
      <c r="AV424" t="b">
        <v>1</v>
      </c>
      <c r="AW424" t="b">
        <v>1</v>
      </c>
      <c r="BC424" t="str">
        <f t="shared" si="6"/>
        <v>Outlier</v>
      </c>
    </row>
    <row r="425" spans="1:55" x14ac:dyDescent="0.2">
      <c r="A425" t="s">
        <v>39</v>
      </c>
      <c r="B425" t="s">
        <v>40</v>
      </c>
      <c r="C425">
        <v>20220101</v>
      </c>
      <c r="D425">
        <v>2022</v>
      </c>
      <c r="E425">
        <v>52</v>
      </c>
      <c r="F425" t="s">
        <v>346</v>
      </c>
      <c r="G425">
        <v>218</v>
      </c>
      <c r="H425" t="s">
        <v>122</v>
      </c>
      <c r="I425" t="s">
        <v>123</v>
      </c>
      <c r="J425" t="s">
        <v>44</v>
      </c>
      <c r="K425" t="s">
        <v>45</v>
      </c>
      <c r="L425">
        <v>0</v>
      </c>
      <c r="M425" t="s">
        <v>46</v>
      </c>
      <c r="N425" t="s">
        <v>47</v>
      </c>
      <c r="O425">
        <v>0</v>
      </c>
      <c r="P425" t="s">
        <v>46</v>
      </c>
      <c r="Q425" t="s">
        <v>47</v>
      </c>
      <c r="R425" t="s">
        <v>48</v>
      </c>
      <c r="S425" t="s">
        <v>49</v>
      </c>
      <c r="T425" t="b">
        <v>1</v>
      </c>
      <c r="U425" t="s">
        <v>50</v>
      </c>
      <c r="V425" t="s">
        <v>51</v>
      </c>
      <c r="W425">
        <v>4</v>
      </c>
      <c r="X425" t="b">
        <v>0</v>
      </c>
      <c r="Y425" t="s">
        <v>52</v>
      </c>
      <c r="Z425" t="s">
        <v>53</v>
      </c>
      <c r="AA425" t="s">
        <v>54</v>
      </c>
      <c r="AB425">
        <v>0</v>
      </c>
      <c r="AC425" t="s">
        <v>55</v>
      </c>
      <c r="AD425">
        <v>8</v>
      </c>
      <c r="AE425" t="s">
        <v>56</v>
      </c>
      <c r="AF425">
        <v>19216.7</v>
      </c>
      <c r="AG425" t="b">
        <v>0</v>
      </c>
      <c r="AH425">
        <v>21</v>
      </c>
      <c r="AI425" t="s">
        <v>306</v>
      </c>
      <c r="AJ425">
        <v>19.216999999999999</v>
      </c>
      <c r="AK425" t="b">
        <v>0</v>
      </c>
      <c r="AL425">
        <v>19216.7</v>
      </c>
      <c r="AM425" t="b">
        <v>0</v>
      </c>
      <c r="AN425">
        <v>0</v>
      </c>
      <c r="AO425" t="b">
        <v>0</v>
      </c>
      <c r="AQ425">
        <v>902808962.29999995</v>
      </c>
      <c r="AR425">
        <v>902808962.29999995</v>
      </c>
      <c r="AS425">
        <v>0</v>
      </c>
      <c r="AT425" t="b">
        <v>0</v>
      </c>
      <c r="AU425" t="b">
        <v>1</v>
      </c>
      <c r="AV425" t="b">
        <v>1</v>
      </c>
      <c r="AW425" t="b">
        <v>1</v>
      </c>
      <c r="BC425" t="str">
        <f t="shared" si="6"/>
        <v>Normal</v>
      </c>
    </row>
    <row r="426" spans="1:55" x14ac:dyDescent="0.2">
      <c r="A426" t="s">
        <v>39</v>
      </c>
      <c r="B426" t="s">
        <v>40</v>
      </c>
      <c r="C426">
        <v>20220101</v>
      </c>
      <c r="D426">
        <v>2022</v>
      </c>
      <c r="E426">
        <v>52</v>
      </c>
      <c r="F426" t="s">
        <v>346</v>
      </c>
      <c r="G426">
        <v>222</v>
      </c>
      <c r="H426" t="s">
        <v>319</v>
      </c>
      <c r="I426" t="s">
        <v>320</v>
      </c>
      <c r="J426" t="s">
        <v>44</v>
      </c>
      <c r="K426" t="s">
        <v>45</v>
      </c>
      <c r="L426">
        <v>0</v>
      </c>
      <c r="M426" t="s">
        <v>46</v>
      </c>
      <c r="N426" t="s">
        <v>47</v>
      </c>
      <c r="O426">
        <v>0</v>
      </c>
      <c r="P426" t="s">
        <v>46</v>
      </c>
      <c r="Q426" t="s">
        <v>47</v>
      </c>
      <c r="R426" t="s">
        <v>347</v>
      </c>
      <c r="S426" t="s">
        <v>49</v>
      </c>
      <c r="T426" t="b">
        <v>1</v>
      </c>
      <c r="U426" t="s">
        <v>50</v>
      </c>
      <c r="V426" t="s">
        <v>51</v>
      </c>
      <c r="W426">
        <v>4</v>
      </c>
      <c r="X426" t="b">
        <v>0</v>
      </c>
      <c r="Y426" t="s">
        <v>52</v>
      </c>
      <c r="Z426" t="s">
        <v>53</v>
      </c>
      <c r="AA426" t="s">
        <v>54</v>
      </c>
      <c r="AB426">
        <v>0</v>
      </c>
      <c r="AC426" t="s">
        <v>55</v>
      </c>
      <c r="AD426">
        <v>-1</v>
      </c>
      <c r="AE426" t="s">
        <v>64</v>
      </c>
      <c r="AF426">
        <v>0</v>
      </c>
      <c r="AG426" t="b">
        <v>0</v>
      </c>
      <c r="AH426">
        <v>-1</v>
      </c>
      <c r="AI426" t="s">
        <v>64</v>
      </c>
      <c r="AJ426">
        <v>0</v>
      </c>
      <c r="AK426" t="b">
        <v>0</v>
      </c>
      <c r="AL426">
        <v>0</v>
      </c>
      <c r="AM426" t="b">
        <v>0</v>
      </c>
      <c r="AN426">
        <v>0</v>
      </c>
      <c r="AO426" t="b">
        <v>0</v>
      </c>
      <c r="AP426">
        <v>0</v>
      </c>
      <c r="AQ426">
        <v>54731.72</v>
      </c>
      <c r="AR426">
        <v>54731.72</v>
      </c>
      <c r="AS426">
        <v>0</v>
      </c>
      <c r="AT426" t="b">
        <v>0</v>
      </c>
      <c r="AU426" t="b">
        <v>1</v>
      </c>
      <c r="AV426" t="b">
        <v>1</v>
      </c>
      <c r="AW426" t="b">
        <v>1</v>
      </c>
      <c r="BC426" t="str">
        <f t="shared" si="6"/>
        <v>Normal</v>
      </c>
    </row>
    <row r="427" spans="1:55" x14ac:dyDescent="0.2">
      <c r="A427" t="s">
        <v>39</v>
      </c>
      <c r="B427" t="s">
        <v>40</v>
      </c>
      <c r="C427">
        <v>20220101</v>
      </c>
      <c r="D427">
        <v>2022</v>
      </c>
      <c r="E427">
        <v>52</v>
      </c>
      <c r="F427" t="s">
        <v>346</v>
      </c>
      <c r="G427">
        <v>233</v>
      </c>
      <c r="H427" t="s">
        <v>124</v>
      </c>
      <c r="I427" t="s">
        <v>125</v>
      </c>
      <c r="J427" t="s">
        <v>44</v>
      </c>
      <c r="K427" t="s">
        <v>45</v>
      </c>
      <c r="L427">
        <v>0</v>
      </c>
      <c r="M427" t="s">
        <v>46</v>
      </c>
      <c r="N427" t="s">
        <v>47</v>
      </c>
      <c r="O427">
        <v>0</v>
      </c>
      <c r="P427" t="s">
        <v>46</v>
      </c>
      <c r="Q427" t="s">
        <v>47</v>
      </c>
      <c r="R427" t="s">
        <v>347</v>
      </c>
      <c r="S427" t="s">
        <v>49</v>
      </c>
      <c r="T427" t="b">
        <v>1</v>
      </c>
      <c r="U427" t="s">
        <v>50</v>
      </c>
      <c r="V427" t="s">
        <v>51</v>
      </c>
      <c r="W427">
        <v>4</v>
      </c>
      <c r="X427" t="b">
        <v>0</v>
      </c>
      <c r="Y427" t="s">
        <v>52</v>
      </c>
      <c r="Z427" t="s">
        <v>53</v>
      </c>
      <c r="AA427" t="s">
        <v>54</v>
      </c>
      <c r="AB427">
        <v>0</v>
      </c>
      <c r="AC427" t="s">
        <v>55</v>
      </c>
      <c r="AD427">
        <v>8</v>
      </c>
      <c r="AE427" t="s">
        <v>56</v>
      </c>
      <c r="AF427">
        <v>2039.8009999999999</v>
      </c>
      <c r="AG427" t="b">
        <v>0</v>
      </c>
      <c r="AH427">
        <v>15</v>
      </c>
      <c r="AI427" t="s">
        <v>59</v>
      </c>
      <c r="AJ427">
        <v>2039800.852</v>
      </c>
      <c r="AK427" t="b">
        <v>0</v>
      </c>
      <c r="AL427">
        <v>2039.809</v>
      </c>
      <c r="AM427" t="b">
        <v>0</v>
      </c>
      <c r="AN427">
        <v>0</v>
      </c>
      <c r="AO427" t="b">
        <v>0</v>
      </c>
      <c r="AQ427">
        <v>113473859.84</v>
      </c>
      <c r="AR427">
        <v>113473859.84</v>
      </c>
      <c r="AS427">
        <v>0</v>
      </c>
      <c r="AT427" t="b">
        <v>0</v>
      </c>
      <c r="AU427" t="b">
        <v>1</v>
      </c>
      <c r="AV427" t="b">
        <v>1</v>
      </c>
      <c r="AW427" t="b">
        <v>1</v>
      </c>
      <c r="BC427" t="str">
        <f t="shared" si="6"/>
        <v>Normal</v>
      </c>
    </row>
    <row r="428" spans="1:55" x14ac:dyDescent="0.2">
      <c r="A428" t="s">
        <v>39</v>
      </c>
      <c r="B428" t="s">
        <v>40</v>
      </c>
      <c r="C428">
        <v>20220101</v>
      </c>
      <c r="D428">
        <v>2022</v>
      </c>
      <c r="E428">
        <v>52</v>
      </c>
      <c r="F428" t="s">
        <v>346</v>
      </c>
      <c r="G428">
        <v>242</v>
      </c>
      <c r="H428" t="s">
        <v>126</v>
      </c>
      <c r="I428" t="s">
        <v>127</v>
      </c>
      <c r="J428" t="s">
        <v>44</v>
      </c>
      <c r="K428" t="s">
        <v>45</v>
      </c>
      <c r="L428">
        <v>0</v>
      </c>
      <c r="M428" t="s">
        <v>46</v>
      </c>
      <c r="N428" t="s">
        <v>47</v>
      </c>
      <c r="O428">
        <v>0</v>
      </c>
      <c r="P428" t="s">
        <v>46</v>
      </c>
      <c r="Q428" t="s">
        <v>47</v>
      </c>
      <c r="R428" t="s">
        <v>347</v>
      </c>
      <c r="S428" t="s">
        <v>49</v>
      </c>
      <c r="T428" t="b">
        <v>1</v>
      </c>
      <c r="U428" t="s">
        <v>50</v>
      </c>
      <c r="V428" t="s">
        <v>51</v>
      </c>
      <c r="W428">
        <v>4</v>
      </c>
      <c r="X428" t="b">
        <v>0</v>
      </c>
      <c r="Y428" t="s">
        <v>52</v>
      </c>
      <c r="Z428" t="s">
        <v>53</v>
      </c>
      <c r="AA428" t="s">
        <v>54</v>
      </c>
      <c r="AB428">
        <v>0</v>
      </c>
      <c r="AC428" t="s">
        <v>55</v>
      </c>
      <c r="AD428">
        <v>8</v>
      </c>
      <c r="AE428" t="s">
        <v>56</v>
      </c>
      <c r="AF428">
        <v>817.14</v>
      </c>
      <c r="AG428" t="b">
        <v>0</v>
      </c>
      <c r="AH428">
        <v>8</v>
      </c>
      <c r="AI428" t="s">
        <v>56</v>
      </c>
      <c r="AJ428">
        <v>817.14</v>
      </c>
      <c r="AK428" t="b">
        <v>0</v>
      </c>
      <c r="AL428">
        <v>817.14</v>
      </c>
      <c r="AM428" t="b">
        <v>0</v>
      </c>
      <c r="AN428">
        <v>0</v>
      </c>
      <c r="AO428" t="b">
        <v>0</v>
      </c>
      <c r="AQ428">
        <v>46041651.306000002</v>
      </c>
      <c r="AR428">
        <v>46041651.306000002</v>
      </c>
      <c r="AS428">
        <v>0</v>
      </c>
      <c r="AT428" t="b">
        <v>0</v>
      </c>
      <c r="AU428" t="b">
        <v>1</v>
      </c>
      <c r="AV428" t="b">
        <v>1</v>
      </c>
      <c r="AW428" t="b">
        <v>1</v>
      </c>
      <c r="BC428" t="str">
        <f t="shared" si="6"/>
        <v>Normal</v>
      </c>
    </row>
    <row r="429" spans="1:55" x14ac:dyDescent="0.2">
      <c r="A429" t="s">
        <v>39</v>
      </c>
      <c r="B429" t="s">
        <v>40</v>
      </c>
      <c r="C429">
        <v>20220101</v>
      </c>
      <c r="D429">
        <v>2022</v>
      </c>
      <c r="E429">
        <v>52</v>
      </c>
      <c r="F429" t="s">
        <v>346</v>
      </c>
      <c r="G429">
        <v>246</v>
      </c>
      <c r="H429" t="s">
        <v>128</v>
      </c>
      <c r="I429" t="s">
        <v>129</v>
      </c>
      <c r="J429" t="s">
        <v>44</v>
      </c>
      <c r="K429" t="s">
        <v>45</v>
      </c>
      <c r="L429">
        <v>0</v>
      </c>
      <c r="M429" t="s">
        <v>46</v>
      </c>
      <c r="N429" t="s">
        <v>47</v>
      </c>
      <c r="O429">
        <v>0</v>
      </c>
      <c r="P429" t="s">
        <v>46</v>
      </c>
      <c r="Q429" t="s">
        <v>47</v>
      </c>
      <c r="R429" t="s">
        <v>347</v>
      </c>
      <c r="S429" t="s">
        <v>49</v>
      </c>
      <c r="T429" t="b">
        <v>1</v>
      </c>
      <c r="U429" t="s">
        <v>50</v>
      </c>
      <c r="V429" t="s">
        <v>51</v>
      </c>
      <c r="W429">
        <v>4</v>
      </c>
      <c r="X429" t="b">
        <v>0</v>
      </c>
      <c r="Y429" t="s">
        <v>52</v>
      </c>
      <c r="Z429" t="s">
        <v>53</v>
      </c>
      <c r="AA429" t="s">
        <v>54</v>
      </c>
      <c r="AB429">
        <v>0</v>
      </c>
      <c r="AC429" t="s">
        <v>55</v>
      </c>
      <c r="AD429">
        <v>8</v>
      </c>
      <c r="AE429" t="s">
        <v>56</v>
      </c>
      <c r="AF429">
        <v>143.52699999999999</v>
      </c>
      <c r="AG429" t="b">
        <v>1</v>
      </c>
      <c r="AH429">
        <v>-1</v>
      </c>
      <c r="AI429" t="s">
        <v>64</v>
      </c>
      <c r="AJ429">
        <v>0</v>
      </c>
      <c r="AK429" t="b">
        <v>0</v>
      </c>
      <c r="AL429">
        <v>147.04300000000001</v>
      </c>
      <c r="AM429" t="b">
        <v>1</v>
      </c>
      <c r="AN429">
        <v>0</v>
      </c>
      <c r="AO429" t="b">
        <v>0</v>
      </c>
      <c r="AQ429">
        <v>6666163.2359999996</v>
      </c>
      <c r="AR429">
        <v>6666163.2359999996</v>
      </c>
      <c r="AS429">
        <v>6</v>
      </c>
      <c r="AT429" t="b">
        <v>0</v>
      </c>
      <c r="AU429" t="b">
        <v>1</v>
      </c>
      <c r="AV429" t="b">
        <v>1</v>
      </c>
      <c r="AW429" t="b">
        <v>1</v>
      </c>
      <c r="BC429" t="str">
        <f t="shared" si="6"/>
        <v>Normal</v>
      </c>
    </row>
    <row r="430" spans="1:55" x14ac:dyDescent="0.2">
      <c r="A430" t="s">
        <v>39</v>
      </c>
      <c r="B430" t="s">
        <v>40</v>
      </c>
      <c r="C430">
        <v>20220101</v>
      </c>
      <c r="D430">
        <v>2022</v>
      </c>
      <c r="E430">
        <v>52</v>
      </c>
      <c r="F430" t="s">
        <v>346</v>
      </c>
      <c r="G430">
        <v>251</v>
      </c>
      <c r="H430" t="s">
        <v>130</v>
      </c>
      <c r="I430" t="s">
        <v>131</v>
      </c>
      <c r="J430" t="s">
        <v>44</v>
      </c>
      <c r="K430" t="s">
        <v>45</v>
      </c>
      <c r="L430">
        <v>0</v>
      </c>
      <c r="M430" t="s">
        <v>46</v>
      </c>
      <c r="N430" t="s">
        <v>47</v>
      </c>
      <c r="O430">
        <v>0</v>
      </c>
      <c r="P430" t="s">
        <v>46</v>
      </c>
      <c r="Q430" t="s">
        <v>47</v>
      </c>
      <c r="R430" t="s">
        <v>347</v>
      </c>
      <c r="S430" t="s">
        <v>49</v>
      </c>
      <c r="T430" t="b">
        <v>1</v>
      </c>
      <c r="U430" t="s">
        <v>50</v>
      </c>
      <c r="V430" t="s">
        <v>51</v>
      </c>
      <c r="W430">
        <v>4</v>
      </c>
      <c r="X430" t="b">
        <v>0</v>
      </c>
      <c r="Y430" t="s">
        <v>52</v>
      </c>
      <c r="Z430" t="s">
        <v>53</v>
      </c>
      <c r="AA430" t="s">
        <v>54</v>
      </c>
      <c r="AB430">
        <v>0</v>
      </c>
      <c r="AC430" t="s">
        <v>55</v>
      </c>
      <c r="AD430">
        <v>-1</v>
      </c>
      <c r="AE430" t="s">
        <v>64</v>
      </c>
      <c r="AF430">
        <v>0</v>
      </c>
      <c r="AG430" t="b">
        <v>0</v>
      </c>
      <c r="AH430">
        <v>-1</v>
      </c>
      <c r="AI430" t="s">
        <v>64</v>
      </c>
      <c r="AJ430">
        <v>0</v>
      </c>
      <c r="AK430" t="b">
        <v>0</v>
      </c>
      <c r="AM430" t="b">
        <v>0</v>
      </c>
      <c r="AN430">
        <v>0</v>
      </c>
      <c r="AO430" t="b">
        <v>0</v>
      </c>
      <c r="AQ430">
        <v>1926499469.701</v>
      </c>
      <c r="AR430">
        <v>1926499469.701</v>
      </c>
      <c r="AS430">
        <v>0</v>
      </c>
      <c r="AT430" t="b">
        <v>0</v>
      </c>
      <c r="AU430" t="b">
        <v>1</v>
      </c>
      <c r="AV430" t="b">
        <v>1</v>
      </c>
      <c r="AW430" t="b">
        <v>1</v>
      </c>
      <c r="BC430" t="str">
        <f t="shared" si="6"/>
        <v>Normal</v>
      </c>
    </row>
    <row r="431" spans="1:55" x14ac:dyDescent="0.2">
      <c r="A431" t="s">
        <v>39</v>
      </c>
      <c r="B431" t="s">
        <v>40</v>
      </c>
      <c r="C431">
        <v>20220101</v>
      </c>
      <c r="D431">
        <v>2022</v>
      </c>
      <c r="E431">
        <v>52</v>
      </c>
      <c r="F431" t="s">
        <v>346</v>
      </c>
      <c r="G431">
        <v>258</v>
      </c>
      <c r="H431" t="s">
        <v>132</v>
      </c>
      <c r="I431" t="s">
        <v>133</v>
      </c>
      <c r="J431" t="s">
        <v>44</v>
      </c>
      <c r="K431" t="s">
        <v>45</v>
      </c>
      <c r="L431">
        <v>0</v>
      </c>
      <c r="M431" t="s">
        <v>46</v>
      </c>
      <c r="N431" t="s">
        <v>47</v>
      </c>
      <c r="O431">
        <v>0</v>
      </c>
      <c r="P431" t="s">
        <v>46</v>
      </c>
      <c r="Q431" t="s">
        <v>47</v>
      </c>
      <c r="R431" t="s">
        <v>48</v>
      </c>
      <c r="S431" t="s">
        <v>49</v>
      </c>
      <c r="T431" t="b">
        <v>1</v>
      </c>
      <c r="U431" t="s">
        <v>50</v>
      </c>
      <c r="V431" t="s">
        <v>51</v>
      </c>
      <c r="W431">
        <v>4</v>
      </c>
      <c r="X431" t="b">
        <v>0</v>
      </c>
      <c r="Y431" t="s">
        <v>52</v>
      </c>
      <c r="Z431" t="s">
        <v>53</v>
      </c>
      <c r="AA431" t="s">
        <v>54</v>
      </c>
      <c r="AB431">
        <v>0</v>
      </c>
      <c r="AC431" t="s">
        <v>55</v>
      </c>
      <c r="AD431">
        <v>8</v>
      </c>
      <c r="AE431" t="s">
        <v>56</v>
      </c>
      <c r="AF431">
        <v>10.46</v>
      </c>
      <c r="AG431" t="b">
        <v>0</v>
      </c>
      <c r="AH431">
        <v>15</v>
      </c>
      <c r="AI431" t="s">
        <v>59</v>
      </c>
      <c r="AJ431">
        <v>10460</v>
      </c>
      <c r="AK431" t="b">
        <v>0</v>
      </c>
      <c r="AL431">
        <v>10.455</v>
      </c>
      <c r="AM431" t="b">
        <v>0</v>
      </c>
      <c r="AN431">
        <v>0</v>
      </c>
      <c r="AO431" t="b">
        <v>0</v>
      </c>
      <c r="AQ431">
        <v>242108.10399999999</v>
      </c>
      <c r="AR431">
        <v>242108.10399999999</v>
      </c>
      <c r="AS431">
        <v>0</v>
      </c>
      <c r="AT431" t="b">
        <v>0</v>
      </c>
      <c r="AU431" t="b">
        <v>1</v>
      </c>
      <c r="AV431" t="b">
        <v>1</v>
      </c>
      <c r="AW431" t="b">
        <v>1</v>
      </c>
      <c r="BC431" t="str">
        <f t="shared" si="6"/>
        <v>Normal</v>
      </c>
    </row>
    <row r="432" spans="1:55" x14ac:dyDescent="0.2">
      <c r="A432" t="s">
        <v>39</v>
      </c>
      <c r="B432" t="s">
        <v>40</v>
      </c>
      <c r="C432">
        <v>20220101</v>
      </c>
      <c r="D432">
        <v>2022</v>
      </c>
      <c r="E432">
        <v>52</v>
      </c>
      <c r="F432" t="s">
        <v>346</v>
      </c>
      <c r="G432">
        <v>266</v>
      </c>
      <c r="H432" t="s">
        <v>134</v>
      </c>
      <c r="I432" t="s">
        <v>135</v>
      </c>
      <c r="J432" t="s">
        <v>44</v>
      </c>
      <c r="K432" t="s">
        <v>45</v>
      </c>
      <c r="L432">
        <v>0</v>
      </c>
      <c r="M432" t="s">
        <v>46</v>
      </c>
      <c r="N432" t="s">
        <v>47</v>
      </c>
      <c r="O432">
        <v>0</v>
      </c>
      <c r="P432" t="s">
        <v>46</v>
      </c>
      <c r="Q432" t="s">
        <v>47</v>
      </c>
      <c r="R432" t="s">
        <v>48</v>
      </c>
      <c r="S432" t="s">
        <v>49</v>
      </c>
      <c r="T432" t="b">
        <v>1</v>
      </c>
      <c r="U432" t="s">
        <v>50</v>
      </c>
      <c r="V432" t="s">
        <v>51</v>
      </c>
      <c r="W432">
        <v>4</v>
      </c>
      <c r="X432" t="b">
        <v>0</v>
      </c>
      <c r="Y432" t="s">
        <v>52</v>
      </c>
      <c r="Z432" t="s">
        <v>53</v>
      </c>
      <c r="AA432" t="s">
        <v>54</v>
      </c>
      <c r="AB432">
        <v>0</v>
      </c>
      <c r="AC432" t="s">
        <v>55</v>
      </c>
      <c r="AD432">
        <v>8</v>
      </c>
      <c r="AE432" t="s">
        <v>56</v>
      </c>
      <c r="AF432">
        <v>1366.758</v>
      </c>
      <c r="AG432" t="b">
        <v>0</v>
      </c>
      <c r="AH432">
        <v>8</v>
      </c>
      <c r="AI432" t="s">
        <v>56</v>
      </c>
      <c r="AJ432">
        <v>1366.758</v>
      </c>
      <c r="AK432" t="b">
        <v>0</v>
      </c>
      <c r="AL432">
        <v>1366.758</v>
      </c>
      <c r="AM432" t="b">
        <v>0</v>
      </c>
      <c r="AN432">
        <v>0</v>
      </c>
      <c r="AO432" t="b">
        <v>0</v>
      </c>
      <c r="AQ432">
        <v>70161902.997999996</v>
      </c>
      <c r="AR432">
        <v>70161902.997999996</v>
      </c>
      <c r="AS432">
        <v>0</v>
      </c>
      <c r="AT432" t="b">
        <v>0</v>
      </c>
      <c r="AU432" t="b">
        <v>1</v>
      </c>
      <c r="AV432" t="b">
        <v>1</v>
      </c>
      <c r="AW432" t="b">
        <v>1</v>
      </c>
      <c r="BC432" t="str">
        <f t="shared" si="6"/>
        <v>Normal</v>
      </c>
    </row>
    <row r="433" spans="1:55" x14ac:dyDescent="0.2">
      <c r="A433" t="s">
        <v>39</v>
      </c>
      <c r="B433" t="s">
        <v>40</v>
      </c>
      <c r="C433">
        <v>20220101</v>
      </c>
      <c r="D433">
        <v>2022</v>
      </c>
      <c r="E433">
        <v>52</v>
      </c>
      <c r="F433" t="s">
        <v>346</v>
      </c>
      <c r="G433">
        <v>268</v>
      </c>
      <c r="H433" t="s">
        <v>137</v>
      </c>
      <c r="I433" t="s">
        <v>138</v>
      </c>
      <c r="J433" t="s">
        <v>44</v>
      </c>
      <c r="K433" t="s">
        <v>45</v>
      </c>
      <c r="L433">
        <v>0</v>
      </c>
      <c r="M433" t="s">
        <v>46</v>
      </c>
      <c r="N433" t="s">
        <v>47</v>
      </c>
      <c r="O433">
        <v>0</v>
      </c>
      <c r="P433" t="s">
        <v>46</v>
      </c>
      <c r="Q433" t="s">
        <v>47</v>
      </c>
      <c r="R433" t="s">
        <v>48</v>
      </c>
      <c r="S433" t="s">
        <v>49</v>
      </c>
      <c r="T433" t="b">
        <v>1</v>
      </c>
      <c r="U433" t="s">
        <v>50</v>
      </c>
      <c r="V433" t="s">
        <v>51</v>
      </c>
      <c r="W433">
        <v>4</v>
      </c>
      <c r="X433" t="b">
        <v>0</v>
      </c>
      <c r="Y433" t="s">
        <v>52</v>
      </c>
      <c r="Z433" t="s">
        <v>53</v>
      </c>
      <c r="AA433" t="s">
        <v>54</v>
      </c>
      <c r="AB433">
        <v>0</v>
      </c>
      <c r="AC433" t="s">
        <v>55</v>
      </c>
      <c r="AD433">
        <v>8</v>
      </c>
      <c r="AE433" t="s">
        <v>56</v>
      </c>
      <c r="AF433">
        <v>2680.13</v>
      </c>
      <c r="AG433" t="b">
        <v>0</v>
      </c>
      <c r="AH433">
        <v>8</v>
      </c>
      <c r="AI433" t="s">
        <v>56</v>
      </c>
      <c r="AJ433">
        <v>2680.13</v>
      </c>
      <c r="AK433" t="b">
        <v>0</v>
      </c>
      <c r="AL433">
        <v>2680.078</v>
      </c>
      <c r="AM433" t="b">
        <v>0</v>
      </c>
      <c r="AN433">
        <v>0</v>
      </c>
      <c r="AO433" t="b">
        <v>0</v>
      </c>
      <c r="AQ433">
        <v>81476704.963</v>
      </c>
      <c r="AR433">
        <v>81476704.963</v>
      </c>
      <c r="AS433">
        <v>0</v>
      </c>
      <c r="AT433" t="b">
        <v>0</v>
      </c>
      <c r="AU433" t="b">
        <v>1</v>
      </c>
      <c r="AV433" t="b">
        <v>1</v>
      </c>
      <c r="AW433" t="b">
        <v>1</v>
      </c>
      <c r="BC433" t="str">
        <f t="shared" si="6"/>
        <v>Normal</v>
      </c>
    </row>
    <row r="434" spans="1:55" x14ac:dyDescent="0.2">
      <c r="A434" t="s">
        <v>39</v>
      </c>
      <c r="B434" t="s">
        <v>40</v>
      </c>
      <c r="C434">
        <v>20220101</v>
      </c>
      <c r="D434">
        <v>2022</v>
      </c>
      <c r="E434">
        <v>52</v>
      </c>
      <c r="F434" t="s">
        <v>346</v>
      </c>
      <c r="G434">
        <v>276</v>
      </c>
      <c r="H434" t="s">
        <v>139</v>
      </c>
      <c r="I434" t="s">
        <v>140</v>
      </c>
      <c r="J434" t="s">
        <v>44</v>
      </c>
      <c r="K434" t="s">
        <v>45</v>
      </c>
      <c r="L434">
        <v>0</v>
      </c>
      <c r="M434" t="s">
        <v>46</v>
      </c>
      <c r="N434" t="s">
        <v>47</v>
      </c>
      <c r="O434">
        <v>0</v>
      </c>
      <c r="P434" t="s">
        <v>46</v>
      </c>
      <c r="Q434" t="s">
        <v>47</v>
      </c>
      <c r="R434" t="s">
        <v>347</v>
      </c>
      <c r="S434" t="s">
        <v>49</v>
      </c>
      <c r="T434" t="b">
        <v>1</v>
      </c>
      <c r="U434" t="s">
        <v>50</v>
      </c>
      <c r="V434" t="s">
        <v>51</v>
      </c>
      <c r="W434">
        <v>4</v>
      </c>
      <c r="X434" t="b">
        <v>0</v>
      </c>
      <c r="Y434" t="s">
        <v>52</v>
      </c>
      <c r="Z434" t="s">
        <v>53</v>
      </c>
      <c r="AA434" t="s">
        <v>54</v>
      </c>
      <c r="AB434">
        <v>0</v>
      </c>
      <c r="AC434" t="s">
        <v>55</v>
      </c>
      <c r="AD434">
        <v>8</v>
      </c>
      <c r="AE434" t="s">
        <v>56</v>
      </c>
      <c r="AF434">
        <v>137145.26500000001</v>
      </c>
      <c r="AG434" t="b">
        <v>0</v>
      </c>
      <c r="AH434">
        <v>8</v>
      </c>
      <c r="AI434" t="s">
        <v>56</v>
      </c>
      <c r="AJ434">
        <v>137145.26500000001</v>
      </c>
      <c r="AK434" t="b">
        <v>0</v>
      </c>
      <c r="AL434" s="1">
        <v>137074.81899999999</v>
      </c>
      <c r="AM434" t="b">
        <v>0</v>
      </c>
      <c r="AN434">
        <v>0</v>
      </c>
      <c r="AO434" t="b">
        <v>0</v>
      </c>
      <c r="AQ434">
        <v>7071026892.8050003</v>
      </c>
      <c r="AR434">
        <v>7071026892.8050003</v>
      </c>
      <c r="AS434">
        <v>0</v>
      </c>
      <c r="AT434" t="b">
        <v>0</v>
      </c>
      <c r="AU434" t="b">
        <v>1</v>
      </c>
      <c r="AV434" t="b">
        <v>1</v>
      </c>
      <c r="AW434" t="b">
        <v>1</v>
      </c>
      <c r="BC434" t="str">
        <f t="shared" si="6"/>
        <v>Outlier</v>
      </c>
    </row>
    <row r="435" spans="1:55" x14ac:dyDescent="0.2">
      <c r="A435" t="s">
        <v>39</v>
      </c>
      <c r="B435" t="s">
        <v>40</v>
      </c>
      <c r="C435">
        <v>20220101</v>
      </c>
      <c r="D435">
        <v>2022</v>
      </c>
      <c r="E435">
        <v>52</v>
      </c>
      <c r="F435" t="s">
        <v>346</v>
      </c>
      <c r="G435">
        <v>288</v>
      </c>
      <c r="H435" t="s">
        <v>141</v>
      </c>
      <c r="I435" t="s">
        <v>142</v>
      </c>
      <c r="J435" t="s">
        <v>44</v>
      </c>
      <c r="K435" t="s">
        <v>45</v>
      </c>
      <c r="L435">
        <v>0</v>
      </c>
      <c r="M435" t="s">
        <v>46</v>
      </c>
      <c r="N435" t="s">
        <v>47</v>
      </c>
      <c r="O435">
        <v>0</v>
      </c>
      <c r="P435" t="s">
        <v>46</v>
      </c>
      <c r="Q435" t="s">
        <v>47</v>
      </c>
      <c r="R435" t="s">
        <v>48</v>
      </c>
      <c r="S435" t="s">
        <v>49</v>
      </c>
      <c r="T435" t="b">
        <v>1</v>
      </c>
      <c r="U435" t="s">
        <v>50</v>
      </c>
      <c r="V435" t="s">
        <v>51</v>
      </c>
      <c r="W435">
        <v>4</v>
      </c>
      <c r="X435" t="b">
        <v>0</v>
      </c>
      <c r="Y435" t="s">
        <v>52</v>
      </c>
      <c r="Z435" t="s">
        <v>53</v>
      </c>
      <c r="AA435" t="s">
        <v>54</v>
      </c>
      <c r="AB435">
        <v>0</v>
      </c>
      <c r="AC435" t="s">
        <v>55</v>
      </c>
      <c r="AD435">
        <v>8</v>
      </c>
      <c r="AE435" t="s">
        <v>56</v>
      </c>
      <c r="AF435">
        <v>3816018.9649999999</v>
      </c>
      <c r="AG435" t="b">
        <v>1</v>
      </c>
      <c r="AH435">
        <v>-1</v>
      </c>
      <c r="AI435" t="s">
        <v>64</v>
      </c>
      <c r="AJ435">
        <v>0</v>
      </c>
      <c r="AK435" t="b">
        <v>0</v>
      </c>
      <c r="AL435" s="1">
        <v>131349.21299999999</v>
      </c>
      <c r="AM435" t="b">
        <v>1</v>
      </c>
      <c r="AN435">
        <v>0</v>
      </c>
      <c r="AO435" t="b">
        <v>0</v>
      </c>
      <c r="AQ435">
        <v>6540960051.3050003</v>
      </c>
      <c r="AR435">
        <v>6540960051.3050003</v>
      </c>
      <c r="AS435">
        <v>6</v>
      </c>
      <c r="AT435" t="b">
        <v>0</v>
      </c>
      <c r="AU435" t="b">
        <v>1</v>
      </c>
      <c r="AV435" t="b">
        <v>1</v>
      </c>
      <c r="AW435" t="b">
        <v>1</v>
      </c>
      <c r="BC435" t="str">
        <f t="shared" si="6"/>
        <v>Outlier</v>
      </c>
    </row>
    <row r="436" spans="1:55" x14ac:dyDescent="0.2">
      <c r="A436" t="s">
        <v>39</v>
      </c>
      <c r="B436" t="s">
        <v>40</v>
      </c>
      <c r="C436">
        <v>20220101</v>
      </c>
      <c r="D436">
        <v>2022</v>
      </c>
      <c r="E436">
        <v>52</v>
      </c>
      <c r="F436" t="s">
        <v>346</v>
      </c>
      <c r="G436">
        <v>300</v>
      </c>
      <c r="H436" t="s">
        <v>143</v>
      </c>
      <c r="I436" t="s">
        <v>144</v>
      </c>
      <c r="J436" t="s">
        <v>44</v>
      </c>
      <c r="K436" t="s">
        <v>45</v>
      </c>
      <c r="L436">
        <v>0</v>
      </c>
      <c r="M436" t="s">
        <v>46</v>
      </c>
      <c r="N436" t="s">
        <v>47</v>
      </c>
      <c r="O436">
        <v>0</v>
      </c>
      <c r="P436" t="s">
        <v>46</v>
      </c>
      <c r="Q436" t="s">
        <v>47</v>
      </c>
      <c r="R436" t="s">
        <v>347</v>
      </c>
      <c r="S436" t="s">
        <v>49</v>
      </c>
      <c r="T436" t="b">
        <v>1</v>
      </c>
      <c r="U436" t="s">
        <v>50</v>
      </c>
      <c r="V436" t="s">
        <v>51</v>
      </c>
      <c r="W436">
        <v>4</v>
      </c>
      <c r="X436" t="b">
        <v>0</v>
      </c>
      <c r="Y436" t="s">
        <v>52</v>
      </c>
      <c r="Z436" t="s">
        <v>53</v>
      </c>
      <c r="AA436" t="s">
        <v>54</v>
      </c>
      <c r="AB436">
        <v>0</v>
      </c>
      <c r="AC436" t="s">
        <v>55</v>
      </c>
      <c r="AD436">
        <v>8</v>
      </c>
      <c r="AE436" t="s">
        <v>56</v>
      </c>
      <c r="AF436">
        <v>1495.085</v>
      </c>
      <c r="AG436" t="b">
        <v>1</v>
      </c>
      <c r="AH436">
        <v>-1</v>
      </c>
      <c r="AI436" t="s">
        <v>64</v>
      </c>
      <c r="AJ436">
        <v>0</v>
      </c>
      <c r="AK436" t="b">
        <v>0</v>
      </c>
      <c r="AM436" t="b">
        <v>0</v>
      </c>
      <c r="AN436">
        <v>0</v>
      </c>
      <c r="AO436" t="b">
        <v>0</v>
      </c>
      <c r="AQ436">
        <v>40449862.986000001</v>
      </c>
      <c r="AR436">
        <v>40449862.986000001</v>
      </c>
      <c r="AS436">
        <v>2</v>
      </c>
      <c r="AT436" t="b">
        <v>0</v>
      </c>
      <c r="AU436" t="b">
        <v>1</v>
      </c>
      <c r="AV436" t="b">
        <v>1</v>
      </c>
      <c r="AW436" t="b">
        <v>1</v>
      </c>
      <c r="BC436" t="str">
        <f t="shared" si="6"/>
        <v>Normal</v>
      </c>
    </row>
    <row r="437" spans="1:55" x14ac:dyDescent="0.2">
      <c r="A437" t="s">
        <v>39</v>
      </c>
      <c r="B437" t="s">
        <v>40</v>
      </c>
      <c r="C437">
        <v>20220101</v>
      </c>
      <c r="D437">
        <v>2022</v>
      </c>
      <c r="E437">
        <v>52</v>
      </c>
      <c r="F437" t="s">
        <v>346</v>
      </c>
      <c r="G437">
        <v>328</v>
      </c>
      <c r="H437" t="s">
        <v>145</v>
      </c>
      <c r="I437" t="s">
        <v>146</v>
      </c>
      <c r="J437" t="s">
        <v>44</v>
      </c>
      <c r="K437" t="s">
        <v>45</v>
      </c>
      <c r="L437">
        <v>0</v>
      </c>
      <c r="M437" t="s">
        <v>46</v>
      </c>
      <c r="N437" t="s">
        <v>47</v>
      </c>
      <c r="O437">
        <v>0</v>
      </c>
      <c r="P437" t="s">
        <v>46</v>
      </c>
      <c r="Q437" t="s">
        <v>47</v>
      </c>
      <c r="R437" t="s">
        <v>48</v>
      </c>
      <c r="S437" t="s">
        <v>49</v>
      </c>
      <c r="T437" t="b">
        <v>1</v>
      </c>
      <c r="U437" t="s">
        <v>50</v>
      </c>
      <c r="V437" t="s">
        <v>51</v>
      </c>
      <c r="W437">
        <v>4</v>
      </c>
      <c r="X437" t="b">
        <v>0</v>
      </c>
      <c r="Y437" t="s">
        <v>52</v>
      </c>
      <c r="Z437" t="s">
        <v>53</v>
      </c>
      <c r="AA437" t="s">
        <v>54</v>
      </c>
      <c r="AB437">
        <v>0</v>
      </c>
      <c r="AC437" t="s">
        <v>55</v>
      </c>
      <c r="AD437">
        <v>8</v>
      </c>
      <c r="AE437" t="s">
        <v>56</v>
      </c>
      <c r="AF437">
        <v>30042.54</v>
      </c>
      <c r="AG437" t="b">
        <v>0</v>
      </c>
      <c r="AH437">
        <v>8</v>
      </c>
      <c r="AI437" t="s">
        <v>56</v>
      </c>
      <c r="AJ437">
        <v>30042.54</v>
      </c>
      <c r="AK437" t="b">
        <v>0</v>
      </c>
      <c r="AL437">
        <v>30042.54</v>
      </c>
      <c r="AM437" t="b">
        <v>0</v>
      </c>
      <c r="AN437">
        <v>0</v>
      </c>
      <c r="AO437" t="b">
        <v>0</v>
      </c>
      <c r="AQ437">
        <v>1655477903.0320001</v>
      </c>
      <c r="AR437">
        <v>1655477903.0320001</v>
      </c>
      <c r="AS437">
        <v>0</v>
      </c>
      <c r="AT437" t="b">
        <v>0</v>
      </c>
      <c r="AU437" t="b">
        <v>1</v>
      </c>
      <c r="AV437" t="b">
        <v>1</v>
      </c>
      <c r="AW437" t="b">
        <v>1</v>
      </c>
      <c r="BC437" t="str">
        <f t="shared" si="6"/>
        <v>Normal</v>
      </c>
    </row>
    <row r="438" spans="1:55" x14ac:dyDescent="0.2">
      <c r="A438" t="s">
        <v>39</v>
      </c>
      <c r="B438" t="s">
        <v>40</v>
      </c>
      <c r="C438">
        <v>20220101</v>
      </c>
      <c r="D438">
        <v>2022</v>
      </c>
      <c r="E438">
        <v>52</v>
      </c>
      <c r="F438" t="s">
        <v>346</v>
      </c>
      <c r="G438">
        <v>344</v>
      </c>
      <c r="H438" t="s">
        <v>149</v>
      </c>
      <c r="I438" t="s">
        <v>150</v>
      </c>
      <c r="J438" t="s">
        <v>44</v>
      </c>
      <c r="K438" t="s">
        <v>45</v>
      </c>
      <c r="L438">
        <v>0</v>
      </c>
      <c r="M438" t="s">
        <v>46</v>
      </c>
      <c r="N438" t="s">
        <v>47</v>
      </c>
      <c r="O438">
        <v>0</v>
      </c>
      <c r="P438" t="s">
        <v>46</v>
      </c>
      <c r="Q438" t="s">
        <v>47</v>
      </c>
      <c r="R438" t="s">
        <v>347</v>
      </c>
      <c r="S438" t="s">
        <v>49</v>
      </c>
      <c r="T438" t="b">
        <v>1</v>
      </c>
      <c r="U438" t="s">
        <v>50</v>
      </c>
      <c r="V438" t="s">
        <v>51</v>
      </c>
      <c r="W438">
        <v>4</v>
      </c>
      <c r="X438" t="b">
        <v>0</v>
      </c>
      <c r="Y438" t="s">
        <v>52</v>
      </c>
      <c r="Z438" t="s">
        <v>53</v>
      </c>
      <c r="AA438" t="s">
        <v>54</v>
      </c>
      <c r="AB438">
        <v>0</v>
      </c>
      <c r="AC438" t="s">
        <v>55</v>
      </c>
      <c r="AD438">
        <v>8</v>
      </c>
      <c r="AE438" t="s">
        <v>56</v>
      </c>
      <c r="AF438">
        <v>523642</v>
      </c>
      <c r="AG438" t="b">
        <v>0</v>
      </c>
      <c r="AH438">
        <v>8</v>
      </c>
      <c r="AI438" t="s">
        <v>56</v>
      </c>
      <c r="AJ438">
        <v>523642</v>
      </c>
      <c r="AK438" t="b">
        <v>0</v>
      </c>
      <c r="AL438" s="1">
        <v>523642</v>
      </c>
      <c r="AM438" t="b">
        <v>0</v>
      </c>
      <c r="AN438">
        <v>0</v>
      </c>
      <c r="AO438" t="b">
        <v>0</v>
      </c>
      <c r="AQ438">
        <v>30126268460.652</v>
      </c>
      <c r="AR438">
        <v>30126268460.652</v>
      </c>
      <c r="AS438">
        <v>0</v>
      </c>
      <c r="AT438" t="b">
        <v>0</v>
      </c>
      <c r="AU438" t="b">
        <v>1</v>
      </c>
      <c r="AV438" t="b">
        <v>1</v>
      </c>
      <c r="AW438" t="b">
        <v>1</v>
      </c>
      <c r="BC438" t="str">
        <f t="shared" si="6"/>
        <v>Outlier</v>
      </c>
    </row>
    <row r="439" spans="1:55" x14ac:dyDescent="0.2">
      <c r="A439" t="s">
        <v>39</v>
      </c>
      <c r="B439" t="s">
        <v>40</v>
      </c>
      <c r="C439">
        <v>20220101</v>
      </c>
      <c r="D439">
        <v>2022</v>
      </c>
      <c r="E439">
        <v>52</v>
      </c>
      <c r="F439" t="s">
        <v>346</v>
      </c>
      <c r="G439">
        <v>348</v>
      </c>
      <c r="H439" t="s">
        <v>151</v>
      </c>
      <c r="I439" t="s">
        <v>152</v>
      </c>
      <c r="J439" t="s">
        <v>44</v>
      </c>
      <c r="K439" t="s">
        <v>45</v>
      </c>
      <c r="L439">
        <v>0</v>
      </c>
      <c r="M439" t="s">
        <v>46</v>
      </c>
      <c r="N439" t="s">
        <v>47</v>
      </c>
      <c r="O439">
        <v>0</v>
      </c>
      <c r="P439" t="s">
        <v>46</v>
      </c>
      <c r="Q439" t="s">
        <v>47</v>
      </c>
      <c r="R439" t="s">
        <v>347</v>
      </c>
      <c r="S439" t="s">
        <v>49</v>
      </c>
      <c r="T439" t="b">
        <v>1</v>
      </c>
      <c r="U439" t="s">
        <v>50</v>
      </c>
      <c r="V439" t="s">
        <v>51</v>
      </c>
      <c r="W439">
        <v>4</v>
      </c>
      <c r="X439" t="b">
        <v>0</v>
      </c>
      <c r="Y439" t="s">
        <v>52</v>
      </c>
      <c r="Z439" t="s">
        <v>53</v>
      </c>
      <c r="AA439" t="s">
        <v>54</v>
      </c>
      <c r="AB439">
        <v>0</v>
      </c>
      <c r="AC439" t="s">
        <v>55</v>
      </c>
      <c r="AD439">
        <v>-1</v>
      </c>
      <c r="AE439" t="s">
        <v>64</v>
      </c>
      <c r="AF439">
        <v>0</v>
      </c>
      <c r="AG439" t="b">
        <v>1</v>
      </c>
      <c r="AH439">
        <v>-1</v>
      </c>
      <c r="AI439" t="s">
        <v>64</v>
      </c>
      <c r="AJ439">
        <v>0</v>
      </c>
      <c r="AK439" t="b">
        <v>0</v>
      </c>
      <c r="AL439">
        <v>0</v>
      </c>
      <c r="AM439" t="b">
        <v>1</v>
      </c>
      <c r="AN439">
        <v>0</v>
      </c>
      <c r="AO439" t="b">
        <v>0</v>
      </c>
      <c r="AQ439">
        <v>52146532</v>
      </c>
      <c r="AR439">
        <v>52146532</v>
      </c>
      <c r="AS439">
        <v>6</v>
      </c>
      <c r="AT439" t="b">
        <v>0</v>
      </c>
      <c r="AU439" t="b">
        <v>1</v>
      </c>
      <c r="AV439" t="b">
        <v>1</v>
      </c>
      <c r="AW439" t="b">
        <v>1</v>
      </c>
      <c r="BC439" t="str">
        <f t="shared" si="6"/>
        <v>Normal</v>
      </c>
    </row>
    <row r="440" spans="1:55" x14ac:dyDescent="0.2">
      <c r="A440" t="s">
        <v>39</v>
      </c>
      <c r="B440" t="s">
        <v>40</v>
      </c>
      <c r="C440">
        <v>20220101</v>
      </c>
      <c r="D440">
        <v>2022</v>
      </c>
      <c r="E440">
        <v>52</v>
      </c>
      <c r="F440" t="s">
        <v>346</v>
      </c>
      <c r="G440">
        <v>360</v>
      </c>
      <c r="H440" t="s">
        <v>155</v>
      </c>
      <c r="I440" t="s">
        <v>156</v>
      </c>
      <c r="J440" t="s">
        <v>44</v>
      </c>
      <c r="K440" t="s">
        <v>45</v>
      </c>
      <c r="L440">
        <v>0</v>
      </c>
      <c r="M440" t="s">
        <v>46</v>
      </c>
      <c r="N440" t="s">
        <v>47</v>
      </c>
      <c r="O440">
        <v>0</v>
      </c>
      <c r="P440" t="s">
        <v>46</v>
      </c>
      <c r="Q440" t="s">
        <v>47</v>
      </c>
      <c r="R440" t="s">
        <v>347</v>
      </c>
      <c r="S440" t="s">
        <v>49</v>
      </c>
      <c r="T440" t="b">
        <v>1</v>
      </c>
      <c r="U440" t="s">
        <v>50</v>
      </c>
      <c r="V440" t="s">
        <v>51</v>
      </c>
      <c r="W440">
        <v>4</v>
      </c>
      <c r="X440" t="b">
        <v>0</v>
      </c>
      <c r="Y440" t="s">
        <v>52</v>
      </c>
      <c r="Z440" t="s">
        <v>53</v>
      </c>
      <c r="AA440" t="s">
        <v>54</v>
      </c>
      <c r="AB440">
        <v>0</v>
      </c>
      <c r="AC440" t="s">
        <v>55</v>
      </c>
      <c r="AD440">
        <v>-1</v>
      </c>
      <c r="AE440" t="s">
        <v>64</v>
      </c>
      <c r="AF440">
        <v>0</v>
      </c>
      <c r="AG440" t="b">
        <v>0</v>
      </c>
      <c r="AH440">
        <v>-1</v>
      </c>
      <c r="AI440" t="s">
        <v>64</v>
      </c>
      <c r="AJ440">
        <v>0</v>
      </c>
      <c r="AK440" t="b">
        <v>0</v>
      </c>
      <c r="AM440" t="b">
        <v>0</v>
      </c>
      <c r="AN440">
        <v>0</v>
      </c>
      <c r="AO440" t="b">
        <v>0</v>
      </c>
      <c r="AQ440">
        <v>1027513951.913</v>
      </c>
      <c r="AR440">
        <v>1027513951.913</v>
      </c>
      <c r="AS440">
        <v>0</v>
      </c>
      <c r="AT440" t="b">
        <v>0</v>
      </c>
      <c r="AU440" t="b">
        <v>1</v>
      </c>
      <c r="AV440" t="b">
        <v>1</v>
      </c>
      <c r="AW440" t="b">
        <v>1</v>
      </c>
      <c r="BC440" t="str">
        <f t="shared" si="6"/>
        <v>Normal</v>
      </c>
    </row>
    <row r="441" spans="1:55" x14ac:dyDescent="0.2">
      <c r="A441" t="s">
        <v>39</v>
      </c>
      <c r="B441" t="s">
        <v>40</v>
      </c>
      <c r="C441">
        <v>20220101</v>
      </c>
      <c r="D441">
        <v>2022</v>
      </c>
      <c r="E441">
        <v>52</v>
      </c>
      <c r="F441" t="s">
        <v>346</v>
      </c>
      <c r="G441">
        <v>372</v>
      </c>
      <c r="H441" t="s">
        <v>157</v>
      </c>
      <c r="I441" t="s">
        <v>158</v>
      </c>
      <c r="J441" t="s">
        <v>44</v>
      </c>
      <c r="K441" t="s">
        <v>45</v>
      </c>
      <c r="L441">
        <v>0</v>
      </c>
      <c r="M441" t="s">
        <v>46</v>
      </c>
      <c r="N441" t="s">
        <v>47</v>
      </c>
      <c r="O441">
        <v>0</v>
      </c>
      <c r="P441" t="s">
        <v>46</v>
      </c>
      <c r="Q441" t="s">
        <v>47</v>
      </c>
      <c r="R441" t="s">
        <v>347</v>
      </c>
      <c r="S441" t="s">
        <v>49</v>
      </c>
      <c r="T441" t="b">
        <v>1</v>
      </c>
      <c r="U441" t="s">
        <v>50</v>
      </c>
      <c r="V441" t="s">
        <v>51</v>
      </c>
      <c r="W441">
        <v>4</v>
      </c>
      <c r="X441" t="b">
        <v>0</v>
      </c>
      <c r="Y441" t="s">
        <v>52</v>
      </c>
      <c r="Z441" t="s">
        <v>53</v>
      </c>
      <c r="AA441" t="s">
        <v>54</v>
      </c>
      <c r="AB441">
        <v>0</v>
      </c>
      <c r="AC441" t="s">
        <v>55</v>
      </c>
      <c r="AD441">
        <v>8</v>
      </c>
      <c r="AE441" t="s">
        <v>56</v>
      </c>
      <c r="AF441">
        <v>463.97</v>
      </c>
      <c r="AG441" t="b">
        <v>0</v>
      </c>
      <c r="AH441">
        <v>15</v>
      </c>
      <c r="AI441" t="s">
        <v>59</v>
      </c>
      <c r="AJ441">
        <v>463970</v>
      </c>
      <c r="AK441" t="b">
        <v>0</v>
      </c>
      <c r="AM441" t="b">
        <v>0</v>
      </c>
      <c r="AN441">
        <v>0</v>
      </c>
      <c r="AO441" t="b">
        <v>0</v>
      </c>
      <c r="AQ441">
        <v>15969881.579</v>
      </c>
      <c r="AR441">
        <v>15969881.579</v>
      </c>
      <c r="AS441">
        <v>0</v>
      </c>
      <c r="AT441" t="b">
        <v>0</v>
      </c>
      <c r="AU441" t="b">
        <v>1</v>
      </c>
      <c r="AV441" t="b">
        <v>1</v>
      </c>
      <c r="AW441" t="b">
        <v>1</v>
      </c>
      <c r="BC441" t="str">
        <f t="shared" si="6"/>
        <v>Normal</v>
      </c>
    </row>
    <row r="442" spans="1:55" x14ac:dyDescent="0.2">
      <c r="A442" t="s">
        <v>39</v>
      </c>
      <c r="B442" t="s">
        <v>40</v>
      </c>
      <c r="C442">
        <v>20220101</v>
      </c>
      <c r="D442">
        <v>2022</v>
      </c>
      <c r="E442">
        <v>52</v>
      </c>
      <c r="F442" t="s">
        <v>346</v>
      </c>
      <c r="G442">
        <v>376</v>
      </c>
      <c r="H442" t="s">
        <v>159</v>
      </c>
      <c r="I442" t="s">
        <v>160</v>
      </c>
      <c r="J442" t="s">
        <v>44</v>
      </c>
      <c r="K442" t="s">
        <v>45</v>
      </c>
      <c r="L442">
        <v>0</v>
      </c>
      <c r="M442" t="s">
        <v>46</v>
      </c>
      <c r="N442" t="s">
        <v>47</v>
      </c>
      <c r="O442">
        <v>0</v>
      </c>
      <c r="P442" t="s">
        <v>46</v>
      </c>
      <c r="Q442" t="s">
        <v>47</v>
      </c>
      <c r="R442" t="s">
        <v>347</v>
      </c>
      <c r="S442" t="s">
        <v>49</v>
      </c>
      <c r="T442" t="b">
        <v>1</v>
      </c>
      <c r="U442" t="s">
        <v>50</v>
      </c>
      <c r="V442" t="s">
        <v>51</v>
      </c>
      <c r="W442">
        <v>4</v>
      </c>
      <c r="X442" t="b">
        <v>0</v>
      </c>
      <c r="Y442" t="s">
        <v>52</v>
      </c>
      <c r="Z442" t="s">
        <v>53</v>
      </c>
      <c r="AA442" t="s">
        <v>54</v>
      </c>
      <c r="AB442">
        <v>0</v>
      </c>
      <c r="AC442" t="s">
        <v>55</v>
      </c>
      <c r="AD442">
        <v>8</v>
      </c>
      <c r="AE442" t="s">
        <v>56</v>
      </c>
      <c r="AF442">
        <v>114.919</v>
      </c>
      <c r="AG442" t="b">
        <v>1</v>
      </c>
      <c r="AH442">
        <v>-1</v>
      </c>
      <c r="AI442" t="s">
        <v>64</v>
      </c>
      <c r="AJ442">
        <v>0</v>
      </c>
      <c r="AK442" t="b">
        <v>0</v>
      </c>
      <c r="AL442">
        <v>114.919</v>
      </c>
      <c r="AM442" t="b">
        <v>1</v>
      </c>
      <c r="AN442">
        <v>0</v>
      </c>
      <c r="AO442" t="b">
        <v>0</v>
      </c>
      <c r="AQ442">
        <v>6341000</v>
      </c>
      <c r="AR442">
        <v>6341000</v>
      </c>
      <c r="AS442">
        <v>6</v>
      </c>
      <c r="AT442" t="b">
        <v>0</v>
      </c>
      <c r="AU442" t="b">
        <v>1</v>
      </c>
      <c r="AV442" t="b">
        <v>1</v>
      </c>
      <c r="AW442" t="b">
        <v>1</v>
      </c>
      <c r="BC442" t="str">
        <f t="shared" si="6"/>
        <v>Normal</v>
      </c>
    </row>
    <row r="443" spans="1:55" x14ac:dyDescent="0.2">
      <c r="A443" t="s">
        <v>39</v>
      </c>
      <c r="B443" t="s">
        <v>40</v>
      </c>
      <c r="C443">
        <v>20220101</v>
      </c>
      <c r="D443">
        <v>2022</v>
      </c>
      <c r="E443">
        <v>52</v>
      </c>
      <c r="F443" t="s">
        <v>346</v>
      </c>
      <c r="G443">
        <v>380</v>
      </c>
      <c r="H443" t="s">
        <v>161</v>
      </c>
      <c r="I443" t="s">
        <v>162</v>
      </c>
      <c r="J443" t="s">
        <v>44</v>
      </c>
      <c r="K443" t="s">
        <v>45</v>
      </c>
      <c r="L443">
        <v>0</v>
      </c>
      <c r="M443" t="s">
        <v>46</v>
      </c>
      <c r="N443" t="s">
        <v>47</v>
      </c>
      <c r="O443">
        <v>0</v>
      </c>
      <c r="P443" t="s">
        <v>46</v>
      </c>
      <c r="Q443" t="s">
        <v>47</v>
      </c>
      <c r="R443" t="s">
        <v>347</v>
      </c>
      <c r="S443" t="s">
        <v>49</v>
      </c>
      <c r="T443" t="b">
        <v>1</v>
      </c>
      <c r="U443" t="s">
        <v>50</v>
      </c>
      <c r="V443" t="s">
        <v>51</v>
      </c>
      <c r="W443">
        <v>4</v>
      </c>
      <c r="X443" t="b">
        <v>0</v>
      </c>
      <c r="Y443" t="s">
        <v>52</v>
      </c>
      <c r="Z443" t="s">
        <v>53</v>
      </c>
      <c r="AA443" t="s">
        <v>54</v>
      </c>
      <c r="AB443">
        <v>0</v>
      </c>
      <c r="AC443" t="s">
        <v>55</v>
      </c>
      <c r="AD443">
        <v>8</v>
      </c>
      <c r="AE443" t="s">
        <v>56</v>
      </c>
      <c r="AF443">
        <v>73146.126000000004</v>
      </c>
      <c r="AG443" t="b">
        <v>1</v>
      </c>
      <c r="AH443">
        <v>-1</v>
      </c>
      <c r="AI443" t="s">
        <v>64</v>
      </c>
      <c r="AJ443">
        <v>0</v>
      </c>
      <c r="AK443" t="b">
        <v>0</v>
      </c>
      <c r="AL443" s="1">
        <v>75182.784</v>
      </c>
      <c r="AM443" t="b">
        <v>1</v>
      </c>
      <c r="AN443">
        <v>0</v>
      </c>
      <c r="AO443" t="b">
        <v>0</v>
      </c>
      <c r="AQ443">
        <v>3782253202.1989999</v>
      </c>
      <c r="AR443">
        <v>3782253202.1989999</v>
      </c>
      <c r="AS443">
        <v>6</v>
      </c>
      <c r="AT443" t="b">
        <v>0</v>
      </c>
      <c r="AU443" t="b">
        <v>1</v>
      </c>
      <c r="AV443" t="b">
        <v>1</v>
      </c>
      <c r="AW443" t="b">
        <v>1</v>
      </c>
      <c r="BC443" t="str">
        <f t="shared" si="6"/>
        <v>Outlier</v>
      </c>
    </row>
    <row r="444" spans="1:55" x14ac:dyDescent="0.2">
      <c r="A444" t="s">
        <v>39</v>
      </c>
      <c r="B444" t="s">
        <v>40</v>
      </c>
      <c r="C444">
        <v>20220101</v>
      </c>
      <c r="D444">
        <v>2022</v>
      </c>
      <c r="E444">
        <v>52</v>
      </c>
      <c r="F444" t="s">
        <v>346</v>
      </c>
      <c r="G444">
        <v>384</v>
      </c>
      <c r="H444" t="s">
        <v>163</v>
      </c>
      <c r="I444" t="s">
        <v>164</v>
      </c>
      <c r="J444" t="s">
        <v>44</v>
      </c>
      <c r="K444" t="s">
        <v>45</v>
      </c>
      <c r="L444">
        <v>0</v>
      </c>
      <c r="M444" t="s">
        <v>46</v>
      </c>
      <c r="N444" t="s">
        <v>47</v>
      </c>
      <c r="O444">
        <v>0</v>
      </c>
      <c r="P444" t="s">
        <v>46</v>
      </c>
      <c r="Q444" t="s">
        <v>47</v>
      </c>
      <c r="R444" t="s">
        <v>48</v>
      </c>
      <c r="S444" t="s">
        <v>49</v>
      </c>
      <c r="T444" t="b">
        <v>1</v>
      </c>
      <c r="U444" t="s">
        <v>50</v>
      </c>
      <c r="V444" t="s">
        <v>51</v>
      </c>
      <c r="W444">
        <v>4</v>
      </c>
      <c r="X444" t="b">
        <v>0</v>
      </c>
      <c r="Y444" t="s">
        <v>52</v>
      </c>
      <c r="Z444" t="s">
        <v>53</v>
      </c>
      <c r="AA444" t="s">
        <v>54</v>
      </c>
      <c r="AB444">
        <v>0</v>
      </c>
      <c r="AC444" t="s">
        <v>55</v>
      </c>
      <c r="AD444">
        <v>8</v>
      </c>
      <c r="AE444" t="s">
        <v>56</v>
      </c>
      <c r="AF444">
        <v>47608</v>
      </c>
      <c r="AG444" t="b">
        <v>0</v>
      </c>
      <c r="AH444">
        <v>8</v>
      </c>
      <c r="AI444" t="s">
        <v>56</v>
      </c>
      <c r="AJ444">
        <v>47608</v>
      </c>
      <c r="AK444" t="b">
        <v>0</v>
      </c>
      <c r="AL444">
        <v>47608</v>
      </c>
      <c r="AM444" t="b">
        <v>0</v>
      </c>
      <c r="AN444">
        <v>0</v>
      </c>
      <c r="AO444" t="b">
        <v>0</v>
      </c>
      <c r="AQ444">
        <v>1917185404.605</v>
      </c>
      <c r="AR444">
        <v>1917185404.605</v>
      </c>
      <c r="AS444">
        <v>0</v>
      </c>
      <c r="AT444" t="b">
        <v>0</v>
      </c>
      <c r="AU444" t="b">
        <v>1</v>
      </c>
      <c r="AV444" t="b">
        <v>1</v>
      </c>
      <c r="AW444" t="b">
        <v>1</v>
      </c>
      <c r="BC444" t="str">
        <f t="shared" si="6"/>
        <v>Normal</v>
      </c>
    </row>
    <row r="445" spans="1:55" x14ac:dyDescent="0.2">
      <c r="A445" t="s">
        <v>39</v>
      </c>
      <c r="B445" t="s">
        <v>40</v>
      </c>
      <c r="C445">
        <v>20220101</v>
      </c>
      <c r="D445">
        <v>2022</v>
      </c>
      <c r="E445">
        <v>52</v>
      </c>
      <c r="F445" t="s">
        <v>346</v>
      </c>
      <c r="G445">
        <v>392</v>
      </c>
      <c r="H445" t="s">
        <v>165</v>
      </c>
      <c r="I445" t="s">
        <v>166</v>
      </c>
      <c r="J445" t="s">
        <v>44</v>
      </c>
      <c r="K445" t="s">
        <v>45</v>
      </c>
      <c r="L445">
        <v>0</v>
      </c>
      <c r="M445" t="s">
        <v>46</v>
      </c>
      <c r="N445" t="s">
        <v>47</v>
      </c>
      <c r="O445">
        <v>0</v>
      </c>
      <c r="P445" t="s">
        <v>46</v>
      </c>
      <c r="Q445" t="s">
        <v>47</v>
      </c>
      <c r="R445" t="s">
        <v>347</v>
      </c>
      <c r="S445" t="s">
        <v>49</v>
      </c>
      <c r="T445" t="b">
        <v>1</v>
      </c>
      <c r="U445" t="s">
        <v>50</v>
      </c>
      <c r="V445" t="s">
        <v>51</v>
      </c>
      <c r="W445">
        <v>4</v>
      </c>
      <c r="X445" t="b">
        <v>0</v>
      </c>
      <c r="Y445" t="s">
        <v>52</v>
      </c>
      <c r="Z445" t="s">
        <v>53</v>
      </c>
      <c r="AA445" t="s">
        <v>54</v>
      </c>
      <c r="AB445">
        <v>0</v>
      </c>
      <c r="AC445" t="s">
        <v>55</v>
      </c>
      <c r="AD445">
        <v>8</v>
      </c>
      <c r="AE445" t="s">
        <v>56</v>
      </c>
      <c r="AF445">
        <v>224654.14300000001</v>
      </c>
      <c r="AG445" t="b">
        <v>1</v>
      </c>
      <c r="AH445">
        <v>-1</v>
      </c>
      <c r="AI445" t="s">
        <v>64</v>
      </c>
      <c r="AJ445">
        <v>0</v>
      </c>
      <c r="AK445" t="b">
        <v>0</v>
      </c>
      <c r="AL445" s="1">
        <v>224654.14300000001</v>
      </c>
      <c r="AM445" t="b">
        <v>1</v>
      </c>
      <c r="AN445">
        <v>0</v>
      </c>
      <c r="AO445" t="b">
        <v>0</v>
      </c>
      <c r="AP445">
        <v>0</v>
      </c>
      <c r="AQ445">
        <v>10799925448.671</v>
      </c>
      <c r="AR445">
        <v>10799925448.671</v>
      </c>
      <c r="AS445">
        <v>6</v>
      </c>
      <c r="AT445" t="b">
        <v>0</v>
      </c>
      <c r="AU445" t="b">
        <v>1</v>
      </c>
      <c r="AV445" t="b">
        <v>1</v>
      </c>
      <c r="AW445" t="b">
        <v>1</v>
      </c>
      <c r="BC445" t="str">
        <f t="shared" si="6"/>
        <v>Outlier</v>
      </c>
    </row>
    <row r="446" spans="1:55" x14ac:dyDescent="0.2">
      <c r="A446" t="s">
        <v>39</v>
      </c>
      <c r="B446" t="s">
        <v>40</v>
      </c>
      <c r="C446">
        <v>20220101</v>
      </c>
      <c r="D446">
        <v>2022</v>
      </c>
      <c r="E446">
        <v>52</v>
      </c>
      <c r="F446" t="s">
        <v>346</v>
      </c>
      <c r="G446">
        <v>398</v>
      </c>
      <c r="H446" t="s">
        <v>167</v>
      </c>
      <c r="I446" t="s">
        <v>168</v>
      </c>
      <c r="J446" t="s">
        <v>44</v>
      </c>
      <c r="K446" t="s">
        <v>45</v>
      </c>
      <c r="L446">
        <v>0</v>
      </c>
      <c r="M446" t="s">
        <v>46</v>
      </c>
      <c r="N446" t="s">
        <v>47</v>
      </c>
      <c r="O446">
        <v>0</v>
      </c>
      <c r="P446" t="s">
        <v>46</v>
      </c>
      <c r="Q446" t="s">
        <v>47</v>
      </c>
      <c r="R446" t="s">
        <v>347</v>
      </c>
      <c r="S446" t="s">
        <v>49</v>
      </c>
      <c r="T446" t="b">
        <v>1</v>
      </c>
      <c r="U446" t="s">
        <v>50</v>
      </c>
      <c r="V446" t="s">
        <v>51</v>
      </c>
      <c r="W446">
        <v>4</v>
      </c>
      <c r="X446" t="b">
        <v>0</v>
      </c>
      <c r="Y446" t="s">
        <v>52</v>
      </c>
      <c r="Z446" t="s">
        <v>53</v>
      </c>
      <c r="AA446" t="s">
        <v>54</v>
      </c>
      <c r="AB446">
        <v>0</v>
      </c>
      <c r="AC446" t="s">
        <v>55</v>
      </c>
      <c r="AD446">
        <v>-1</v>
      </c>
      <c r="AE446" t="s">
        <v>64</v>
      </c>
      <c r="AF446">
        <v>0</v>
      </c>
      <c r="AG446" t="b">
        <v>0</v>
      </c>
      <c r="AH446">
        <v>-1</v>
      </c>
      <c r="AI446" t="s">
        <v>64</v>
      </c>
      <c r="AJ446">
        <v>0</v>
      </c>
      <c r="AK446" t="b">
        <v>0</v>
      </c>
      <c r="AM446" t="b">
        <v>0</v>
      </c>
      <c r="AN446">
        <v>0</v>
      </c>
      <c r="AO446" t="b">
        <v>0</v>
      </c>
      <c r="AQ446">
        <v>83941078.209999993</v>
      </c>
      <c r="AR446">
        <v>83941078.209999993</v>
      </c>
      <c r="AS446">
        <v>0</v>
      </c>
      <c r="AT446" t="b">
        <v>0</v>
      </c>
      <c r="AU446" t="b">
        <v>1</v>
      </c>
      <c r="AV446" t="b">
        <v>1</v>
      </c>
      <c r="AW446" t="b">
        <v>1</v>
      </c>
      <c r="BC446" t="str">
        <f t="shared" si="6"/>
        <v>Normal</v>
      </c>
    </row>
    <row r="447" spans="1:55" x14ac:dyDescent="0.2">
      <c r="A447" t="s">
        <v>39</v>
      </c>
      <c r="B447" t="s">
        <v>40</v>
      </c>
      <c r="C447">
        <v>20220101</v>
      </c>
      <c r="D447">
        <v>2022</v>
      </c>
      <c r="E447">
        <v>52</v>
      </c>
      <c r="F447" t="s">
        <v>346</v>
      </c>
      <c r="G447">
        <v>400</v>
      </c>
      <c r="H447" t="s">
        <v>169</v>
      </c>
      <c r="I447" t="s">
        <v>170</v>
      </c>
      <c r="J447" t="s">
        <v>44</v>
      </c>
      <c r="K447" t="s">
        <v>45</v>
      </c>
      <c r="L447">
        <v>0</v>
      </c>
      <c r="M447" t="s">
        <v>46</v>
      </c>
      <c r="N447" t="s">
        <v>47</v>
      </c>
      <c r="O447">
        <v>0</v>
      </c>
      <c r="P447" t="s">
        <v>46</v>
      </c>
      <c r="Q447" t="s">
        <v>47</v>
      </c>
      <c r="R447" t="s">
        <v>347</v>
      </c>
      <c r="S447" t="s">
        <v>49</v>
      </c>
      <c r="T447" t="b">
        <v>1</v>
      </c>
      <c r="U447" t="s">
        <v>50</v>
      </c>
      <c r="V447" t="s">
        <v>51</v>
      </c>
      <c r="W447">
        <v>4</v>
      </c>
      <c r="X447" t="b">
        <v>0</v>
      </c>
      <c r="Y447" t="s">
        <v>52</v>
      </c>
      <c r="Z447" t="s">
        <v>53</v>
      </c>
      <c r="AA447" t="s">
        <v>54</v>
      </c>
      <c r="AB447">
        <v>0</v>
      </c>
      <c r="AC447" t="s">
        <v>55</v>
      </c>
      <c r="AD447">
        <v>8</v>
      </c>
      <c r="AE447" t="s">
        <v>56</v>
      </c>
      <c r="AF447">
        <v>753.03200000000004</v>
      </c>
      <c r="AG447" t="b">
        <v>1</v>
      </c>
      <c r="AH447">
        <v>-1</v>
      </c>
      <c r="AI447" t="s">
        <v>64</v>
      </c>
      <c r="AJ447">
        <v>0</v>
      </c>
      <c r="AK447" t="b">
        <v>0</v>
      </c>
      <c r="AL447">
        <v>753.03200000000004</v>
      </c>
      <c r="AM447" t="b">
        <v>1</v>
      </c>
      <c r="AN447">
        <v>0</v>
      </c>
      <c r="AO447" t="b">
        <v>0</v>
      </c>
      <c r="AQ447">
        <v>41545199.960000001</v>
      </c>
      <c r="AR447">
        <v>41545199.960000001</v>
      </c>
      <c r="AS447">
        <v>6</v>
      </c>
      <c r="AT447" t="b">
        <v>0</v>
      </c>
      <c r="AU447" t="b">
        <v>1</v>
      </c>
      <c r="AV447" t="b">
        <v>1</v>
      </c>
      <c r="AW447" t="b">
        <v>1</v>
      </c>
      <c r="BC447" t="str">
        <f t="shared" si="6"/>
        <v>Normal</v>
      </c>
    </row>
    <row r="448" spans="1:55" x14ac:dyDescent="0.2">
      <c r="A448" t="s">
        <v>39</v>
      </c>
      <c r="B448" t="s">
        <v>40</v>
      </c>
      <c r="C448">
        <v>20220101</v>
      </c>
      <c r="D448">
        <v>2022</v>
      </c>
      <c r="E448">
        <v>52</v>
      </c>
      <c r="F448" t="s">
        <v>346</v>
      </c>
      <c r="G448">
        <v>404</v>
      </c>
      <c r="H448" t="s">
        <v>171</v>
      </c>
      <c r="I448" t="s">
        <v>172</v>
      </c>
      <c r="J448" t="s">
        <v>44</v>
      </c>
      <c r="K448" t="s">
        <v>45</v>
      </c>
      <c r="L448">
        <v>0</v>
      </c>
      <c r="M448" t="s">
        <v>46</v>
      </c>
      <c r="N448" t="s">
        <v>47</v>
      </c>
      <c r="O448">
        <v>0</v>
      </c>
      <c r="P448" t="s">
        <v>46</v>
      </c>
      <c r="Q448" t="s">
        <v>47</v>
      </c>
      <c r="R448" t="s">
        <v>347</v>
      </c>
      <c r="S448" t="s">
        <v>49</v>
      </c>
      <c r="T448" t="b">
        <v>1</v>
      </c>
      <c r="U448" t="s">
        <v>50</v>
      </c>
      <c r="V448" t="s">
        <v>51</v>
      </c>
      <c r="W448">
        <v>4</v>
      </c>
      <c r="X448" t="b">
        <v>0</v>
      </c>
      <c r="Y448" t="s">
        <v>52</v>
      </c>
      <c r="Z448" t="s">
        <v>53</v>
      </c>
      <c r="AA448" t="s">
        <v>54</v>
      </c>
      <c r="AB448">
        <v>0</v>
      </c>
      <c r="AC448" t="s">
        <v>55</v>
      </c>
      <c r="AD448">
        <v>8</v>
      </c>
      <c r="AE448" t="s">
        <v>56</v>
      </c>
      <c r="AF448">
        <v>672.16099999999994</v>
      </c>
      <c r="AG448" t="b">
        <v>0</v>
      </c>
      <c r="AH448">
        <v>15</v>
      </c>
      <c r="AI448" t="s">
        <v>59</v>
      </c>
      <c r="AJ448">
        <v>672161.4</v>
      </c>
      <c r="AK448" t="b">
        <v>0</v>
      </c>
      <c r="AL448">
        <v>683.8</v>
      </c>
      <c r="AM448" t="b">
        <v>0</v>
      </c>
      <c r="AN448">
        <v>0</v>
      </c>
      <c r="AO448" t="b">
        <v>0</v>
      </c>
      <c r="AQ448">
        <v>32437409.848000001</v>
      </c>
      <c r="AR448">
        <v>32437409.848000001</v>
      </c>
      <c r="AS448">
        <v>0</v>
      </c>
      <c r="AT448" t="b">
        <v>0</v>
      </c>
      <c r="AU448" t="b">
        <v>1</v>
      </c>
      <c r="AV448" t="b">
        <v>1</v>
      </c>
      <c r="AW448" t="b">
        <v>1</v>
      </c>
      <c r="BC448" t="str">
        <f t="shared" si="6"/>
        <v>Normal</v>
      </c>
    </row>
    <row r="449" spans="1:55" x14ac:dyDescent="0.2">
      <c r="A449" t="s">
        <v>39</v>
      </c>
      <c r="B449" t="s">
        <v>40</v>
      </c>
      <c r="C449">
        <v>20220101</v>
      </c>
      <c r="D449">
        <v>2022</v>
      </c>
      <c r="E449">
        <v>52</v>
      </c>
      <c r="F449" t="s">
        <v>346</v>
      </c>
      <c r="G449">
        <v>410</v>
      </c>
      <c r="H449" t="s">
        <v>173</v>
      </c>
      <c r="I449" t="s">
        <v>174</v>
      </c>
      <c r="J449" t="s">
        <v>44</v>
      </c>
      <c r="K449" t="s">
        <v>45</v>
      </c>
      <c r="L449">
        <v>0</v>
      </c>
      <c r="M449" t="s">
        <v>46</v>
      </c>
      <c r="N449" t="s">
        <v>47</v>
      </c>
      <c r="O449">
        <v>0</v>
      </c>
      <c r="P449" t="s">
        <v>46</v>
      </c>
      <c r="Q449" t="s">
        <v>47</v>
      </c>
      <c r="R449" t="s">
        <v>347</v>
      </c>
      <c r="S449" t="s">
        <v>49</v>
      </c>
      <c r="T449" t="b">
        <v>1</v>
      </c>
      <c r="U449" t="s">
        <v>50</v>
      </c>
      <c r="V449" t="s">
        <v>51</v>
      </c>
      <c r="W449">
        <v>4</v>
      </c>
      <c r="X449" t="b">
        <v>0</v>
      </c>
      <c r="Y449" t="s">
        <v>52</v>
      </c>
      <c r="Z449" t="s">
        <v>53</v>
      </c>
      <c r="AA449" t="s">
        <v>54</v>
      </c>
      <c r="AB449">
        <v>0</v>
      </c>
      <c r="AC449" t="s">
        <v>55</v>
      </c>
      <c r="AD449">
        <v>-1</v>
      </c>
      <c r="AE449" t="s">
        <v>64</v>
      </c>
      <c r="AF449">
        <v>0</v>
      </c>
      <c r="AG449" t="b">
        <v>0</v>
      </c>
      <c r="AH449">
        <v>-1</v>
      </c>
      <c r="AI449" t="s">
        <v>64</v>
      </c>
      <c r="AJ449">
        <v>0</v>
      </c>
      <c r="AK449" t="b">
        <v>0</v>
      </c>
      <c r="AM449" t="b">
        <v>0</v>
      </c>
      <c r="AN449">
        <v>0</v>
      </c>
      <c r="AO449" t="b">
        <v>0</v>
      </c>
      <c r="AQ449">
        <v>1299818619</v>
      </c>
      <c r="AR449">
        <v>1299818619</v>
      </c>
      <c r="AS449">
        <v>0</v>
      </c>
      <c r="AT449" t="b">
        <v>0</v>
      </c>
      <c r="AU449" t="b">
        <v>1</v>
      </c>
      <c r="AV449" t="b">
        <v>1</v>
      </c>
      <c r="AW449" t="b">
        <v>1</v>
      </c>
      <c r="BC449" t="str">
        <f t="shared" si="6"/>
        <v>Normal</v>
      </c>
    </row>
    <row r="450" spans="1:55" x14ac:dyDescent="0.2">
      <c r="A450" t="s">
        <v>39</v>
      </c>
      <c r="B450" t="s">
        <v>40</v>
      </c>
      <c r="C450">
        <v>20220101</v>
      </c>
      <c r="D450">
        <v>2022</v>
      </c>
      <c r="E450">
        <v>52</v>
      </c>
      <c r="F450" t="s">
        <v>346</v>
      </c>
      <c r="G450">
        <v>414</v>
      </c>
      <c r="H450" t="s">
        <v>175</v>
      </c>
      <c r="I450" t="s">
        <v>176</v>
      </c>
      <c r="J450" t="s">
        <v>44</v>
      </c>
      <c r="K450" t="s">
        <v>45</v>
      </c>
      <c r="L450">
        <v>0</v>
      </c>
      <c r="M450" t="s">
        <v>46</v>
      </c>
      <c r="N450" t="s">
        <v>47</v>
      </c>
      <c r="O450">
        <v>0</v>
      </c>
      <c r="P450" t="s">
        <v>46</v>
      </c>
      <c r="Q450" t="s">
        <v>47</v>
      </c>
      <c r="R450" t="s">
        <v>347</v>
      </c>
      <c r="S450" t="s">
        <v>49</v>
      </c>
      <c r="T450" t="b">
        <v>1</v>
      </c>
      <c r="U450" t="s">
        <v>50</v>
      </c>
      <c r="V450" t="s">
        <v>51</v>
      </c>
      <c r="W450">
        <v>4</v>
      </c>
      <c r="X450" t="b">
        <v>0</v>
      </c>
      <c r="Y450" t="s">
        <v>52</v>
      </c>
      <c r="Z450" t="s">
        <v>53</v>
      </c>
      <c r="AA450" t="s">
        <v>54</v>
      </c>
      <c r="AB450">
        <v>0</v>
      </c>
      <c r="AC450" t="s">
        <v>55</v>
      </c>
      <c r="AD450">
        <v>8</v>
      </c>
      <c r="AE450" t="s">
        <v>56</v>
      </c>
      <c r="AF450">
        <v>748.99400000000003</v>
      </c>
      <c r="AG450" t="b">
        <v>1</v>
      </c>
      <c r="AH450">
        <v>-1</v>
      </c>
      <c r="AI450" t="s">
        <v>64</v>
      </c>
      <c r="AJ450">
        <v>0</v>
      </c>
      <c r="AK450" t="b">
        <v>0</v>
      </c>
      <c r="AL450">
        <v>748.99400000000003</v>
      </c>
      <c r="AM450" t="b">
        <v>1</v>
      </c>
      <c r="AN450">
        <v>0</v>
      </c>
      <c r="AO450" t="b">
        <v>0</v>
      </c>
      <c r="AQ450">
        <v>41320910.340999998</v>
      </c>
      <c r="AR450">
        <v>41320910.340999998</v>
      </c>
      <c r="AS450">
        <v>6</v>
      </c>
      <c r="AT450" t="b">
        <v>0</v>
      </c>
      <c r="AU450" t="b">
        <v>1</v>
      </c>
      <c r="AV450" t="b">
        <v>1</v>
      </c>
      <c r="AW450" t="b">
        <v>1</v>
      </c>
      <c r="BC450" t="str">
        <f t="shared" si="6"/>
        <v>Normal</v>
      </c>
    </row>
    <row r="451" spans="1:55" x14ac:dyDescent="0.2">
      <c r="A451" t="s">
        <v>39</v>
      </c>
      <c r="B451" t="s">
        <v>40</v>
      </c>
      <c r="C451">
        <v>20220101</v>
      </c>
      <c r="D451">
        <v>2022</v>
      </c>
      <c r="E451">
        <v>52</v>
      </c>
      <c r="F451" t="s">
        <v>346</v>
      </c>
      <c r="G451">
        <v>417</v>
      </c>
      <c r="H451" t="s">
        <v>177</v>
      </c>
      <c r="I451" t="s">
        <v>178</v>
      </c>
      <c r="J451" t="s">
        <v>44</v>
      </c>
      <c r="K451" t="s">
        <v>45</v>
      </c>
      <c r="L451">
        <v>0</v>
      </c>
      <c r="M451" t="s">
        <v>46</v>
      </c>
      <c r="N451" t="s">
        <v>47</v>
      </c>
      <c r="O451">
        <v>0</v>
      </c>
      <c r="P451" t="s">
        <v>46</v>
      </c>
      <c r="Q451" t="s">
        <v>47</v>
      </c>
      <c r="R451" t="s">
        <v>347</v>
      </c>
      <c r="S451" t="s">
        <v>49</v>
      </c>
      <c r="T451" t="b">
        <v>1</v>
      </c>
      <c r="U451" t="s">
        <v>50</v>
      </c>
      <c r="V451" t="s">
        <v>51</v>
      </c>
      <c r="W451">
        <v>4</v>
      </c>
      <c r="X451" t="b">
        <v>0</v>
      </c>
      <c r="Y451" t="s">
        <v>52</v>
      </c>
      <c r="Z451" t="s">
        <v>53</v>
      </c>
      <c r="AA451" t="s">
        <v>54</v>
      </c>
      <c r="AB451">
        <v>0</v>
      </c>
      <c r="AC451" t="s">
        <v>55</v>
      </c>
      <c r="AD451">
        <v>8</v>
      </c>
      <c r="AE451" t="s">
        <v>56</v>
      </c>
      <c r="AF451">
        <v>290</v>
      </c>
      <c r="AG451" t="b">
        <v>0</v>
      </c>
      <c r="AH451">
        <v>8</v>
      </c>
      <c r="AI451" t="s">
        <v>56</v>
      </c>
      <c r="AJ451">
        <v>290</v>
      </c>
      <c r="AK451" t="b">
        <v>0</v>
      </c>
      <c r="AL451">
        <v>290</v>
      </c>
      <c r="AM451" t="b">
        <v>0</v>
      </c>
      <c r="AN451">
        <v>0</v>
      </c>
      <c r="AO451" t="b">
        <v>0</v>
      </c>
      <c r="AQ451">
        <v>13064926</v>
      </c>
      <c r="AR451">
        <v>13064926</v>
      </c>
      <c r="AS451">
        <v>0</v>
      </c>
      <c r="AT451" t="b">
        <v>0</v>
      </c>
      <c r="AU451" t="b">
        <v>1</v>
      </c>
      <c r="AV451" t="b">
        <v>1</v>
      </c>
      <c r="AW451" t="b">
        <v>1</v>
      </c>
      <c r="BC451" t="str">
        <f t="shared" ref="BC451:BC514" si="7">IF(OR(AL451&lt;$BA$2,AL451&gt;$BB$2),"Outlier","Normal")</f>
        <v>Normal</v>
      </c>
    </row>
    <row r="452" spans="1:55" x14ac:dyDescent="0.2">
      <c r="A452" t="s">
        <v>39</v>
      </c>
      <c r="B452" t="s">
        <v>40</v>
      </c>
      <c r="C452">
        <v>20220101</v>
      </c>
      <c r="D452">
        <v>2022</v>
      </c>
      <c r="E452">
        <v>52</v>
      </c>
      <c r="F452" t="s">
        <v>346</v>
      </c>
      <c r="G452">
        <v>418</v>
      </c>
      <c r="H452" t="s">
        <v>179</v>
      </c>
      <c r="I452" t="s">
        <v>180</v>
      </c>
      <c r="J452" t="s">
        <v>44</v>
      </c>
      <c r="K452" t="s">
        <v>45</v>
      </c>
      <c r="L452">
        <v>0</v>
      </c>
      <c r="M452" t="s">
        <v>46</v>
      </c>
      <c r="N452" t="s">
        <v>47</v>
      </c>
      <c r="O452">
        <v>0</v>
      </c>
      <c r="P452" t="s">
        <v>46</v>
      </c>
      <c r="Q452" t="s">
        <v>47</v>
      </c>
      <c r="R452" t="s">
        <v>347</v>
      </c>
      <c r="S452" t="s">
        <v>49</v>
      </c>
      <c r="T452" t="b">
        <v>1</v>
      </c>
      <c r="U452" t="s">
        <v>50</v>
      </c>
      <c r="V452" t="s">
        <v>51</v>
      </c>
      <c r="W452">
        <v>4</v>
      </c>
      <c r="X452" t="b">
        <v>0</v>
      </c>
      <c r="Y452" t="s">
        <v>52</v>
      </c>
      <c r="Z452" t="s">
        <v>53</v>
      </c>
      <c r="AA452" t="s">
        <v>54</v>
      </c>
      <c r="AB452">
        <v>0</v>
      </c>
      <c r="AC452" t="s">
        <v>55</v>
      </c>
      <c r="AD452">
        <v>8</v>
      </c>
      <c r="AE452" t="s">
        <v>56</v>
      </c>
      <c r="AF452">
        <v>32768.245000000003</v>
      </c>
      <c r="AG452" t="b">
        <v>1</v>
      </c>
      <c r="AH452">
        <v>-1</v>
      </c>
      <c r="AI452" t="s">
        <v>64</v>
      </c>
      <c r="AJ452">
        <v>0</v>
      </c>
      <c r="AK452" t="b">
        <v>0</v>
      </c>
      <c r="AL452">
        <v>32768.245000000003</v>
      </c>
      <c r="AM452" t="b">
        <v>1</v>
      </c>
      <c r="AN452">
        <v>0</v>
      </c>
      <c r="AO452" t="b">
        <v>0</v>
      </c>
      <c r="AQ452">
        <v>805495672.77999997</v>
      </c>
      <c r="AR452">
        <v>805495672.77999997</v>
      </c>
      <c r="AS452">
        <v>6</v>
      </c>
      <c r="AT452" t="b">
        <v>0</v>
      </c>
      <c r="AU452" t="b">
        <v>1</v>
      </c>
      <c r="AV452" t="b">
        <v>1</v>
      </c>
      <c r="AW452" t="b">
        <v>1</v>
      </c>
      <c r="BC452" t="str">
        <f t="shared" si="7"/>
        <v>Normal</v>
      </c>
    </row>
    <row r="453" spans="1:55" x14ac:dyDescent="0.2">
      <c r="A453" t="s">
        <v>39</v>
      </c>
      <c r="B453" t="s">
        <v>40</v>
      </c>
      <c r="C453">
        <v>20220101</v>
      </c>
      <c r="D453">
        <v>2022</v>
      </c>
      <c r="E453">
        <v>52</v>
      </c>
      <c r="F453" t="s">
        <v>346</v>
      </c>
      <c r="G453">
        <v>422</v>
      </c>
      <c r="H453" t="s">
        <v>181</v>
      </c>
      <c r="I453" t="s">
        <v>182</v>
      </c>
      <c r="J453" t="s">
        <v>44</v>
      </c>
      <c r="K453" t="s">
        <v>45</v>
      </c>
      <c r="L453">
        <v>0</v>
      </c>
      <c r="M453" t="s">
        <v>46</v>
      </c>
      <c r="N453" t="s">
        <v>47</v>
      </c>
      <c r="O453">
        <v>0</v>
      </c>
      <c r="P453" t="s">
        <v>46</v>
      </c>
      <c r="Q453" t="s">
        <v>47</v>
      </c>
      <c r="R453" t="s">
        <v>48</v>
      </c>
      <c r="S453" t="s">
        <v>49</v>
      </c>
      <c r="T453" t="b">
        <v>1</v>
      </c>
      <c r="U453" t="s">
        <v>50</v>
      </c>
      <c r="V453" t="s">
        <v>51</v>
      </c>
      <c r="W453">
        <v>4</v>
      </c>
      <c r="X453" t="b">
        <v>0</v>
      </c>
      <c r="Y453" t="s">
        <v>52</v>
      </c>
      <c r="Z453" t="s">
        <v>53</v>
      </c>
      <c r="AA453" t="s">
        <v>54</v>
      </c>
      <c r="AB453">
        <v>0</v>
      </c>
      <c r="AC453" t="s">
        <v>55</v>
      </c>
      <c r="AD453">
        <v>8</v>
      </c>
      <c r="AE453" t="s">
        <v>56</v>
      </c>
      <c r="AF453">
        <v>16619</v>
      </c>
      <c r="AG453" t="b">
        <v>0</v>
      </c>
      <c r="AH453">
        <v>8</v>
      </c>
      <c r="AI453" t="s">
        <v>56</v>
      </c>
      <c r="AJ453">
        <v>16619</v>
      </c>
      <c r="AK453" t="b">
        <v>0</v>
      </c>
      <c r="AL453">
        <v>16619</v>
      </c>
      <c r="AM453" t="b">
        <v>0</v>
      </c>
      <c r="AN453">
        <v>0</v>
      </c>
      <c r="AO453" t="b">
        <v>0</v>
      </c>
      <c r="AQ453">
        <v>195910563</v>
      </c>
      <c r="AR453">
        <v>195910563</v>
      </c>
      <c r="AS453">
        <v>0</v>
      </c>
      <c r="AT453" t="b">
        <v>0</v>
      </c>
      <c r="AU453" t="b">
        <v>1</v>
      </c>
      <c r="AV453" t="b">
        <v>1</v>
      </c>
      <c r="AW453" t="b">
        <v>1</v>
      </c>
      <c r="BC453" t="str">
        <f t="shared" si="7"/>
        <v>Normal</v>
      </c>
    </row>
    <row r="454" spans="1:55" x14ac:dyDescent="0.2">
      <c r="A454" t="s">
        <v>39</v>
      </c>
      <c r="B454" t="s">
        <v>40</v>
      </c>
      <c r="C454">
        <v>20220101</v>
      </c>
      <c r="D454">
        <v>2022</v>
      </c>
      <c r="E454">
        <v>52</v>
      </c>
      <c r="F454" t="s">
        <v>346</v>
      </c>
      <c r="G454">
        <v>428</v>
      </c>
      <c r="H454" t="s">
        <v>183</v>
      </c>
      <c r="I454" t="s">
        <v>184</v>
      </c>
      <c r="J454" t="s">
        <v>44</v>
      </c>
      <c r="K454" t="s">
        <v>45</v>
      </c>
      <c r="L454">
        <v>0</v>
      </c>
      <c r="M454" t="s">
        <v>46</v>
      </c>
      <c r="N454" t="s">
        <v>47</v>
      </c>
      <c r="O454">
        <v>0</v>
      </c>
      <c r="P454" t="s">
        <v>46</v>
      </c>
      <c r="Q454" t="s">
        <v>47</v>
      </c>
      <c r="R454" t="s">
        <v>347</v>
      </c>
      <c r="S454" t="s">
        <v>49</v>
      </c>
      <c r="T454" t="b">
        <v>1</v>
      </c>
      <c r="U454" t="s">
        <v>50</v>
      </c>
      <c r="V454" t="s">
        <v>51</v>
      </c>
      <c r="W454">
        <v>4</v>
      </c>
      <c r="X454" t="b">
        <v>0</v>
      </c>
      <c r="Y454" t="s">
        <v>52</v>
      </c>
      <c r="Z454" t="s">
        <v>53</v>
      </c>
      <c r="AA454" t="s">
        <v>54</v>
      </c>
      <c r="AB454">
        <v>0</v>
      </c>
      <c r="AC454" t="s">
        <v>55</v>
      </c>
      <c r="AD454">
        <v>8</v>
      </c>
      <c r="AE454" t="s">
        <v>56</v>
      </c>
      <c r="AF454">
        <v>267.52199999999999</v>
      </c>
      <c r="AG454" t="b">
        <v>0</v>
      </c>
      <c r="AH454">
        <v>15</v>
      </c>
      <c r="AI454" t="s">
        <v>59</v>
      </c>
      <c r="AJ454">
        <v>267522</v>
      </c>
      <c r="AK454" t="b">
        <v>0</v>
      </c>
      <c r="AL454">
        <v>265.12</v>
      </c>
      <c r="AM454" t="b">
        <v>0</v>
      </c>
      <c r="AN454">
        <v>0</v>
      </c>
      <c r="AO454" t="b">
        <v>0</v>
      </c>
      <c r="AQ454">
        <v>15190565.569</v>
      </c>
      <c r="AR454">
        <v>15190565.569</v>
      </c>
      <c r="AS454">
        <v>0</v>
      </c>
      <c r="AT454" t="b">
        <v>0</v>
      </c>
      <c r="AU454" t="b">
        <v>1</v>
      </c>
      <c r="AV454" t="b">
        <v>1</v>
      </c>
      <c r="AW454" t="b">
        <v>1</v>
      </c>
      <c r="BC454" t="str">
        <f t="shared" si="7"/>
        <v>Normal</v>
      </c>
    </row>
    <row r="455" spans="1:55" x14ac:dyDescent="0.2">
      <c r="A455" t="s">
        <v>39</v>
      </c>
      <c r="B455" t="s">
        <v>40</v>
      </c>
      <c r="C455">
        <v>20220101</v>
      </c>
      <c r="D455">
        <v>2022</v>
      </c>
      <c r="E455">
        <v>52</v>
      </c>
      <c r="F455" t="s">
        <v>346</v>
      </c>
      <c r="G455">
        <v>440</v>
      </c>
      <c r="H455" t="s">
        <v>189</v>
      </c>
      <c r="I455" t="s">
        <v>190</v>
      </c>
      <c r="J455" t="s">
        <v>44</v>
      </c>
      <c r="K455" t="s">
        <v>45</v>
      </c>
      <c r="L455">
        <v>0</v>
      </c>
      <c r="M455" t="s">
        <v>46</v>
      </c>
      <c r="N455" t="s">
        <v>47</v>
      </c>
      <c r="O455">
        <v>0</v>
      </c>
      <c r="P455" t="s">
        <v>46</v>
      </c>
      <c r="Q455" t="s">
        <v>47</v>
      </c>
      <c r="R455" t="s">
        <v>347</v>
      </c>
      <c r="S455" t="s">
        <v>49</v>
      </c>
      <c r="T455" t="b">
        <v>1</v>
      </c>
      <c r="U455" t="s">
        <v>50</v>
      </c>
      <c r="V455" t="s">
        <v>51</v>
      </c>
      <c r="W455">
        <v>4</v>
      </c>
      <c r="X455" t="b">
        <v>0</v>
      </c>
      <c r="Y455" t="s">
        <v>52</v>
      </c>
      <c r="Z455" t="s">
        <v>53</v>
      </c>
      <c r="AA455" t="s">
        <v>54</v>
      </c>
      <c r="AB455">
        <v>0</v>
      </c>
      <c r="AC455" t="s">
        <v>55</v>
      </c>
      <c r="AD455">
        <v>8</v>
      </c>
      <c r="AE455" t="s">
        <v>56</v>
      </c>
      <c r="AF455">
        <v>19.541</v>
      </c>
      <c r="AG455" t="b">
        <v>0</v>
      </c>
      <c r="AH455">
        <v>15</v>
      </c>
      <c r="AI455" t="s">
        <v>59</v>
      </c>
      <c r="AJ455">
        <v>19540.82</v>
      </c>
      <c r="AK455" t="b">
        <v>0</v>
      </c>
      <c r="AL455">
        <v>19.542999999999999</v>
      </c>
      <c r="AM455" t="b">
        <v>0</v>
      </c>
      <c r="AN455">
        <v>0</v>
      </c>
      <c r="AO455" t="b">
        <v>0</v>
      </c>
      <c r="AQ455">
        <v>674834</v>
      </c>
      <c r="AR455">
        <v>674834</v>
      </c>
      <c r="AS455">
        <v>0</v>
      </c>
      <c r="AT455" t="b">
        <v>0</v>
      </c>
      <c r="AU455" t="b">
        <v>1</v>
      </c>
      <c r="AV455" t="b">
        <v>1</v>
      </c>
      <c r="AW455" t="b">
        <v>1</v>
      </c>
      <c r="BC455" t="str">
        <f t="shared" si="7"/>
        <v>Normal</v>
      </c>
    </row>
    <row r="456" spans="1:55" x14ac:dyDescent="0.2">
      <c r="A456" t="s">
        <v>39</v>
      </c>
      <c r="B456" t="s">
        <v>40</v>
      </c>
      <c r="C456">
        <v>20220101</v>
      </c>
      <c r="D456">
        <v>2022</v>
      </c>
      <c r="E456">
        <v>52</v>
      </c>
      <c r="F456" t="s">
        <v>346</v>
      </c>
      <c r="G456">
        <v>442</v>
      </c>
      <c r="H456" t="s">
        <v>191</v>
      </c>
      <c r="I456" t="s">
        <v>192</v>
      </c>
      <c r="J456" t="s">
        <v>44</v>
      </c>
      <c r="K456" t="s">
        <v>45</v>
      </c>
      <c r="L456">
        <v>0</v>
      </c>
      <c r="M456" t="s">
        <v>46</v>
      </c>
      <c r="N456" t="s">
        <v>47</v>
      </c>
      <c r="O456">
        <v>0</v>
      </c>
      <c r="P456" t="s">
        <v>46</v>
      </c>
      <c r="Q456" t="s">
        <v>47</v>
      </c>
      <c r="R456" t="s">
        <v>347</v>
      </c>
      <c r="S456" t="s">
        <v>49</v>
      </c>
      <c r="T456" t="b">
        <v>1</v>
      </c>
      <c r="U456" t="s">
        <v>50</v>
      </c>
      <c r="V456" t="s">
        <v>51</v>
      </c>
      <c r="W456">
        <v>4</v>
      </c>
      <c r="X456" t="b">
        <v>0</v>
      </c>
      <c r="Y456" t="s">
        <v>52</v>
      </c>
      <c r="Z456" t="s">
        <v>53</v>
      </c>
      <c r="AA456" t="s">
        <v>54</v>
      </c>
      <c r="AB456">
        <v>0</v>
      </c>
      <c r="AC456" t="s">
        <v>55</v>
      </c>
      <c r="AD456">
        <v>8</v>
      </c>
      <c r="AE456" t="s">
        <v>56</v>
      </c>
      <c r="AF456">
        <v>1657.9169999999999</v>
      </c>
      <c r="AG456" t="b">
        <v>0</v>
      </c>
      <c r="AH456">
        <v>15</v>
      </c>
      <c r="AI456" t="s">
        <v>59</v>
      </c>
      <c r="AJ456">
        <v>1549019.54</v>
      </c>
      <c r="AK456" t="b">
        <v>0</v>
      </c>
      <c r="AL456">
        <v>3027.9960000000001</v>
      </c>
      <c r="AM456" t="b">
        <v>0</v>
      </c>
      <c r="AN456">
        <v>0</v>
      </c>
      <c r="AO456" t="b">
        <v>0</v>
      </c>
      <c r="AQ456">
        <v>87087787.364999995</v>
      </c>
      <c r="AR456">
        <v>87087787.364999995</v>
      </c>
      <c r="AS456">
        <v>0</v>
      </c>
      <c r="AT456" t="b">
        <v>0</v>
      </c>
      <c r="AU456" t="b">
        <v>1</v>
      </c>
      <c r="AV456" t="b">
        <v>1</v>
      </c>
      <c r="AW456" t="b">
        <v>1</v>
      </c>
      <c r="BC456" t="str">
        <f t="shared" si="7"/>
        <v>Normal</v>
      </c>
    </row>
    <row r="457" spans="1:55" x14ac:dyDescent="0.2">
      <c r="A457" t="s">
        <v>39</v>
      </c>
      <c r="B457" t="s">
        <v>40</v>
      </c>
      <c r="C457">
        <v>20220101</v>
      </c>
      <c r="D457">
        <v>2022</v>
      </c>
      <c r="E457">
        <v>52</v>
      </c>
      <c r="F457" t="s">
        <v>346</v>
      </c>
      <c r="G457">
        <v>446</v>
      </c>
      <c r="H457" t="s">
        <v>323</v>
      </c>
      <c r="I457" t="s">
        <v>324</v>
      </c>
      <c r="J457" t="s">
        <v>44</v>
      </c>
      <c r="K457" t="s">
        <v>45</v>
      </c>
      <c r="L457">
        <v>0</v>
      </c>
      <c r="M457" t="s">
        <v>46</v>
      </c>
      <c r="N457" t="s">
        <v>47</v>
      </c>
      <c r="O457">
        <v>0</v>
      </c>
      <c r="P457" t="s">
        <v>46</v>
      </c>
      <c r="Q457" t="s">
        <v>47</v>
      </c>
      <c r="R457" t="s">
        <v>347</v>
      </c>
      <c r="S457" t="s">
        <v>49</v>
      </c>
      <c r="T457" t="b">
        <v>1</v>
      </c>
      <c r="U457" t="s">
        <v>50</v>
      </c>
      <c r="V457" t="s">
        <v>51</v>
      </c>
      <c r="W457">
        <v>4</v>
      </c>
      <c r="X457" t="b">
        <v>0</v>
      </c>
      <c r="Y457" t="s">
        <v>52</v>
      </c>
      <c r="Z457" t="s">
        <v>53</v>
      </c>
      <c r="AA457" t="s">
        <v>54</v>
      </c>
      <c r="AB457">
        <v>0</v>
      </c>
      <c r="AC457" t="s">
        <v>55</v>
      </c>
      <c r="AD457">
        <v>8</v>
      </c>
      <c r="AE457" t="s">
        <v>56</v>
      </c>
      <c r="AF457">
        <v>285</v>
      </c>
      <c r="AG457" t="b">
        <v>0</v>
      </c>
      <c r="AH457">
        <v>8</v>
      </c>
      <c r="AI457" t="s">
        <v>56</v>
      </c>
      <c r="AJ457">
        <v>285</v>
      </c>
      <c r="AK457" t="b">
        <v>0</v>
      </c>
      <c r="AL457">
        <v>285</v>
      </c>
      <c r="AM457" t="b">
        <v>0</v>
      </c>
      <c r="AN457">
        <v>0</v>
      </c>
      <c r="AO457" t="b">
        <v>0</v>
      </c>
      <c r="AQ457">
        <v>15499235.422</v>
      </c>
      <c r="AR457">
        <v>15499235.422</v>
      </c>
      <c r="AS457">
        <v>0</v>
      </c>
      <c r="AT457" t="b">
        <v>0</v>
      </c>
      <c r="AU457" t="b">
        <v>1</v>
      </c>
      <c r="AV457" t="b">
        <v>1</v>
      </c>
      <c r="AW457" t="b">
        <v>1</v>
      </c>
      <c r="BC457" t="str">
        <f t="shared" si="7"/>
        <v>Normal</v>
      </c>
    </row>
    <row r="458" spans="1:55" x14ac:dyDescent="0.2">
      <c r="A458" t="s">
        <v>39</v>
      </c>
      <c r="B458" t="s">
        <v>40</v>
      </c>
      <c r="C458">
        <v>20220101</v>
      </c>
      <c r="D458">
        <v>2022</v>
      </c>
      <c r="E458">
        <v>52</v>
      </c>
      <c r="F458" t="s">
        <v>346</v>
      </c>
      <c r="G458">
        <v>458</v>
      </c>
      <c r="H458" t="s">
        <v>195</v>
      </c>
      <c r="I458" t="s">
        <v>196</v>
      </c>
      <c r="J458" t="s">
        <v>44</v>
      </c>
      <c r="K458" t="s">
        <v>45</v>
      </c>
      <c r="L458">
        <v>0</v>
      </c>
      <c r="M458" t="s">
        <v>46</v>
      </c>
      <c r="N458" t="s">
        <v>47</v>
      </c>
      <c r="O458">
        <v>0</v>
      </c>
      <c r="P458" t="s">
        <v>46</v>
      </c>
      <c r="Q458" t="s">
        <v>47</v>
      </c>
      <c r="R458" t="s">
        <v>347</v>
      </c>
      <c r="S458" t="s">
        <v>49</v>
      </c>
      <c r="T458" t="b">
        <v>1</v>
      </c>
      <c r="U458" t="s">
        <v>50</v>
      </c>
      <c r="V458" t="s">
        <v>51</v>
      </c>
      <c r="W458">
        <v>4</v>
      </c>
      <c r="X458" t="b">
        <v>0</v>
      </c>
      <c r="Y458" t="s">
        <v>52</v>
      </c>
      <c r="Z458" t="s">
        <v>53</v>
      </c>
      <c r="AA458" t="s">
        <v>54</v>
      </c>
      <c r="AB458">
        <v>0</v>
      </c>
      <c r="AC458" t="s">
        <v>55</v>
      </c>
      <c r="AD458">
        <v>8</v>
      </c>
      <c r="AE458" t="s">
        <v>56</v>
      </c>
      <c r="AF458">
        <v>6402.8320000000003</v>
      </c>
      <c r="AG458" t="b">
        <v>0</v>
      </c>
      <c r="AH458">
        <v>8</v>
      </c>
      <c r="AI458" t="s">
        <v>56</v>
      </c>
      <c r="AJ458">
        <v>6402.8320000000003</v>
      </c>
      <c r="AK458" t="b">
        <v>0</v>
      </c>
      <c r="AL458">
        <v>6402.8320000000003</v>
      </c>
      <c r="AM458" t="b">
        <v>0</v>
      </c>
      <c r="AN458">
        <v>0</v>
      </c>
      <c r="AO458" t="b">
        <v>0</v>
      </c>
      <c r="AQ458">
        <v>313386487.83700001</v>
      </c>
      <c r="AR458">
        <v>313386487.83700001</v>
      </c>
      <c r="AS458">
        <v>0</v>
      </c>
      <c r="AT458" t="b">
        <v>0</v>
      </c>
      <c r="AU458" t="b">
        <v>1</v>
      </c>
      <c r="AV458" t="b">
        <v>1</v>
      </c>
      <c r="AW458" t="b">
        <v>1</v>
      </c>
      <c r="BC458" t="str">
        <f t="shared" si="7"/>
        <v>Normal</v>
      </c>
    </row>
    <row r="459" spans="1:55" x14ac:dyDescent="0.2">
      <c r="A459" t="s">
        <v>39</v>
      </c>
      <c r="B459" t="s">
        <v>40</v>
      </c>
      <c r="C459">
        <v>20220101</v>
      </c>
      <c r="D459">
        <v>2022</v>
      </c>
      <c r="E459">
        <v>52</v>
      </c>
      <c r="F459" t="s">
        <v>346</v>
      </c>
      <c r="G459">
        <v>466</v>
      </c>
      <c r="H459" t="s">
        <v>197</v>
      </c>
      <c r="I459" t="s">
        <v>198</v>
      </c>
      <c r="J459" t="s">
        <v>44</v>
      </c>
      <c r="K459" t="s">
        <v>45</v>
      </c>
      <c r="L459">
        <v>0</v>
      </c>
      <c r="M459" t="s">
        <v>46</v>
      </c>
      <c r="N459" t="s">
        <v>47</v>
      </c>
      <c r="O459">
        <v>0</v>
      </c>
      <c r="P459" t="s">
        <v>46</v>
      </c>
      <c r="Q459" t="s">
        <v>47</v>
      </c>
      <c r="R459" t="s">
        <v>48</v>
      </c>
      <c r="S459" t="s">
        <v>49</v>
      </c>
      <c r="T459" t="b">
        <v>1</v>
      </c>
      <c r="U459" t="s">
        <v>50</v>
      </c>
      <c r="V459" t="s">
        <v>51</v>
      </c>
      <c r="W459">
        <v>4</v>
      </c>
      <c r="X459" t="b">
        <v>0</v>
      </c>
      <c r="Y459" t="s">
        <v>52</v>
      </c>
      <c r="Z459" t="s">
        <v>53</v>
      </c>
      <c r="AA459" t="s">
        <v>54</v>
      </c>
      <c r="AB459">
        <v>0</v>
      </c>
      <c r="AC459" t="s">
        <v>55</v>
      </c>
      <c r="AD459">
        <v>8</v>
      </c>
      <c r="AE459" t="s">
        <v>56</v>
      </c>
      <c r="AF459">
        <v>65693.928</v>
      </c>
      <c r="AG459" t="b">
        <v>0</v>
      </c>
      <c r="AH459">
        <v>8</v>
      </c>
      <c r="AI459" t="s">
        <v>56</v>
      </c>
      <c r="AJ459">
        <v>65693.928</v>
      </c>
      <c r="AK459" t="b">
        <v>0</v>
      </c>
      <c r="AL459">
        <v>65693.928</v>
      </c>
      <c r="AM459" t="b">
        <v>0</v>
      </c>
      <c r="AN459">
        <v>0</v>
      </c>
      <c r="AO459" t="b">
        <v>0</v>
      </c>
      <c r="AQ459">
        <v>3051023890.1469998</v>
      </c>
      <c r="AR459">
        <v>3051023890.1469998</v>
      </c>
      <c r="AS459">
        <v>0</v>
      </c>
      <c r="AT459" t="b">
        <v>0</v>
      </c>
      <c r="AU459" t="b">
        <v>1</v>
      </c>
      <c r="AV459" t="b">
        <v>1</v>
      </c>
      <c r="AW459" t="b">
        <v>1</v>
      </c>
      <c r="BC459" t="str">
        <f t="shared" si="7"/>
        <v>Normal</v>
      </c>
    </row>
    <row r="460" spans="1:55" x14ac:dyDescent="0.2">
      <c r="A460" t="s">
        <v>39</v>
      </c>
      <c r="B460" t="s">
        <v>40</v>
      </c>
      <c r="C460">
        <v>20220101</v>
      </c>
      <c r="D460">
        <v>2022</v>
      </c>
      <c r="E460">
        <v>52</v>
      </c>
      <c r="F460" t="s">
        <v>346</v>
      </c>
      <c r="G460">
        <v>470</v>
      </c>
      <c r="H460" t="s">
        <v>199</v>
      </c>
      <c r="I460" t="s">
        <v>200</v>
      </c>
      <c r="J460" t="s">
        <v>44</v>
      </c>
      <c r="K460" t="s">
        <v>45</v>
      </c>
      <c r="L460">
        <v>0</v>
      </c>
      <c r="M460" t="s">
        <v>46</v>
      </c>
      <c r="N460" t="s">
        <v>47</v>
      </c>
      <c r="O460">
        <v>0</v>
      </c>
      <c r="P460" t="s">
        <v>46</v>
      </c>
      <c r="Q460" t="s">
        <v>47</v>
      </c>
      <c r="R460" t="s">
        <v>347</v>
      </c>
      <c r="S460" t="s">
        <v>49</v>
      </c>
      <c r="T460" t="b">
        <v>1</v>
      </c>
      <c r="U460" t="s">
        <v>50</v>
      </c>
      <c r="V460" t="s">
        <v>51</v>
      </c>
      <c r="W460">
        <v>4</v>
      </c>
      <c r="X460" t="b">
        <v>0</v>
      </c>
      <c r="Y460" t="s">
        <v>52</v>
      </c>
      <c r="Z460" t="s">
        <v>53</v>
      </c>
      <c r="AA460" t="s">
        <v>54</v>
      </c>
      <c r="AB460">
        <v>0</v>
      </c>
      <c r="AC460" t="s">
        <v>55</v>
      </c>
      <c r="AD460">
        <v>8</v>
      </c>
      <c r="AE460" t="s">
        <v>56</v>
      </c>
      <c r="AF460">
        <v>54.57</v>
      </c>
      <c r="AG460" t="b">
        <v>0</v>
      </c>
      <c r="AH460">
        <v>15</v>
      </c>
      <c r="AI460" t="s">
        <v>59</v>
      </c>
      <c r="AJ460">
        <v>54570</v>
      </c>
      <c r="AK460" t="b">
        <v>0</v>
      </c>
      <c r="AL460">
        <v>57</v>
      </c>
      <c r="AM460" t="b">
        <v>0</v>
      </c>
      <c r="AN460">
        <v>0</v>
      </c>
      <c r="AO460" t="b">
        <v>0</v>
      </c>
      <c r="AQ460">
        <v>2205304.9709999999</v>
      </c>
      <c r="AR460">
        <v>2205304.9709999999</v>
      </c>
      <c r="AS460">
        <v>0</v>
      </c>
      <c r="AT460" t="b">
        <v>0</v>
      </c>
      <c r="AU460" t="b">
        <v>1</v>
      </c>
      <c r="AV460" t="b">
        <v>1</v>
      </c>
      <c r="AW460" t="b">
        <v>1</v>
      </c>
      <c r="BC460" t="str">
        <f t="shared" si="7"/>
        <v>Normal</v>
      </c>
    </row>
    <row r="461" spans="1:55" x14ac:dyDescent="0.2">
      <c r="A461" t="s">
        <v>39</v>
      </c>
      <c r="B461" t="s">
        <v>40</v>
      </c>
      <c r="C461">
        <v>20220101</v>
      </c>
      <c r="D461">
        <v>2022</v>
      </c>
      <c r="E461">
        <v>52</v>
      </c>
      <c r="F461" t="s">
        <v>346</v>
      </c>
      <c r="G461">
        <v>478</v>
      </c>
      <c r="H461" t="s">
        <v>325</v>
      </c>
      <c r="I461" t="s">
        <v>326</v>
      </c>
      <c r="J461" t="s">
        <v>44</v>
      </c>
      <c r="K461" t="s">
        <v>45</v>
      </c>
      <c r="L461">
        <v>0</v>
      </c>
      <c r="M461" t="s">
        <v>46</v>
      </c>
      <c r="N461" t="s">
        <v>47</v>
      </c>
      <c r="O461">
        <v>0</v>
      </c>
      <c r="P461" t="s">
        <v>46</v>
      </c>
      <c r="Q461" t="s">
        <v>47</v>
      </c>
      <c r="R461" t="s">
        <v>48</v>
      </c>
      <c r="S461" t="s">
        <v>49</v>
      </c>
      <c r="T461" t="b">
        <v>1</v>
      </c>
      <c r="U461" t="s">
        <v>50</v>
      </c>
      <c r="V461" t="s">
        <v>51</v>
      </c>
      <c r="W461">
        <v>4</v>
      </c>
      <c r="X461" t="b">
        <v>0</v>
      </c>
      <c r="Y461" t="s">
        <v>52</v>
      </c>
      <c r="Z461" t="s">
        <v>53</v>
      </c>
      <c r="AA461" t="s">
        <v>54</v>
      </c>
      <c r="AB461">
        <v>0</v>
      </c>
      <c r="AC461" t="s">
        <v>55</v>
      </c>
      <c r="AD461">
        <v>8</v>
      </c>
      <c r="AE461" t="s">
        <v>56</v>
      </c>
      <c r="AF461">
        <v>21383.14</v>
      </c>
      <c r="AG461" t="b">
        <v>0</v>
      </c>
      <c r="AH461">
        <v>8</v>
      </c>
      <c r="AI461" t="s">
        <v>56</v>
      </c>
      <c r="AJ461">
        <v>21383.14</v>
      </c>
      <c r="AK461" t="b">
        <v>0</v>
      </c>
      <c r="AL461">
        <v>21383.14</v>
      </c>
      <c r="AM461" t="b">
        <v>0</v>
      </c>
      <c r="AN461">
        <v>0</v>
      </c>
      <c r="AO461" t="b">
        <v>0</v>
      </c>
      <c r="AQ461">
        <v>1169248635.2939999</v>
      </c>
      <c r="AR461">
        <v>1169248635.2939999</v>
      </c>
      <c r="AS461">
        <v>0</v>
      </c>
      <c r="AT461" t="b">
        <v>0</v>
      </c>
      <c r="AU461" t="b">
        <v>1</v>
      </c>
      <c r="AV461" t="b">
        <v>1</v>
      </c>
      <c r="AW461" t="b">
        <v>1</v>
      </c>
      <c r="BC461" t="str">
        <f t="shared" si="7"/>
        <v>Normal</v>
      </c>
    </row>
    <row r="462" spans="1:55" x14ac:dyDescent="0.2">
      <c r="A462" t="s">
        <v>39</v>
      </c>
      <c r="B462" t="s">
        <v>40</v>
      </c>
      <c r="C462">
        <v>20220101</v>
      </c>
      <c r="D462">
        <v>2022</v>
      </c>
      <c r="E462">
        <v>52</v>
      </c>
      <c r="F462" t="s">
        <v>346</v>
      </c>
      <c r="G462">
        <v>480</v>
      </c>
      <c r="H462" t="s">
        <v>201</v>
      </c>
      <c r="I462" t="s">
        <v>202</v>
      </c>
      <c r="J462" t="s">
        <v>44</v>
      </c>
      <c r="K462" t="s">
        <v>45</v>
      </c>
      <c r="L462">
        <v>0</v>
      </c>
      <c r="M462" t="s">
        <v>46</v>
      </c>
      <c r="N462" t="s">
        <v>47</v>
      </c>
      <c r="O462">
        <v>0</v>
      </c>
      <c r="P462" t="s">
        <v>46</v>
      </c>
      <c r="Q462" t="s">
        <v>47</v>
      </c>
      <c r="R462" t="s">
        <v>347</v>
      </c>
      <c r="S462" t="s">
        <v>49</v>
      </c>
      <c r="T462" t="b">
        <v>1</v>
      </c>
      <c r="U462" t="s">
        <v>50</v>
      </c>
      <c r="V462" t="s">
        <v>51</v>
      </c>
      <c r="W462">
        <v>4</v>
      </c>
      <c r="X462" t="b">
        <v>0</v>
      </c>
      <c r="Y462" t="s">
        <v>52</v>
      </c>
      <c r="Z462" t="s">
        <v>53</v>
      </c>
      <c r="AA462" t="s">
        <v>54</v>
      </c>
      <c r="AB462">
        <v>0</v>
      </c>
      <c r="AC462" t="s">
        <v>55</v>
      </c>
      <c r="AD462">
        <v>8</v>
      </c>
      <c r="AE462" t="s">
        <v>56</v>
      </c>
      <c r="AF462">
        <v>16</v>
      </c>
      <c r="AG462" t="b">
        <v>0</v>
      </c>
      <c r="AH462">
        <v>8</v>
      </c>
      <c r="AI462" t="s">
        <v>56</v>
      </c>
      <c r="AJ462">
        <v>16</v>
      </c>
      <c r="AK462" t="b">
        <v>0</v>
      </c>
      <c r="AL462">
        <v>10</v>
      </c>
      <c r="AM462" t="b">
        <v>0</v>
      </c>
      <c r="AN462">
        <v>0</v>
      </c>
      <c r="AO462" t="b">
        <v>0</v>
      </c>
      <c r="AQ462">
        <v>318619.16899999999</v>
      </c>
      <c r="AR462">
        <v>318619.16899999999</v>
      </c>
      <c r="AS462">
        <v>0</v>
      </c>
      <c r="AT462" t="b">
        <v>0</v>
      </c>
      <c r="AU462" t="b">
        <v>1</v>
      </c>
      <c r="AV462" t="b">
        <v>1</v>
      </c>
      <c r="AW462" t="b">
        <v>1</v>
      </c>
      <c r="BC462" t="str">
        <f t="shared" si="7"/>
        <v>Normal</v>
      </c>
    </row>
    <row r="463" spans="1:55" x14ac:dyDescent="0.2">
      <c r="A463" t="s">
        <v>39</v>
      </c>
      <c r="B463" t="s">
        <v>40</v>
      </c>
      <c r="C463">
        <v>20220101</v>
      </c>
      <c r="D463">
        <v>2022</v>
      </c>
      <c r="E463">
        <v>52</v>
      </c>
      <c r="F463" t="s">
        <v>346</v>
      </c>
      <c r="G463">
        <v>484</v>
      </c>
      <c r="H463" t="s">
        <v>203</v>
      </c>
      <c r="I463" t="s">
        <v>204</v>
      </c>
      <c r="J463" t="s">
        <v>44</v>
      </c>
      <c r="K463" t="s">
        <v>45</v>
      </c>
      <c r="L463">
        <v>0</v>
      </c>
      <c r="M463" t="s">
        <v>46</v>
      </c>
      <c r="N463" t="s">
        <v>47</v>
      </c>
      <c r="O463">
        <v>0</v>
      </c>
      <c r="P463" t="s">
        <v>46</v>
      </c>
      <c r="Q463" t="s">
        <v>47</v>
      </c>
      <c r="R463" t="s">
        <v>347</v>
      </c>
      <c r="S463" t="s">
        <v>49</v>
      </c>
      <c r="T463" t="b">
        <v>1</v>
      </c>
      <c r="U463" t="s">
        <v>50</v>
      </c>
      <c r="V463" t="s">
        <v>51</v>
      </c>
      <c r="W463">
        <v>4</v>
      </c>
      <c r="X463" t="b">
        <v>0</v>
      </c>
      <c r="Y463" t="s">
        <v>52</v>
      </c>
      <c r="Z463" t="s">
        <v>53</v>
      </c>
      <c r="AA463" t="s">
        <v>54</v>
      </c>
      <c r="AB463">
        <v>0</v>
      </c>
      <c r="AC463" t="s">
        <v>55</v>
      </c>
      <c r="AD463">
        <v>-1</v>
      </c>
      <c r="AE463" t="s">
        <v>64</v>
      </c>
      <c r="AF463">
        <v>0</v>
      </c>
      <c r="AG463" t="b">
        <v>1</v>
      </c>
      <c r="AH463">
        <v>-1</v>
      </c>
      <c r="AI463" t="s">
        <v>64</v>
      </c>
      <c r="AJ463">
        <v>0</v>
      </c>
      <c r="AK463" t="b">
        <v>0</v>
      </c>
      <c r="AL463">
        <v>0</v>
      </c>
      <c r="AM463" t="b">
        <v>1</v>
      </c>
      <c r="AN463">
        <v>0</v>
      </c>
      <c r="AO463" t="b">
        <v>0</v>
      </c>
      <c r="AQ463">
        <v>3098803598</v>
      </c>
      <c r="AR463">
        <v>3098803598</v>
      </c>
      <c r="AS463">
        <v>6</v>
      </c>
      <c r="AT463" t="b">
        <v>0</v>
      </c>
      <c r="AU463" t="b">
        <v>1</v>
      </c>
      <c r="AV463" t="b">
        <v>1</v>
      </c>
      <c r="AW463" t="b">
        <v>1</v>
      </c>
      <c r="BC463" t="str">
        <f t="shared" si="7"/>
        <v>Normal</v>
      </c>
    </row>
    <row r="464" spans="1:55" x14ac:dyDescent="0.2">
      <c r="A464" t="s">
        <v>39</v>
      </c>
      <c r="B464" t="s">
        <v>40</v>
      </c>
      <c r="C464">
        <v>20220101</v>
      </c>
      <c r="D464">
        <v>2022</v>
      </c>
      <c r="E464">
        <v>52</v>
      </c>
      <c r="F464" t="s">
        <v>346</v>
      </c>
      <c r="G464">
        <v>490</v>
      </c>
      <c r="H464" t="s">
        <v>205</v>
      </c>
      <c r="I464" t="s">
        <v>206</v>
      </c>
      <c r="J464" t="s">
        <v>44</v>
      </c>
      <c r="K464" t="s">
        <v>45</v>
      </c>
      <c r="L464">
        <v>0</v>
      </c>
      <c r="M464" t="s">
        <v>46</v>
      </c>
      <c r="N464" t="s">
        <v>47</v>
      </c>
      <c r="O464">
        <v>0</v>
      </c>
      <c r="P464" t="s">
        <v>46</v>
      </c>
      <c r="Q464" t="s">
        <v>47</v>
      </c>
      <c r="R464" t="s">
        <v>48</v>
      </c>
      <c r="S464" t="s">
        <v>49</v>
      </c>
      <c r="T464" t="b">
        <v>1</v>
      </c>
      <c r="U464" t="s">
        <v>50</v>
      </c>
      <c r="V464" t="s">
        <v>51</v>
      </c>
      <c r="W464">
        <v>4</v>
      </c>
      <c r="X464" t="b">
        <v>0</v>
      </c>
      <c r="Y464" t="s">
        <v>52</v>
      </c>
      <c r="Z464" t="s">
        <v>53</v>
      </c>
      <c r="AA464" t="s">
        <v>54</v>
      </c>
      <c r="AB464">
        <v>0</v>
      </c>
      <c r="AC464" t="s">
        <v>55</v>
      </c>
      <c r="AD464">
        <v>8</v>
      </c>
      <c r="AE464" t="s">
        <v>56</v>
      </c>
      <c r="AF464">
        <v>19531.532999999999</v>
      </c>
      <c r="AG464" t="b">
        <v>1</v>
      </c>
      <c r="AH464">
        <v>-1</v>
      </c>
      <c r="AI464" t="s">
        <v>64</v>
      </c>
      <c r="AJ464">
        <v>0</v>
      </c>
      <c r="AK464" t="b">
        <v>0</v>
      </c>
      <c r="AL464">
        <v>19531.532999999999</v>
      </c>
      <c r="AM464" t="b">
        <v>1</v>
      </c>
      <c r="AN464">
        <v>0</v>
      </c>
      <c r="AO464" t="b">
        <v>0</v>
      </c>
      <c r="AQ464">
        <v>1074986252.4000001</v>
      </c>
      <c r="AR464">
        <v>1074986252.4000001</v>
      </c>
      <c r="AS464">
        <v>6</v>
      </c>
      <c r="AT464" t="b">
        <v>0</v>
      </c>
      <c r="AU464" t="b">
        <v>1</v>
      </c>
      <c r="AV464" t="b">
        <v>1</v>
      </c>
      <c r="AW464" t="b">
        <v>1</v>
      </c>
      <c r="BC464" t="str">
        <f t="shared" si="7"/>
        <v>Normal</v>
      </c>
    </row>
    <row r="465" spans="1:55" x14ac:dyDescent="0.2">
      <c r="A465" t="s">
        <v>39</v>
      </c>
      <c r="B465" t="s">
        <v>40</v>
      </c>
      <c r="C465">
        <v>20220101</v>
      </c>
      <c r="D465">
        <v>2022</v>
      </c>
      <c r="E465">
        <v>52</v>
      </c>
      <c r="F465" t="s">
        <v>346</v>
      </c>
      <c r="G465">
        <v>496</v>
      </c>
      <c r="H465" t="s">
        <v>207</v>
      </c>
      <c r="I465" t="s">
        <v>208</v>
      </c>
      <c r="J465" t="s">
        <v>44</v>
      </c>
      <c r="K465" t="s">
        <v>45</v>
      </c>
      <c r="L465">
        <v>0</v>
      </c>
      <c r="M465" t="s">
        <v>46</v>
      </c>
      <c r="N465" t="s">
        <v>47</v>
      </c>
      <c r="O465">
        <v>0</v>
      </c>
      <c r="P465" t="s">
        <v>46</v>
      </c>
      <c r="Q465" t="s">
        <v>47</v>
      </c>
      <c r="R465" t="s">
        <v>347</v>
      </c>
      <c r="S465" t="s">
        <v>49</v>
      </c>
      <c r="T465" t="b">
        <v>1</v>
      </c>
      <c r="U465" t="s">
        <v>50</v>
      </c>
      <c r="V465" t="s">
        <v>51</v>
      </c>
      <c r="W465">
        <v>4</v>
      </c>
      <c r="X465" t="b">
        <v>0</v>
      </c>
      <c r="Y465" t="s">
        <v>52</v>
      </c>
      <c r="Z465" t="s">
        <v>53</v>
      </c>
      <c r="AA465" t="s">
        <v>54</v>
      </c>
      <c r="AB465">
        <v>0</v>
      </c>
      <c r="AC465" t="s">
        <v>55</v>
      </c>
      <c r="AD465">
        <v>8</v>
      </c>
      <c r="AE465" t="s">
        <v>56</v>
      </c>
      <c r="AF465">
        <v>19219.59</v>
      </c>
      <c r="AG465" t="b">
        <v>0</v>
      </c>
      <c r="AH465">
        <v>8</v>
      </c>
      <c r="AI465" t="s">
        <v>56</v>
      </c>
      <c r="AJ465">
        <v>19219.59</v>
      </c>
      <c r="AK465" t="b">
        <v>0</v>
      </c>
      <c r="AL465">
        <v>19219.59</v>
      </c>
      <c r="AM465" t="b">
        <v>0</v>
      </c>
      <c r="AN465">
        <v>0</v>
      </c>
      <c r="AO465" t="b">
        <v>0</v>
      </c>
      <c r="AQ465">
        <v>1104152518.6400001</v>
      </c>
      <c r="AR465">
        <v>1104152518.6400001</v>
      </c>
      <c r="AS465">
        <v>0</v>
      </c>
      <c r="AT465" t="b">
        <v>0</v>
      </c>
      <c r="AU465" t="b">
        <v>1</v>
      </c>
      <c r="AV465" t="b">
        <v>1</v>
      </c>
      <c r="AW465" t="b">
        <v>1</v>
      </c>
      <c r="BC465" t="str">
        <f t="shared" si="7"/>
        <v>Normal</v>
      </c>
    </row>
    <row r="466" spans="1:55" x14ac:dyDescent="0.2">
      <c r="A466" t="s">
        <v>39</v>
      </c>
      <c r="B466" t="s">
        <v>40</v>
      </c>
      <c r="C466">
        <v>20220101</v>
      </c>
      <c r="D466">
        <v>2022</v>
      </c>
      <c r="E466">
        <v>52</v>
      </c>
      <c r="F466" t="s">
        <v>346</v>
      </c>
      <c r="G466">
        <v>498</v>
      </c>
      <c r="H466" t="s">
        <v>209</v>
      </c>
      <c r="I466" t="s">
        <v>210</v>
      </c>
      <c r="J466" t="s">
        <v>44</v>
      </c>
      <c r="K466" t="s">
        <v>45</v>
      </c>
      <c r="L466">
        <v>0</v>
      </c>
      <c r="M466" t="s">
        <v>46</v>
      </c>
      <c r="N466" t="s">
        <v>47</v>
      </c>
      <c r="O466">
        <v>0</v>
      </c>
      <c r="P466" t="s">
        <v>46</v>
      </c>
      <c r="Q466" t="s">
        <v>47</v>
      </c>
      <c r="R466" t="s">
        <v>48</v>
      </c>
      <c r="S466" t="s">
        <v>49</v>
      </c>
      <c r="T466" t="b">
        <v>1</v>
      </c>
      <c r="U466" t="s">
        <v>50</v>
      </c>
      <c r="V466" t="s">
        <v>51</v>
      </c>
      <c r="W466">
        <v>4</v>
      </c>
      <c r="X466" t="b">
        <v>0</v>
      </c>
      <c r="Y466" t="s">
        <v>52</v>
      </c>
      <c r="Z466" t="s">
        <v>53</v>
      </c>
      <c r="AA466" t="s">
        <v>54</v>
      </c>
      <c r="AB466">
        <v>0</v>
      </c>
      <c r="AC466" t="s">
        <v>55</v>
      </c>
      <c r="AD466">
        <v>8</v>
      </c>
      <c r="AE466" t="s">
        <v>56</v>
      </c>
      <c r="AF466">
        <v>37.21</v>
      </c>
      <c r="AG466" t="b">
        <v>0</v>
      </c>
      <c r="AH466">
        <v>15</v>
      </c>
      <c r="AI466" t="s">
        <v>59</v>
      </c>
      <c r="AJ466">
        <v>37210</v>
      </c>
      <c r="AK466" t="b">
        <v>0</v>
      </c>
      <c r="AL466">
        <v>37</v>
      </c>
      <c r="AM466" t="b">
        <v>0</v>
      </c>
      <c r="AN466">
        <v>0</v>
      </c>
      <c r="AO466" t="b">
        <v>0</v>
      </c>
      <c r="AQ466">
        <v>1320512</v>
      </c>
      <c r="AR466">
        <v>1320512</v>
      </c>
      <c r="AS466">
        <v>0</v>
      </c>
      <c r="AT466" t="b">
        <v>0</v>
      </c>
      <c r="AU466" t="b">
        <v>1</v>
      </c>
      <c r="AV466" t="b">
        <v>1</v>
      </c>
      <c r="AW466" t="b">
        <v>1</v>
      </c>
      <c r="BC466" t="str">
        <f t="shared" si="7"/>
        <v>Normal</v>
      </c>
    </row>
    <row r="467" spans="1:55" x14ac:dyDescent="0.2">
      <c r="A467" t="s">
        <v>39</v>
      </c>
      <c r="B467" t="s">
        <v>40</v>
      </c>
      <c r="C467">
        <v>20220101</v>
      </c>
      <c r="D467">
        <v>2022</v>
      </c>
      <c r="E467">
        <v>52</v>
      </c>
      <c r="F467" t="s">
        <v>346</v>
      </c>
      <c r="G467">
        <v>504</v>
      </c>
      <c r="H467" t="s">
        <v>211</v>
      </c>
      <c r="I467" t="s">
        <v>212</v>
      </c>
      <c r="J467" t="s">
        <v>44</v>
      </c>
      <c r="K467" t="s">
        <v>45</v>
      </c>
      <c r="L467">
        <v>0</v>
      </c>
      <c r="M467" t="s">
        <v>46</v>
      </c>
      <c r="N467" t="s">
        <v>47</v>
      </c>
      <c r="O467">
        <v>0</v>
      </c>
      <c r="P467" t="s">
        <v>46</v>
      </c>
      <c r="Q467" t="s">
        <v>47</v>
      </c>
      <c r="R467" t="s">
        <v>347</v>
      </c>
      <c r="S467" t="s">
        <v>49</v>
      </c>
      <c r="T467" t="b">
        <v>1</v>
      </c>
      <c r="U467" t="s">
        <v>50</v>
      </c>
      <c r="V467" t="s">
        <v>51</v>
      </c>
      <c r="W467">
        <v>4</v>
      </c>
      <c r="X467" t="b">
        <v>0</v>
      </c>
      <c r="Y467" t="s">
        <v>52</v>
      </c>
      <c r="Z467" t="s">
        <v>53</v>
      </c>
      <c r="AA467" t="s">
        <v>54</v>
      </c>
      <c r="AB467">
        <v>0</v>
      </c>
      <c r="AC467" t="s">
        <v>55</v>
      </c>
      <c r="AD467">
        <v>-1</v>
      </c>
      <c r="AE467" t="s">
        <v>64</v>
      </c>
      <c r="AF467">
        <v>0</v>
      </c>
      <c r="AG467" t="b">
        <v>0</v>
      </c>
      <c r="AH467">
        <v>-1</v>
      </c>
      <c r="AI467" t="s">
        <v>64</v>
      </c>
      <c r="AJ467">
        <v>0</v>
      </c>
      <c r="AK467" t="b">
        <v>0</v>
      </c>
      <c r="AL467">
        <v>576.27</v>
      </c>
      <c r="AM467" t="b">
        <v>0</v>
      </c>
      <c r="AN467">
        <v>0</v>
      </c>
      <c r="AO467" t="b">
        <v>0</v>
      </c>
      <c r="AQ467">
        <v>27518404.151000001</v>
      </c>
      <c r="AR467">
        <v>27518404.151000001</v>
      </c>
      <c r="AS467">
        <v>0</v>
      </c>
      <c r="AT467" t="b">
        <v>0</v>
      </c>
      <c r="AU467" t="b">
        <v>1</v>
      </c>
      <c r="AV467" t="b">
        <v>1</v>
      </c>
      <c r="AW467" t="b">
        <v>1</v>
      </c>
      <c r="BC467" t="str">
        <f t="shared" si="7"/>
        <v>Normal</v>
      </c>
    </row>
    <row r="468" spans="1:55" x14ac:dyDescent="0.2">
      <c r="A468" t="s">
        <v>39</v>
      </c>
      <c r="B468" t="s">
        <v>40</v>
      </c>
      <c r="C468">
        <v>20220101</v>
      </c>
      <c r="D468">
        <v>2022</v>
      </c>
      <c r="E468">
        <v>52</v>
      </c>
      <c r="F468" t="s">
        <v>346</v>
      </c>
      <c r="G468">
        <v>508</v>
      </c>
      <c r="H468" t="s">
        <v>213</v>
      </c>
      <c r="I468" t="s">
        <v>214</v>
      </c>
      <c r="J468" t="s">
        <v>44</v>
      </c>
      <c r="K468" t="s">
        <v>45</v>
      </c>
      <c r="L468">
        <v>0</v>
      </c>
      <c r="M468" t="s">
        <v>46</v>
      </c>
      <c r="N468" t="s">
        <v>47</v>
      </c>
      <c r="O468">
        <v>0</v>
      </c>
      <c r="P468" t="s">
        <v>46</v>
      </c>
      <c r="Q468" t="s">
        <v>47</v>
      </c>
      <c r="R468" t="s">
        <v>48</v>
      </c>
      <c r="S468" t="s">
        <v>49</v>
      </c>
      <c r="T468" t="b">
        <v>1</v>
      </c>
      <c r="U468" t="s">
        <v>50</v>
      </c>
      <c r="V468" t="s">
        <v>51</v>
      </c>
      <c r="W468">
        <v>4</v>
      </c>
      <c r="X468" t="b">
        <v>0</v>
      </c>
      <c r="Y468" t="s">
        <v>52</v>
      </c>
      <c r="Z468" t="s">
        <v>53</v>
      </c>
      <c r="AA468" t="s">
        <v>54</v>
      </c>
      <c r="AB468">
        <v>0</v>
      </c>
      <c r="AC468" t="s">
        <v>55</v>
      </c>
      <c r="AD468">
        <v>8</v>
      </c>
      <c r="AE468" t="s">
        <v>56</v>
      </c>
      <c r="AF468">
        <v>58.048999999999999</v>
      </c>
      <c r="AG468" t="b">
        <v>0</v>
      </c>
      <c r="AH468">
        <v>15</v>
      </c>
      <c r="AI468" t="s">
        <v>59</v>
      </c>
      <c r="AJ468">
        <v>56051</v>
      </c>
      <c r="AK468" t="b">
        <v>0</v>
      </c>
      <c r="AL468">
        <v>58.584000000000003</v>
      </c>
      <c r="AM468" t="b">
        <v>0</v>
      </c>
      <c r="AN468">
        <v>0</v>
      </c>
      <c r="AO468" t="b">
        <v>0</v>
      </c>
      <c r="AQ468">
        <v>2602982.08</v>
      </c>
      <c r="AR468">
        <v>2602982.08</v>
      </c>
      <c r="AS468">
        <v>0</v>
      </c>
      <c r="AT468" t="b">
        <v>0</v>
      </c>
      <c r="AU468" t="b">
        <v>1</v>
      </c>
      <c r="AV468" t="b">
        <v>1</v>
      </c>
      <c r="AW468" t="b">
        <v>1</v>
      </c>
      <c r="BC468" t="str">
        <f t="shared" si="7"/>
        <v>Normal</v>
      </c>
    </row>
    <row r="469" spans="1:55" x14ac:dyDescent="0.2">
      <c r="A469" t="s">
        <v>39</v>
      </c>
      <c r="B469" t="s">
        <v>40</v>
      </c>
      <c r="C469">
        <v>20220101</v>
      </c>
      <c r="D469">
        <v>2022</v>
      </c>
      <c r="E469">
        <v>52</v>
      </c>
      <c r="F469" t="s">
        <v>346</v>
      </c>
      <c r="G469">
        <v>512</v>
      </c>
      <c r="H469" t="s">
        <v>215</v>
      </c>
      <c r="I469" t="s">
        <v>216</v>
      </c>
      <c r="J469" t="s">
        <v>44</v>
      </c>
      <c r="K469" t="s">
        <v>45</v>
      </c>
      <c r="L469">
        <v>0</v>
      </c>
      <c r="M469" t="s">
        <v>46</v>
      </c>
      <c r="N469" t="s">
        <v>47</v>
      </c>
      <c r="O469">
        <v>0</v>
      </c>
      <c r="P469" t="s">
        <v>46</v>
      </c>
      <c r="Q469" t="s">
        <v>47</v>
      </c>
      <c r="R469" t="s">
        <v>347</v>
      </c>
      <c r="S469" t="s">
        <v>49</v>
      </c>
      <c r="T469" t="b">
        <v>1</v>
      </c>
      <c r="U469" t="s">
        <v>50</v>
      </c>
      <c r="V469" t="s">
        <v>51</v>
      </c>
      <c r="W469">
        <v>4</v>
      </c>
      <c r="X469" t="b">
        <v>0</v>
      </c>
      <c r="Y469" t="s">
        <v>52</v>
      </c>
      <c r="Z469" t="s">
        <v>53</v>
      </c>
      <c r="AA469" t="s">
        <v>54</v>
      </c>
      <c r="AB469">
        <v>0</v>
      </c>
      <c r="AC469" t="s">
        <v>55</v>
      </c>
      <c r="AD469">
        <v>8</v>
      </c>
      <c r="AE469" t="s">
        <v>56</v>
      </c>
      <c r="AF469">
        <v>830.97799999999995</v>
      </c>
      <c r="AG469" t="b">
        <v>1</v>
      </c>
      <c r="AH469">
        <v>-1</v>
      </c>
      <c r="AI469" t="s">
        <v>64</v>
      </c>
      <c r="AJ469">
        <v>0</v>
      </c>
      <c r="AK469" t="b">
        <v>0</v>
      </c>
      <c r="AL469">
        <v>830.97799999999995</v>
      </c>
      <c r="AM469" t="b">
        <v>1</v>
      </c>
      <c r="AN469">
        <v>0</v>
      </c>
      <c r="AO469" t="b">
        <v>0</v>
      </c>
      <c r="AQ469">
        <v>45932260.005999997</v>
      </c>
      <c r="AR469">
        <v>45932260.005999997</v>
      </c>
      <c r="AS469">
        <v>6</v>
      </c>
      <c r="AT469" t="b">
        <v>0</v>
      </c>
      <c r="AU469" t="b">
        <v>1</v>
      </c>
      <c r="AV469" t="b">
        <v>1</v>
      </c>
      <c r="AW469" t="b">
        <v>1</v>
      </c>
      <c r="BC469" t="str">
        <f t="shared" si="7"/>
        <v>Normal</v>
      </c>
    </row>
    <row r="470" spans="1:55" x14ac:dyDescent="0.2">
      <c r="A470" t="s">
        <v>39</v>
      </c>
      <c r="B470" t="s">
        <v>40</v>
      </c>
      <c r="C470">
        <v>20220101</v>
      </c>
      <c r="D470">
        <v>2022</v>
      </c>
      <c r="E470">
        <v>52</v>
      </c>
      <c r="F470" t="s">
        <v>346</v>
      </c>
      <c r="G470">
        <v>516</v>
      </c>
      <c r="H470" t="s">
        <v>217</v>
      </c>
      <c r="I470" t="s">
        <v>218</v>
      </c>
      <c r="J470" t="s">
        <v>44</v>
      </c>
      <c r="K470" t="s">
        <v>45</v>
      </c>
      <c r="L470">
        <v>0</v>
      </c>
      <c r="M470" t="s">
        <v>46</v>
      </c>
      <c r="N470" t="s">
        <v>47</v>
      </c>
      <c r="O470">
        <v>0</v>
      </c>
      <c r="P470" t="s">
        <v>46</v>
      </c>
      <c r="Q470" t="s">
        <v>47</v>
      </c>
      <c r="R470" t="s">
        <v>347</v>
      </c>
      <c r="S470" t="s">
        <v>49</v>
      </c>
      <c r="T470" t="b">
        <v>1</v>
      </c>
      <c r="U470" t="s">
        <v>50</v>
      </c>
      <c r="V470" t="s">
        <v>51</v>
      </c>
      <c r="W470">
        <v>4</v>
      </c>
      <c r="X470" t="b">
        <v>0</v>
      </c>
      <c r="Y470" t="s">
        <v>52</v>
      </c>
      <c r="Z470" t="s">
        <v>53</v>
      </c>
      <c r="AA470" t="s">
        <v>54</v>
      </c>
      <c r="AB470">
        <v>0</v>
      </c>
      <c r="AC470" t="s">
        <v>55</v>
      </c>
      <c r="AD470">
        <v>8</v>
      </c>
      <c r="AE470" t="s">
        <v>56</v>
      </c>
      <c r="AF470">
        <v>8096.77</v>
      </c>
      <c r="AG470" t="b">
        <v>0</v>
      </c>
      <c r="AH470">
        <v>8</v>
      </c>
      <c r="AI470" t="s">
        <v>56</v>
      </c>
      <c r="AJ470">
        <v>8096.77</v>
      </c>
      <c r="AK470" t="b">
        <v>0</v>
      </c>
      <c r="AL470">
        <v>8096.77</v>
      </c>
      <c r="AM470" t="b">
        <v>0</v>
      </c>
      <c r="AN470">
        <v>0</v>
      </c>
      <c r="AO470" t="b">
        <v>0</v>
      </c>
      <c r="AQ470">
        <v>438743261.912</v>
      </c>
      <c r="AR470">
        <v>438743261.912</v>
      </c>
      <c r="AS470">
        <v>0</v>
      </c>
      <c r="AT470" t="b">
        <v>0</v>
      </c>
      <c r="AU470" t="b">
        <v>1</v>
      </c>
      <c r="AV470" t="b">
        <v>1</v>
      </c>
      <c r="AW470" t="b">
        <v>1</v>
      </c>
      <c r="BC470" t="str">
        <f t="shared" si="7"/>
        <v>Normal</v>
      </c>
    </row>
    <row r="471" spans="1:55" x14ac:dyDescent="0.2">
      <c r="A471" t="s">
        <v>39</v>
      </c>
      <c r="B471" t="s">
        <v>40</v>
      </c>
      <c r="C471">
        <v>20220101</v>
      </c>
      <c r="D471">
        <v>2022</v>
      </c>
      <c r="E471">
        <v>52</v>
      </c>
      <c r="F471" t="s">
        <v>346</v>
      </c>
      <c r="G471">
        <v>524</v>
      </c>
      <c r="H471" t="s">
        <v>350</v>
      </c>
      <c r="I471" t="s">
        <v>351</v>
      </c>
      <c r="J471" t="s">
        <v>44</v>
      </c>
      <c r="K471" t="s">
        <v>45</v>
      </c>
      <c r="L471">
        <v>0</v>
      </c>
      <c r="M471" t="s">
        <v>46</v>
      </c>
      <c r="N471" t="s">
        <v>47</v>
      </c>
      <c r="O471">
        <v>0</v>
      </c>
      <c r="P471" t="s">
        <v>46</v>
      </c>
      <c r="Q471" t="s">
        <v>47</v>
      </c>
      <c r="R471" t="s">
        <v>347</v>
      </c>
      <c r="S471" t="s">
        <v>49</v>
      </c>
      <c r="T471" t="b">
        <v>1</v>
      </c>
      <c r="U471" t="s">
        <v>50</v>
      </c>
      <c r="V471" t="s">
        <v>51</v>
      </c>
      <c r="W471">
        <v>4</v>
      </c>
      <c r="X471" t="b">
        <v>0</v>
      </c>
      <c r="Y471" t="s">
        <v>52</v>
      </c>
      <c r="Z471" t="s">
        <v>53</v>
      </c>
      <c r="AA471" t="s">
        <v>54</v>
      </c>
      <c r="AB471">
        <v>0</v>
      </c>
      <c r="AC471" t="s">
        <v>55</v>
      </c>
      <c r="AD471">
        <v>8</v>
      </c>
      <c r="AE471" t="s">
        <v>56</v>
      </c>
      <c r="AF471">
        <v>0.27800000000000002</v>
      </c>
      <c r="AG471" t="b">
        <v>0</v>
      </c>
      <c r="AH471">
        <v>15</v>
      </c>
      <c r="AI471" t="s">
        <v>59</v>
      </c>
      <c r="AJ471">
        <v>278</v>
      </c>
      <c r="AK471" t="b">
        <v>0</v>
      </c>
      <c r="AL471">
        <v>0.27800000000000002</v>
      </c>
      <c r="AM471" t="b">
        <v>0</v>
      </c>
      <c r="AN471">
        <v>0</v>
      </c>
      <c r="AO471" t="b">
        <v>0</v>
      </c>
      <c r="AQ471">
        <v>28750.371999999999</v>
      </c>
      <c r="AR471">
        <v>28750.371999999999</v>
      </c>
      <c r="AS471">
        <v>0</v>
      </c>
      <c r="AT471" t="b">
        <v>0</v>
      </c>
      <c r="AU471" t="b">
        <v>1</v>
      </c>
      <c r="AV471" t="b">
        <v>1</v>
      </c>
      <c r="AW471" t="b">
        <v>1</v>
      </c>
      <c r="BC471" t="str">
        <f t="shared" si="7"/>
        <v>Normal</v>
      </c>
    </row>
    <row r="472" spans="1:55" x14ac:dyDescent="0.2">
      <c r="A472" t="s">
        <v>39</v>
      </c>
      <c r="B472" t="s">
        <v>40</v>
      </c>
      <c r="C472">
        <v>20220101</v>
      </c>
      <c r="D472">
        <v>2022</v>
      </c>
      <c r="E472">
        <v>52</v>
      </c>
      <c r="F472" t="s">
        <v>346</v>
      </c>
      <c r="G472">
        <v>528</v>
      </c>
      <c r="H472" t="s">
        <v>219</v>
      </c>
      <c r="I472" t="s">
        <v>220</v>
      </c>
      <c r="J472" t="s">
        <v>44</v>
      </c>
      <c r="K472" t="s">
        <v>45</v>
      </c>
      <c r="L472">
        <v>0</v>
      </c>
      <c r="M472" t="s">
        <v>46</v>
      </c>
      <c r="N472" t="s">
        <v>47</v>
      </c>
      <c r="O472">
        <v>0</v>
      </c>
      <c r="P472" t="s">
        <v>46</v>
      </c>
      <c r="Q472" t="s">
        <v>47</v>
      </c>
      <c r="R472" t="s">
        <v>347</v>
      </c>
      <c r="S472" t="s">
        <v>49</v>
      </c>
      <c r="T472" t="b">
        <v>1</v>
      </c>
      <c r="U472" t="s">
        <v>50</v>
      </c>
      <c r="V472" t="s">
        <v>51</v>
      </c>
      <c r="W472">
        <v>4</v>
      </c>
      <c r="X472" t="b">
        <v>0</v>
      </c>
      <c r="Y472" t="s">
        <v>52</v>
      </c>
      <c r="Z472" t="s">
        <v>53</v>
      </c>
      <c r="AA472" t="s">
        <v>54</v>
      </c>
      <c r="AB472">
        <v>0</v>
      </c>
      <c r="AC472" t="s">
        <v>55</v>
      </c>
      <c r="AD472">
        <v>8</v>
      </c>
      <c r="AE472" t="s">
        <v>56</v>
      </c>
      <c r="AF472">
        <v>5164.0820000000003</v>
      </c>
      <c r="AG472" t="b">
        <v>1</v>
      </c>
      <c r="AH472">
        <v>-1</v>
      </c>
      <c r="AI472" t="s">
        <v>64</v>
      </c>
      <c r="AJ472">
        <v>0</v>
      </c>
      <c r="AK472" t="b">
        <v>0</v>
      </c>
      <c r="AM472" t="b">
        <v>0</v>
      </c>
      <c r="AN472">
        <v>0</v>
      </c>
      <c r="AO472" t="b">
        <v>0</v>
      </c>
      <c r="AQ472">
        <v>248599020.81400001</v>
      </c>
      <c r="AR472">
        <v>248599020.81400001</v>
      </c>
      <c r="AS472">
        <v>2</v>
      </c>
      <c r="AT472" t="b">
        <v>0</v>
      </c>
      <c r="AU472" t="b">
        <v>1</v>
      </c>
      <c r="AV472" t="b">
        <v>1</v>
      </c>
      <c r="AW472" t="b">
        <v>1</v>
      </c>
      <c r="BC472" t="str">
        <f t="shared" si="7"/>
        <v>Normal</v>
      </c>
    </row>
    <row r="473" spans="1:55" x14ac:dyDescent="0.2">
      <c r="A473" t="s">
        <v>39</v>
      </c>
      <c r="B473" t="s">
        <v>40</v>
      </c>
      <c r="C473">
        <v>20220101</v>
      </c>
      <c r="D473">
        <v>2022</v>
      </c>
      <c r="E473">
        <v>52</v>
      </c>
      <c r="F473" t="s">
        <v>346</v>
      </c>
      <c r="G473">
        <v>554</v>
      </c>
      <c r="H473" t="s">
        <v>223</v>
      </c>
      <c r="I473" t="s">
        <v>224</v>
      </c>
      <c r="J473" t="s">
        <v>44</v>
      </c>
      <c r="K473" t="s">
        <v>45</v>
      </c>
      <c r="L473">
        <v>0</v>
      </c>
      <c r="M473" t="s">
        <v>46</v>
      </c>
      <c r="N473" t="s">
        <v>47</v>
      </c>
      <c r="O473">
        <v>0</v>
      </c>
      <c r="P473" t="s">
        <v>46</v>
      </c>
      <c r="Q473" t="s">
        <v>47</v>
      </c>
      <c r="R473" t="s">
        <v>347</v>
      </c>
      <c r="S473" t="s">
        <v>49</v>
      </c>
      <c r="T473" t="b">
        <v>1</v>
      </c>
      <c r="U473" t="s">
        <v>50</v>
      </c>
      <c r="V473" t="s">
        <v>51</v>
      </c>
      <c r="W473">
        <v>4</v>
      </c>
      <c r="X473" t="b">
        <v>0</v>
      </c>
      <c r="Y473" t="s">
        <v>52</v>
      </c>
      <c r="Z473" t="s">
        <v>53</v>
      </c>
      <c r="AA473" t="s">
        <v>54</v>
      </c>
      <c r="AB473">
        <v>0</v>
      </c>
      <c r="AC473" t="s">
        <v>55</v>
      </c>
      <c r="AD473">
        <v>8</v>
      </c>
      <c r="AE473" t="s">
        <v>56</v>
      </c>
      <c r="AF473">
        <v>11569.549000000001</v>
      </c>
      <c r="AG473" t="b">
        <v>0</v>
      </c>
      <c r="AH473">
        <v>15</v>
      </c>
      <c r="AI473" t="s">
        <v>59</v>
      </c>
      <c r="AJ473">
        <v>11569549</v>
      </c>
      <c r="AK473" t="b">
        <v>0</v>
      </c>
      <c r="AL473">
        <v>11569.549000000001</v>
      </c>
      <c r="AM473" t="b">
        <v>0</v>
      </c>
      <c r="AN473">
        <v>0</v>
      </c>
      <c r="AO473" t="b">
        <v>0</v>
      </c>
      <c r="AQ473">
        <v>397958431.347</v>
      </c>
      <c r="AR473">
        <v>397958431.347</v>
      </c>
      <c r="AS473">
        <v>0</v>
      </c>
      <c r="AT473" t="b">
        <v>0</v>
      </c>
      <c r="AU473" t="b">
        <v>1</v>
      </c>
      <c r="AV473" t="b">
        <v>1</v>
      </c>
      <c r="AW473" t="b">
        <v>1</v>
      </c>
      <c r="BC473" t="str">
        <f t="shared" si="7"/>
        <v>Normal</v>
      </c>
    </row>
    <row r="474" spans="1:55" x14ac:dyDescent="0.2">
      <c r="A474" t="s">
        <v>39</v>
      </c>
      <c r="B474" t="s">
        <v>40</v>
      </c>
      <c r="C474">
        <v>20220101</v>
      </c>
      <c r="D474">
        <v>2022</v>
      </c>
      <c r="E474">
        <v>52</v>
      </c>
      <c r="F474" t="s">
        <v>346</v>
      </c>
      <c r="G474">
        <v>558</v>
      </c>
      <c r="H474" t="s">
        <v>225</v>
      </c>
      <c r="I474" t="s">
        <v>226</v>
      </c>
      <c r="J474" t="s">
        <v>44</v>
      </c>
      <c r="K474" t="s">
        <v>45</v>
      </c>
      <c r="L474">
        <v>0</v>
      </c>
      <c r="M474" t="s">
        <v>46</v>
      </c>
      <c r="N474" t="s">
        <v>47</v>
      </c>
      <c r="O474">
        <v>0</v>
      </c>
      <c r="P474" t="s">
        <v>46</v>
      </c>
      <c r="Q474" t="s">
        <v>47</v>
      </c>
      <c r="R474" t="s">
        <v>347</v>
      </c>
      <c r="S474" t="s">
        <v>49</v>
      </c>
      <c r="T474" t="b">
        <v>1</v>
      </c>
      <c r="U474" t="s">
        <v>50</v>
      </c>
      <c r="V474" t="s">
        <v>51</v>
      </c>
      <c r="W474">
        <v>4</v>
      </c>
      <c r="X474" t="b">
        <v>0</v>
      </c>
      <c r="Y474" t="s">
        <v>52</v>
      </c>
      <c r="Z474" t="s">
        <v>53</v>
      </c>
      <c r="AA474" t="s">
        <v>54</v>
      </c>
      <c r="AB474">
        <v>0</v>
      </c>
      <c r="AC474" t="s">
        <v>55</v>
      </c>
      <c r="AD474">
        <v>8</v>
      </c>
      <c r="AE474" t="s">
        <v>56</v>
      </c>
      <c r="AF474">
        <v>18505.990000000002</v>
      </c>
      <c r="AG474" t="b">
        <v>0</v>
      </c>
      <c r="AH474">
        <v>8</v>
      </c>
      <c r="AI474" t="s">
        <v>56</v>
      </c>
      <c r="AJ474">
        <v>18505.990000000002</v>
      </c>
      <c r="AK474" t="b">
        <v>0</v>
      </c>
      <c r="AL474">
        <v>18505.990000000002</v>
      </c>
      <c r="AM474" t="b">
        <v>0</v>
      </c>
      <c r="AN474">
        <v>0</v>
      </c>
      <c r="AO474" t="b">
        <v>0</v>
      </c>
      <c r="AQ474">
        <v>927423809.29999995</v>
      </c>
      <c r="AR474">
        <v>927423809.29999995</v>
      </c>
      <c r="AS474">
        <v>0</v>
      </c>
      <c r="AT474" t="b">
        <v>0</v>
      </c>
      <c r="AU474" t="b">
        <v>1</v>
      </c>
      <c r="AV474" t="b">
        <v>1</v>
      </c>
      <c r="AW474" t="b">
        <v>1</v>
      </c>
      <c r="BC474" t="str">
        <f t="shared" si="7"/>
        <v>Normal</v>
      </c>
    </row>
    <row r="475" spans="1:55" x14ac:dyDescent="0.2">
      <c r="A475" t="s">
        <v>39</v>
      </c>
      <c r="B475" t="s">
        <v>40</v>
      </c>
      <c r="C475">
        <v>20220101</v>
      </c>
      <c r="D475">
        <v>2022</v>
      </c>
      <c r="E475">
        <v>52</v>
      </c>
      <c r="F475" t="s">
        <v>346</v>
      </c>
      <c r="G475">
        <v>562</v>
      </c>
      <c r="H475" t="s">
        <v>227</v>
      </c>
      <c r="I475" t="s">
        <v>228</v>
      </c>
      <c r="J475" t="s">
        <v>44</v>
      </c>
      <c r="K475" t="s">
        <v>45</v>
      </c>
      <c r="L475">
        <v>0</v>
      </c>
      <c r="M475" t="s">
        <v>46</v>
      </c>
      <c r="N475" t="s">
        <v>47</v>
      </c>
      <c r="O475">
        <v>0</v>
      </c>
      <c r="P475" t="s">
        <v>46</v>
      </c>
      <c r="Q475" t="s">
        <v>47</v>
      </c>
      <c r="R475" t="s">
        <v>347</v>
      </c>
      <c r="S475" t="s">
        <v>49</v>
      </c>
      <c r="T475" t="b">
        <v>1</v>
      </c>
      <c r="U475" t="s">
        <v>50</v>
      </c>
      <c r="V475" t="s">
        <v>51</v>
      </c>
      <c r="W475">
        <v>4</v>
      </c>
      <c r="X475" t="b">
        <v>0</v>
      </c>
      <c r="Y475" t="s">
        <v>52</v>
      </c>
      <c r="Z475" t="s">
        <v>53</v>
      </c>
      <c r="AA475" t="s">
        <v>54</v>
      </c>
      <c r="AB475">
        <v>0</v>
      </c>
      <c r="AC475" t="s">
        <v>55</v>
      </c>
      <c r="AD475">
        <v>8</v>
      </c>
      <c r="AE475" t="s">
        <v>56</v>
      </c>
      <c r="AF475">
        <v>2465</v>
      </c>
      <c r="AG475" t="b">
        <v>0</v>
      </c>
      <c r="AH475">
        <v>8</v>
      </c>
      <c r="AI475" t="s">
        <v>56</v>
      </c>
      <c r="AJ475">
        <v>2465</v>
      </c>
      <c r="AK475" t="b">
        <v>0</v>
      </c>
      <c r="AL475">
        <v>2465</v>
      </c>
      <c r="AM475" t="b">
        <v>0</v>
      </c>
      <c r="AN475">
        <v>0</v>
      </c>
      <c r="AO475" t="b">
        <v>0</v>
      </c>
      <c r="AQ475">
        <v>70685210.177000001</v>
      </c>
      <c r="AR475">
        <v>70685210.177000001</v>
      </c>
      <c r="AS475">
        <v>0</v>
      </c>
      <c r="AT475" t="b">
        <v>0</v>
      </c>
      <c r="AU475" t="b">
        <v>1</v>
      </c>
      <c r="AV475" t="b">
        <v>1</v>
      </c>
      <c r="AW475" t="b">
        <v>1</v>
      </c>
      <c r="BC475" t="str">
        <f t="shared" si="7"/>
        <v>Normal</v>
      </c>
    </row>
    <row r="476" spans="1:55" x14ac:dyDescent="0.2">
      <c r="A476" t="s">
        <v>39</v>
      </c>
      <c r="B476" t="s">
        <v>40</v>
      </c>
      <c r="C476">
        <v>20220101</v>
      </c>
      <c r="D476">
        <v>2022</v>
      </c>
      <c r="E476">
        <v>52</v>
      </c>
      <c r="F476" t="s">
        <v>346</v>
      </c>
      <c r="G476">
        <v>566</v>
      </c>
      <c r="H476" t="s">
        <v>329</v>
      </c>
      <c r="I476" t="s">
        <v>330</v>
      </c>
      <c r="J476" t="s">
        <v>44</v>
      </c>
      <c r="K476" t="s">
        <v>45</v>
      </c>
      <c r="L476">
        <v>0</v>
      </c>
      <c r="M476" t="s">
        <v>46</v>
      </c>
      <c r="N476" t="s">
        <v>47</v>
      </c>
      <c r="O476">
        <v>0</v>
      </c>
      <c r="P476" t="s">
        <v>46</v>
      </c>
      <c r="Q476" t="s">
        <v>47</v>
      </c>
      <c r="R476" t="s">
        <v>347</v>
      </c>
      <c r="S476" t="s">
        <v>49</v>
      </c>
      <c r="T476" t="b">
        <v>1</v>
      </c>
      <c r="U476" t="s">
        <v>50</v>
      </c>
      <c r="V476" t="s">
        <v>51</v>
      </c>
      <c r="W476">
        <v>4</v>
      </c>
      <c r="X476" t="b">
        <v>0</v>
      </c>
      <c r="Y476" t="s">
        <v>52</v>
      </c>
      <c r="Z476" t="s">
        <v>53</v>
      </c>
      <c r="AA476" t="s">
        <v>54</v>
      </c>
      <c r="AB476">
        <v>0</v>
      </c>
      <c r="AC476" t="s">
        <v>55</v>
      </c>
      <c r="AD476">
        <v>8</v>
      </c>
      <c r="AE476" t="s">
        <v>56</v>
      </c>
      <c r="AF476">
        <v>19360.458999999999</v>
      </c>
      <c r="AG476" t="b">
        <v>1</v>
      </c>
      <c r="AH476">
        <v>-1</v>
      </c>
      <c r="AI476" t="s">
        <v>64</v>
      </c>
      <c r="AJ476">
        <v>0</v>
      </c>
      <c r="AK476" t="b">
        <v>0</v>
      </c>
      <c r="AL476">
        <v>19360.458999999999</v>
      </c>
      <c r="AM476" t="b">
        <v>1</v>
      </c>
      <c r="AN476">
        <v>0</v>
      </c>
      <c r="AO476" t="b">
        <v>0</v>
      </c>
      <c r="AQ476">
        <v>150035854.85100001</v>
      </c>
      <c r="AR476">
        <v>150035854.85100001</v>
      </c>
      <c r="AS476">
        <v>6</v>
      </c>
      <c r="AT476" t="b">
        <v>0</v>
      </c>
      <c r="AU476" t="b">
        <v>1</v>
      </c>
      <c r="AV476" t="b">
        <v>1</v>
      </c>
      <c r="AW476" t="b">
        <v>1</v>
      </c>
      <c r="BC476" t="str">
        <f t="shared" si="7"/>
        <v>Normal</v>
      </c>
    </row>
    <row r="477" spans="1:55" x14ac:dyDescent="0.2">
      <c r="A477" t="s">
        <v>39</v>
      </c>
      <c r="B477" t="s">
        <v>40</v>
      </c>
      <c r="C477">
        <v>20220101</v>
      </c>
      <c r="D477">
        <v>2022</v>
      </c>
      <c r="E477">
        <v>52</v>
      </c>
      <c r="F477" t="s">
        <v>346</v>
      </c>
      <c r="G477">
        <v>579</v>
      </c>
      <c r="H477" t="s">
        <v>229</v>
      </c>
      <c r="I477" t="s">
        <v>230</v>
      </c>
      <c r="J477" t="s">
        <v>44</v>
      </c>
      <c r="K477" t="s">
        <v>45</v>
      </c>
      <c r="L477">
        <v>0</v>
      </c>
      <c r="M477" t="s">
        <v>46</v>
      </c>
      <c r="N477" t="s">
        <v>47</v>
      </c>
      <c r="O477">
        <v>0</v>
      </c>
      <c r="P477" t="s">
        <v>46</v>
      </c>
      <c r="Q477" t="s">
        <v>47</v>
      </c>
      <c r="R477" t="s">
        <v>347</v>
      </c>
      <c r="S477" t="s">
        <v>49</v>
      </c>
      <c r="T477" t="b">
        <v>1</v>
      </c>
      <c r="U477" t="s">
        <v>50</v>
      </c>
      <c r="V477" t="s">
        <v>51</v>
      </c>
      <c r="W477">
        <v>4</v>
      </c>
      <c r="X477" t="b">
        <v>0</v>
      </c>
      <c r="Y477" t="s">
        <v>52</v>
      </c>
      <c r="Z477" t="s">
        <v>53</v>
      </c>
      <c r="AA477" t="s">
        <v>54</v>
      </c>
      <c r="AB477">
        <v>0</v>
      </c>
      <c r="AC477" t="s">
        <v>55</v>
      </c>
      <c r="AD477">
        <v>8</v>
      </c>
      <c r="AE477" t="s">
        <v>56</v>
      </c>
      <c r="AF477">
        <v>2655</v>
      </c>
      <c r="AG477" t="b">
        <v>0</v>
      </c>
      <c r="AH477">
        <v>8</v>
      </c>
      <c r="AI477" t="s">
        <v>56</v>
      </c>
      <c r="AJ477">
        <v>2655</v>
      </c>
      <c r="AK477" t="b">
        <v>0</v>
      </c>
      <c r="AL477">
        <v>2655</v>
      </c>
      <c r="AM477" t="b">
        <v>0</v>
      </c>
      <c r="AN477">
        <v>0</v>
      </c>
      <c r="AO477" t="b">
        <v>0</v>
      </c>
      <c r="AQ477">
        <v>139185331.18900001</v>
      </c>
      <c r="AR477">
        <v>139185331.18900001</v>
      </c>
      <c r="AS477">
        <v>0</v>
      </c>
      <c r="AT477" t="b">
        <v>0</v>
      </c>
      <c r="AU477" t="b">
        <v>1</v>
      </c>
      <c r="AV477" t="b">
        <v>1</v>
      </c>
      <c r="AW477" t="b">
        <v>1</v>
      </c>
      <c r="BC477" t="str">
        <f t="shared" si="7"/>
        <v>Normal</v>
      </c>
    </row>
    <row r="478" spans="1:55" x14ac:dyDescent="0.2">
      <c r="A478" t="s">
        <v>39</v>
      </c>
      <c r="B478" t="s">
        <v>40</v>
      </c>
      <c r="C478">
        <v>20220101</v>
      </c>
      <c r="D478">
        <v>2022</v>
      </c>
      <c r="E478">
        <v>52</v>
      </c>
      <c r="F478" t="s">
        <v>346</v>
      </c>
      <c r="G478">
        <v>591</v>
      </c>
      <c r="H478" t="s">
        <v>231</v>
      </c>
      <c r="I478" t="s">
        <v>232</v>
      </c>
      <c r="J478" t="s">
        <v>44</v>
      </c>
      <c r="K478" t="s">
        <v>45</v>
      </c>
      <c r="L478">
        <v>0</v>
      </c>
      <c r="M478" t="s">
        <v>46</v>
      </c>
      <c r="N478" t="s">
        <v>47</v>
      </c>
      <c r="O478">
        <v>0</v>
      </c>
      <c r="P478" t="s">
        <v>46</v>
      </c>
      <c r="Q478" t="s">
        <v>47</v>
      </c>
      <c r="R478" t="s">
        <v>347</v>
      </c>
      <c r="S478" t="s">
        <v>49</v>
      </c>
      <c r="T478" t="b">
        <v>1</v>
      </c>
      <c r="U478" t="s">
        <v>50</v>
      </c>
      <c r="V478" t="s">
        <v>51</v>
      </c>
      <c r="W478">
        <v>4</v>
      </c>
      <c r="X478" t="b">
        <v>0</v>
      </c>
      <c r="Y478" t="s">
        <v>52</v>
      </c>
      <c r="Z478" t="s">
        <v>53</v>
      </c>
      <c r="AA478" t="s">
        <v>54</v>
      </c>
      <c r="AB478">
        <v>0</v>
      </c>
      <c r="AC478" t="s">
        <v>55</v>
      </c>
      <c r="AD478">
        <v>8</v>
      </c>
      <c r="AE478" t="s">
        <v>56</v>
      </c>
      <c r="AF478">
        <v>264</v>
      </c>
      <c r="AG478" t="b">
        <v>0</v>
      </c>
      <c r="AH478">
        <v>8</v>
      </c>
      <c r="AI478" t="s">
        <v>56</v>
      </c>
      <c r="AJ478">
        <v>264</v>
      </c>
      <c r="AK478" t="b">
        <v>0</v>
      </c>
      <c r="AL478">
        <v>264</v>
      </c>
      <c r="AM478" t="b">
        <v>0</v>
      </c>
      <c r="AN478">
        <v>264</v>
      </c>
      <c r="AO478" t="b">
        <v>0</v>
      </c>
      <c r="AQ478">
        <v>10544632</v>
      </c>
      <c r="AR478">
        <v>10544632</v>
      </c>
      <c r="AS478">
        <v>0</v>
      </c>
      <c r="AT478" t="b">
        <v>0</v>
      </c>
      <c r="AU478" t="b">
        <v>1</v>
      </c>
      <c r="AV478" t="b">
        <v>1</v>
      </c>
      <c r="AW478" t="b">
        <v>1</v>
      </c>
      <c r="BC478" t="str">
        <f t="shared" si="7"/>
        <v>Normal</v>
      </c>
    </row>
    <row r="479" spans="1:55" x14ac:dyDescent="0.2">
      <c r="A479" t="s">
        <v>39</v>
      </c>
      <c r="B479" t="s">
        <v>40</v>
      </c>
      <c r="C479">
        <v>20220101</v>
      </c>
      <c r="D479">
        <v>2022</v>
      </c>
      <c r="E479">
        <v>52</v>
      </c>
      <c r="F479" t="s">
        <v>346</v>
      </c>
      <c r="G479">
        <v>598</v>
      </c>
      <c r="H479" t="s">
        <v>340</v>
      </c>
      <c r="I479" t="s">
        <v>341</v>
      </c>
      <c r="J479" t="s">
        <v>44</v>
      </c>
      <c r="K479" t="s">
        <v>45</v>
      </c>
      <c r="L479">
        <v>0</v>
      </c>
      <c r="M479" t="s">
        <v>46</v>
      </c>
      <c r="N479" t="s">
        <v>47</v>
      </c>
      <c r="O479">
        <v>0</v>
      </c>
      <c r="P479" t="s">
        <v>46</v>
      </c>
      <c r="Q479" t="s">
        <v>47</v>
      </c>
      <c r="R479" t="s">
        <v>48</v>
      </c>
      <c r="S479" t="s">
        <v>49</v>
      </c>
      <c r="T479" t="b">
        <v>1</v>
      </c>
      <c r="U479" t="s">
        <v>50</v>
      </c>
      <c r="V479" t="s">
        <v>51</v>
      </c>
      <c r="W479">
        <v>4</v>
      </c>
      <c r="X479" t="b">
        <v>0</v>
      </c>
      <c r="Y479" t="s">
        <v>52</v>
      </c>
      <c r="Z479" t="s">
        <v>53</v>
      </c>
      <c r="AA479" t="s">
        <v>54</v>
      </c>
      <c r="AB479">
        <v>0</v>
      </c>
      <c r="AC479" t="s">
        <v>55</v>
      </c>
      <c r="AD479">
        <v>8</v>
      </c>
      <c r="AE479" t="s">
        <v>56</v>
      </c>
      <c r="AF479">
        <v>3942.4380000000001</v>
      </c>
      <c r="AG479" t="b">
        <v>0</v>
      </c>
      <c r="AH479">
        <v>-1</v>
      </c>
      <c r="AI479" t="s">
        <v>64</v>
      </c>
      <c r="AJ479">
        <v>0</v>
      </c>
      <c r="AK479" t="b">
        <v>0</v>
      </c>
      <c r="AL479">
        <v>3942.4380000000001</v>
      </c>
      <c r="AM479" t="b">
        <v>0</v>
      </c>
      <c r="AN479">
        <v>0</v>
      </c>
      <c r="AO479" t="b">
        <v>0</v>
      </c>
      <c r="AQ479">
        <v>221250904.42300001</v>
      </c>
      <c r="AR479">
        <v>221250904.42300001</v>
      </c>
      <c r="AS479">
        <v>0</v>
      </c>
      <c r="AT479" t="b">
        <v>0</v>
      </c>
      <c r="AU479" t="b">
        <v>1</v>
      </c>
      <c r="AV479" t="b">
        <v>1</v>
      </c>
      <c r="AW479" t="b">
        <v>1</v>
      </c>
      <c r="BC479" t="str">
        <f t="shared" si="7"/>
        <v>Normal</v>
      </c>
    </row>
    <row r="480" spans="1:55" x14ac:dyDescent="0.2">
      <c r="A480" t="s">
        <v>39</v>
      </c>
      <c r="B480" t="s">
        <v>40</v>
      </c>
      <c r="C480">
        <v>20220101</v>
      </c>
      <c r="D480">
        <v>2022</v>
      </c>
      <c r="E480">
        <v>52</v>
      </c>
      <c r="F480" t="s">
        <v>346</v>
      </c>
      <c r="G480">
        <v>600</v>
      </c>
      <c r="H480" t="s">
        <v>233</v>
      </c>
      <c r="I480" t="s">
        <v>234</v>
      </c>
      <c r="J480" t="s">
        <v>44</v>
      </c>
      <c r="K480" t="s">
        <v>45</v>
      </c>
      <c r="L480">
        <v>0</v>
      </c>
      <c r="M480" t="s">
        <v>46</v>
      </c>
      <c r="N480" t="s">
        <v>47</v>
      </c>
      <c r="O480">
        <v>0</v>
      </c>
      <c r="P480" t="s">
        <v>46</v>
      </c>
      <c r="Q480" t="s">
        <v>47</v>
      </c>
      <c r="R480" t="s">
        <v>347</v>
      </c>
      <c r="S480" t="s">
        <v>49</v>
      </c>
      <c r="T480" t="b">
        <v>1</v>
      </c>
      <c r="U480" t="s">
        <v>50</v>
      </c>
      <c r="V480" t="s">
        <v>51</v>
      </c>
      <c r="W480">
        <v>4</v>
      </c>
      <c r="X480" t="b">
        <v>0</v>
      </c>
      <c r="Y480" t="s">
        <v>52</v>
      </c>
      <c r="Z480" t="s">
        <v>53</v>
      </c>
      <c r="AA480" t="s">
        <v>54</v>
      </c>
      <c r="AB480">
        <v>0</v>
      </c>
      <c r="AC480" t="s">
        <v>55</v>
      </c>
      <c r="AD480">
        <v>8</v>
      </c>
      <c r="AE480" t="s">
        <v>56</v>
      </c>
      <c r="AF480">
        <v>86.569000000000003</v>
      </c>
      <c r="AG480" t="b">
        <v>0</v>
      </c>
      <c r="AH480">
        <v>8</v>
      </c>
      <c r="AI480" t="s">
        <v>56</v>
      </c>
      <c r="AJ480">
        <v>86.569000000000003</v>
      </c>
      <c r="AK480" t="b">
        <v>0</v>
      </c>
      <c r="AL480">
        <v>86.569000000000003</v>
      </c>
      <c r="AM480" t="b">
        <v>0</v>
      </c>
      <c r="AN480">
        <v>0</v>
      </c>
      <c r="AO480" t="b">
        <v>0</v>
      </c>
      <c r="AQ480">
        <v>4625468</v>
      </c>
      <c r="AR480">
        <v>4625468</v>
      </c>
      <c r="AS480">
        <v>0</v>
      </c>
      <c r="AT480" t="b">
        <v>0</v>
      </c>
      <c r="AU480" t="b">
        <v>1</v>
      </c>
      <c r="AV480" t="b">
        <v>1</v>
      </c>
      <c r="AW480" t="b">
        <v>1</v>
      </c>
      <c r="BC480" t="str">
        <f t="shared" si="7"/>
        <v>Normal</v>
      </c>
    </row>
    <row r="481" spans="1:55" x14ac:dyDescent="0.2">
      <c r="A481" t="s">
        <v>39</v>
      </c>
      <c r="B481" t="s">
        <v>40</v>
      </c>
      <c r="C481">
        <v>20220101</v>
      </c>
      <c r="D481">
        <v>2022</v>
      </c>
      <c r="E481">
        <v>52</v>
      </c>
      <c r="F481" t="s">
        <v>346</v>
      </c>
      <c r="G481">
        <v>604</v>
      </c>
      <c r="H481" t="s">
        <v>235</v>
      </c>
      <c r="I481" t="s">
        <v>236</v>
      </c>
      <c r="J481" t="s">
        <v>44</v>
      </c>
      <c r="K481" t="s">
        <v>45</v>
      </c>
      <c r="L481">
        <v>0</v>
      </c>
      <c r="M481" t="s">
        <v>46</v>
      </c>
      <c r="N481" t="s">
        <v>47</v>
      </c>
      <c r="O481">
        <v>0</v>
      </c>
      <c r="P481" t="s">
        <v>46</v>
      </c>
      <c r="Q481" t="s">
        <v>47</v>
      </c>
      <c r="R481" t="s">
        <v>347</v>
      </c>
      <c r="S481" t="s">
        <v>49</v>
      </c>
      <c r="T481" t="b">
        <v>1</v>
      </c>
      <c r="U481" t="s">
        <v>50</v>
      </c>
      <c r="V481" t="s">
        <v>51</v>
      </c>
      <c r="W481">
        <v>4</v>
      </c>
      <c r="X481" t="b">
        <v>0</v>
      </c>
      <c r="Y481" t="s">
        <v>52</v>
      </c>
      <c r="Z481" t="s">
        <v>53</v>
      </c>
      <c r="AA481" t="s">
        <v>54</v>
      </c>
      <c r="AB481">
        <v>0</v>
      </c>
      <c r="AC481" t="s">
        <v>55</v>
      </c>
      <c r="AD481">
        <v>8</v>
      </c>
      <c r="AE481" t="s">
        <v>56</v>
      </c>
      <c r="AF481">
        <v>405128.03100000002</v>
      </c>
      <c r="AG481" t="b">
        <v>0</v>
      </c>
      <c r="AH481">
        <v>8</v>
      </c>
      <c r="AI481" t="s">
        <v>56</v>
      </c>
      <c r="AJ481">
        <v>405128.03100000002</v>
      </c>
      <c r="AK481" t="b">
        <v>0</v>
      </c>
      <c r="AL481" s="1">
        <v>405128.03100000002</v>
      </c>
      <c r="AM481" t="b">
        <v>0</v>
      </c>
      <c r="AN481">
        <v>0</v>
      </c>
      <c r="AO481" t="b">
        <v>0</v>
      </c>
      <c r="AQ481">
        <v>7364945838.79</v>
      </c>
      <c r="AR481">
        <v>7364945838.79</v>
      </c>
      <c r="AS481">
        <v>0</v>
      </c>
      <c r="AT481" t="b">
        <v>0</v>
      </c>
      <c r="AU481" t="b">
        <v>1</v>
      </c>
      <c r="AV481" t="b">
        <v>1</v>
      </c>
      <c r="AW481" t="b">
        <v>1</v>
      </c>
      <c r="BC481" t="str">
        <f t="shared" si="7"/>
        <v>Outlier</v>
      </c>
    </row>
    <row r="482" spans="1:55" x14ac:dyDescent="0.2">
      <c r="A482" t="s">
        <v>39</v>
      </c>
      <c r="B482" t="s">
        <v>40</v>
      </c>
      <c r="C482">
        <v>20220101</v>
      </c>
      <c r="D482">
        <v>2022</v>
      </c>
      <c r="E482">
        <v>52</v>
      </c>
      <c r="F482" t="s">
        <v>346</v>
      </c>
      <c r="G482">
        <v>608</v>
      </c>
      <c r="H482" t="s">
        <v>237</v>
      </c>
      <c r="I482" t="s">
        <v>238</v>
      </c>
      <c r="J482" t="s">
        <v>44</v>
      </c>
      <c r="K482" t="s">
        <v>45</v>
      </c>
      <c r="L482">
        <v>0</v>
      </c>
      <c r="M482" t="s">
        <v>46</v>
      </c>
      <c r="N482" t="s">
        <v>47</v>
      </c>
      <c r="O482">
        <v>0</v>
      </c>
      <c r="P482" t="s">
        <v>46</v>
      </c>
      <c r="Q482" t="s">
        <v>47</v>
      </c>
      <c r="R482" t="s">
        <v>48</v>
      </c>
      <c r="S482" t="s">
        <v>49</v>
      </c>
      <c r="T482" t="b">
        <v>1</v>
      </c>
      <c r="U482" t="s">
        <v>50</v>
      </c>
      <c r="V482" t="s">
        <v>51</v>
      </c>
      <c r="W482">
        <v>4</v>
      </c>
      <c r="X482" t="b">
        <v>0</v>
      </c>
      <c r="Y482" t="s">
        <v>52</v>
      </c>
      <c r="Z482" t="s">
        <v>53</v>
      </c>
      <c r="AA482" t="s">
        <v>54</v>
      </c>
      <c r="AB482">
        <v>0</v>
      </c>
      <c r="AC482" t="s">
        <v>55</v>
      </c>
      <c r="AD482">
        <v>8</v>
      </c>
      <c r="AE482" t="s">
        <v>56</v>
      </c>
      <c r="AF482">
        <v>149158.82399999999</v>
      </c>
      <c r="AG482" t="b">
        <v>1</v>
      </c>
      <c r="AH482">
        <v>-1</v>
      </c>
      <c r="AI482" t="s">
        <v>64</v>
      </c>
      <c r="AJ482">
        <v>0</v>
      </c>
      <c r="AK482" t="b">
        <v>0</v>
      </c>
      <c r="AL482" s="1">
        <v>149158.82399999999</v>
      </c>
      <c r="AM482" t="b">
        <v>1</v>
      </c>
      <c r="AN482">
        <v>159888.29999999999</v>
      </c>
      <c r="AO482" t="b">
        <v>0</v>
      </c>
      <c r="AQ482">
        <v>1062979762</v>
      </c>
      <c r="AR482">
        <v>1062979762</v>
      </c>
      <c r="AS482">
        <v>6</v>
      </c>
      <c r="AT482" t="b">
        <v>0</v>
      </c>
      <c r="AU482" t="b">
        <v>1</v>
      </c>
      <c r="AV482" t="b">
        <v>1</v>
      </c>
      <c r="AW482" t="b">
        <v>1</v>
      </c>
      <c r="BC482" t="str">
        <f t="shared" si="7"/>
        <v>Outlier</v>
      </c>
    </row>
    <row r="483" spans="1:55" x14ac:dyDescent="0.2">
      <c r="A483" t="s">
        <v>39</v>
      </c>
      <c r="B483" t="s">
        <v>40</v>
      </c>
      <c r="C483">
        <v>20220101</v>
      </c>
      <c r="D483">
        <v>2022</v>
      </c>
      <c r="E483">
        <v>52</v>
      </c>
      <c r="F483" t="s">
        <v>346</v>
      </c>
      <c r="G483">
        <v>616</v>
      </c>
      <c r="H483" t="s">
        <v>239</v>
      </c>
      <c r="I483" t="s">
        <v>240</v>
      </c>
      <c r="J483" t="s">
        <v>44</v>
      </c>
      <c r="K483" t="s">
        <v>45</v>
      </c>
      <c r="L483">
        <v>0</v>
      </c>
      <c r="M483" t="s">
        <v>46</v>
      </c>
      <c r="N483" t="s">
        <v>47</v>
      </c>
      <c r="O483">
        <v>0</v>
      </c>
      <c r="P483" t="s">
        <v>46</v>
      </c>
      <c r="Q483" t="s">
        <v>47</v>
      </c>
      <c r="R483" t="s">
        <v>347</v>
      </c>
      <c r="S483" t="s">
        <v>49</v>
      </c>
      <c r="T483" t="b">
        <v>1</v>
      </c>
      <c r="U483" t="s">
        <v>50</v>
      </c>
      <c r="V483" t="s">
        <v>51</v>
      </c>
      <c r="W483">
        <v>4</v>
      </c>
      <c r="X483" t="b">
        <v>0</v>
      </c>
      <c r="Y483" t="s">
        <v>52</v>
      </c>
      <c r="Z483" t="s">
        <v>53</v>
      </c>
      <c r="AA483" t="s">
        <v>54</v>
      </c>
      <c r="AB483">
        <v>0</v>
      </c>
      <c r="AC483" t="s">
        <v>55</v>
      </c>
      <c r="AD483">
        <v>8</v>
      </c>
      <c r="AE483" t="s">
        <v>56</v>
      </c>
      <c r="AF483">
        <v>5878.3770000000004</v>
      </c>
      <c r="AG483" t="b">
        <v>1</v>
      </c>
      <c r="AH483">
        <v>-1</v>
      </c>
      <c r="AI483" t="s">
        <v>64</v>
      </c>
      <c r="AJ483">
        <v>0</v>
      </c>
      <c r="AK483" t="b">
        <v>0</v>
      </c>
      <c r="AL483">
        <v>5913.45</v>
      </c>
      <c r="AM483" t="b">
        <v>1</v>
      </c>
      <c r="AN483">
        <v>0</v>
      </c>
      <c r="AO483" t="b">
        <v>0</v>
      </c>
      <c r="AQ483">
        <v>170316100</v>
      </c>
      <c r="AR483">
        <v>170316100</v>
      </c>
      <c r="AS483">
        <v>6</v>
      </c>
      <c r="AT483" t="b">
        <v>0</v>
      </c>
      <c r="AU483" t="b">
        <v>1</v>
      </c>
      <c r="AV483" t="b">
        <v>1</v>
      </c>
      <c r="AW483" t="b">
        <v>1</v>
      </c>
      <c r="BC483" t="str">
        <f t="shared" si="7"/>
        <v>Normal</v>
      </c>
    </row>
    <row r="484" spans="1:55" x14ac:dyDescent="0.2">
      <c r="A484" t="s">
        <v>39</v>
      </c>
      <c r="B484" t="s">
        <v>40</v>
      </c>
      <c r="C484">
        <v>20220101</v>
      </c>
      <c r="D484">
        <v>2022</v>
      </c>
      <c r="E484">
        <v>52</v>
      </c>
      <c r="F484" t="s">
        <v>346</v>
      </c>
      <c r="G484">
        <v>620</v>
      </c>
      <c r="H484" t="s">
        <v>241</v>
      </c>
      <c r="I484" t="s">
        <v>242</v>
      </c>
      <c r="J484" t="s">
        <v>44</v>
      </c>
      <c r="K484" t="s">
        <v>45</v>
      </c>
      <c r="L484">
        <v>0</v>
      </c>
      <c r="M484" t="s">
        <v>46</v>
      </c>
      <c r="N484" t="s">
        <v>47</v>
      </c>
      <c r="O484">
        <v>0</v>
      </c>
      <c r="P484" t="s">
        <v>46</v>
      </c>
      <c r="Q484" t="s">
        <v>47</v>
      </c>
      <c r="R484" t="s">
        <v>347</v>
      </c>
      <c r="S484" t="s">
        <v>49</v>
      </c>
      <c r="T484" t="b">
        <v>1</v>
      </c>
      <c r="U484" t="s">
        <v>50</v>
      </c>
      <c r="V484" t="s">
        <v>51</v>
      </c>
      <c r="W484">
        <v>4</v>
      </c>
      <c r="X484" t="b">
        <v>0</v>
      </c>
      <c r="Y484" t="s">
        <v>52</v>
      </c>
      <c r="Z484" t="s">
        <v>53</v>
      </c>
      <c r="AA484" t="s">
        <v>54</v>
      </c>
      <c r="AB484">
        <v>0</v>
      </c>
      <c r="AC484" t="s">
        <v>55</v>
      </c>
      <c r="AD484">
        <v>8</v>
      </c>
      <c r="AE484" t="s">
        <v>56</v>
      </c>
      <c r="AF484">
        <v>2757.1529999999998</v>
      </c>
      <c r="AG484" t="b">
        <v>0</v>
      </c>
      <c r="AH484">
        <v>8</v>
      </c>
      <c r="AI484" t="s">
        <v>56</v>
      </c>
      <c r="AJ484">
        <v>2757.1529999999998</v>
      </c>
      <c r="AK484" t="b">
        <v>0</v>
      </c>
      <c r="AL484">
        <v>2762.9090000000001</v>
      </c>
      <c r="AM484" t="b">
        <v>0</v>
      </c>
      <c r="AN484">
        <v>0</v>
      </c>
      <c r="AO484" t="b">
        <v>0</v>
      </c>
      <c r="AQ484">
        <v>154705309.653</v>
      </c>
      <c r="AR484">
        <v>154705309.653</v>
      </c>
      <c r="AS484">
        <v>0</v>
      </c>
      <c r="AT484" t="b">
        <v>0</v>
      </c>
      <c r="AU484" t="b">
        <v>1</v>
      </c>
      <c r="AV484" t="b">
        <v>1</v>
      </c>
      <c r="AW484" t="b">
        <v>1</v>
      </c>
      <c r="BC484" t="str">
        <f t="shared" si="7"/>
        <v>Normal</v>
      </c>
    </row>
    <row r="485" spans="1:55" x14ac:dyDescent="0.2">
      <c r="A485" t="s">
        <v>39</v>
      </c>
      <c r="B485" t="s">
        <v>40</v>
      </c>
      <c r="C485">
        <v>20220101</v>
      </c>
      <c r="D485">
        <v>2022</v>
      </c>
      <c r="E485">
        <v>52</v>
      </c>
      <c r="F485" t="s">
        <v>346</v>
      </c>
      <c r="G485">
        <v>634</v>
      </c>
      <c r="H485" t="s">
        <v>243</v>
      </c>
      <c r="I485" t="s">
        <v>244</v>
      </c>
      <c r="J485" t="s">
        <v>44</v>
      </c>
      <c r="K485" t="s">
        <v>45</v>
      </c>
      <c r="L485">
        <v>0</v>
      </c>
      <c r="M485" t="s">
        <v>46</v>
      </c>
      <c r="N485" t="s">
        <v>47</v>
      </c>
      <c r="O485">
        <v>0</v>
      </c>
      <c r="P485" t="s">
        <v>46</v>
      </c>
      <c r="Q485" t="s">
        <v>47</v>
      </c>
      <c r="R485" t="s">
        <v>347</v>
      </c>
      <c r="S485" t="s">
        <v>49</v>
      </c>
      <c r="T485" t="b">
        <v>1</v>
      </c>
      <c r="U485" t="s">
        <v>50</v>
      </c>
      <c r="V485" t="s">
        <v>51</v>
      </c>
      <c r="W485">
        <v>4</v>
      </c>
      <c r="X485" t="b">
        <v>0</v>
      </c>
      <c r="Y485" t="s">
        <v>52</v>
      </c>
      <c r="Z485" t="s">
        <v>53</v>
      </c>
      <c r="AA485" t="s">
        <v>54</v>
      </c>
      <c r="AB485">
        <v>0</v>
      </c>
      <c r="AC485" t="s">
        <v>55</v>
      </c>
      <c r="AD485">
        <v>-1</v>
      </c>
      <c r="AE485" t="s">
        <v>64</v>
      </c>
      <c r="AF485">
        <v>0</v>
      </c>
      <c r="AG485" t="b">
        <v>0</v>
      </c>
      <c r="AH485">
        <v>-1</v>
      </c>
      <c r="AI485" t="s">
        <v>64</v>
      </c>
      <c r="AJ485">
        <v>0</v>
      </c>
      <c r="AK485" t="b">
        <v>0</v>
      </c>
      <c r="AL485">
        <v>0</v>
      </c>
      <c r="AM485" t="b">
        <v>0</v>
      </c>
      <c r="AN485">
        <v>0</v>
      </c>
      <c r="AO485" t="b">
        <v>0</v>
      </c>
      <c r="AQ485">
        <v>2689233.1490000002</v>
      </c>
      <c r="AR485">
        <v>2689233.1490000002</v>
      </c>
      <c r="AS485">
        <v>0</v>
      </c>
      <c r="AT485" t="b">
        <v>0</v>
      </c>
      <c r="AU485" t="b">
        <v>1</v>
      </c>
      <c r="AV485" t="b">
        <v>1</v>
      </c>
      <c r="AW485" t="b">
        <v>1</v>
      </c>
      <c r="BC485" t="str">
        <f t="shared" si="7"/>
        <v>Normal</v>
      </c>
    </row>
    <row r="486" spans="1:55" x14ac:dyDescent="0.2">
      <c r="A486" t="s">
        <v>39</v>
      </c>
      <c r="B486" t="s">
        <v>40</v>
      </c>
      <c r="C486">
        <v>20220101</v>
      </c>
      <c r="D486">
        <v>2022</v>
      </c>
      <c r="E486">
        <v>52</v>
      </c>
      <c r="F486" t="s">
        <v>346</v>
      </c>
      <c r="G486">
        <v>646</v>
      </c>
      <c r="H486" t="s">
        <v>247</v>
      </c>
      <c r="I486" t="s">
        <v>248</v>
      </c>
      <c r="J486" t="s">
        <v>44</v>
      </c>
      <c r="K486" t="s">
        <v>45</v>
      </c>
      <c r="L486">
        <v>0</v>
      </c>
      <c r="M486" t="s">
        <v>46</v>
      </c>
      <c r="N486" t="s">
        <v>47</v>
      </c>
      <c r="O486">
        <v>0</v>
      </c>
      <c r="P486" t="s">
        <v>46</v>
      </c>
      <c r="Q486" t="s">
        <v>47</v>
      </c>
      <c r="R486" t="s">
        <v>95</v>
      </c>
      <c r="S486" t="s">
        <v>49</v>
      </c>
      <c r="T486" t="b">
        <v>1</v>
      </c>
      <c r="U486" t="s">
        <v>50</v>
      </c>
      <c r="V486" t="s">
        <v>51</v>
      </c>
      <c r="W486">
        <v>4</v>
      </c>
      <c r="X486" t="b">
        <v>0</v>
      </c>
      <c r="Y486" t="s">
        <v>52</v>
      </c>
      <c r="Z486" t="s">
        <v>53</v>
      </c>
      <c r="AA486" t="s">
        <v>54</v>
      </c>
      <c r="AB486">
        <v>0</v>
      </c>
      <c r="AC486" t="s">
        <v>55</v>
      </c>
      <c r="AD486">
        <v>-1</v>
      </c>
      <c r="AE486" t="s">
        <v>64</v>
      </c>
      <c r="AF486">
        <v>0</v>
      </c>
      <c r="AG486" t="b">
        <v>0</v>
      </c>
      <c r="AH486">
        <v>-1</v>
      </c>
      <c r="AI486" t="s">
        <v>64</v>
      </c>
      <c r="AJ486">
        <v>0</v>
      </c>
      <c r="AK486" t="b">
        <v>0</v>
      </c>
      <c r="AL486">
        <v>0</v>
      </c>
      <c r="AM486" t="b">
        <v>0</v>
      </c>
      <c r="AN486">
        <v>0</v>
      </c>
      <c r="AO486" t="b">
        <v>0</v>
      </c>
      <c r="AP486">
        <v>0</v>
      </c>
      <c r="AQ486">
        <v>555741326.21000004</v>
      </c>
      <c r="AR486">
        <v>555741326.21000004</v>
      </c>
      <c r="AS486">
        <v>0</v>
      </c>
      <c r="AT486" t="b">
        <v>0</v>
      </c>
      <c r="AU486" t="b">
        <v>1</v>
      </c>
      <c r="AV486" t="b">
        <v>1</v>
      </c>
      <c r="AW486" t="b">
        <v>1</v>
      </c>
      <c r="BC486" t="str">
        <f t="shared" si="7"/>
        <v>Normal</v>
      </c>
    </row>
    <row r="487" spans="1:55" x14ac:dyDescent="0.2">
      <c r="A487" t="s">
        <v>39</v>
      </c>
      <c r="B487" t="s">
        <v>40</v>
      </c>
      <c r="C487">
        <v>20220101</v>
      </c>
      <c r="D487">
        <v>2022</v>
      </c>
      <c r="E487">
        <v>52</v>
      </c>
      <c r="F487" t="s">
        <v>346</v>
      </c>
      <c r="G487">
        <v>682</v>
      </c>
      <c r="H487" t="s">
        <v>249</v>
      </c>
      <c r="I487" t="s">
        <v>250</v>
      </c>
      <c r="J487" t="s">
        <v>44</v>
      </c>
      <c r="K487" t="s">
        <v>45</v>
      </c>
      <c r="L487">
        <v>0</v>
      </c>
      <c r="M487" t="s">
        <v>46</v>
      </c>
      <c r="N487" t="s">
        <v>47</v>
      </c>
      <c r="O487">
        <v>0</v>
      </c>
      <c r="P487" t="s">
        <v>46</v>
      </c>
      <c r="Q487" t="s">
        <v>47</v>
      </c>
      <c r="R487" t="s">
        <v>347</v>
      </c>
      <c r="S487" t="s">
        <v>49</v>
      </c>
      <c r="T487" t="b">
        <v>1</v>
      </c>
      <c r="U487" t="s">
        <v>50</v>
      </c>
      <c r="V487" t="s">
        <v>51</v>
      </c>
      <c r="W487">
        <v>4</v>
      </c>
      <c r="X487" t="b">
        <v>0</v>
      </c>
      <c r="Y487" t="s">
        <v>52</v>
      </c>
      <c r="Z487" t="s">
        <v>53</v>
      </c>
      <c r="AA487" t="s">
        <v>54</v>
      </c>
      <c r="AB487">
        <v>0</v>
      </c>
      <c r="AC487" t="s">
        <v>55</v>
      </c>
      <c r="AD487">
        <v>8</v>
      </c>
      <c r="AE487" t="s">
        <v>56</v>
      </c>
      <c r="AF487">
        <v>20729</v>
      </c>
      <c r="AG487" t="b">
        <v>0</v>
      </c>
      <c r="AH487">
        <v>8</v>
      </c>
      <c r="AI487" t="s">
        <v>56</v>
      </c>
      <c r="AJ487">
        <v>20729</v>
      </c>
      <c r="AK487" t="b">
        <v>0</v>
      </c>
      <c r="AL487">
        <v>20729</v>
      </c>
      <c r="AM487" t="b">
        <v>0</v>
      </c>
      <c r="AN487">
        <v>0</v>
      </c>
      <c r="AO487" t="b">
        <v>0</v>
      </c>
      <c r="AQ487">
        <v>981648062.125</v>
      </c>
      <c r="AR487">
        <v>981648062.125</v>
      </c>
      <c r="AS487">
        <v>0</v>
      </c>
      <c r="AT487" t="b">
        <v>0</v>
      </c>
      <c r="AU487" t="b">
        <v>1</v>
      </c>
      <c r="AV487" t="b">
        <v>1</v>
      </c>
      <c r="AW487" t="b">
        <v>1</v>
      </c>
      <c r="BC487" t="str">
        <f t="shared" si="7"/>
        <v>Normal</v>
      </c>
    </row>
    <row r="488" spans="1:55" x14ac:dyDescent="0.2">
      <c r="A488" t="s">
        <v>39</v>
      </c>
      <c r="B488" t="s">
        <v>40</v>
      </c>
      <c r="C488">
        <v>20220101</v>
      </c>
      <c r="D488">
        <v>2022</v>
      </c>
      <c r="E488">
        <v>52</v>
      </c>
      <c r="F488" t="s">
        <v>346</v>
      </c>
      <c r="G488">
        <v>686</v>
      </c>
      <c r="H488" t="s">
        <v>251</v>
      </c>
      <c r="I488" t="s">
        <v>252</v>
      </c>
      <c r="J488" t="s">
        <v>44</v>
      </c>
      <c r="K488" t="s">
        <v>45</v>
      </c>
      <c r="L488">
        <v>0</v>
      </c>
      <c r="M488" t="s">
        <v>46</v>
      </c>
      <c r="N488" t="s">
        <v>47</v>
      </c>
      <c r="O488">
        <v>0</v>
      </c>
      <c r="P488" t="s">
        <v>46</v>
      </c>
      <c r="Q488" t="s">
        <v>47</v>
      </c>
      <c r="R488" t="s">
        <v>347</v>
      </c>
      <c r="S488" t="s">
        <v>49</v>
      </c>
      <c r="T488" t="b">
        <v>1</v>
      </c>
      <c r="U488" t="s">
        <v>50</v>
      </c>
      <c r="V488" t="s">
        <v>51</v>
      </c>
      <c r="W488">
        <v>4</v>
      </c>
      <c r="X488" t="b">
        <v>0</v>
      </c>
      <c r="Y488" t="s">
        <v>52</v>
      </c>
      <c r="Z488" t="s">
        <v>53</v>
      </c>
      <c r="AA488" t="s">
        <v>54</v>
      </c>
      <c r="AB488">
        <v>0</v>
      </c>
      <c r="AC488" t="s">
        <v>55</v>
      </c>
      <c r="AD488">
        <v>8</v>
      </c>
      <c r="AE488" t="s">
        <v>56</v>
      </c>
      <c r="AF488">
        <v>18308</v>
      </c>
      <c r="AG488" t="b">
        <v>0</v>
      </c>
      <c r="AH488">
        <v>8</v>
      </c>
      <c r="AI488" t="s">
        <v>56</v>
      </c>
      <c r="AJ488">
        <v>18308</v>
      </c>
      <c r="AK488" t="b">
        <v>0</v>
      </c>
      <c r="AL488">
        <v>18308</v>
      </c>
      <c r="AM488" t="b">
        <v>0</v>
      </c>
      <c r="AN488">
        <v>0</v>
      </c>
      <c r="AO488" t="b">
        <v>0</v>
      </c>
      <c r="AQ488">
        <v>930426058.26499999</v>
      </c>
      <c r="AR488">
        <v>930426058.26499999</v>
      </c>
      <c r="AS488">
        <v>0</v>
      </c>
      <c r="AT488" t="b">
        <v>0</v>
      </c>
      <c r="AU488" t="b">
        <v>1</v>
      </c>
      <c r="AV488" t="b">
        <v>1</v>
      </c>
      <c r="AW488" t="b">
        <v>1</v>
      </c>
      <c r="BC488" t="str">
        <f t="shared" si="7"/>
        <v>Normal</v>
      </c>
    </row>
    <row r="489" spans="1:55" x14ac:dyDescent="0.2">
      <c r="A489" t="s">
        <v>39</v>
      </c>
      <c r="B489" t="s">
        <v>40</v>
      </c>
      <c r="C489">
        <v>20220101</v>
      </c>
      <c r="D489">
        <v>2022</v>
      </c>
      <c r="E489">
        <v>52</v>
      </c>
      <c r="F489" t="s">
        <v>346</v>
      </c>
      <c r="G489">
        <v>688</v>
      </c>
      <c r="H489" t="s">
        <v>253</v>
      </c>
      <c r="I489" t="s">
        <v>254</v>
      </c>
      <c r="J489" t="s">
        <v>44</v>
      </c>
      <c r="K489" t="s">
        <v>45</v>
      </c>
      <c r="L489">
        <v>0</v>
      </c>
      <c r="M489" t="s">
        <v>46</v>
      </c>
      <c r="N489" t="s">
        <v>47</v>
      </c>
      <c r="O489">
        <v>0</v>
      </c>
      <c r="P489" t="s">
        <v>46</v>
      </c>
      <c r="Q489" t="s">
        <v>47</v>
      </c>
      <c r="R489" t="s">
        <v>347</v>
      </c>
      <c r="S489" t="s">
        <v>49</v>
      </c>
      <c r="T489" t="b">
        <v>1</v>
      </c>
      <c r="U489" t="s">
        <v>50</v>
      </c>
      <c r="V489" t="s">
        <v>51</v>
      </c>
      <c r="W489">
        <v>4</v>
      </c>
      <c r="X489" t="b">
        <v>0</v>
      </c>
      <c r="Y489" t="s">
        <v>52</v>
      </c>
      <c r="Z489" t="s">
        <v>53</v>
      </c>
      <c r="AA489" t="s">
        <v>54</v>
      </c>
      <c r="AB489">
        <v>0</v>
      </c>
      <c r="AC489" t="s">
        <v>55</v>
      </c>
      <c r="AD489">
        <v>8</v>
      </c>
      <c r="AE489" t="s">
        <v>56</v>
      </c>
      <c r="AF489">
        <v>448.01</v>
      </c>
      <c r="AG489" t="b">
        <v>0</v>
      </c>
      <c r="AH489">
        <v>15</v>
      </c>
      <c r="AI489" t="s">
        <v>59</v>
      </c>
      <c r="AJ489">
        <v>448010</v>
      </c>
      <c r="AK489" t="b">
        <v>0</v>
      </c>
      <c r="AL489">
        <v>450.97</v>
      </c>
      <c r="AM489" t="b">
        <v>0</v>
      </c>
      <c r="AN489">
        <v>0</v>
      </c>
      <c r="AO489" t="b">
        <v>0</v>
      </c>
      <c r="AQ489">
        <v>15967260</v>
      </c>
      <c r="AR489">
        <v>15967260</v>
      </c>
      <c r="AS489">
        <v>0</v>
      </c>
      <c r="AT489" t="b">
        <v>0</v>
      </c>
      <c r="AU489" t="b">
        <v>1</v>
      </c>
      <c r="AV489" t="b">
        <v>1</v>
      </c>
      <c r="AW489" t="b">
        <v>1</v>
      </c>
      <c r="BC489" t="str">
        <f t="shared" si="7"/>
        <v>Normal</v>
      </c>
    </row>
    <row r="490" spans="1:55" x14ac:dyDescent="0.2">
      <c r="A490" t="s">
        <v>39</v>
      </c>
      <c r="B490" t="s">
        <v>40</v>
      </c>
      <c r="C490">
        <v>20220101</v>
      </c>
      <c r="D490">
        <v>2022</v>
      </c>
      <c r="E490">
        <v>52</v>
      </c>
      <c r="F490" t="s">
        <v>346</v>
      </c>
      <c r="G490">
        <v>690</v>
      </c>
      <c r="H490" t="s">
        <v>352</v>
      </c>
      <c r="I490" t="s">
        <v>353</v>
      </c>
      <c r="J490" t="s">
        <v>44</v>
      </c>
      <c r="K490" t="s">
        <v>45</v>
      </c>
      <c r="L490">
        <v>0</v>
      </c>
      <c r="M490" t="s">
        <v>46</v>
      </c>
      <c r="N490" t="s">
        <v>47</v>
      </c>
      <c r="O490">
        <v>0</v>
      </c>
      <c r="P490" t="s">
        <v>46</v>
      </c>
      <c r="Q490" t="s">
        <v>47</v>
      </c>
      <c r="R490" t="s">
        <v>48</v>
      </c>
      <c r="S490" t="s">
        <v>49</v>
      </c>
      <c r="T490" t="b">
        <v>1</v>
      </c>
      <c r="U490" t="s">
        <v>50</v>
      </c>
      <c r="V490" t="s">
        <v>51</v>
      </c>
      <c r="W490">
        <v>4</v>
      </c>
      <c r="X490" t="b">
        <v>0</v>
      </c>
      <c r="Y490" t="s">
        <v>52</v>
      </c>
      <c r="Z490" t="s">
        <v>53</v>
      </c>
      <c r="AA490" t="s">
        <v>54</v>
      </c>
      <c r="AB490">
        <v>0</v>
      </c>
      <c r="AC490" t="s">
        <v>55</v>
      </c>
      <c r="AD490">
        <v>8</v>
      </c>
      <c r="AE490" t="s">
        <v>56</v>
      </c>
      <c r="AF490">
        <v>1</v>
      </c>
      <c r="AG490" t="b">
        <v>0</v>
      </c>
      <c r="AH490">
        <v>8</v>
      </c>
      <c r="AI490" t="s">
        <v>56</v>
      </c>
      <c r="AJ490">
        <v>1</v>
      </c>
      <c r="AK490" t="b">
        <v>0</v>
      </c>
      <c r="AL490">
        <v>1</v>
      </c>
      <c r="AM490" t="b">
        <v>0</v>
      </c>
      <c r="AN490">
        <v>0</v>
      </c>
      <c r="AO490" t="b">
        <v>0</v>
      </c>
      <c r="AQ490">
        <v>65504.993999999999</v>
      </c>
      <c r="AR490">
        <v>65504.993999999999</v>
      </c>
      <c r="AS490">
        <v>0</v>
      </c>
      <c r="AT490" t="b">
        <v>0</v>
      </c>
      <c r="AU490" t="b">
        <v>1</v>
      </c>
      <c r="AV490" t="b">
        <v>1</v>
      </c>
      <c r="AW490" t="b">
        <v>1</v>
      </c>
      <c r="BC490" t="str">
        <f t="shared" si="7"/>
        <v>Normal</v>
      </c>
    </row>
    <row r="491" spans="1:55" x14ac:dyDescent="0.2">
      <c r="A491" t="s">
        <v>39</v>
      </c>
      <c r="B491" t="s">
        <v>40</v>
      </c>
      <c r="C491">
        <v>20220101</v>
      </c>
      <c r="D491">
        <v>2022</v>
      </c>
      <c r="E491">
        <v>52</v>
      </c>
      <c r="F491" t="s">
        <v>346</v>
      </c>
      <c r="G491">
        <v>699</v>
      </c>
      <c r="H491" t="s">
        <v>255</v>
      </c>
      <c r="I491" t="s">
        <v>256</v>
      </c>
      <c r="J491" t="s">
        <v>44</v>
      </c>
      <c r="K491" t="s">
        <v>45</v>
      </c>
      <c r="L491">
        <v>0</v>
      </c>
      <c r="M491" t="s">
        <v>46</v>
      </c>
      <c r="N491" t="s">
        <v>47</v>
      </c>
      <c r="O491">
        <v>0</v>
      </c>
      <c r="P491" t="s">
        <v>46</v>
      </c>
      <c r="Q491" t="s">
        <v>47</v>
      </c>
      <c r="R491" t="s">
        <v>347</v>
      </c>
      <c r="S491" t="s">
        <v>49</v>
      </c>
      <c r="T491" t="b">
        <v>1</v>
      </c>
      <c r="U491" t="s">
        <v>50</v>
      </c>
      <c r="V491" t="s">
        <v>51</v>
      </c>
      <c r="W491">
        <v>4</v>
      </c>
      <c r="X491" t="b">
        <v>0</v>
      </c>
      <c r="Y491" t="s">
        <v>52</v>
      </c>
      <c r="Z491" t="s">
        <v>53</v>
      </c>
      <c r="AA491" t="s">
        <v>54</v>
      </c>
      <c r="AB491">
        <v>0</v>
      </c>
      <c r="AC491" t="s">
        <v>55</v>
      </c>
      <c r="AD491">
        <v>8</v>
      </c>
      <c r="AE491" t="s">
        <v>56</v>
      </c>
      <c r="AF491">
        <v>1361.2860000000001</v>
      </c>
      <c r="AG491" t="b">
        <v>1</v>
      </c>
      <c r="AH491">
        <v>-1</v>
      </c>
      <c r="AI491" t="s">
        <v>64</v>
      </c>
      <c r="AJ491">
        <v>0</v>
      </c>
      <c r="AK491" t="b">
        <v>0</v>
      </c>
      <c r="AL491">
        <v>1361.2860000000001</v>
      </c>
      <c r="AM491" t="b">
        <v>1</v>
      </c>
      <c r="AN491">
        <v>0</v>
      </c>
      <c r="AO491" t="b">
        <v>0</v>
      </c>
      <c r="AQ491">
        <v>75275836.798999995</v>
      </c>
      <c r="AR491">
        <v>75275836.798999995</v>
      </c>
      <c r="AS491">
        <v>6</v>
      </c>
      <c r="AT491" t="b">
        <v>0</v>
      </c>
      <c r="AU491" t="b">
        <v>1</v>
      </c>
      <c r="AV491" t="b">
        <v>1</v>
      </c>
      <c r="AW491" t="b">
        <v>1</v>
      </c>
      <c r="BC491" t="str">
        <f t="shared" si="7"/>
        <v>Normal</v>
      </c>
    </row>
    <row r="492" spans="1:55" x14ac:dyDescent="0.2">
      <c r="A492" t="s">
        <v>39</v>
      </c>
      <c r="B492" t="s">
        <v>40</v>
      </c>
      <c r="C492">
        <v>20220101</v>
      </c>
      <c r="D492">
        <v>2022</v>
      </c>
      <c r="E492">
        <v>52</v>
      </c>
      <c r="F492" t="s">
        <v>346</v>
      </c>
      <c r="G492">
        <v>702</v>
      </c>
      <c r="H492" t="s">
        <v>257</v>
      </c>
      <c r="I492" t="s">
        <v>258</v>
      </c>
      <c r="J492" t="s">
        <v>44</v>
      </c>
      <c r="K492" t="s">
        <v>45</v>
      </c>
      <c r="L492">
        <v>0</v>
      </c>
      <c r="M492" t="s">
        <v>46</v>
      </c>
      <c r="N492" t="s">
        <v>47</v>
      </c>
      <c r="O492">
        <v>0</v>
      </c>
      <c r="P492" t="s">
        <v>46</v>
      </c>
      <c r="Q492" t="s">
        <v>47</v>
      </c>
      <c r="R492" t="s">
        <v>347</v>
      </c>
      <c r="S492" t="s">
        <v>49</v>
      </c>
      <c r="T492" t="b">
        <v>1</v>
      </c>
      <c r="U492" t="s">
        <v>50</v>
      </c>
      <c r="V492" t="s">
        <v>51</v>
      </c>
      <c r="W492">
        <v>4</v>
      </c>
      <c r="X492" t="b">
        <v>0</v>
      </c>
      <c r="Y492" t="s">
        <v>52</v>
      </c>
      <c r="Z492" t="s">
        <v>53</v>
      </c>
      <c r="AA492" t="s">
        <v>54</v>
      </c>
      <c r="AB492">
        <v>0</v>
      </c>
      <c r="AC492" t="s">
        <v>55</v>
      </c>
      <c r="AD492">
        <v>8</v>
      </c>
      <c r="AE492" t="s">
        <v>56</v>
      </c>
      <c r="AF492">
        <v>283860.14199999999</v>
      </c>
      <c r="AG492" t="b">
        <v>1</v>
      </c>
      <c r="AH492">
        <v>-1</v>
      </c>
      <c r="AI492" t="s">
        <v>64</v>
      </c>
      <c r="AJ492">
        <v>0</v>
      </c>
      <c r="AK492" t="b">
        <v>0</v>
      </c>
      <c r="AL492" s="1">
        <v>283860.14199999999</v>
      </c>
      <c r="AM492" t="b">
        <v>1</v>
      </c>
      <c r="AN492">
        <v>0</v>
      </c>
      <c r="AO492" t="b">
        <v>0</v>
      </c>
      <c r="AQ492">
        <v>15524346362.495001</v>
      </c>
      <c r="AR492">
        <v>15524346362.495001</v>
      </c>
      <c r="AS492">
        <v>6</v>
      </c>
      <c r="AT492" t="b">
        <v>0</v>
      </c>
      <c r="AU492" t="b">
        <v>1</v>
      </c>
      <c r="AV492" t="b">
        <v>1</v>
      </c>
      <c r="AW492" t="b">
        <v>1</v>
      </c>
      <c r="BC492" t="str">
        <f t="shared" si="7"/>
        <v>Outlier</v>
      </c>
    </row>
    <row r="493" spans="1:55" x14ac:dyDescent="0.2">
      <c r="A493" t="s">
        <v>39</v>
      </c>
      <c r="B493" t="s">
        <v>40</v>
      </c>
      <c r="C493">
        <v>20220101</v>
      </c>
      <c r="D493">
        <v>2022</v>
      </c>
      <c r="E493">
        <v>52</v>
      </c>
      <c r="F493" t="s">
        <v>346</v>
      </c>
      <c r="G493">
        <v>703</v>
      </c>
      <c r="H493" t="s">
        <v>259</v>
      </c>
      <c r="I493" t="s">
        <v>260</v>
      </c>
      <c r="J493" t="s">
        <v>44</v>
      </c>
      <c r="K493" t="s">
        <v>45</v>
      </c>
      <c r="L493">
        <v>0</v>
      </c>
      <c r="M493" t="s">
        <v>46</v>
      </c>
      <c r="N493" t="s">
        <v>47</v>
      </c>
      <c r="O493">
        <v>0</v>
      </c>
      <c r="P493" t="s">
        <v>46</v>
      </c>
      <c r="Q493" t="s">
        <v>47</v>
      </c>
      <c r="R493" t="s">
        <v>347</v>
      </c>
      <c r="S493" t="s">
        <v>49</v>
      </c>
      <c r="T493" t="b">
        <v>1</v>
      </c>
      <c r="U493" t="s">
        <v>50</v>
      </c>
      <c r="V493" t="s">
        <v>51</v>
      </c>
      <c r="W493">
        <v>4</v>
      </c>
      <c r="X493" t="b">
        <v>0</v>
      </c>
      <c r="Y493" t="s">
        <v>52</v>
      </c>
      <c r="Z493" t="s">
        <v>53</v>
      </c>
      <c r="AA493" t="s">
        <v>54</v>
      </c>
      <c r="AB493">
        <v>0</v>
      </c>
      <c r="AC493" t="s">
        <v>55</v>
      </c>
      <c r="AD493">
        <v>8</v>
      </c>
      <c r="AE493" t="s">
        <v>56</v>
      </c>
      <c r="AF493">
        <v>507.48200000000003</v>
      </c>
      <c r="AG493" t="b">
        <v>0</v>
      </c>
      <c r="AH493">
        <v>15</v>
      </c>
      <c r="AI493" t="s">
        <v>59</v>
      </c>
      <c r="AJ493">
        <v>507482</v>
      </c>
      <c r="AK493" t="b">
        <v>0</v>
      </c>
      <c r="AM493" t="b">
        <v>0</v>
      </c>
      <c r="AN493">
        <v>0</v>
      </c>
      <c r="AO493" t="b">
        <v>0</v>
      </c>
      <c r="AQ493">
        <v>21387396.614</v>
      </c>
      <c r="AR493">
        <v>21387396.614</v>
      </c>
      <c r="AS493">
        <v>0</v>
      </c>
      <c r="AT493" t="b">
        <v>0</v>
      </c>
      <c r="AU493" t="b">
        <v>1</v>
      </c>
      <c r="AV493" t="b">
        <v>1</v>
      </c>
      <c r="AW493" t="b">
        <v>1</v>
      </c>
      <c r="BC493" t="str">
        <f t="shared" si="7"/>
        <v>Normal</v>
      </c>
    </row>
    <row r="494" spans="1:55" x14ac:dyDescent="0.2">
      <c r="A494" t="s">
        <v>39</v>
      </c>
      <c r="B494" t="s">
        <v>40</v>
      </c>
      <c r="C494">
        <v>20220101</v>
      </c>
      <c r="D494">
        <v>2022</v>
      </c>
      <c r="E494">
        <v>52</v>
      </c>
      <c r="F494" t="s">
        <v>346</v>
      </c>
      <c r="G494">
        <v>704</v>
      </c>
      <c r="H494" t="s">
        <v>261</v>
      </c>
      <c r="I494" t="s">
        <v>262</v>
      </c>
      <c r="J494" t="s">
        <v>44</v>
      </c>
      <c r="K494" t="s">
        <v>45</v>
      </c>
      <c r="L494">
        <v>0</v>
      </c>
      <c r="M494" t="s">
        <v>46</v>
      </c>
      <c r="N494" t="s">
        <v>47</v>
      </c>
      <c r="O494">
        <v>0</v>
      </c>
      <c r="P494" t="s">
        <v>46</v>
      </c>
      <c r="Q494" t="s">
        <v>47</v>
      </c>
      <c r="R494" t="s">
        <v>347</v>
      </c>
      <c r="S494" t="s">
        <v>49</v>
      </c>
      <c r="T494" t="b">
        <v>1</v>
      </c>
      <c r="U494" t="s">
        <v>50</v>
      </c>
      <c r="V494" t="s">
        <v>51</v>
      </c>
      <c r="W494">
        <v>4</v>
      </c>
      <c r="X494" t="b">
        <v>0</v>
      </c>
      <c r="Y494" t="s">
        <v>52</v>
      </c>
      <c r="Z494" t="s">
        <v>53</v>
      </c>
      <c r="AA494" t="s">
        <v>54</v>
      </c>
      <c r="AB494">
        <v>0</v>
      </c>
      <c r="AC494" t="s">
        <v>55</v>
      </c>
      <c r="AD494">
        <v>8</v>
      </c>
      <c r="AE494" t="s">
        <v>56</v>
      </c>
      <c r="AF494">
        <v>203.55199999999999</v>
      </c>
      <c r="AG494" t="b">
        <v>1</v>
      </c>
      <c r="AH494">
        <v>-1</v>
      </c>
      <c r="AI494" t="s">
        <v>64</v>
      </c>
      <c r="AJ494">
        <v>0</v>
      </c>
      <c r="AK494" t="b">
        <v>0</v>
      </c>
      <c r="AL494">
        <v>203.55199999999999</v>
      </c>
      <c r="AM494" t="b">
        <v>1</v>
      </c>
      <c r="AN494">
        <v>0</v>
      </c>
      <c r="AO494" t="b">
        <v>0</v>
      </c>
      <c r="AQ494">
        <v>11491590.153999999</v>
      </c>
      <c r="AR494">
        <v>11491590.153999999</v>
      </c>
      <c r="AS494">
        <v>6</v>
      </c>
      <c r="AT494" t="b">
        <v>0</v>
      </c>
      <c r="AU494" t="b">
        <v>1</v>
      </c>
      <c r="AV494" t="b">
        <v>1</v>
      </c>
      <c r="AW494" t="b">
        <v>1</v>
      </c>
      <c r="BC494" t="str">
        <f t="shared" si="7"/>
        <v>Normal</v>
      </c>
    </row>
    <row r="495" spans="1:55" x14ac:dyDescent="0.2">
      <c r="A495" t="s">
        <v>39</v>
      </c>
      <c r="B495" t="s">
        <v>40</v>
      </c>
      <c r="C495">
        <v>20220101</v>
      </c>
      <c r="D495">
        <v>2022</v>
      </c>
      <c r="E495">
        <v>52</v>
      </c>
      <c r="F495" t="s">
        <v>346</v>
      </c>
      <c r="G495">
        <v>705</v>
      </c>
      <c r="H495" t="s">
        <v>263</v>
      </c>
      <c r="I495" t="s">
        <v>264</v>
      </c>
      <c r="J495" t="s">
        <v>44</v>
      </c>
      <c r="K495" t="s">
        <v>45</v>
      </c>
      <c r="L495">
        <v>0</v>
      </c>
      <c r="M495" t="s">
        <v>46</v>
      </c>
      <c r="N495" t="s">
        <v>47</v>
      </c>
      <c r="O495">
        <v>0</v>
      </c>
      <c r="P495" t="s">
        <v>46</v>
      </c>
      <c r="Q495" t="s">
        <v>47</v>
      </c>
      <c r="R495" t="s">
        <v>347</v>
      </c>
      <c r="S495" t="s">
        <v>49</v>
      </c>
      <c r="T495" t="b">
        <v>1</v>
      </c>
      <c r="U495" t="s">
        <v>50</v>
      </c>
      <c r="V495" t="s">
        <v>51</v>
      </c>
      <c r="W495">
        <v>4</v>
      </c>
      <c r="X495" t="b">
        <v>0</v>
      </c>
      <c r="Y495" t="s">
        <v>52</v>
      </c>
      <c r="Z495" t="s">
        <v>53</v>
      </c>
      <c r="AA495" t="s">
        <v>54</v>
      </c>
      <c r="AB495">
        <v>0</v>
      </c>
      <c r="AC495" t="s">
        <v>55</v>
      </c>
      <c r="AD495">
        <v>8</v>
      </c>
      <c r="AE495" t="s">
        <v>56</v>
      </c>
      <c r="AF495">
        <v>486.08199999999999</v>
      </c>
      <c r="AG495" t="b">
        <v>0</v>
      </c>
      <c r="AH495">
        <v>15</v>
      </c>
      <c r="AI495" t="s">
        <v>59</v>
      </c>
      <c r="AJ495">
        <v>486082</v>
      </c>
      <c r="AK495" t="b">
        <v>0</v>
      </c>
      <c r="AL495">
        <v>488.13499999999999</v>
      </c>
      <c r="AM495" t="b">
        <v>0</v>
      </c>
      <c r="AN495">
        <v>0</v>
      </c>
      <c r="AO495" t="b">
        <v>0</v>
      </c>
      <c r="AQ495">
        <v>29029115.300000001</v>
      </c>
      <c r="AR495">
        <v>29029115.300000001</v>
      </c>
      <c r="AS495">
        <v>0</v>
      </c>
      <c r="AT495" t="b">
        <v>0</v>
      </c>
      <c r="AU495" t="b">
        <v>1</v>
      </c>
      <c r="AV495" t="b">
        <v>1</v>
      </c>
      <c r="AW495" t="b">
        <v>1</v>
      </c>
      <c r="BC495" t="str">
        <f t="shared" si="7"/>
        <v>Normal</v>
      </c>
    </row>
    <row r="496" spans="1:55" x14ac:dyDescent="0.2">
      <c r="A496" t="s">
        <v>39</v>
      </c>
      <c r="B496" t="s">
        <v>40</v>
      </c>
      <c r="C496">
        <v>20220101</v>
      </c>
      <c r="D496">
        <v>2022</v>
      </c>
      <c r="E496">
        <v>52</v>
      </c>
      <c r="F496" t="s">
        <v>346</v>
      </c>
      <c r="G496">
        <v>710</v>
      </c>
      <c r="H496" t="s">
        <v>265</v>
      </c>
      <c r="I496" t="s">
        <v>266</v>
      </c>
      <c r="J496" t="s">
        <v>44</v>
      </c>
      <c r="K496" t="s">
        <v>45</v>
      </c>
      <c r="L496">
        <v>0</v>
      </c>
      <c r="M496" t="s">
        <v>46</v>
      </c>
      <c r="N496" t="s">
        <v>47</v>
      </c>
      <c r="O496">
        <v>0</v>
      </c>
      <c r="P496" t="s">
        <v>46</v>
      </c>
      <c r="Q496" t="s">
        <v>47</v>
      </c>
      <c r="R496" t="s">
        <v>347</v>
      </c>
      <c r="S496" t="s">
        <v>49</v>
      </c>
      <c r="T496" t="b">
        <v>1</v>
      </c>
      <c r="U496" t="s">
        <v>50</v>
      </c>
      <c r="V496" t="s">
        <v>51</v>
      </c>
      <c r="W496">
        <v>4</v>
      </c>
      <c r="X496" t="b">
        <v>0</v>
      </c>
      <c r="Y496" t="s">
        <v>52</v>
      </c>
      <c r="Z496" t="s">
        <v>53</v>
      </c>
      <c r="AA496" t="s">
        <v>54</v>
      </c>
      <c r="AB496">
        <v>0</v>
      </c>
      <c r="AC496" t="s">
        <v>55</v>
      </c>
      <c r="AD496">
        <v>-1</v>
      </c>
      <c r="AE496" t="s">
        <v>64</v>
      </c>
      <c r="AF496">
        <v>0</v>
      </c>
      <c r="AG496" t="b">
        <v>0</v>
      </c>
      <c r="AH496">
        <v>-1</v>
      </c>
      <c r="AI496" t="s">
        <v>64</v>
      </c>
      <c r="AJ496">
        <v>0</v>
      </c>
      <c r="AK496" t="b">
        <v>0</v>
      </c>
      <c r="AM496" t="b">
        <v>0</v>
      </c>
      <c r="AN496">
        <v>0</v>
      </c>
      <c r="AO496" t="b">
        <v>0</v>
      </c>
      <c r="AQ496">
        <v>5264910501.4420004</v>
      </c>
      <c r="AR496">
        <v>5264910501.4420004</v>
      </c>
      <c r="AS496">
        <v>0</v>
      </c>
      <c r="AT496" t="b">
        <v>0</v>
      </c>
      <c r="AU496" t="b">
        <v>1</v>
      </c>
      <c r="AV496" t="b">
        <v>1</v>
      </c>
      <c r="AW496" t="b">
        <v>1</v>
      </c>
      <c r="BC496" t="str">
        <f t="shared" si="7"/>
        <v>Normal</v>
      </c>
    </row>
    <row r="497" spans="1:55" x14ac:dyDescent="0.2">
      <c r="A497" t="s">
        <v>39</v>
      </c>
      <c r="B497" t="s">
        <v>40</v>
      </c>
      <c r="C497">
        <v>20220101</v>
      </c>
      <c r="D497">
        <v>2022</v>
      </c>
      <c r="E497">
        <v>52</v>
      </c>
      <c r="F497" t="s">
        <v>346</v>
      </c>
      <c r="G497">
        <v>716</v>
      </c>
      <c r="H497" t="s">
        <v>267</v>
      </c>
      <c r="I497" t="s">
        <v>268</v>
      </c>
      <c r="J497" t="s">
        <v>44</v>
      </c>
      <c r="K497" t="s">
        <v>45</v>
      </c>
      <c r="L497">
        <v>0</v>
      </c>
      <c r="M497" t="s">
        <v>46</v>
      </c>
      <c r="N497" t="s">
        <v>47</v>
      </c>
      <c r="O497">
        <v>0</v>
      </c>
      <c r="P497" t="s">
        <v>46</v>
      </c>
      <c r="Q497" t="s">
        <v>47</v>
      </c>
      <c r="R497" t="s">
        <v>48</v>
      </c>
      <c r="S497" t="s">
        <v>49</v>
      </c>
      <c r="T497" t="b">
        <v>1</v>
      </c>
      <c r="U497" t="s">
        <v>50</v>
      </c>
      <c r="V497" t="s">
        <v>51</v>
      </c>
      <c r="W497">
        <v>4</v>
      </c>
      <c r="X497" t="b">
        <v>0</v>
      </c>
      <c r="Y497" t="s">
        <v>52</v>
      </c>
      <c r="Z497" t="s">
        <v>53</v>
      </c>
      <c r="AA497" t="s">
        <v>54</v>
      </c>
      <c r="AB497">
        <v>0</v>
      </c>
      <c r="AC497" t="s">
        <v>55</v>
      </c>
      <c r="AD497">
        <v>8</v>
      </c>
      <c r="AE497" t="s">
        <v>56</v>
      </c>
      <c r="AF497">
        <v>35706.178</v>
      </c>
      <c r="AG497" t="b">
        <v>1</v>
      </c>
      <c r="AH497">
        <v>-1</v>
      </c>
      <c r="AI497" t="s">
        <v>64</v>
      </c>
      <c r="AJ497">
        <v>0</v>
      </c>
      <c r="AK497" t="b">
        <v>0</v>
      </c>
      <c r="AM497" t="b">
        <v>0</v>
      </c>
      <c r="AN497">
        <v>0</v>
      </c>
      <c r="AO497" t="b">
        <v>0</v>
      </c>
      <c r="AQ497">
        <v>1992346633.3800001</v>
      </c>
      <c r="AR497">
        <v>1992346633.3800001</v>
      </c>
      <c r="AS497">
        <v>2</v>
      </c>
      <c r="AT497" t="b">
        <v>0</v>
      </c>
      <c r="AU497" t="b">
        <v>1</v>
      </c>
      <c r="AV497" t="b">
        <v>1</v>
      </c>
      <c r="AW497" t="b">
        <v>1</v>
      </c>
      <c r="BC497" t="str">
        <f t="shared" si="7"/>
        <v>Normal</v>
      </c>
    </row>
    <row r="498" spans="1:55" x14ac:dyDescent="0.2">
      <c r="A498" t="s">
        <v>39</v>
      </c>
      <c r="B498" t="s">
        <v>40</v>
      </c>
      <c r="C498">
        <v>20220101</v>
      </c>
      <c r="D498">
        <v>2022</v>
      </c>
      <c r="E498">
        <v>52</v>
      </c>
      <c r="F498" t="s">
        <v>346</v>
      </c>
      <c r="G498">
        <v>724</v>
      </c>
      <c r="H498" t="s">
        <v>269</v>
      </c>
      <c r="I498" t="s">
        <v>270</v>
      </c>
      <c r="J498" t="s">
        <v>44</v>
      </c>
      <c r="K498" t="s">
        <v>45</v>
      </c>
      <c r="L498">
        <v>0</v>
      </c>
      <c r="M498" t="s">
        <v>46</v>
      </c>
      <c r="N498" t="s">
        <v>47</v>
      </c>
      <c r="O498">
        <v>0</v>
      </c>
      <c r="P498" t="s">
        <v>46</v>
      </c>
      <c r="Q498" t="s">
        <v>47</v>
      </c>
      <c r="R498" t="s">
        <v>347</v>
      </c>
      <c r="S498" t="s">
        <v>49</v>
      </c>
      <c r="T498" t="b">
        <v>1</v>
      </c>
      <c r="U498" t="s">
        <v>50</v>
      </c>
      <c r="V498" t="s">
        <v>51</v>
      </c>
      <c r="W498">
        <v>4</v>
      </c>
      <c r="X498" t="b">
        <v>0</v>
      </c>
      <c r="Y498" t="s">
        <v>52</v>
      </c>
      <c r="Z498" t="s">
        <v>53</v>
      </c>
      <c r="AA498" t="s">
        <v>54</v>
      </c>
      <c r="AB498">
        <v>0</v>
      </c>
      <c r="AC498" t="s">
        <v>55</v>
      </c>
      <c r="AD498">
        <v>-1</v>
      </c>
      <c r="AE498" t="s">
        <v>64</v>
      </c>
      <c r="AF498">
        <v>0</v>
      </c>
      <c r="AG498" t="b">
        <v>0</v>
      </c>
      <c r="AH498">
        <v>-1</v>
      </c>
      <c r="AI498" t="s">
        <v>64</v>
      </c>
      <c r="AJ498">
        <v>0</v>
      </c>
      <c r="AK498" t="b">
        <v>0</v>
      </c>
      <c r="AM498" t="b">
        <v>0</v>
      </c>
      <c r="AN498">
        <v>0</v>
      </c>
      <c r="AO498" t="b">
        <v>0</v>
      </c>
      <c r="AQ498">
        <v>2568696177.7470002</v>
      </c>
      <c r="AR498">
        <v>2568696177.7470002</v>
      </c>
      <c r="AS498">
        <v>0</v>
      </c>
      <c r="AT498" t="b">
        <v>0</v>
      </c>
      <c r="AU498" t="b">
        <v>1</v>
      </c>
      <c r="AV498" t="b">
        <v>1</v>
      </c>
      <c r="AW498" t="b">
        <v>1</v>
      </c>
      <c r="BC498" t="str">
        <f t="shared" si="7"/>
        <v>Normal</v>
      </c>
    </row>
    <row r="499" spans="1:55" x14ac:dyDescent="0.2">
      <c r="A499" t="s">
        <v>39</v>
      </c>
      <c r="B499" t="s">
        <v>40</v>
      </c>
      <c r="C499">
        <v>20220101</v>
      </c>
      <c r="D499">
        <v>2022</v>
      </c>
      <c r="E499">
        <v>52</v>
      </c>
      <c r="F499" t="s">
        <v>346</v>
      </c>
      <c r="G499">
        <v>740</v>
      </c>
      <c r="H499" t="s">
        <v>271</v>
      </c>
      <c r="I499" t="s">
        <v>272</v>
      </c>
      <c r="J499" t="s">
        <v>44</v>
      </c>
      <c r="K499" t="s">
        <v>45</v>
      </c>
      <c r="L499">
        <v>0</v>
      </c>
      <c r="M499" t="s">
        <v>46</v>
      </c>
      <c r="N499" t="s">
        <v>47</v>
      </c>
      <c r="O499">
        <v>0</v>
      </c>
      <c r="P499" t="s">
        <v>46</v>
      </c>
      <c r="Q499" t="s">
        <v>47</v>
      </c>
      <c r="R499" t="s">
        <v>136</v>
      </c>
      <c r="S499" t="s">
        <v>49</v>
      </c>
      <c r="T499" t="b">
        <v>1</v>
      </c>
      <c r="U499" t="s">
        <v>50</v>
      </c>
      <c r="V499" t="s">
        <v>51</v>
      </c>
      <c r="W499">
        <v>4</v>
      </c>
      <c r="X499" t="b">
        <v>0</v>
      </c>
      <c r="Y499" t="s">
        <v>52</v>
      </c>
      <c r="Z499" t="s">
        <v>53</v>
      </c>
      <c r="AA499" t="s">
        <v>54</v>
      </c>
      <c r="AB499">
        <v>0</v>
      </c>
      <c r="AC499" t="s">
        <v>55</v>
      </c>
      <c r="AD499">
        <v>-1</v>
      </c>
      <c r="AE499" t="s">
        <v>64</v>
      </c>
      <c r="AF499">
        <v>0</v>
      </c>
      <c r="AG499" t="b">
        <v>0</v>
      </c>
      <c r="AH499">
        <v>-1</v>
      </c>
      <c r="AI499" t="s">
        <v>64</v>
      </c>
      <c r="AJ499">
        <v>0</v>
      </c>
      <c r="AK499" t="b">
        <v>0</v>
      </c>
      <c r="AL499">
        <v>36732.22</v>
      </c>
      <c r="AM499" t="b">
        <v>0</v>
      </c>
      <c r="AN499">
        <v>39838.519999999997</v>
      </c>
      <c r="AO499" t="b">
        <v>0</v>
      </c>
      <c r="AQ499">
        <v>2136298470.4000001</v>
      </c>
      <c r="AR499">
        <v>2136298470.4000001</v>
      </c>
      <c r="AS499">
        <v>0</v>
      </c>
      <c r="AT499" t="b">
        <v>0</v>
      </c>
      <c r="AU499" t="b">
        <v>1</v>
      </c>
      <c r="AV499" t="b">
        <v>1</v>
      </c>
      <c r="AW499" t="b">
        <v>1</v>
      </c>
      <c r="BC499" t="str">
        <f t="shared" si="7"/>
        <v>Normal</v>
      </c>
    </row>
    <row r="500" spans="1:55" x14ac:dyDescent="0.2">
      <c r="A500" t="s">
        <v>39</v>
      </c>
      <c r="B500" t="s">
        <v>40</v>
      </c>
      <c r="C500">
        <v>20220101</v>
      </c>
      <c r="D500">
        <v>2022</v>
      </c>
      <c r="E500">
        <v>52</v>
      </c>
      <c r="F500" t="s">
        <v>346</v>
      </c>
      <c r="G500">
        <v>748</v>
      </c>
      <c r="H500" t="s">
        <v>273</v>
      </c>
      <c r="I500" t="s">
        <v>274</v>
      </c>
      <c r="J500" t="s">
        <v>44</v>
      </c>
      <c r="K500" t="s">
        <v>45</v>
      </c>
      <c r="L500">
        <v>0</v>
      </c>
      <c r="M500" t="s">
        <v>46</v>
      </c>
      <c r="N500" t="s">
        <v>47</v>
      </c>
      <c r="O500">
        <v>0</v>
      </c>
      <c r="P500" t="s">
        <v>46</v>
      </c>
      <c r="Q500" t="s">
        <v>47</v>
      </c>
      <c r="R500" t="s">
        <v>347</v>
      </c>
      <c r="S500" t="s">
        <v>49</v>
      </c>
      <c r="T500" t="b">
        <v>1</v>
      </c>
      <c r="U500" t="s">
        <v>50</v>
      </c>
      <c r="V500" t="s">
        <v>51</v>
      </c>
      <c r="W500">
        <v>4</v>
      </c>
      <c r="X500" t="b">
        <v>0</v>
      </c>
      <c r="Y500" t="s">
        <v>52</v>
      </c>
      <c r="Z500" t="s">
        <v>53</v>
      </c>
      <c r="AA500" t="s">
        <v>54</v>
      </c>
      <c r="AB500">
        <v>0</v>
      </c>
      <c r="AC500" t="s">
        <v>55</v>
      </c>
      <c r="AD500">
        <v>8</v>
      </c>
      <c r="AE500" t="s">
        <v>56</v>
      </c>
      <c r="AF500">
        <v>4.08</v>
      </c>
      <c r="AG500" t="b">
        <v>0</v>
      </c>
      <c r="AH500">
        <v>8</v>
      </c>
      <c r="AI500" t="s">
        <v>56</v>
      </c>
      <c r="AJ500">
        <v>4.08</v>
      </c>
      <c r="AK500" t="b">
        <v>0</v>
      </c>
      <c r="AL500">
        <v>4.08</v>
      </c>
      <c r="AM500" t="b">
        <v>0</v>
      </c>
      <c r="AN500">
        <v>0</v>
      </c>
      <c r="AO500" t="b">
        <v>0</v>
      </c>
      <c r="AQ500">
        <v>228657.3</v>
      </c>
      <c r="AR500">
        <v>228657.3</v>
      </c>
      <c r="AS500">
        <v>0</v>
      </c>
      <c r="AT500" t="b">
        <v>0</v>
      </c>
      <c r="AU500" t="b">
        <v>1</v>
      </c>
      <c r="AV500" t="b">
        <v>1</v>
      </c>
      <c r="AW500" t="b">
        <v>1</v>
      </c>
      <c r="BC500" t="str">
        <f t="shared" si="7"/>
        <v>Normal</v>
      </c>
    </row>
    <row r="501" spans="1:55" x14ac:dyDescent="0.2">
      <c r="A501" t="s">
        <v>39</v>
      </c>
      <c r="B501" t="s">
        <v>40</v>
      </c>
      <c r="C501">
        <v>20220101</v>
      </c>
      <c r="D501">
        <v>2022</v>
      </c>
      <c r="E501">
        <v>52</v>
      </c>
      <c r="F501" t="s">
        <v>346</v>
      </c>
      <c r="G501">
        <v>752</v>
      </c>
      <c r="H501" t="s">
        <v>275</v>
      </c>
      <c r="I501" t="s">
        <v>276</v>
      </c>
      <c r="J501" t="s">
        <v>44</v>
      </c>
      <c r="K501" t="s">
        <v>45</v>
      </c>
      <c r="L501">
        <v>0</v>
      </c>
      <c r="M501" t="s">
        <v>46</v>
      </c>
      <c r="N501" t="s">
        <v>47</v>
      </c>
      <c r="O501">
        <v>0</v>
      </c>
      <c r="P501" t="s">
        <v>46</v>
      </c>
      <c r="Q501" t="s">
        <v>47</v>
      </c>
      <c r="R501" t="s">
        <v>347</v>
      </c>
      <c r="S501" t="s">
        <v>49</v>
      </c>
      <c r="T501" t="b">
        <v>1</v>
      </c>
      <c r="U501" t="s">
        <v>50</v>
      </c>
      <c r="V501" t="s">
        <v>51</v>
      </c>
      <c r="W501">
        <v>4</v>
      </c>
      <c r="X501" t="b">
        <v>0</v>
      </c>
      <c r="Y501" t="s">
        <v>52</v>
      </c>
      <c r="Z501" t="s">
        <v>53</v>
      </c>
      <c r="AA501" t="s">
        <v>54</v>
      </c>
      <c r="AB501">
        <v>0</v>
      </c>
      <c r="AC501" t="s">
        <v>55</v>
      </c>
      <c r="AD501">
        <v>8</v>
      </c>
      <c r="AE501" t="s">
        <v>56</v>
      </c>
      <c r="AF501">
        <v>14350.213</v>
      </c>
      <c r="AG501" t="b">
        <v>1</v>
      </c>
      <c r="AH501">
        <v>-1</v>
      </c>
      <c r="AI501" t="s">
        <v>64</v>
      </c>
      <c r="AJ501">
        <v>0</v>
      </c>
      <c r="AK501" t="b">
        <v>0</v>
      </c>
      <c r="AL501">
        <v>13574.803</v>
      </c>
      <c r="AM501" t="b">
        <v>1</v>
      </c>
      <c r="AN501">
        <v>0</v>
      </c>
      <c r="AO501" t="b">
        <v>0</v>
      </c>
      <c r="AQ501">
        <v>865767962.722</v>
      </c>
      <c r="AR501">
        <v>865767962.722</v>
      </c>
      <c r="AS501">
        <v>6</v>
      </c>
      <c r="AT501" t="b">
        <v>0</v>
      </c>
      <c r="AU501" t="b">
        <v>1</v>
      </c>
      <c r="AV501" t="b">
        <v>1</v>
      </c>
      <c r="AW501" t="b">
        <v>1</v>
      </c>
      <c r="BC501" t="str">
        <f t="shared" si="7"/>
        <v>Normal</v>
      </c>
    </row>
    <row r="502" spans="1:55" x14ac:dyDescent="0.2">
      <c r="A502" t="s">
        <v>39</v>
      </c>
      <c r="B502" t="s">
        <v>40</v>
      </c>
      <c r="C502">
        <v>20220101</v>
      </c>
      <c r="D502">
        <v>2022</v>
      </c>
      <c r="E502">
        <v>52</v>
      </c>
      <c r="F502" t="s">
        <v>346</v>
      </c>
      <c r="G502">
        <v>757</v>
      </c>
      <c r="H502" t="s">
        <v>277</v>
      </c>
      <c r="I502" t="s">
        <v>278</v>
      </c>
      <c r="J502" t="s">
        <v>44</v>
      </c>
      <c r="K502" t="s">
        <v>45</v>
      </c>
      <c r="L502">
        <v>0</v>
      </c>
      <c r="M502" t="s">
        <v>46</v>
      </c>
      <c r="N502" t="s">
        <v>47</v>
      </c>
      <c r="O502">
        <v>0</v>
      </c>
      <c r="P502" t="s">
        <v>46</v>
      </c>
      <c r="Q502" t="s">
        <v>47</v>
      </c>
      <c r="R502" t="s">
        <v>347</v>
      </c>
      <c r="S502" t="s">
        <v>49</v>
      </c>
      <c r="T502" t="b">
        <v>1</v>
      </c>
      <c r="U502" t="s">
        <v>50</v>
      </c>
      <c r="V502" t="s">
        <v>51</v>
      </c>
      <c r="W502">
        <v>4</v>
      </c>
      <c r="X502" t="b">
        <v>0</v>
      </c>
      <c r="Y502" t="s">
        <v>52</v>
      </c>
      <c r="Z502" t="s">
        <v>53</v>
      </c>
      <c r="AA502" t="s">
        <v>54</v>
      </c>
      <c r="AB502">
        <v>0</v>
      </c>
      <c r="AC502" t="s">
        <v>55</v>
      </c>
      <c r="AD502">
        <v>8</v>
      </c>
      <c r="AE502" t="s">
        <v>56</v>
      </c>
      <c r="AF502">
        <v>1741915.977</v>
      </c>
      <c r="AG502" t="b">
        <v>1</v>
      </c>
      <c r="AH502">
        <v>-1</v>
      </c>
      <c r="AI502" t="s">
        <v>64</v>
      </c>
      <c r="AJ502">
        <v>0</v>
      </c>
      <c r="AK502" t="b">
        <v>0</v>
      </c>
      <c r="AL502" s="1">
        <v>1741915.977</v>
      </c>
      <c r="AM502" t="b">
        <v>1</v>
      </c>
      <c r="AN502">
        <v>0</v>
      </c>
      <c r="AO502" t="b">
        <v>0</v>
      </c>
      <c r="AQ502">
        <v>100227921555.838</v>
      </c>
      <c r="AR502">
        <v>100227921555.838</v>
      </c>
      <c r="AS502">
        <v>6</v>
      </c>
      <c r="AT502" t="b">
        <v>0</v>
      </c>
      <c r="AU502" t="b">
        <v>1</v>
      </c>
      <c r="AV502" t="b">
        <v>1</v>
      </c>
      <c r="AW502" t="b">
        <v>1</v>
      </c>
      <c r="BC502" t="str">
        <f t="shared" si="7"/>
        <v>Outlier</v>
      </c>
    </row>
    <row r="503" spans="1:55" x14ac:dyDescent="0.2">
      <c r="A503" t="s">
        <v>39</v>
      </c>
      <c r="B503" t="s">
        <v>40</v>
      </c>
      <c r="C503">
        <v>20220101</v>
      </c>
      <c r="D503">
        <v>2022</v>
      </c>
      <c r="E503">
        <v>52</v>
      </c>
      <c r="F503" t="s">
        <v>346</v>
      </c>
      <c r="G503">
        <v>762</v>
      </c>
      <c r="H503" t="s">
        <v>342</v>
      </c>
      <c r="I503" t="s">
        <v>343</v>
      </c>
      <c r="J503" t="s">
        <v>44</v>
      </c>
      <c r="K503" t="s">
        <v>45</v>
      </c>
      <c r="L503">
        <v>0</v>
      </c>
      <c r="M503" t="s">
        <v>46</v>
      </c>
      <c r="N503" t="s">
        <v>47</v>
      </c>
      <c r="O503">
        <v>0</v>
      </c>
      <c r="P503" t="s">
        <v>46</v>
      </c>
      <c r="Q503" t="s">
        <v>47</v>
      </c>
      <c r="R503" t="s">
        <v>95</v>
      </c>
      <c r="S503" t="s">
        <v>49</v>
      </c>
      <c r="T503" t="b">
        <v>1</v>
      </c>
      <c r="U503" t="s">
        <v>50</v>
      </c>
      <c r="V503" t="s">
        <v>51</v>
      </c>
      <c r="W503">
        <v>4</v>
      </c>
      <c r="X503" t="b">
        <v>0</v>
      </c>
      <c r="Y503" t="s">
        <v>52</v>
      </c>
      <c r="Z503" t="s">
        <v>53</v>
      </c>
      <c r="AA503" t="s">
        <v>54</v>
      </c>
      <c r="AB503">
        <v>0</v>
      </c>
      <c r="AC503" t="s">
        <v>55</v>
      </c>
      <c r="AD503">
        <v>8</v>
      </c>
      <c r="AE503" t="s">
        <v>56</v>
      </c>
      <c r="AF503">
        <v>851.02599999999995</v>
      </c>
      <c r="AG503" t="b">
        <v>0</v>
      </c>
      <c r="AH503">
        <v>15</v>
      </c>
      <c r="AI503" t="s">
        <v>59</v>
      </c>
      <c r="AJ503">
        <v>851026</v>
      </c>
      <c r="AK503" t="b">
        <v>0</v>
      </c>
      <c r="AL503">
        <v>851.02599999999995</v>
      </c>
      <c r="AM503" t="b">
        <v>0</v>
      </c>
      <c r="AN503">
        <v>0</v>
      </c>
      <c r="AO503" t="b">
        <v>0</v>
      </c>
      <c r="AQ503">
        <v>54064205</v>
      </c>
      <c r="AR503">
        <v>54064205</v>
      </c>
      <c r="AS503">
        <v>0</v>
      </c>
      <c r="AT503" t="b">
        <v>0</v>
      </c>
      <c r="AU503" t="b">
        <v>1</v>
      </c>
      <c r="AV503" t="b">
        <v>1</v>
      </c>
      <c r="AW503" t="b">
        <v>1</v>
      </c>
      <c r="BC503" t="str">
        <f t="shared" si="7"/>
        <v>Normal</v>
      </c>
    </row>
    <row r="504" spans="1:55" x14ac:dyDescent="0.2">
      <c r="A504" t="s">
        <v>39</v>
      </c>
      <c r="B504" t="s">
        <v>40</v>
      </c>
      <c r="C504">
        <v>20220101</v>
      </c>
      <c r="D504">
        <v>2022</v>
      </c>
      <c r="E504">
        <v>52</v>
      </c>
      <c r="F504" t="s">
        <v>346</v>
      </c>
      <c r="G504">
        <v>764</v>
      </c>
      <c r="H504" t="s">
        <v>279</v>
      </c>
      <c r="I504" t="s">
        <v>280</v>
      </c>
      <c r="J504" t="s">
        <v>44</v>
      </c>
      <c r="K504" t="s">
        <v>45</v>
      </c>
      <c r="L504">
        <v>0</v>
      </c>
      <c r="M504" t="s">
        <v>46</v>
      </c>
      <c r="N504" t="s">
        <v>47</v>
      </c>
      <c r="O504">
        <v>0</v>
      </c>
      <c r="P504" t="s">
        <v>46</v>
      </c>
      <c r="Q504" t="s">
        <v>47</v>
      </c>
      <c r="R504" t="s">
        <v>347</v>
      </c>
      <c r="S504" t="s">
        <v>49</v>
      </c>
      <c r="T504" t="b">
        <v>1</v>
      </c>
      <c r="U504" t="s">
        <v>50</v>
      </c>
      <c r="V504" t="s">
        <v>51</v>
      </c>
      <c r="W504">
        <v>4</v>
      </c>
      <c r="X504" t="b">
        <v>0</v>
      </c>
      <c r="Y504" t="s">
        <v>52</v>
      </c>
      <c r="Z504" t="s">
        <v>53</v>
      </c>
      <c r="AA504" t="s">
        <v>54</v>
      </c>
      <c r="AB504">
        <v>0</v>
      </c>
      <c r="AC504" t="s">
        <v>55</v>
      </c>
      <c r="AD504">
        <v>-1</v>
      </c>
      <c r="AE504" t="s">
        <v>64</v>
      </c>
      <c r="AF504">
        <v>0</v>
      </c>
      <c r="AG504" t="b">
        <v>0</v>
      </c>
      <c r="AH504">
        <v>-1</v>
      </c>
      <c r="AI504" t="s">
        <v>64</v>
      </c>
      <c r="AJ504">
        <v>0</v>
      </c>
      <c r="AK504" t="b">
        <v>0</v>
      </c>
      <c r="AM504" t="b">
        <v>0</v>
      </c>
      <c r="AN504">
        <v>0</v>
      </c>
      <c r="AO504" t="b">
        <v>0</v>
      </c>
      <c r="AQ504">
        <v>7076025865.1800003</v>
      </c>
      <c r="AR504">
        <v>7076025865.1800003</v>
      </c>
      <c r="AS504">
        <v>0</v>
      </c>
      <c r="AT504" t="b">
        <v>0</v>
      </c>
      <c r="AU504" t="b">
        <v>1</v>
      </c>
      <c r="AV504" t="b">
        <v>1</v>
      </c>
      <c r="AW504" t="b">
        <v>1</v>
      </c>
      <c r="BC504" t="str">
        <f t="shared" si="7"/>
        <v>Normal</v>
      </c>
    </row>
    <row r="505" spans="1:55" x14ac:dyDescent="0.2">
      <c r="A505" t="s">
        <v>39</v>
      </c>
      <c r="B505" t="s">
        <v>40</v>
      </c>
      <c r="C505">
        <v>20220101</v>
      </c>
      <c r="D505">
        <v>2022</v>
      </c>
      <c r="E505">
        <v>52</v>
      </c>
      <c r="F505" t="s">
        <v>346</v>
      </c>
      <c r="G505">
        <v>784</v>
      </c>
      <c r="H505" t="s">
        <v>285</v>
      </c>
      <c r="I505" t="s">
        <v>286</v>
      </c>
      <c r="J505" t="s">
        <v>44</v>
      </c>
      <c r="K505" t="s">
        <v>45</v>
      </c>
      <c r="L505">
        <v>0</v>
      </c>
      <c r="M505" t="s">
        <v>46</v>
      </c>
      <c r="N505" t="s">
        <v>47</v>
      </c>
      <c r="O505">
        <v>0</v>
      </c>
      <c r="P505" t="s">
        <v>46</v>
      </c>
      <c r="Q505" t="s">
        <v>47</v>
      </c>
      <c r="R505" t="s">
        <v>347</v>
      </c>
      <c r="S505" t="s">
        <v>49</v>
      </c>
      <c r="T505" t="b">
        <v>1</v>
      </c>
      <c r="U505" t="s">
        <v>50</v>
      </c>
      <c r="V505" t="s">
        <v>51</v>
      </c>
      <c r="W505">
        <v>4</v>
      </c>
      <c r="X505" t="b">
        <v>0</v>
      </c>
      <c r="Y505" t="s">
        <v>52</v>
      </c>
      <c r="Z505" t="s">
        <v>53</v>
      </c>
      <c r="AA505" t="s">
        <v>54</v>
      </c>
      <c r="AB505">
        <v>0</v>
      </c>
      <c r="AC505" t="s">
        <v>55</v>
      </c>
      <c r="AD505">
        <v>-1</v>
      </c>
      <c r="AE505" t="s">
        <v>64</v>
      </c>
      <c r="AF505">
        <v>0</v>
      </c>
      <c r="AG505" t="b">
        <v>0</v>
      </c>
      <c r="AH505">
        <v>-1</v>
      </c>
      <c r="AI505" t="s">
        <v>64</v>
      </c>
      <c r="AJ505">
        <v>0</v>
      </c>
      <c r="AK505" t="b">
        <v>0</v>
      </c>
      <c r="AM505" t="b">
        <v>0</v>
      </c>
      <c r="AN505">
        <v>0</v>
      </c>
      <c r="AO505" t="b">
        <v>0</v>
      </c>
      <c r="AQ505">
        <v>35626328590.164001</v>
      </c>
      <c r="AR505">
        <v>35626328590.164001</v>
      </c>
      <c r="AS505">
        <v>0</v>
      </c>
      <c r="AT505" t="b">
        <v>0</v>
      </c>
      <c r="AU505" t="b">
        <v>1</v>
      </c>
      <c r="AV505" t="b">
        <v>1</v>
      </c>
      <c r="AW505" t="b">
        <v>1</v>
      </c>
      <c r="BC505" t="str">
        <f t="shared" si="7"/>
        <v>Normal</v>
      </c>
    </row>
    <row r="506" spans="1:55" x14ac:dyDescent="0.2">
      <c r="A506" t="s">
        <v>39</v>
      </c>
      <c r="B506" t="s">
        <v>40</v>
      </c>
      <c r="C506">
        <v>20220101</v>
      </c>
      <c r="D506">
        <v>2022</v>
      </c>
      <c r="E506">
        <v>52</v>
      </c>
      <c r="F506" t="s">
        <v>346</v>
      </c>
      <c r="G506">
        <v>792</v>
      </c>
      <c r="H506" t="s">
        <v>287</v>
      </c>
      <c r="I506" t="s">
        <v>288</v>
      </c>
      <c r="J506" t="s">
        <v>44</v>
      </c>
      <c r="K506" t="s">
        <v>45</v>
      </c>
      <c r="L506">
        <v>0</v>
      </c>
      <c r="M506" t="s">
        <v>46</v>
      </c>
      <c r="N506" t="s">
        <v>47</v>
      </c>
      <c r="O506">
        <v>0</v>
      </c>
      <c r="P506" t="s">
        <v>46</v>
      </c>
      <c r="Q506" t="s">
        <v>47</v>
      </c>
      <c r="R506" t="s">
        <v>347</v>
      </c>
      <c r="S506" t="s">
        <v>49</v>
      </c>
      <c r="T506" t="b">
        <v>1</v>
      </c>
      <c r="U506" t="s">
        <v>50</v>
      </c>
      <c r="V506" t="s">
        <v>51</v>
      </c>
      <c r="W506">
        <v>4</v>
      </c>
      <c r="X506" t="b">
        <v>0</v>
      </c>
      <c r="Y506" t="s">
        <v>52</v>
      </c>
      <c r="Z506" t="s">
        <v>53</v>
      </c>
      <c r="AA506" t="s">
        <v>54</v>
      </c>
      <c r="AB506">
        <v>0</v>
      </c>
      <c r="AC506" t="s">
        <v>55</v>
      </c>
      <c r="AD506">
        <v>8</v>
      </c>
      <c r="AE506" t="s">
        <v>56</v>
      </c>
      <c r="AF506">
        <v>18665.973000000002</v>
      </c>
      <c r="AG506" t="b">
        <v>0</v>
      </c>
      <c r="AH506">
        <v>15</v>
      </c>
      <c r="AI506" t="s">
        <v>59</v>
      </c>
      <c r="AJ506">
        <v>18665973</v>
      </c>
      <c r="AK506" t="b">
        <v>0</v>
      </c>
      <c r="AM506" t="b">
        <v>0</v>
      </c>
      <c r="AN506">
        <v>0</v>
      </c>
      <c r="AO506" t="b">
        <v>0</v>
      </c>
      <c r="AQ506">
        <v>1051002454</v>
      </c>
      <c r="AR506">
        <v>1051002454</v>
      </c>
      <c r="AS506">
        <v>0</v>
      </c>
      <c r="AT506" t="b">
        <v>0</v>
      </c>
      <c r="AU506" t="b">
        <v>1</v>
      </c>
      <c r="AV506" t="b">
        <v>1</v>
      </c>
      <c r="AW506" t="b">
        <v>1</v>
      </c>
      <c r="BC506" t="str">
        <f t="shared" si="7"/>
        <v>Normal</v>
      </c>
    </row>
    <row r="507" spans="1:55" x14ac:dyDescent="0.2">
      <c r="A507" t="s">
        <v>39</v>
      </c>
      <c r="B507" t="s">
        <v>40</v>
      </c>
      <c r="C507">
        <v>20220101</v>
      </c>
      <c r="D507">
        <v>2022</v>
      </c>
      <c r="E507">
        <v>52</v>
      </c>
      <c r="F507" t="s">
        <v>346</v>
      </c>
      <c r="G507">
        <v>804</v>
      </c>
      <c r="H507" t="s">
        <v>291</v>
      </c>
      <c r="I507" t="s">
        <v>292</v>
      </c>
      <c r="J507" t="s">
        <v>44</v>
      </c>
      <c r="K507" t="s">
        <v>45</v>
      </c>
      <c r="L507">
        <v>0</v>
      </c>
      <c r="M507" t="s">
        <v>46</v>
      </c>
      <c r="N507" t="s">
        <v>47</v>
      </c>
      <c r="O507">
        <v>0</v>
      </c>
      <c r="P507" t="s">
        <v>46</v>
      </c>
      <c r="Q507" t="s">
        <v>47</v>
      </c>
      <c r="R507" t="s">
        <v>48</v>
      </c>
      <c r="S507" t="s">
        <v>49</v>
      </c>
      <c r="T507" t="b">
        <v>1</v>
      </c>
      <c r="U507" t="s">
        <v>50</v>
      </c>
      <c r="V507" t="s">
        <v>51</v>
      </c>
      <c r="W507">
        <v>4</v>
      </c>
      <c r="X507" t="b">
        <v>0</v>
      </c>
      <c r="Y507" t="s">
        <v>52</v>
      </c>
      <c r="Z507" t="s">
        <v>53</v>
      </c>
      <c r="AA507" t="s">
        <v>54</v>
      </c>
      <c r="AB507">
        <v>0</v>
      </c>
      <c r="AC507" t="s">
        <v>55</v>
      </c>
      <c r="AD507">
        <v>8</v>
      </c>
      <c r="AE507" t="s">
        <v>56</v>
      </c>
      <c r="AF507">
        <v>121.521</v>
      </c>
      <c r="AG507" t="b">
        <v>0</v>
      </c>
      <c r="AH507">
        <v>15</v>
      </c>
      <c r="AI507" t="s">
        <v>59</v>
      </c>
      <c r="AJ507">
        <v>121521.04</v>
      </c>
      <c r="AK507" t="b">
        <v>0</v>
      </c>
      <c r="AL507">
        <v>121.51</v>
      </c>
      <c r="AM507" t="b">
        <v>0</v>
      </c>
      <c r="AN507">
        <v>0</v>
      </c>
      <c r="AO507" t="b">
        <v>0</v>
      </c>
      <c r="AQ507">
        <v>6202570.5499999998</v>
      </c>
      <c r="AR507">
        <v>6202570.5499999998</v>
      </c>
      <c r="AS507">
        <v>0</v>
      </c>
      <c r="AT507" t="b">
        <v>0</v>
      </c>
      <c r="AU507" t="b">
        <v>1</v>
      </c>
      <c r="AV507" t="b">
        <v>1</v>
      </c>
      <c r="AW507" t="b">
        <v>1</v>
      </c>
      <c r="BC507" t="str">
        <f t="shared" si="7"/>
        <v>Normal</v>
      </c>
    </row>
    <row r="508" spans="1:55" x14ac:dyDescent="0.2">
      <c r="A508" t="s">
        <v>39</v>
      </c>
      <c r="B508" t="s">
        <v>40</v>
      </c>
      <c r="C508">
        <v>20220101</v>
      </c>
      <c r="D508">
        <v>2022</v>
      </c>
      <c r="E508">
        <v>52</v>
      </c>
      <c r="F508" t="s">
        <v>346</v>
      </c>
      <c r="G508">
        <v>807</v>
      </c>
      <c r="H508" t="s">
        <v>331</v>
      </c>
      <c r="I508" t="s">
        <v>332</v>
      </c>
      <c r="J508" t="s">
        <v>44</v>
      </c>
      <c r="K508" t="s">
        <v>45</v>
      </c>
      <c r="L508">
        <v>0</v>
      </c>
      <c r="M508" t="s">
        <v>46</v>
      </c>
      <c r="N508" t="s">
        <v>47</v>
      </c>
      <c r="O508">
        <v>0</v>
      </c>
      <c r="P508" t="s">
        <v>46</v>
      </c>
      <c r="Q508" t="s">
        <v>47</v>
      </c>
      <c r="R508" t="s">
        <v>347</v>
      </c>
      <c r="S508" t="s">
        <v>49</v>
      </c>
      <c r="T508" t="b">
        <v>1</v>
      </c>
      <c r="U508" t="s">
        <v>50</v>
      </c>
      <c r="V508" t="s">
        <v>51</v>
      </c>
      <c r="W508">
        <v>4</v>
      </c>
      <c r="X508" t="b">
        <v>0</v>
      </c>
      <c r="Y508" t="s">
        <v>52</v>
      </c>
      <c r="Z508" t="s">
        <v>53</v>
      </c>
      <c r="AA508" t="s">
        <v>54</v>
      </c>
      <c r="AB508">
        <v>0</v>
      </c>
      <c r="AC508" t="s">
        <v>55</v>
      </c>
      <c r="AD508">
        <v>8</v>
      </c>
      <c r="AE508" t="s">
        <v>56</v>
      </c>
      <c r="AF508">
        <v>19.713999999999999</v>
      </c>
      <c r="AG508" t="b">
        <v>0</v>
      </c>
      <c r="AH508">
        <v>15</v>
      </c>
      <c r="AI508" t="s">
        <v>59</v>
      </c>
      <c r="AJ508">
        <v>19714</v>
      </c>
      <c r="AK508" t="b">
        <v>0</v>
      </c>
      <c r="AL508">
        <v>20</v>
      </c>
      <c r="AM508" t="b">
        <v>0</v>
      </c>
      <c r="AN508">
        <v>0</v>
      </c>
      <c r="AO508" t="b">
        <v>0</v>
      </c>
      <c r="AQ508">
        <v>650726.52</v>
      </c>
      <c r="AR508">
        <v>650726.52</v>
      </c>
      <c r="AS508">
        <v>0</v>
      </c>
      <c r="AT508" t="b">
        <v>0</v>
      </c>
      <c r="AU508" t="b">
        <v>1</v>
      </c>
      <c r="AV508" t="b">
        <v>1</v>
      </c>
      <c r="AW508" t="b">
        <v>1</v>
      </c>
      <c r="BC508" t="str">
        <f t="shared" si="7"/>
        <v>Normal</v>
      </c>
    </row>
    <row r="509" spans="1:55" x14ac:dyDescent="0.2">
      <c r="A509" t="s">
        <v>39</v>
      </c>
      <c r="B509" t="s">
        <v>40</v>
      </c>
      <c r="C509">
        <v>20220101</v>
      </c>
      <c r="D509">
        <v>2022</v>
      </c>
      <c r="E509">
        <v>52</v>
      </c>
      <c r="F509" t="s">
        <v>346</v>
      </c>
      <c r="G509">
        <v>818</v>
      </c>
      <c r="H509" t="s">
        <v>293</v>
      </c>
      <c r="I509" t="s">
        <v>294</v>
      </c>
      <c r="J509" t="s">
        <v>44</v>
      </c>
      <c r="K509" t="s">
        <v>45</v>
      </c>
      <c r="L509">
        <v>0</v>
      </c>
      <c r="M509" t="s">
        <v>46</v>
      </c>
      <c r="N509" t="s">
        <v>47</v>
      </c>
      <c r="O509">
        <v>0</v>
      </c>
      <c r="P509" t="s">
        <v>46</v>
      </c>
      <c r="Q509" t="s">
        <v>47</v>
      </c>
      <c r="R509" t="s">
        <v>347</v>
      </c>
      <c r="S509" t="s">
        <v>49</v>
      </c>
      <c r="T509" t="b">
        <v>1</v>
      </c>
      <c r="U509" t="s">
        <v>50</v>
      </c>
      <c r="V509" t="s">
        <v>51</v>
      </c>
      <c r="W509">
        <v>4</v>
      </c>
      <c r="X509" t="b">
        <v>0</v>
      </c>
      <c r="Y509" t="s">
        <v>52</v>
      </c>
      <c r="Z509" t="s">
        <v>53</v>
      </c>
      <c r="AA509" t="s">
        <v>54</v>
      </c>
      <c r="AB509">
        <v>0</v>
      </c>
      <c r="AC509" t="s">
        <v>55</v>
      </c>
      <c r="AD509">
        <v>8</v>
      </c>
      <c r="AE509" t="s">
        <v>56</v>
      </c>
      <c r="AF509">
        <v>29418.555</v>
      </c>
      <c r="AG509" t="b">
        <v>1</v>
      </c>
      <c r="AH509">
        <v>-1</v>
      </c>
      <c r="AI509" t="s">
        <v>64</v>
      </c>
      <c r="AJ509">
        <v>0</v>
      </c>
      <c r="AK509" t="b">
        <v>0</v>
      </c>
      <c r="AL509">
        <v>29418.555</v>
      </c>
      <c r="AM509" t="b">
        <v>1</v>
      </c>
      <c r="AN509">
        <v>0</v>
      </c>
      <c r="AO509" t="b">
        <v>0</v>
      </c>
      <c r="AQ509">
        <v>1623734141</v>
      </c>
      <c r="AR509">
        <v>1623734141</v>
      </c>
      <c r="AS509">
        <v>6</v>
      </c>
      <c r="AT509" t="b">
        <v>0</v>
      </c>
      <c r="AU509" t="b">
        <v>1</v>
      </c>
      <c r="AV509" t="b">
        <v>1</v>
      </c>
      <c r="AW509" t="b">
        <v>1</v>
      </c>
      <c r="BC509" t="str">
        <f t="shared" si="7"/>
        <v>Normal</v>
      </c>
    </row>
    <row r="510" spans="1:55" x14ac:dyDescent="0.2">
      <c r="A510" t="s">
        <v>39</v>
      </c>
      <c r="B510" t="s">
        <v>40</v>
      </c>
      <c r="C510">
        <v>20220101</v>
      </c>
      <c r="D510">
        <v>2022</v>
      </c>
      <c r="E510">
        <v>52</v>
      </c>
      <c r="F510" t="s">
        <v>346</v>
      </c>
      <c r="G510">
        <v>826</v>
      </c>
      <c r="H510" t="s">
        <v>295</v>
      </c>
      <c r="I510" t="s">
        <v>296</v>
      </c>
      <c r="J510" t="s">
        <v>44</v>
      </c>
      <c r="K510" t="s">
        <v>45</v>
      </c>
      <c r="L510">
        <v>0</v>
      </c>
      <c r="M510" t="s">
        <v>46</v>
      </c>
      <c r="N510" t="s">
        <v>47</v>
      </c>
      <c r="O510">
        <v>0</v>
      </c>
      <c r="P510" t="s">
        <v>46</v>
      </c>
      <c r="Q510" t="s">
        <v>47</v>
      </c>
      <c r="R510" t="s">
        <v>347</v>
      </c>
      <c r="S510" t="s">
        <v>49</v>
      </c>
      <c r="T510" t="b">
        <v>1</v>
      </c>
      <c r="U510" t="s">
        <v>50</v>
      </c>
      <c r="V510" t="s">
        <v>51</v>
      </c>
      <c r="W510">
        <v>4</v>
      </c>
      <c r="X510" t="b">
        <v>0</v>
      </c>
      <c r="Y510" t="s">
        <v>52</v>
      </c>
      <c r="Z510" t="s">
        <v>53</v>
      </c>
      <c r="AA510" t="s">
        <v>54</v>
      </c>
      <c r="AB510">
        <v>0</v>
      </c>
      <c r="AC510" t="s">
        <v>55</v>
      </c>
      <c r="AD510">
        <v>8</v>
      </c>
      <c r="AE510" t="s">
        <v>56</v>
      </c>
      <c r="AF510">
        <v>1260369.257</v>
      </c>
      <c r="AG510" t="b">
        <v>1</v>
      </c>
      <c r="AH510">
        <v>-1</v>
      </c>
      <c r="AI510" t="s">
        <v>64</v>
      </c>
      <c r="AJ510">
        <v>0</v>
      </c>
      <c r="AK510" t="b">
        <v>0</v>
      </c>
      <c r="AL510" s="1">
        <v>1259686.6070000001</v>
      </c>
      <c r="AM510" t="b">
        <v>1</v>
      </c>
      <c r="AN510">
        <v>0</v>
      </c>
      <c r="AO510" t="b">
        <v>0</v>
      </c>
      <c r="AQ510">
        <v>72701171737.692001</v>
      </c>
      <c r="AR510">
        <v>72701171737.692001</v>
      </c>
      <c r="AS510">
        <v>6</v>
      </c>
      <c r="AT510" t="b">
        <v>0</v>
      </c>
      <c r="AU510" t="b">
        <v>1</v>
      </c>
      <c r="AV510" t="b">
        <v>1</v>
      </c>
      <c r="AW510" t="b">
        <v>1</v>
      </c>
      <c r="BC510" t="str">
        <f t="shared" si="7"/>
        <v>Outlier</v>
      </c>
    </row>
    <row r="511" spans="1:55" x14ac:dyDescent="0.2">
      <c r="A511" t="s">
        <v>39</v>
      </c>
      <c r="B511" t="s">
        <v>40</v>
      </c>
      <c r="C511">
        <v>20220101</v>
      </c>
      <c r="D511">
        <v>2022</v>
      </c>
      <c r="E511">
        <v>52</v>
      </c>
      <c r="F511" t="s">
        <v>346</v>
      </c>
      <c r="G511">
        <v>834</v>
      </c>
      <c r="H511" t="s">
        <v>297</v>
      </c>
      <c r="I511" t="s">
        <v>298</v>
      </c>
      <c r="J511" t="s">
        <v>44</v>
      </c>
      <c r="K511" t="s">
        <v>45</v>
      </c>
      <c r="L511">
        <v>0</v>
      </c>
      <c r="M511" t="s">
        <v>46</v>
      </c>
      <c r="N511" t="s">
        <v>47</v>
      </c>
      <c r="O511">
        <v>0</v>
      </c>
      <c r="P511" t="s">
        <v>46</v>
      </c>
      <c r="Q511" t="s">
        <v>47</v>
      </c>
      <c r="R511" t="s">
        <v>347</v>
      </c>
      <c r="S511" t="s">
        <v>49</v>
      </c>
      <c r="T511" t="b">
        <v>1</v>
      </c>
      <c r="U511" t="s">
        <v>50</v>
      </c>
      <c r="V511" t="s">
        <v>51</v>
      </c>
      <c r="W511">
        <v>4</v>
      </c>
      <c r="X511" t="b">
        <v>0</v>
      </c>
      <c r="Y511" t="s">
        <v>52</v>
      </c>
      <c r="Z511" t="s">
        <v>53</v>
      </c>
      <c r="AA511" t="s">
        <v>54</v>
      </c>
      <c r="AB511">
        <v>0</v>
      </c>
      <c r="AC511" t="s">
        <v>55</v>
      </c>
      <c r="AD511">
        <v>-1</v>
      </c>
      <c r="AE511" t="s">
        <v>64</v>
      </c>
      <c r="AF511">
        <v>0</v>
      </c>
      <c r="AG511" t="b">
        <v>0</v>
      </c>
      <c r="AH511">
        <v>-1</v>
      </c>
      <c r="AI511" t="s">
        <v>64</v>
      </c>
      <c r="AJ511">
        <v>0</v>
      </c>
      <c r="AK511" t="b">
        <v>0</v>
      </c>
      <c r="AM511" t="b">
        <v>0</v>
      </c>
      <c r="AN511">
        <v>0</v>
      </c>
      <c r="AO511" t="b">
        <v>0</v>
      </c>
      <c r="AQ511">
        <v>2835094318.3200002</v>
      </c>
      <c r="AR511">
        <v>2835094318.3200002</v>
      </c>
      <c r="AS511">
        <v>0</v>
      </c>
      <c r="AT511" t="b">
        <v>0</v>
      </c>
      <c r="AU511" t="b">
        <v>1</v>
      </c>
      <c r="AV511" t="b">
        <v>1</v>
      </c>
      <c r="AW511" t="b">
        <v>1</v>
      </c>
      <c r="BC511" t="str">
        <f t="shared" si="7"/>
        <v>Normal</v>
      </c>
    </row>
    <row r="512" spans="1:55" x14ac:dyDescent="0.2">
      <c r="A512" t="s">
        <v>39</v>
      </c>
      <c r="B512" t="s">
        <v>40</v>
      </c>
      <c r="C512">
        <v>20220101</v>
      </c>
      <c r="D512">
        <v>2022</v>
      </c>
      <c r="E512">
        <v>52</v>
      </c>
      <c r="F512" t="s">
        <v>346</v>
      </c>
      <c r="G512">
        <v>842</v>
      </c>
      <c r="H512" t="s">
        <v>299</v>
      </c>
      <c r="I512" t="s">
        <v>299</v>
      </c>
      <c r="J512" t="s">
        <v>44</v>
      </c>
      <c r="K512" t="s">
        <v>45</v>
      </c>
      <c r="L512">
        <v>0</v>
      </c>
      <c r="M512" t="s">
        <v>46</v>
      </c>
      <c r="N512" t="s">
        <v>47</v>
      </c>
      <c r="O512">
        <v>0</v>
      </c>
      <c r="P512" t="s">
        <v>46</v>
      </c>
      <c r="Q512" t="s">
        <v>47</v>
      </c>
      <c r="R512" t="s">
        <v>347</v>
      </c>
      <c r="S512" t="s">
        <v>49</v>
      </c>
      <c r="T512" t="b">
        <v>1</v>
      </c>
      <c r="U512" t="s">
        <v>50</v>
      </c>
      <c r="V512" t="s">
        <v>51</v>
      </c>
      <c r="W512">
        <v>4</v>
      </c>
      <c r="X512" t="b">
        <v>0</v>
      </c>
      <c r="Y512" t="s">
        <v>52</v>
      </c>
      <c r="Z512" t="s">
        <v>53</v>
      </c>
      <c r="AA512" t="s">
        <v>54</v>
      </c>
      <c r="AB512">
        <v>0</v>
      </c>
      <c r="AC512" t="s">
        <v>55</v>
      </c>
      <c r="AD512">
        <v>8</v>
      </c>
      <c r="AE512" t="s">
        <v>56</v>
      </c>
      <c r="AF512">
        <v>650243.36699999997</v>
      </c>
      <c r="AG512" t="b">
        <v>1</v>
      </c>
      <c r="AH512">
        <v>-1</v>
      </c>
      <c r="AI512" t="s">
        <v>64</v>
      </c>
      <c r="AJ512">
        <v>0</v>
      </c>
      <c r="AK512" t="b">
        <v>0</v>
      </c>
      <c r="AL512" s="1">
        <v>650243.35699999996</v>
      </c>
      <c r="AM512" t="b">
        <v>1</v>
      </c>
      <c r="AN512">
        <v>0</v>
      </c>
      <c r="AO512" t="b">
        <v>0</v>
      </c>
      <c r="AQ512">
        <v>37175292755</v>
      </c>
      <c r="AR512">
        <v>37175292755</v>
      </c>
      <c r="AS512">
        <v>6</v>
      </c>
      <c r="AT512" t="b">
        <v>0</v>
      </c>
      <c r="AU512" t="b">
        <v>1</v>
      </c>
      <c r="AV512" t="b">
        <v>1</v>
      </c>
      <c r="AW512" t="b">
        <v>1</v>
      </c>
      <c r="BC512" t="str">
        <f t="shared" si="7"/>
        <v>Outlier</v>
      </c>
    </row>
    <row r="513" spans="1:55" x14ac:dyDescent="0.2">
      <c r="A513" t="s">
        <v>39</v>
      </c>
      <c r="B513" t="s">
        <v>40</v>
      </c>
      <c r="C513">
        <v>20220101</v>
      </c>
      <c r="D513">
        <v>2022</v>
      </c>
      <c r="E513">
        <v>52</v>
      </c>
      <c r="F513" t="s">
        <v>346</v>
      </c>
      <c r="G513">
        <v>854</v>
      </c>
      <c r="H513" t="s">
        <v>300</v>
      </c>
      <c r="I513" t="s">
        <v>301</v>
      </c>
      <c r="J513" t="s">
        <v>44</v>
      </c>
      <c r="K513" t="s">
        <v>45</v>
      </c>
      <c r="L513">
        <v>0</v>
      </c>
      <c r="M513" t="s">
        <v>46</v>
      </c>
      <c r="N513" t="s">
        <v>47</v>
      </c>
      <c r="O513">
        <v>0</v>
      </c>
      <c r="P513" t="s">
        <v>46</v>
      </c>
      <c r="Q513" t="s">
        <v>47</v>
      </c>
      <c r="R513" t="s">
        <v>347</v>
      </c>
      <c r="S513" t="s">
        <v>49</v>
      </c>
      <c r="T513" t="b">
        <v>1</v>
      </c>
      <c r="U513" t="s">
        <v>50</v>
      </c>
      <c r="V513" t="s">
        <v>51</v>
      </c>
      <c r="W513">
        <v>4</v>
      </c>
      <c r="X513" t="b">
        <v>0</v>
      </c>
      <c r="Y513" t="s">
        <v>52</v>
      </c>
      <c r="Z513" t="s">
        <v>53</v>
      </c>
      <c r="AA513" t="s">
        <v>54</v>
      </c>
      <c r="AB513">
        <v>0</v>
      </c>
      <c r="AC513" t="s">
        <v>55</v>
      </c>
      <c r="AD513">
        <v>8</v>
      </c>
      <c r="AE513" t="s">
        <v>56</v>
      </c>
      <c r="AF513">
        <v>58191</v>
      </c>
      <c r="AG513" t="b">
        <v>0</v>
      </c>
      <c r="AH513">
        <v>8</v>
      </c>
      <c r="AI513" t="s">
        <v>56</v>
      </c>
      <c r="AJ513">
        <v>58191</v>
      </c>
      <c r="AK513" t="b">
        <v>0</v>
      </c>
      <c r="AL513">
        <v>58191</v>
      </c>
      <c r="AM513" t="b">
        <v>0</v>
      </c>
      <c r="AN513">
        <v>0</v>
      </c>
      <c r="AO513" t="b">
        <v>0</v>
      </c>
      <c r="AQ513">
        <v>3365198519.4190001</v>
      </c>
      <c r="AR513">
        <v>3365198519.4190001</v>
      </c>
      <c r="AS513">
        <v>0</v>
      </c>
      <c r="AT513" t="b">
        <v>0</v>
      </c>
      <c r="AU513" t="b">
        <v>1</v>
      </c>
      <c r="AV513" t="b">
        <v>1</v>
      </c>
      <c r="AW513" t="b">
        <v>1</v>
      </c>
      <c r="BC513" t="str">
        <f t="shared" si="7"/>
        <v>Normal</v>
      </c>
    </row>
    <row r="514" spans="1:55" x14ac:dyDescent="0.2">
      <c r="A514" t="s">
        <v>39</v>
      </c>
      <c r="B514" t="s">
        <v>40</v>
      </c>
      <c r="C514">
        <v>20220101</v>
      </c>
      <c r="D514">
        <v>2022</v>
      </c>
      <c r="E514">
        <v>52</v>
      </c>
      <c r="F514" t="s">
        <v>346</v>
      </c>
      <c r="G514">
        <v>858</v>
      </c>
      <c r="H514" t="s">
        <v>302</v>
      </c>
      <c r="I514" t="s">
        <v>303</v>
      </c>
      <c r="J514" t="s">
        <v>44</v>
      </c>
      <c r="K514" t="s">
        <v>45</v>
      </c>
      <c r="L514">
        <v>0</v>
      </c>
      <c r="M514" t="s">
        <v>46</v>
      </c>
      <c r="N514" t="s">
        <v>47</v>
      </c>
      <c r="O514">
        <v>0</v>
      </c>
      <c r="P514" t="s">
        <v>46</v>
      </c>
      <c r="Q514" t="s">
        <v>47</v>
      </c>
      <c r="R514" t="s">
        <v>347</v>
      </c>
      <c r="S514" t="s">
        <v>49</v>
      </c>
      <c r="T514" t="b">
        <v>1</v>
      </c>
      <c r="U514" t="s">
        <v>50</v>
      </c>
      <c r="V514" t="s">
        <v>51</v>
      </c>
      <c r="W514">
        <v>4</v>
      </c>
      <c r="X514" t="b">
        <v>0</v>
      </c>
      <c r="Y514" t="s">
        <v>52</v>
      </c>
      <c r="Z514" t="s">
        <v>53</v>
      </c>
      <c r="AA514" t="s">
        <v>54</v>
      </c>
      <c r="AB514">
        <v>0</v>
      </c>
      <c r="AC514" t="s">
        <v>55</v>
      </c>
      <c r="AD514">
        <v>8</v>
      </c>
      <c r="AE514" t="s">
        <v>56</v>
      </c>
      <c r="AF514">
        <v>13.388</v>
      </c>
      <c r="AG514" t="b">
        <v>0</v>
      </c>
      <c r="AH514">
        <v>8</v>
      </c>
      <c r="AI514" t="s">
        <v>56</v>
      </c>
      <c r="AJ514">
        <v>13.388</v>
      </c>
      <c r="AK514" t="b">
        <v>0</v>
      </c>
      <c r="AL514">
        <v>13.388</v>
      </c>
      <c r="AM514" t="b">
        <v>0</v>
      </c>
      <c r="AN514">
        <v>0</v>
      </c>
      <c r="AO514" t="b">
        <v>0</v>
      </c>
      <c r="AQ514">
        <v>714215</v>
      </c>
      <c r="AR514">
        <v>714215</v>
      </c>
      <c r="AS514">
        <v>0</v>
      </c>
      <c r="AT514" t="b">
        <v>0</v>
      </c>
      <c r="AU514" t="b">
        <v>1</v>
      </c>
      <c r="AV514" t="b">
        <v>1</v>
      </c>
      <c r="AW514" t="b">
        <v>1</v>
      </c>
      <c r="BC514" t="str">
        <f t="shared" si="7"/>
        <v>Normal</v>
      </c>
    </row>
    <row r="515" spans="1:55" x14ac:dyDescent="0.2">
      <c r="A515" t="s">
        <v>39</v>
      </c>
      <c r="B515" t="s">
        <v>40</v>
      </c>
      <c r="C515">
        <v>20220101</v>
      </c>
      <c r="D515">
        <v>2022</v>
      </c>
      <c r="E515">
        <v>52</v>
      </c>
      <c r="F515" t="s">
        <v>346</v>
      </c>
      <c r="G515">
        <v>860</v>
      </c>
      <c r="H515" t="s">
        <v>304</v>
      </c>
      <c r="I515" t="s">
        <v>305</v>
      </c>
      <c r="J515" t="s">
        <v>44</v>
      </c>
      <c r="K515" t="s">
        <v>45</v>
      </c>
      <c r="L515">
        <v>0</v>
      </c>
      <c r="M515" t="s">
        <v>46</v>
      </c>
      <c r="N515" t="s">
        <v>47</v>
      </c>
      <c r="O515">
        <v>0</v>
      </c>
      <c r="P515" t="s">
        <v>46</v>
      </c>
      <c r="Q515" t="s">
        <v>47</v>
      </c>
      <c r="R515" t="s">
        <v>48</v>
      </c>
      <c r="S515" t="s">
        <v>49</v>
      </c>
      <c r="T515" t="b">
        <v>1</v>
      </c>
      <c r="U515" t="s">
        <v>50</v>
      </c>
      <c r="V515" t="s">
        <v>51</v>
      </c>
      <c r="W515">
        <v>4</v>
      </c>
      <c r="X515" t="b">
        <v>0</v>
      </c>
      <c r="Y515" t="s">
        <v>52</v>
      </c>
      <c r="Z515" t="s">
        <v>53</v>
      </c>
      <c r="AA515" t="s">
        <v>54</v>
      </c>
      <c r="AB515">
        <v>0</v>
      </c>
      <c r="AC515" t="s">
        <v>55</v>
      </c>
      <c r="AD515">
        <v>8</v>
      </c>
      <c r="AE515" t="s">
        <v>56</v>
      </c>
      <c r="AF515">
        <v>69399.482000000004</v>
      </c>
      <c r="AG515" t="b">
        <v>1</v>
      </c>
      <c r="AH515">
        <v>-1</v>
      </c>
      <c r="AI515" t="s">
        <v>64</v>
      </c>
      <c r="AJ515">
        <v>0</v>
      </c>
      <c r="AK515" t="b">
        <v>0</v>
      </c>
      <c r="AL515" s="1">
        <v>69399.482000000004</v>
      </c>
      <c r="AM515" t="b">
        <v>1</v>
      </c>
      <c r="AN515">
        <v>0</v>
      </c>
      <c r="AO515" t="b">
        <v>0</v>
      </c>
      <c r="AP515">
        <v>0</v>
      </c>
      <c r="AQ515">
        <v>4110300000</v>
      </c>
      <c r="AR515">
        <v>4110300000</v>
      </c>
      <c r="AS515">
        <v>6</v>
      </c>
      <c r="AT515" t="b">
        <v>0</v>
      </c>
      <c r="AU515" t="b">
        <v>1</v>
      </c>
      <c r="AV515" t="b">
        <v>1</v>
      </c>
      <c r="AW515" t="b">
        <v>1</v>
      </c>
      <c r="BC515" t="str">
        <f t="shared" ref="BC515:BC578" si="8">IF(OR(AL515&lt;$BA$2,AL515&gt;$BB$2),"Outlier","Normal")</f>
        <v>Outlier</v>
      </c>
    </row>
    <row r="516" spans="1:55" x14ac:dyDescent="0.2">
      <c r="A516" t="s">
        <v>39</v>
      </c>
      <c r="B516" t="s">
        <v>40</v>
      </c>
      <c r="C516">
        <v>20220101</v>
      </c>
      <c r="D516">
        <v>2022</v>
      </c>
      <c r="E516">
        <v>52</v>
      </c>
      <c r="F516" t="s">
        <v>346</v>
      </c>
      <c r="G516">
        <v>894</v>
      </c>
      <c r="H516" t="s">
        <v>307</v>
      </c>
      <c r="I516" t="s">
        <v>308</v>
      </c>
      <c r="J516" t="s">
        <v>44</v>
      </c>
      <c r="K516" t="s">
        <v>45</v>
      </c>
      <c r="L516">
        <v>0</v>
      </c>
      <c r="M516" t="s">
        <v>46</v>
      </c>
      <c r="N516" t="s">
        <v>47</v>
      </c>
      <c r="O516">
        <v>0</v>
      </c>
      <c r="P516" t="s">
        <v>46</v>
      </c>
      <c r="Q516" t="s">
        <v>47</v>
      </c>
      <c r="R516" t="s">
        <v>347</v>
      </c>
      <c r="S516" t="s">
        <v>49</v>
      </c>
      <c r="T516" t="b">
        <v>1</v>
      </c>
      <c r="U516" t="s">
        <v>50</v>
      </c>
      <c r="V516" t="s">
        <v>51</v>
      </c>
      <c r="W516">
        <v>4</v>
      </c>
      <c r="X516" t="b">
        <v>0</v>
      </c>
      <c r="Y516" t="s">
        <v>52</v>
      </c>
      <c r="Z516" t="s">
        <v>53</v>
      </c>
      <c r="AA516" t="s">
        <v>54</v>
      </c>
      <c r="AB516">
        <v>0</v>
      </c>
      <c r="AC516" t="s">
        <v>55</v>
      </c>
      <c r="AD516">
        <v>8</v>
      </c>
      <c r="AE516" t="s">
        <v>56</v>
      </c>
      <c r="AF516">
        <v>975.12599999999998</v>
      </c>
      <c r="AG516" t="b">
        <v>1</v>
      </c>
      <c r="AH516">
        <v>-1</v>
      </c>
      <c r="AI516" t="s">
        <v>64</v>
      </c>
      <c r="AJ516">
        <v>0</v>
      </c>
      <c r="AK516" t="b">
        <v>0</v>
      </c>
      <c r="AL516">
        <v>975.29399999999998</v>
      </c>
      <c r="AM516" t="b">
        <v>1</v>
      </c>
      <c r="AN516">
        <v>0</v>
      </c>
      <c r="AO516" t="b">
        <v>0</v>
      </c>
      <c r="AQ516">
        <v>55200130.164999999</v>
      </c>
      <c r="AR516">
        <v>55200130.164999999</v>
      </c>
      <c r="AS516">
        <v>6</v>
      </c>
      <c r="AT516" t="b">
        <v>0</v>
      </c>
      <c r="AU516" t="b">
        <v>1</v>
      </c>
      <c r="AV516" t="b">
        <v>1</v>
      </c>
      <c r="AW516" t="b">
        <v>1</v>
      </c>
      <c r="BC516" t="str">
        <f t="shared" si="8"/>
        <v>Normal</v>
      </c>
    </row>
    <row r="517" spans="1:55" x14ac:dyDescent="0.2">
      <c r="A517" t="s">
        <v>39</v>
      </c>
      <c r="B517" t="s">
        <v>40</v>
      </c>
      <c r="C517">
        <v>20230101</v>
      </c>
      <c r="D517">
        <v>2023</v>
      </c>
      <c r="E517">
        <v>52</v>
      </c>
      <c r="F517" t="s">
        <v>354</v>
      </c>
      <c r="G517">
        <v>20</v>
      </c>
      <c r="H517" t="s">
        <v>42</v>
      </c>
      <c r="I517" t="s">
        <v>43</v>
      </c>
      <c r="J517" t="s">
        <v>44</v>
      </c>
      <c r="K517" t="s">
        <v>45</v>
      </c>
      <c r="L517">
        <v>0</v>
      </c>
      <c r="M517" t="s">
        <v>46</v>
      </c>
      <c r="N517" t="s">
        <v>47</v>
      </c>
      <c r="O517">
        <v>0</v>
      </c>
      <c r="P517" t="s">
        <v>46</v>
      </c>
      <c r="Q517" t="s">
        <v>47</v>
      </c>
      <c r="R517" t="s">
        <v>347</v>
      </c>
      <c r="S517" t="s">
        <v>49</v>
      </c>
      <c r="T517" t="b">
        <v>1</v>
      </c>
      <c r="U517" t="s">
        <v>50</v>
      </c>
      <c r="V517" t="s">
        <v>51</v>
      </c>
      <c r="W517">
        <v>4</v>
      </c>
      <c r="X517" t="b">
        <v>0</v>
      </c>
      <c r="Y517" t="s">
        <v>52</v>
      </c>
      <c r="Z517" t="s">
        <v>53</v>
      </c>
      <c r="AA517" t="s">
        <v>54</v>
      </c>
      <c r="AB517">
        <v>0</v>
      </c>
      <c r="AC517" t="s">
        <v>55</v>
      </c>
      <c r="AD517">
        <v>8</v>
      </c>
      <c r="AE517" t="s">
        <v>56</v>
      </c>
      <c r="AF517">
        <v>67.72</v>
      </c>
      <c r="AG517" t="b">
        <v>0</v>
      </c>
      <c r="AH517">
        <v>8</v>
      </c>
      <c r="AI517" t="s">
        <v>56</v>
      </c>
      <c r="AJ517">
        <v>67.72</v>
      </c>
      <c r="AK517" t="b">
        <v>0</v>
      </c>
      <c r="AL517">
        <v>67.72</v>
      </c>
      <c r="AM517" t="b">
        <v>0</v>
      </c>
      <c r="AN517">
        <v>0</v>
      </c>
      <c r="AO517" t="b">
        <v>0</v>
      </c>
      <c r="AQ517">
        <v>3964336.872</v>
      </c>
      <c r="AR517">
        <v>3964336.872</v>
      </c>
      <c r="AS517">
        <v>0</v>
      </c>
      <c r="AT517" t="b">
        <v>0</v>
      </c>
      <c r="AU517" t="b">
        <v>1</v>
      </c>
      <c r="AV517" t="b">
        <v>1</v>
      </c>
      <c r="AW517" t="b">
        <v>1</v>
      </c>
      <c r="BC517" t="str">
        <f t="shared" si="8"/>
        <v>Normal</v>
      </c>
    </row>
    <row r="518" spans="1:55" x14ac:dyDescent="0.2">
      <c r="A518" t="s">
        <v>39</v>
      </c>
      <c r="B518" t="s">
        <v>40</v>
      </c>
      <c r="C518">
        <v>20230101</v>
      </c>
      <c r="D518">
        <v>2023</v>
      </c>
      <c r="E518">
        <v>52</v>
      </c>
      <c r="F518" t="s">
        <v>354</v>
      </c>
      <c r="G518">
        <v>24</v>
      </c>
      <c r="H518" t="s">
        <v>334</v>
      </c>
      <c r="I518" t="s">
        <v>335</v>
      </c>
      <c r="J518" t="s">
        <v>44</v>
      </c>
      <c r="K518" t="s">
        <v>45</v>
      </c>
      <c r="L518">
        <v>0</v>
      </c>
      <c r="M518" t="s">
        <v>46</v>
      </c>
      <c r="N518" t="s">
        <v>47</v>
      </c>
      <c r="O518">
        <v>0</v>
      </c>
      <c r="P518" t="s">
        <v>46</v>
      </c>
      <c r="Q518" t="s">
        <v>47</v>
      </c>
      <c r="R518" t="s">
        <v>48</v>
      </c>
      <c r="S518" t="s">
        <v>49</v>
      </c>
      <c r="T518" t="b">
        <v>1</v>
      </c>
      <c r="U518" t="s">
        <v>50</v>
      </c>
      <c r="V518" t="s">
        <v>51</v>
      </c>
      <c r="W518">
        <v>4</v>
      </c>
      <c r="X518" t="b">
        <v>0</v>
      </c>
      <c r="Y518" t="s">
        <v>52</v>
      </c>
      <c r="Z518" t="s">
        <v>53</v>
      </c>
      <c r="AA518" t="s">
        <v>54</v>
      </c>
      <c r="AB518">
        <v>0</v>
      </c>
      <c r="AC518" t="s">
        <v>55</v>
      </c>
      <c r="AD518">
        <v>8</v>
      </c>
      <c r="AE518" t="s">
        <v>56</v>
      </c>
      <c r="AF518">
        <v>50.9</v>
      </c>
      <c r="AG518" t="b">
        <v>0</v>
      </c>
      <c r="AH518">
        <v>8</v>
      </c>
      <c r="AI518" t="s">
        <v>56</v>
      </c>
      <c r="AJ518">
        <v>50.9</v>
      </c>
      <c r="AK518" t="b">
        <v>0</v>
      </c>
      <c r="AL518">
        <v>50.9</v>
      </c>
      <c r="AM518" t="b">
        <v>0</v>
      </c>
      <c r="AN518">
        <v>0</v>
      </c>
      <c r="AO518" t="b">
        <v>0</v>
      </c>
      <c r="AQ518">
        <v>2377350.1910000001</v>
      </c>
      <c r="AR518">
        <v>2377350.1910000001</v>
      </c>
      <c r="AS518">
        <v>0</v>
      </c>
      <c r="AT518" t="b">
        <v>0</v>
      </c>
      <c r="AU518" t="b">
        <v>1</v>
      </c>
      <c r="AV518" t="b">
        <v>1</v>
      </c>
      <c r="AW518" t="b">
        <v>1</v>
      </c>
      <c r="BC518" t="str">
        <f t="shared" si="8"/>
        <v>Normal</v>
      </c>
    </row>
    <row r="519" spans="1:55" x14ac:dyDescent="0.2">
      <c r="A519" t="s">
        <v>39</v>
      </c>
      <c r="B519" t="s">
        <v>40</v>
      </c>
      <c r="C519">
        <v>20230101</v>
      </c>
      <c r="D519">
        <v>2023</v>
      </c>
      <c r="E519">
        <v>52</v>
      </c>
      <c r="F519" t="s">
        <v>354</v>
      </c>
      <c r="G519">
        <v>28</v>
      </c>
      <c r="H519" t="s">
        <v>310</v>
      </c>
      <c r="I519" t="s">
        <v>311</v>
      </c>
      <c r="J519" t="s">
        <v>44</v>
      </c>
      <c r="K519" t="s">
        <v>45</v>
      </c>
      <c r="L519">
        <v>0</v>
      </c>
      <c r="M519" t="s">
        <v>46</v>
      </c>
      <c r="N519" t="s">
        <v>47</v>
      </c>
      <c r="O519">
        <v>0</v>
      </c>
      <c r="P519" t="s">
        <v>46</v>
      </c>
      <c r="Q519" t="s">
        <v>47</v>
      </c>
      <c r="R519" t="s">
        <v>136</v>
      </c>
      <c r="S519" t="s">
        <v>49</v>
      </c>
      <c r="T519" t="b">
        <v>1</v>
      </c>
      <c r="U519" t="s">
        <v>50</v>
      </c>
      <c r="V519" t="s">
        <v>51</v>
      </c>
      <c r="W519">
        <v>4</v>
      </c>
      <c r="X519" t="b">
        <v>0</v>
      </c>
      <c r="Y519" t="s">
        <v>52</v>
      </c>
      <c r="Z519" t="s">
        <v>53</v>
      </c>
      <c r="AA519" t="s">
        <v>54</v>
      </c>
      <c r="AB519">
        <v>0</v>
      </c>
      <c r="AC519" t="s">
        <v>55</v>
      </c>
      <c r="AD519">
        <v>8</v>
      </c>
      <c r="AE519" t="s">
        <v>56</v>
      </c>
      <c r="AF519">
        <v>0.76600000000000001</v>
      </c>
      <c r="AG519" t="b">
        <v>0</v>
      </c>
      <c r="AH519">
        <v>5</v>
      </c>
      <c r="AI519" t="s">
        <v>312</v>
      </c>
      <c r="AJ519">
        <v>1</v>
      </c>
      <c r="AK519" t="b">
        <v>0</v>
      </c>
      <c r="AL519">
        <v>0.76600000000000001</v>
      </c>
      <c r="AM519" t="b">
        <v>0</v>
      </c>
      <c r="AN519">
        <v>0</v>
      </c>
      <c r="AO519" t="b">
        <v>0</v>
      </c>
      <c r="AQ519">
        <v>49947.692999999999</v>
      </c>
      <c r="AR519">
        <v>49947.692999999999</v>
      </c>
      <c r="AS519">
        <v>0</v>
      </c>
      <c r="AT519" t="b">
        <v>0</v>
      </c>
      <c r="AU519" t="b">
        <v>1</v>
      </c>
      <c r="AV519" t="b">
        <v>1</v>
      </c>
      <c r="AW519" t="b">
        <v>1</v>
      </c>
      <c r="BC519" t="str">
        <f t="shared" si="8"/>
        <v>Normal</v>
      </c>
    </row>
    <row r="520" spans="1:55" x14ac:dyDescent="0.2">
      <c r="A520" t="s">
        <v>39</v>
      </c>
      <c r="B520" t="s">
        <v>40</v>
      </c>
      <c r="C520">
        <v>20230101</v>
      </c>
      <c r="D520">
        <v>2023</v>
      </c>
      <c r="E520">
        <v>52</v>
      </c>
      <c r="F520" t="s">
        <v>354</v>
      </c>
      <c r="G520">
        <v>31</v>
      </c>
      <c r="H520" t="s">
        <v>57</v>
      </c>
      <c r="I520" t="s">
        <v>58</v>
      </c>
      <c r="J520" t="s">
        <v>44</v>
      </c>
      <c r="K520" t="s">
        <v>45</v>
      </c>
      <c r="L520">
        <v>0</v>
      </c>
      <c r="M520" t="s">
        <v>46</v>
      </c>
      <c r="N520" t="s">
        <v>47</v>
      </c>
      <c r="O520">
        <v>0</v>
      </c>
      <c r="P520" t="s">
        <v>46</v>
      </c>
      <c r="Q520" t="s">
        <v>47</v>
      </c>
      <c r="R520" t="s">
        <v>347</v>
      </c>
      <c r="S520" t="s">
        <v>49</v>
      </c>
      <c r="T520" t="b">
        <v>1</v>
      </c>
      <c r="U520" t="s">
        <v>50</v>
      </c>
      <c r="V520" t="s">
        <v>51</v>
      </c>
      <c r="W520">
        <v>4</v>
      </c>
      <c r="X520" t="b">
        <v>0</v>
      </c>
      <c r="Y520" t="s">
        <v>52</v>
      </c>
      <c r="Z520" t="s">
        <v>53</v>
      </c>
      <c r="AA520" t="s">
        <v>54</v>
      </c>
      <c r="AB520">
        <v>0</v>
      </c>
      <c r="AC520" t="s">
        <v>55</v>
      </c>
      <c r="AD520">
        <v>8</v>
      </c>
      <c r="AE520" t="s">
        <v>56</v>
      </c>
      <c r="AF520">
        <v>3719.75</v>
      </c>
      <c r="AG520" t="b">
        <v>0</v>
      </c>
      <c r="AH520">
        <v>15</v>
      </c>
      <c r="AI520" t="s">
        <v>59</v>
      </c>
      <c r="AJ520">
        <v>3719750</v>
      </c>
      <c r="AK520" t="b">
        <v>0</v>
      </c>
      <c r="AL520">
        <v>3719.75</v>
      </c>
      <c r="AM520" t="b">
        <v>0</v>
      </c>
      <c r="AN520">
        <v>0</v>
      </c>
      <c r="AO520" t="b">
        <v>0</v>
      </c>
      <c r="AQ520">
        <v>162755819.37</v>
      </c>
      <c r="AR520">
        <v>162755819.37</v>
      </c>
      <c r="AS520">
        <v>0</v>
      </c>
      <c r="AT520" t="b">
        <v>0</v>
      </c>
      <c r="AU520" t="b">
        <v>1</v>
      </c>
      <c r="AV520" t="b">
        <v>1</v>
      </c>
      <c r="AW520" t="b">
        <v>1</v>
      </c>
      <c r="BC520" t="str">
        <f t="shared" si="8"/>
        <v>Normal</v>
      </c>
    </row>
    <row r="521" spans="1:55" x14ac:dyDescent="0.2">
      <c r="A521" t="s">
        <v>39</v>
      </c>
      <c r="B521" t="s">
        <v>40</v>
      </c>
      <c r="C521">
        <v>20230101</v>
      </c>
      <c r="D521">
        <v>2023</v>
      </c>
      <c r="E521">
        <v>52</v>
      </c>
      <c r="F521" t="s">
        <v>354</v>
      </c>
      <c r="G521">
        <v>32</v>
      </c>
      <c r="H521" t="s">
        <v>60</v>
      </c>
      <c r="I521" t="s">
        <v>61</v>
      </c>
      <c r="J521" t="s">
        <v>44</v>
      </c>
      <c r="K521" t="s">
        <v>45</v>
      </c>
      <c r="L521">
        <v>0</v>
      </c>
      <c r="M521" t="s">
        <v>46</v>
      </c>
      <c r="N521" t="s">
        <v>47</v>
      </c>
      <c r="O521">
        <v>0</v>
      </c>
      <c r="P521" t="s">
        <v>46</v>
      </c>
      <c r="Q521" t="s">
        <v>47</v>
      </c>
      <c r="R521" t="s">
        <v>48</v>
      </c>
      <c r="S521" t="s">
        <v>49</v>
      </c>
      <c r="T521" t="b">
        <v>1</v>
      </c>
      <c r="U521" t="s">
        <v>50</v>
      </c>
      <c r="V521" t="s">
        <v>51</v>
      </c>
      <c r="W521">
        <v>4</v>
      </c>
      <c r="X521" t="b">
        <v>0</v>
      </c>
      <c r="Y521" t="s">
        <v>52</v>
      </c>
      <c r="Z521" t="s">
        <v>53</v>
      </c>
      <c r="AA521" t="s">
        <v>54</v>
      </c>
      <c r="AB521">
        <v>0</v>
      </c>
      <c r="AC521" t="s">
        <v>55</v>
      </c>
      <c r="AD521">
        <v>8</v>
      </c>
      <c r="AE521" t="s">
        <v>56</v>
      </c>
      <c r="AF521">
        <v>254593.1</v>
      </c>
      <c r="AG521" t="b">
        <v>0</v>
      </c>
      <c r="AH521">
        <v>8</v>
      </c>
      <c r="AI521" t="s">
        <v>56</v>
      </c>
      <c r="AJ521">
        <v>254593.1</v>
      </c>
      <c r="AK521" t="b">
        <v>0</v>
      </c>
      <c r="AL521" s="1">
        <v>254593.1</v>
      </c>
      <c r="AM521" t="b">
        <v>0</v>
      </c>
      <c r="AN521">
        <v>0</v>
      </c>
      <c r="AO521" t="b">
        <v>0</v>
      </c>
      <c r="AQ521">
        <v>1535082453.71</v>
      </c>
      <c r="AR521">
        <v>1535082453.71</v>
      </c>
      <c r="AS521">
        <v>0</v>
      </c>
      <c r="AT521" t="b">
        <v>0</v>
      </c>
      <c r="AU521" t="b">
        <v>1</v>
      </c>
      <c r="AV521" t="b">
        <v>1</v>
      </c>
      <c r="AW521" t="b">
        <v>1</v>
      </c>
      <c r="BC521" t="str">
        <f t="shared" si="8"/>
        <v>Outlier</v>
      </c>
    </row>
    <row r="522" spans="1:55" x14ac:dyDescent="0.2">
      <c r="A522" t="s">
        <v>39</v>
      </c>
      <c r="B522" t="s">
        <v>40</v>
      </c>
      <c r="C522">
        <v>20230101</v>
      </c>
      <c r="D522">
        <v>2023</v>
      </c>
      <c r="E522">
        <v>52</v>
      </c>
      <c r="F522" t="s">
        <v>354</v>
      </c>
      <c r="G522">
        <v>36</v>
      </c>
      <c r="H522" t="s">
        <v>62</v>
      </c>
      <c r="I522" t="s">
        <v>63</v>
      </c>
      <c r="J522" t="s">
        <v>44</v>
      </c>
      <c r="K522" t="s">
        <v>45</v>
      </c>
      <c r="L522">
        <v>0</v>
      </c>
      <c r="M522" t="s">
        <v>46</v>
      </c>
      <c r="N522" t="s">
        <v>47</v>
      </c>
      <c r="O522">
        <v>0</v>
      </c>
      <c r="P522" t="s">
        <v>46</v>
      </c>
      <c r="Q522" t="s">
        <v>47</v>
      </c>
      <c r="R522" t="s">
        <v>347</v>
      </c>
      <c r="S522" t="s">
        <v>49</v>
      </c>
      <c r="T522" t="b">
        <v>1</v>
      </c>
      <c r="U522" t="s">
        <v>50</v>
      </c>
      <c r="V522" t="s">
        <v>51</v>
      </c>
      <c r="W522">
        <v>4</v>
      </c>
      <c r="X522" t="b">
        <v>0</v>
      </c>
      <c r="Y522" t="s">
        <v>52</v>
      </c>
      <c r="Z522" t="s">
        <v>53</v>
      </c>
      <c r="AA522" t="s">
        <v>54</v>
      </c>
      <c r="AB522">
        <v>0</v>
      </c>
      <c r="AC522" t="s">
        <v>55</v>
      </c>
      <c r="AD522">
        <v>8</v>
      </c>
      <c r="AE522" t="s">
        <v>56</v>
      </c>
      <c r="AF522">
        <v>304249.45799999998</v>
      </c>
      <c r="AG522" t="b">
        <v>1</v>
      </c>
      <c r="AH522">
        <v>-1</v>
      </c>
      <c r="AI522" t="s">
        <v>64</v>
      </c>
      <c r="AJ522">
        <v>0</v>
      </c>
      <c r="AK522" t="b">
        <v>0</v>
      </c>
      <c r="AL522" s="1">
        <v>304249.45799999998</v>
      </c>
      <c r="AM522" t="b">
        <v>1</v>
      </c>
      <c r="AN522">
        <v>0</v>
      </c>
      <c r="AO522" t="b">
        <v>0</v>
      </c>
      <c r="AQ522">
        <v>18827483972.493</v>
      </c>
      <c r="AR522">
        <v>18827483972.493</v>
      </c>
      <c r="AS522">
        <v>6</v>
      </c>
      <c r="AT522" t="b">
        <v>0</v>
      </c>
      <c r="AU522" t="b">
        <v>1</v>
      </c>
      <c r="AV522" t="b">
        <v>1</v>
      </c>
      <c r="AW522" t="b">
        <v>1</v>
      </c>
      <c r="BC522" t="str">
        <f t="shared" si="8"/>
        <v>Outlier</v>
      </c>
    </row>
    <row r="523" spans="1:55" x14ac:dyDescent="0.2">
      <c r="A523" t="s">
        <v>39</v>
      </c>
      <c r="B523" t="s">
        <v>40</v>
      </c>
      <c r="C523">
        <v>20230101</v>
      </c>
      <c r="D523">
        <v>2023</v>
      </c>
      <c r="E523">
        <v>52</v>
      </c>
      <c r="F523" t="s">
        <v>354</v>
      </c>
      <c r="G523">
        <v>40</v>
      </c>
      <c r="H523" t="s">
        <v>65</v>
      </c>
      <c r="I523" t="s">
        <v>66</v>
      </c>
      <c r="J523" t="s">
        <v>44</v>
      </c>
      <c r="K523" t="s">
        <v>45</v>
      </c>
      <c r="L523">
        <v>0</v>
      </c>
      <c r="M523" t="s">
        <v>46</v>
      </c>
      <c r="N523" t="s">
        <v>47</v>
      </c>
      <c r="O523">
        <v>0</v>
      </c>
      <c r="P523" t="s">
        <v>46</v>
      </c>
      <c r="Q523" t="s">
        <v>47</v>
      </c>
      <c r="R523" t="s">
        <v>347</v>
      </c>
      <c r="S523" t="s">
        <v>49</v>
      </c>
      <c r="T523" t="b">
        <v>1</v>
      </c>
      <c r="U523" t="s">
        <v>50</v>
      </c>
      <c r="V523" t="s">
        <v>51</v>
      </c>
      <c r="W523">
        <v>4</v>
      </c>
      <c r="X523" t="b">
        <v>0</v>
      </c>
      <c r="Y523" t="s">
        <v>52</v>
      </c>
      <c r="Z523" t="s">
        <v>53</v>
      </c>
      <c r="AA523" t="s">
        <v>54</v>
      </c>
      <c r="AB523">
        <v>0</v>
      </c>
      <c r="AC523" t="s">
        <v>55</v>
      </c>
      <c r="AD523">
        <v>8</v>
      </c>
      <c r="AE523" t="s">
        <v>56</v>
      </c>
      <c r="AF523">
        <v>37179.563000000002</v>
      </c>
      <c r="AG523" t="b">
        <v>1</v>
      </c>
      <c r="AH523">
        <v>-1</v>
      </c>
      <c r="AI523" t="s">
        <v>64</v>
      </c>
      <c r="AJ523">
        <v>0</v>
      </c>
      <c r="AK523" t="b">
        <v>0</v>
      </c>
      <c r="AL523">
        <v>37179.563000000002</v>
      </c>
      <c r="AM523" t="b">
        <v>1</v>
      </c>
      <c r="AN523">
        <v>0</v>
      </c>
      <c r="AO523" t="b">
        <v>0</v>
      </c>
      <c r="AQ523">
        <v>2316943445.6040001</v>
      </c>
      <c r="AR523">
        <v>2316943445.6040001</v>
      </c>
      <c r="AS523">
        <v>6</v>
      </c>
      <c r="AT523" t="b">
        <v>0</v>
      </c>
      <c r="AU523" t="b">
        <v>1</v>
      </c>
      <c r="AV523" t="b">
        <v>1</v>
      </c>
      <c r="AW523" t="b">
        <v>1</v>
      </c>
      <c r="BC523" t="str">
        <f t="shared" si="8"/>
        <v>Normal</v>
      </c>
    </row>
    <row r="524" spans="1:55" x14ac:dyDescent="0.2">
      <c r="A524" t="s">
        <v>39</v>
      </c>
      <c r="B524" t="s">
        <v>40</v>
      </c>
      <c r="C524">
        <v>20230101</v>
      </c>
      <c r="D524">
        <v>2023</v>
      </c>
      <c r="E524">
        <v>52</v>
      </c>
      <c r="F524" t="s">
        <v>354</v>
      </c>
      <c r="G524">
        <v>44</v>
      </c>
      <c r="H524" t="s">
        <v>348</v>
      </c>
      <c r="I524" t="s">
        <v>349</v>
      </c>
      <c r="J524" t="s">
        <v>44</v>
      </c>
      <c r="K524" t="s">
        <v>45</v>
      </c>
      <c r="L524">
        <v>0</v>
      </c>
      <c r="M524" t="s">
        <v>46</v>
      </c>
      <c r="N524" t="s">
        <v>47</v>
      </c>
      <c r="O524">
        <v>0</v>
      </c>
      <c r="P524" t="s">
        <v>46</v>
      </c>
      <c r="Q524" t="s">
        <v>47</v>
      </c>
      <c r="R524" t="s">
        <v>347</v>
      </c>
      <c r="S524" t="s">
        <v>49</v>
      </c>
      <c r="T524" t="b">
        <v>1</v>
      </c>
      <c r="U524" t="s">
        <v>50</v>
      </c>
      <c r="V524" t="s">
        <v>51</v>
      </c>
      <c r="W524">
        <v>4</v>
      </c>
      <c r="X524" t="b">
        <v>0</v>
      </c>
      <c r="Y524" t="s">
        <v>52</v>
      </c>
      <c r="Z524" t="s">
        <v>53</v>
      </c>
      <c r="AA524" t="s">
        <v>54</v>
      </c>
      <c r="AB524">
        <v>0</v>
      </c>
      <c r="AC524" t="s">
        <v>55</v>
      </c>
      <c r="AD524">
        <v>8</v>
      </c>
      <c r="AE524" t="s">
        <v>56</v>
      </c>
      <c r="AF524">
        <v>0.90700000000000003</v>
      </c>
      <c r="AG524" t="b">
        <v>0</v>
      </c>
      <c r="AH524">
        <v>8</v>
      </c>
      <c r="AI524" t="s">
        <v>56</v>
      </c>
      <c r="AJ524">
        <v>0.90700000000000003</v>
      </c>
      <c r="AK524" t="b">
        <v>0</v>
      </c>
      <c r="AL524">
        <v>0.90700000000000003</v>
      </c>
      <c r="AM524" t="b">
        <v>0</v>
      </c>
      <c r="AN524">
        <v>0</v>
      </c>
      <c r="AO524" t="b">
        <v>0</v>
      </c>
      <c r="AQ524">
        <v>3533</v>
      </c>
      <c r="AR524">
        <v>3533</v>
      </c>
      <c r="AS524">
        <v>0</v>
      </c>
      <c r="AT524" t="b">
        <v>0</v>
      </c>
      <c r="AU524" t="b">
        <v>1</v>
      </c>
      <c r="AV524" t="b">
        <v>1</v>
      </c>
      <c r="AW524" t="b">
        <v>1</v>
      </c>
      <c r="BC524" t="str">
        <f t="shared" si="8"/>
        <v>Normal</v>
      </c>
    </row>
    <row r="525" spans="1:55" x14ac:dyDescent="0.2">
      <c r="A525" t="s">
        <v>39</v>
      </c>
      <c r="B525" t="s">
        <v>40</v>
      </c>
      <c r="C525">
        <v>20230101</v>
      </c>
      <c r="D525">
        <v>2023</v>
      </c>
      <c r="E525">
        <v>52</v>
      </c>
      <c r="F525" t="s">
        <v>354</v>
      </c>
      <c r="G525">
        <v>48</v>
      </c>
      <c r="H525" t="s">
        <v>67</v>
      </c>
      <c r="I525" t="s">
        <v>68</v>
      </c>
      <c r="J525" t="s">
        <v>44</v>
      </c>
      <c r="K525" t="s">
        <v>45</v>
      </c>
      <c r="L525">
        <v>0</v>
      </c>
      <c r="M525" t="s">
        <v>46</v>
      </c>
      <c r="N525" t="s">
        <v>47</v>
      </c>
      <c r="O525">
        <v>0</v>
      </c>
      <c r="P525" t="s">
        <v>46</v>
      </c>
      <c r="Q525" t="s">
        <v>47</v>
      </c>
      <c r="R525" t="s">
        <v>347</v>
      </c>
      <c r="S525" t="s">
        <v>49</v>
      </c>
      <c r="T525" t="b">
        <v>1</v>
      </c>
      <c r="U525" t="s">
        <v>50</v>
      </c>
      <c r="V525" t="s">
        <v>51</v>
      </c>
      <c r="W525">
        <v>4</v>
      </c>
      <c r="X525" t="b">
        <v>0</v>
      </c>
      <c r="Y525" t="s">
        <v>52</v>
      </c>
      <c r="Z525" t="s">
        <v>53</v>
      </c>
      <c r="AA525" t="s">
        <v>54</v>
      </c>
      <c r="AB525">
        <v>0</v>
      </c>
      <c r="AC525" t="s">
        <v>55</v>
      </c>
      <c r="AD525">
        <v>8</v>
      </c>
      <c r="AE525" t="s">
        <v>56</v>
      </c>
      <c r="AF525">
        <v>1595.5350000000001</v>
      </c>
      <c r="AG525" t="b">
        <v>1</v>
      </c>
      <c r="AH525">
        <v>-1</v>
      </c>
      <c r="AI525" t="s">
        <v>64</v>
      </c>
      <c r="AJ525">
        <v>0</v>
      </c>
      <c r="AK525" t="b">
        <v>0</v>
      </c>
      <c r="AL525">
        <v>1595.5350000000001</v>
      </c>
      <c r="AM525" t="b">
        <v>1</v>
      </c>
      <c r="AN525">
        <v>0</v>
      </c>
      <c r="AO525" t="b">
        <v>0</v>
      </c>
      <c r="AQ525">
        <v>97804880.509000003</v>
      </c>
      <c r="AR525">
        <v>97804880.509000003</v>
      </c>
      <c r="AS525">
        <v>6</v>
      </c>
      <c r="AT525" t="b">
        <v>0</v>
      </c>
      <c r="AU525" t="b">
        <v>1</v>
      </c>
      <c r="AV525" t="b">
        <v>1</v>
      </c>
      <c r="AW525" t="b">
        <v>1</v>
      </c>
      <c r="BC525" t="str">
        <f t="shared" si="8"/>
        <v>Normal</v>
      </c>
    </row>
    <row r="526" spans="1:55" x14ac:dyDescent="0.2">
      <c r="A526" t="s">
        <v>39</v>
      </c>
      <c r="B526" t="s">
        <v>40</v>
      </c>
      <c r="C526">
        <v>20230101</v>
      </c>
      <c r="D526">
        <v>2023</v>
      </c>
      <c r="E526">
        <v>52</v>
      </c>
      <c r="F526" t="s">
        <v>354</v>
      </c>
      <c r="G526">
        <v>51</v>
      </c>
      <c r="H526" t="s">
        <v>69</v>
      </c>
      <c r="I526" t="s">
        <v>70</v>
      </c>
      <c r="J526" t="s">
        <v>44</v>
      </c>
      <c r="K526" t="s">
        <v>45</v>
      </c>
      <c r="L526">
        <v>0</v>
      </c>
      <c r="M526" t="s">
        <v>46</v>
      </c>
      <c r="N526" t="s">
        <v>47</v>
      </c>
      <c r="O526">
        <v>0</v>
      </c>
      <c r="P526" t="s">
        <v>46</v>
      </c>
      <c r="Q526" t="s">
        <v>47</v>
      </c>
      <c r="R526" t="s">
        <v>347</v>
      </c>
      <c r="S526" t="s">
        <v>49</v>
      </c>
      <c r="T526" t="b">
        <v>1</v>
      </c>
      <c r="U526" t="s">
        <v>50</v>
      </c>
      <c r="V526" t="s">
        <v>51</v>
      </c>
      <c r="W526">
        <v>4</v>
      </c>
      <c r="X526" t="b">
        <v>0</v>
      </c>
      <c r="Y526" t="s">
        <v>52</v>
      </c>
      <c r="Z526" t="s">
        <v>53</v>
      </c>
      <c r="AA526" t="s">
        <v>54</v>
      </c>
      <c r="AB526">
        <v>0</v>
      </c>
      <c r="AC526" t="s">
        <v>55</v>
      </c>
      <c r="AD526">
        <v>8</v>
      </c>
      <c r="AE526" t="s">
        <v>56</v>
      </c>
      <c r="AF526">
        <v>29109.830999999998</v>
      </c>
      <c r="AG526" t="b">
        <v>0</v>
      </c>
      <c r="AH526">
        <v>8</v>
      </c>
      <c r="AI526" t="s">
        <v>56</v>
      </c>
      <c r="AJ526">
        <v>29109.830999999998</v>
      </c>
      <c r="AK526" t="b">
        <v>0</v>
      </c>
      <c r="AL526">
        <v>29095.931</v>
      </c>
      <c r="AM526" t="b">
        <v>0</v>
      </c>
      <c r="AN526">
        <v>0</v>
      </c>
      <c r="AO526" t="b">
        <v>0</v>
      </c>
      <c r="AQ526">
        <v>1810603433.8099999</v>
      </c>
      <c r="AR526">
        <v>1810603433.8099999</v>
      </c>
      <c r="AS526">
        <v>0</v>
      </c>
      <c r="AT526" t="b">
        <v>0</v>
      </c>
      <c r="AU526" t="b">
        <v>1</v>
      </c>
      <c r="AV526" t="b">
        <v>1</v>
      </c>
      <c r="AW526" t="b">
        <v>1</v>
      </c>
      <c r="BC526" t="str">
        <f t="shared" si="8"/>
        <v>Normal</v>
      </c>
    </row>
    <row r="527" spans="1:55" x14ac:dyDescent="0.2">
      <c r="A527" t="s">
        <v>39</v>
      </c>
      <c r="B527" t="s">
        <v>40</v>
      </c>
      <c r="C527">
        <v>20230101</v>
      </c>
      <c r="D527">
        <v>2023</v>
      </c>
      <c r="E527">
        <v>52</v>
      </c>
      <c r="F527" t="s">
        <v>354</v>
      </c>
      <c r="G527">
        <v>52</v>
      </c>
      <c r="H527" t="s">
        <v>71</v>
      </c>
      <c r="I527" t="s">
        <v>72</v>
      </c>
      <c r="J527" t="s">
        <v>44</v>
      </c>
      <c r="K527" t="s">
        <v>45</v>
      </c>
      <c r="L527">
        <v>0</v>
      </c>
      <c r="M527" t="s">
        <v>46</v>
      </c>
      <c r="N527" t="s">
        <v>47</v>
      </c>
      <c r="O527">
        <v>0</v>
      </c>
      <c r="P527" t="s">
        <v>46</v>
      </c>
      <c r="Q527" t="s">
        <v>47</v>
      </c>
      <c r="R527" t="s">
        <v>48</v>
      </c>
      <c r="S527" t="s">
        <v>49</v>
      </c>
      <c r="T527" t="b">
        <v>1</v>
      </c>
      <c r="U527" t="s">
        <v>50</v>
      </c>
      <c r="V527" t="s">
        <v>51</v>
      </c>
      <c r="W527">
        <v>4</v>
      </c>
      <c r="X527" t="b">
        <v>0</v>
      </c>
      <c r="Y527" t="s">
        <v>52</v>
      </c>
      <c r="Z527" t="s">
        <v>53</v>
      </c>
      <c r="AA527" t="s">
        <v>54</v>
      </c>
      <c r="AB527">
        <v>0</v>
      </c>
      <c r="AC527" t="s">
        <v>55</v>
      </c>
      <c r="AD527">
        <v>8</v>
      </c>
      <c r="AE527" t="s">
        <v>56</v>
      </c>
      <c r="AF527">
        <v>20</v>
      </c>
      <c r="AG527" t="b">
        <v>0</v>
      </c>
      <c r="AH527">
        <v>8</v>
      </c>
      <c r="AI527" t="s">
        <v>56</v>
      </c>
      <c r="AJ527">
        <v>20</v>
      </c>
      <c r="AK527" t="b">
        <v>0</v>
      </c>
      <c r="AL527">
        <v>20</v>
      </c>
      <c r="AM527" t="b">
        <v>0</v>
      </c>
      <c r="AN527">
        <v>0</v>
      </c>
      <c r="AO527" t="b">
        <v>0</v>
      </c>
      <c r="AQ527">
        <v>616306.5</v>
      </c>
      <c r="AR527">
        <v>616306.5</v>
      </c>
      <c r="AS527">
        <v>0</v>
      </c>
      <c r="AT527" t="b">
        <v>0</v>
      </c>
      <c r="AU527" t="b">
        <v>1</v>
      </c>
      <c r="AV527" t="b">
        <v>1</v>
      </c>
      <c r="AW527" t="b">
        <v>1</v>
      </c>
      <c r="BC527" t="str">
        <f t="shared" si="8"/>
        <v>Normal</v>
      </c>
    </row>
    <row r="528" spans="1:55" x14ac:dyDescent="0.2">
      <c r="A528" t="s">
        <v>39</v>
      </c>
      <c r="B528" t="s">
        <v>40</v>
      </c>
      <c r="C528">
        <v>20230101</v>
      </c>
      <c r="D528">
        <v>2023</v>
      </c>
      <c r="E528">
        <v>52</v>
      </c>
      <c r="F528" t="s">
        <v>354</v>
      </c>
      <c r="G528">
        <v>56</v>
      </c>
      <c r="H528" t="s">
        <v>73</v>
      </c>
      <c r="I528" t="s">
        <v>74</v>
      </c>
      <c r="J528" t="s">
        <v>44</v>
      </c>
      <c r="K528" t="s">
        <v>45</v>
      </c>
      <c r="L528">
        <v>0</v>
      </c>
      <c r="M528" t="s">
        <v>46</v>
      </c>
      <c r="N528" t="s">
        <v>47</v>
      </c>
      <c r="O528">
        <v>0</v>
      </c>
      <c r="P528" t="s">
        <v>46</v>
      </c>
      <c r="Q528" t="s">
        <v>47</v>
      </c>
      <c r="R528" t="s">
        <v>347</v>
      </c>
      <c r="S528" t="s">
        <v>49</v>
      </c>
      <c r="T528" t="b">
        <v>1</v>
      </c>
      <c r="U528" t="s">
        <v>50</v>
      </c>
      <c r="V528" t="s">
        <v>51</v>
      </c>
      <c r="W528">
        <v>4</v>
      </c>
      <c r="X528" t="b">
        <v>0</v>
      </c>
      <c r="Y528" t="s">
        <v>52</v>
      </c>
      <c r="Z528" t="s">
        <v>53</v>
      </c>
      <c r="AA528" t="s">
        <v>54</v>
      </c>
      <c r="AB528">
        <v>0</v>
      </c>
      <c r="AC528" t="s">
        <v>55</v>
      </c>
      <c r="AD528">
        <v>-1</v>
      </c>
      <c r="AE528" t="s">
        <v>64</v>
      </c>
      <c r="AF528">
        <v>0</v>
      </c>
      <c r="AG528" t="b">
        <v>0</v>
      </c>
      <c r="AH528">
        <v>-1</v>
      </c>
      <c r="AI528" t="s">
        <v>64</v>
      </c>
      <c r="AJ528">
        <v>0</v>
      </c>
      <c r="AK528" t="b">
        <v>0</v>
      </c>
      <c r="AM528" t="b">
        <v>0</v>
      </c>
      <c r="AN528">
        <v>0</v>
      </c>
      <c r="AO528" t="b">
        <v>0</v>
      </c>
      <c r="AQ528">
        <v>994070970.84500003</v>
      </c>
      <c r="AR528">
        <v>994070970.84500003</v>
      </c>
      <c r="AS528">
        <v>0</v>
      </c>
      <c r="AT528" t="b">
        <v>0</v>
      </c>
      <c r="AU528" t="b">
        <v>1</v>
      </c>
      <c r="AV528" t="b">
        <v>1</v>
      </c>
      <c r="AW528" t="b">
        <v>1</v>
      </c>
      <c r="BC528" t="str">
        <f t="shared" si="8"/>
        <v>Normal</v>
      </c>
    </row>
    <row r="529" spans="1:55" x14ac:dyDescent="0.2">
      <c r="A529" t="s">
        <v>39</v>
      </c>
      <c r="B529" t="s">
        <v>40</v>
      </c>
      <c r="C529">
        <v>20230101</v>
      </c>
      <c r="D529">
        <v>2023</v>
      </c>
      <c r="E529">
        <v>52</v>
      </c>
      <c r="F529" t="s">
        <v>354</v>
      </c>
      <c r="G529">
        <v>68</v>
      </c>
      <c r="H529" t="s">
        <v>75</v>
      </c>
      <c r="I529" t="s">
        <v>76</v>
      </c>
      <c r="J529" t="s">
        <v>44</v>
      </c>
      <c r="K529" t="s">
        <v>45</v>
      </c>
      <c r="L529">
        <v>0</v>
      </c>
      <c r="M529" t="s">
        <v>46</v>
      </c>
      <c r="N529" t="s">
        <v>47</v>
      </c>
      <c r="O529">
        <v>0</v>
      </c>
      <c r="P529" t="s">
        <v>46</v>
      </c>
      <c r="Q529" t="s">
        <v>47</v>
      </c>
      <c r="R529" t="s">
        <v>347</v>
      </c>
      <c r="S529" t="s">
        <v>49</v>
      </c>
      <c r="T529" t="b">
        <v>1</v>
      </c>
      <c r="U529" t="s">
        <v>50</v>
      </c>
      <c r="V529" t="s">
        <v>51</v>
      </c>
      <c r="W529">
        <v>4</v>
      </c>
      <c r="X529" t="b">
        <v>0</v>
      </c>
      <c r="Y529" t="s">
        <v>52</v>
      </c>
      <c r="Z529" t="s">
        <v>53</v>
      </c>
      <c r="AA529" t="s">
        <v>54</v>
      </c>
      <c r="AB529">
        <v>0</v>
      </c>
      <c r="AC529" t="s">
        <v>55</v>
      </c>
      <c r="AD529">
        <v>8</v>
      </c>
      <c r="AE529" t="s">
        <v>56</v>
      </c>
      <c r="AF529">
        <v>44626.63</v>
      </c>
      <c r="AG529" t="b">
        <v>0</v>
      </c>
      <c r="AH529">
        <v>8</v>
      </c>
      <c r="AI529" t="s">
        <v>56</v>
      </c>
      <c r="AJ529">
        <v>44626.63</v>
      </c>
      <c r="AK529" t="b">
        <v>0</v>
      </c>
      <c r="AL529">
        <v>44626.63</v>
      </c>
      <c r="AM529" t="b">
        <v>0</v>
      </c>
      <c r="AN529">
        <v>51518.720000000001</v>
      </c>
      <c r="AO529" t="b">
        <v>0</v>
      </c>
      <c r="AQ529">
        <v>2485820162.7600002</v>
      </c>
      <c r="AR529">
        <v>2485820162.7600002</v>
      </c>
      <c r="AS529">
        <v>0</v>
      </c>
      <c r="AT529" t="b">
        <v>0</v>
      </c>
      <c r="AU529" t="b">
        <v>1</v>
      </c>
      <c r="AV529" t="b">
        <v>1</v>
      </c>
      <c r="AW529" t="b">
        <v>1</v>
      </c>
      <c r="BC529" t="str">
        <f t="shared" si="8"/>
        <v>Normal</v>
      </c>
    </row>
    <row r="530" spans="1:55" x14ac:dyDescent="0.2">
      <c r="A530" t="s">
        <v>39</v>
      </c>
      <c r="B530" t="s">
        <v>40</v>
      </c>
      <c r="C530">
        <v>20230101</v>
      </c>
      <c r="D530">
        <v>2023</v>
      </c>
      <c r="E530">
        <v>52</v>
      </c>
      <c r="F530" t="s">
        <v>354</v>
      </c>
      <c r="G530">
        <v>70</v>
      </c>
      <c r="H530" t="s">
        <v>77</v>
      </c>
      <c r="I530" t="s">
        <v>78</v>
      </c>
      <c r="J530" t="s">
        <v>44</v>
      </c>
      <c r="K530" t="s">
        <v>45</v>
      </c>
      <c r="L530">
        <v>0</v>
      </c>
      <c r="M530" t="s">
        <v>46</v>
      </c>
      <c r="N530" t="s">
        <v>47</v>
      </c>
      <c r="O530">
        <v>0</v>
      </c>
      <c r="P530" t="s">
        <v>46</v>
      </c>
      <c r="Q530" t="s">
        <v>47</v>
      </c>
      <c r="R530" t="s">
        <v>347</v>
      </c>
      <c r="S530" t="s">
        <v>49</v>
      </c>
      <c r="T530" t="b">
        <v>1</v>
      </c>
      <c r="U530" t="s">
        <v>50</v>
      </c>
      <c r="V530" t="s">
        <v>51</v>
      </c>
      <c r="W530">
        <v>4</v>
      </c>
      <c r="X530" t="b">
        <v>0</v>
      </c>
      <c r="Y530" t="s">
        <v>52</v>
      </c>
      <c r="Z530" t="s">
        <v>53</v>
      </c>
      <c r="AA530" t="s">
        <v>54</v>
      </c>
      <c r="AB530">
        <v>0</v>
      </c>
      <c r="AC530" t="s">
        <v>55</v>
      </c>
      <c r="AD530">
        <v>8</v>
      </c>
      <c r="AE530" t="s">
        <v>56</v>
      </c>
      <c r="AF530">
        <v>19.760000000000002</v>
      </c>
      <c r="AG530" t="b">
        <v>0</v>
      </c>
      <c r="AH530">
        <v>8</v>
      </c>
      <c r="AI530" t="s">
        <v>56</v>
      </c>
      <c r="AJ530">
        <v>19.760000000000002</v>
      </c>
      <c r="AK530" t="b">
        <v>0</v>
      </c>
      <c r="AL530">
        <v>19.760000000000002</v>
      </c>
      <c r="AM530" t="b">
        <v>0</v>
      </c>
      <c r="AN530">
        <v>0</v>
      </c>
      <c r="AO530" t="b">
        <v>0</v>
      </c>
      <c r="AQ530">
        <v>759764.64300000004</v>
      </c>
      <c r="AR530">
        <v>759764.64300000004</v>
      </c>
      <c r="AS530">
        <v>0</v>
      </c>
      <c r="AT530" t="b">
        <v>0</v>
      </c>
      <c r="AU530" t="b">
        <v>1</v>
      </c>
      <c r="AV530" t="b">
        <v>1</v>
      </c>
      <c r="AW530" t="b">
        <v>1</v>
      </c>
      <c r="BC530" t="str">
        <f t="shared" si="8"/>
        <v>Normal</v>
      </c>
    </row>
    <row r="531" spans="1:55" x14ac:dyDescent="0.2">
      <c r="A531" t="s">
        <v>39</v>
      </c>
      <c r="B531" t="s">
        <v>40</v>
      </c>
      <c r="C531">
        <v>20230101</v>
      </c>
      <c r="D531">
        <v>2023</v>
      </c>
      <c r="E531">
        <v>52</v>
      </c>
      <c r="F531" t="s">
        <v>354</v>
      </c>
      <c r="G531">
        <v>72</v>
      </c>
      <c r="H531" t="s">
        <v>79</v>
      </c>
      <c r="I531" t="s">
        <v>80</v>
      </c>
      <c r="J531" t="s">
        <v>44</v>
      </c>
      <c r="K531" t="s">
        <v>45</v>
      </c>
      <c r="L531">
        <v>0</v>
      </c>
      <c r="M531" t="s">
        <v>46</v>
      </c>
      <c r="N531" t="s">
        <v>47</v>
      </c>
      <c r="O531">
        <v>0</v>
      </c>
      <c r="P531" t="s">
        <v>46</v>
      </c>
      <c r="Q531" t="s">
        <v>47</v>
      </c>
      <c r="R531" t="s">
        <v>347</v>
      </c>
      <c r="S531" t="s">
        <v>49</v>
      </c>
      <c r="T531" t="b">
        <v>1</v>
      </c>
      <c r="U531" t="s">
        <v>50</v>
      </c>
      <c r="V531" t="s">
        <v>51</v>
      </c>
      <c r="W531">
        <v>4</v>
      </c>
      <c r="X531" t="b">
        <v>0</v>
      </c>
      <c r="Y531" t="s">
        <v>52</v>
      </c>
      <c r="Z531" t="s">
        <v>53</v>
      </c>
      <c r="AA531" t="s">
        <v>54</v>
      </c>
      <c r="AB531">
        <v>0</v>
      </c>
      <c r="AC531" t="s">
        <v>55</v>
      </c>
      <c r="AD531">
        <v>8</v>
      </c>
      <c r="AE531" t="s">
        <v>56</v>
      </c>
      <c r="AF531">
        <v>417.28199999999998</v>
      </c>
      <c r="AG531" t="b">
        <v>0</v>
      </c>
      <c r="AH531">
        <v>8</v>
      </c>
      <c r="AI531" t="s">
        <v>56</v>
      </c>
      <c r="AJ531">
        <v>417.28199999999998</v>
      </c>
      <c r="AK531" t="b">
        <v>0</v>
      </c>
      <c r="AL531">
        <v>345.21600000000001</v>
      </c>
      <c r="AM531" t="b">
        <v>0</v>
      </c>
      <c r="AN531">
        <v>0</v>
      </c>
      <c r="AO531" t="b">
        <v>0</v>
      </c>
      <c r="AQ531">
        <v>20747235.572999999</v>
      </c>
      <c r="AR531">
        <v>20747235.572999999</v>
      </c>
      <c r="AS531">
        <v>0</v>
      </c>
      <c r="AT531" t="b">
        <v>0</v>
      </c>
      <c r="AU531" t="b">
        <v>1</v>
      </c>
      <c r="AV531" t="b">
        <v>1</v>
      </c>
      <c r="AW531" t="b">
        <v>1</v>
      </c>
      <c r="BC531" t="str">
        <f t="shared" si="8"/>
        <v>Normal</v>
      </c>
    </row>
    <row r="532" spans="1:55" x14ac:dyDescent="0.2">
      <c r="A532" t="s">
        <v>39</v>
      </c>
      <c r="B532" t="s">
        <v>40</v>
      </c>
      <c r="C532">
        <v>20230101</v>
      </c>
      <c r="D532">
        <v>2023</v>
      </c>
      <c r="E532">
        <v>52</v>
      </c>
      <c r="F532" t="s">
        <v>354</v>
      </c>
      <c r="G532">
        <v>76</v>
      </c>
      <c r="H532" t="s">
        <v>81</v>
      </c>
      <c r="I532" t="s">
        <v>82</v>
      </c>
      <c r="J532" t="s">
        <v>44</v>
      </c>
      <c r="K532" t="s">
        <v>45</v>
      </c>
      <c r="L532">
        <v>0</v>
      </c>
      <c r="M532" t="s">
        <v>46</v>
      </c>
      <c r="N532" t="s">
        <v>47</v>
      </c>
      <c r="O532">
        <v>0</v>
      </c>
      <c r="P532" t="s">
        <v>46</v>
      </c>
      <c r="Q532" t="s">
        <v>47</v>
      </c>
      <c r="R532" t="s">
        <v>347</v>
      </c>
      <c r="S532" t="s">
        <v>49</v>
      </c>
      <c r="T532" t="b">
        <v>1</v>
      </c>
      <c r="U532" t="s">
        <v>50</v>
      </c>
      <c r="V532" t="s">
        <v>51</v>
      </c>
      <c r="W532">
        <v>4</v>
      </c>
      <c r="X532" t="b">
        <v>0</v>
      </c>
      <c r="Y532" t="s">
        <v>52</v>
      </c>
      <c r="Z532" t="s">
        <v>53</v>
      </c>
      <c r="AA532" t="s">
        <v>54</v>
      </c>
      <c r="AB532">
        <v>0</v>
      </c>
      <c r="AC532" t="s">
        <v>55</v>
      </c>
      <c r="AD532">
        <v>-1</v>
      </c>
      <c r="AE532" t="s">
        <v>64</v>
      </c>
      <c r="AF532">
        <v>0</v>
      </c>
      <c r="AG532" t="b">
        <v>0</v>
      </c>
      <c r="AH532">
        <v>-1</v>
      </c>
      <c r="AI532" t="s">
        <v>64</v>
      </c>
      <c r="AJ532">
        <v>0</v>
      </c>
      <c r="AK532" t="b">
        <v>0</v>
      </c>
      <c r="AM532" t="b">
        <v>0</v>
      </c>
      <c r="AN532">
        <v>0</v>
      </c>
      <c r="AO532" t="b">
        <v>0</v>
      </c>
      <c r="AQ532">
        <v>3486260220</v>
      </c>
      <c r="AR532">
        <v>3486260220</v>
      </c>
      <c r="AS532">
        <v>0</v>
      </c>
      <c r="AT532" t="b">
        <v>0</v>
      </c>
      <c r="AU532" t="b">
        <v>1</v>
      </c>
      <c r="AV532" t="b">
        <v>1</v>
      </c>
      <c r="AW532" t="b">
        <v>1</v>
      </c>
      <c r="BC532" t="str">
        <f t="shared" si="8"/>
        <v>Normal</v>
      </c>
    </row>
    <row r="533" spans="1:55" x14ac:dyDescent="0.2">
      <c r="A533" t="s">
        <v>39</v>
      </c>
      <c r="B533" t="s">
        <v>40</v>
      </c>
      <c r="C533">
        <v>20230101</v>
      </c>
      <c r="D533">
        <v>2023</v>
      </c>
      <c r="E533">
        <v>52</v>
      </c>
      <c r="F533" t="s">
        <v>354</v>
      </c>
      <c r="G533">
        <v>84</v>
      </c>
      <c r="H533" t="s">
        <v>355</v>
      </c>
      <c r="I533" t="s">
        <v>356</v>
      </c>
      <c r="J533" t="s">
        <v>44</v>
      </c>
      <c r="K533" t="s">
        <v>45</v>
      </c>
      <c r="L533">
        <v>0</v>
      </c>
      <c r="M533" t="s">
        <v>46</v>
      </c>
      <c r="N533" t="s">
        <v>47</v>
      </c>
      <c r="O533">
        <v>0</v>
      </c>
      <c r="P533" t="s">
        <v>46</v>
      </c>
      <c r="Q533" t="s">
        <v>47</v>
      </c>
      <c r="R533" t="s">
        <v>347</v>
      </c>
      <c r="S533" t="s">
        <v>49</v>
      </c>
      <c r="T533" t="b">
        <v>1</v>
      </c>
      <c r="U533" t="s">
        <v>50</v>
      </c>
      <c r="V533" t="s">
        <v>51</v>
      </c>
      <c r="W533">
        <v>4</v>
      </c>
      <c r="X533" t="b">
        <v>0</v>
      </c>
      <c r="Y533" t="s">
        <v>52</v>
      </c>
      <c r="Z533" t="s">
        <v>53</v>
      </c>
      <c r="AA533" t="s">
        <v>54</v>
      </c>
      <c r="AB533">
        <v>0</v>
      </c>
      <c r="AC533" t="s">
        <v>55</v>
      </c>
      <c r="AD533">
        <v>8</v>
      </c>
      <c r="AE533" t="s">
        <v>56</v>
      </c>
      <c r="AF533">
        <v>0.5</v>
      </c>
      <c r="AG533" t="b">
        <v>0</v>
      </c>
      <c r="AH533">
        <v>8</v>
      </c>
      <c r="AI533" t="s">
        <v>56</v>
      </c>
      <c r="AJ533">
        <v>0.5</v>
      </c>
      <c r="AK533" t="b">
        <v>0</v>
      </c>
      <c r="AL533">
        <v>0.5</v>
      </c>
      <c r="AM533" t="b">
        <v>0</v>
      </c>
      <c r="AN533">
        <v>0</v>
      </c>
      <c r="AO533" t="b">
        <v>0</v>
      </c>
      <c r="AQ533">
        <v>2450</v>
      </c>
      <c r="AR533">
        <v>2450</v>
      </c>
      <c r="AS533">
        <v>0</v>
      </c>
      <c r="AT533" t="b">
        <v>0</v>
      </c>
      <c r="AU533" t="b">
        <v>1</v>
      </c>
      <c r="AV533" t="b">
        <v>1</v>
      </c>
      <c r="AW533" t="b">
        <v>1</v>
      </c>
      <c r="BC533" t="str">
        <f t="shared" si="8"/>
        <v>Normal</v>
      </c>
    </row>
    <row r="534" spans="1:55" x14ac:dyDescent="0.2">
      <c r="A534" t="s">
        <v>39</v>
      </c>
      <c r="B534" t="s">
        <v>40</v>
      </c>
      <c r="C534">
        <v>20230101</v>
      </c>
      <c r="D534">
        <v>2023</v>
      </c>
      <c r="E534">
        <v>52</v>
      </c>
      <c r="F534" t="s">
        <v>354</v>
      </c>
      <c r="G534">
        <v>96</v>
      </c>
      <c r="H534" t="s">
        <v>313</v>
      </c>
      <c r="I534" t="s">
        <v>314</v>
      </c>
      <c r="J534" t="s">
        <v>44</v>
      </c>
      <c r="K534" t="s">
        <v>45</v>
      </c>
      <c r="L534">
        <v>0</v>
      </c>
      <c r="M534" t="s">
        <v>46</v>
      </c>
      <c r="N534" t="s">
        <v>47</v>
      </c>
      <c r="O534">
        <v>0</v>
      </c>
      <c r="P534" t="s">
        <v>46</v>
      </c>
      <c r="Q534" t="s">
        <v>47</v>
      </c>
      <c r="R534" t="s">
        <v>347</v>
      </c>
      <c r="S534" t="s">
        <v>49</v>
      </c>
      <c r="T534" t="b">
        <v>1</v>
      </c>
      <c r="U534" t="s">
        <v>50</v>
      </c>
      <c r="V534" t="s">
        <v>51</v>
      </c>
      <c r="W534">
        <v>4</v>
      </c>
      <c r="X534" t="b">
        <v>0</v>
      </c>
      <c r="Y534" t="s">
        <v>52</v>
      </c>
      <c r="Z534" t="s">
        <v>53</v>
      </c>
      <c r="AA534" t="s">
        <v>54</v>
      </c>
      <c r="AB534">
        <v>0</v>
      </c>
      <c r="AC534" t="s">
        <v>55</v>
      </c>
      <c r="AD534">
        <v>8</v>
      </c>
      <c r="AE534" t="s">
        <v>56</v>
      </c>
      <c r="AF534">
        <v>45</v>
      </c>
      <c r="AG534" t="b">
        <v>0</v>
      </c>
      <c r="AH534">
        <v>8</v>
      </c>
      <c r="AI534" t="s">
        <v>56</v>
      </c>
      <c r="AJ534">
        <v>45</v>
      </c>
      <c r="AK534" t="b">
        <v>0</v>
      </c>
      <c r="AL534">
        <v>45</v>
      </c>
      <c r="AM534" t="b">
        <v>0</v>
      </c>
      <c r="AN534">
        <v>0</v>
      </c>
      <c r="AO534" t="b">
        <v>0</v>
      </c>
      <c r="AQ534">
        <v>1857058.4080000001</v>
      </c>
      <c r="AR534">
        <v>1857058.4080000001</v>
      </c>
      <c r="AS534">
        <v>0</v>
      </c>
      <c r="AT534" t="b">
        <v>0</v>
      </c>
      <c r="AU534" t="b">
        <v>1</v>
      </c>
      <c r="AV534" t="b">
        <v>1</v>
      </c>
      <c r="AW534" t="b">
        <v>1</v>
      </c>
      <c r="BC534" t="str">
        <f t="shared" si="8"/>
        <v>Normal</v>
      </c>
    </row>
    <row r="535" spans="1:55" x14ac:dyDescent="0.2">
      <c r="A535" t="s">
        <v>39</v>
      </c>
      <c r="B535" t="s">
        <v>40</v>
      </c>
      <c r="C535">
        <v>20230101</v>
      </c>
      <c r="D535">
        <v>2023</v>
      </c>
      <c r="E535">
        <v>52</v>
      </c>
      <c r="F535" t="s">
        <v>354</v>
      </c>
      <c r="G535">
        <v>100</v>
      </c>
      <c r="H535" t="s">
        <v>83</v>
      </c>
      <c r="I535" t="s">
        <v>84</v>
      </c>
      <c r="J535" t="s">
        <v>44</v>
      </c>
      <c r="K535" t="s">
        <v>45</v>
      </c>
      <c r="L535">
        <v>0</v>
      </c>
      <c r="M535" t="s">
        <v>46</v>
      </c>
      <c r="N535" t="s">
        <v>47</v>
      </c>
      <c r="O535">
        <v>0</v>
      </c>
      <c r="P535" t="s">
        <v>46</v>
      </c>
      <c r="Q535" t="s">
        <v>47</v>
      </c>
      <c r="R535" t="s">
        <v>347</v>
      </c>
      <c r="S535" t="s">
        <v>49</v>
      </c>
      <c r="T535" t="b">
        <v>1</v>
      </c>
      <c r="U535" t="s">
        <v>50</v>
      </c>
      <c r="V535" t="s">
        <v>51</v>
      </c>
      <c r="W535">
        <v>4</v>
      </c>
      <c r="X535" t="b">
        <v>0</v>
      </c>
      <c r="Y535" t="s">
        <v>52</v>
      </c>
      <c r="Z535" t="s">
        <v>53</v>
      </c>
      <c r="AA535" t="s">
        <v>54</v>
      </c>
      <c r="AB535">
        <v>0</v>
      </c>
      <c r="AC535" t="s">
        <v>55</v>
      </c>
      <c r="AD535">
        <v>8</v>
      </c>
      <c r="AE535" t="s">
        <v>56</v>
      </c>
      <c r="AF535">
        <v>1478.72</v>
      </c>
      <c r="AG535" t="b">
        <v>0</v>
      </c>
      <c r="AH535">
        <v>15</v>
      </c>
      <c r="AI535" t="s">
        <v>59</v>
      </c>
      <c r="AJ535">
        <v>1478720</v>
      </c>
      <c r="AK535" t="b">
        <v>0</v>
      </c>
      <c r="AL535">
        <v>1382.009</v>
      </c>
      <c r="AM535" t="b">
        <v>0</v>
      </c>
      <c r="AN535">
        <v>0</v>
      </c>
      <c r="AO535" t="b">
        <v>0</v>
      </c>
      <c r="AQ535">
        <v>20035736.658</v>
      </c>
      <c r="AR535">
        <v>20035736.658</v>
      </c>
      <c r="AS535">
        <v>0</v>
      </c>
      <c r="AT535" t="b">
        <v>0</v>
      </c>
      <c r="AU535" t="b">
        <v>1</v>
      </c>
      <c r="AV535" t="b">
        <v>1</v>
      </c>
      <c r="AW535" t="b">
        <v>1</v>
      </c>
      <c r="BC535" t="str">
        <f t="shared" si="8"/>
        <v>Normal</v>
      </c>
    </row>
    <row r="536" spans="1:55" x14ac:dyDescent="0.2">
      <c r="A536" t="s">
        <v>39</v>
      </c>
      <c r="B536" t="s">
        <v>40</v>
      </c>
      <c r="C536">
        <v>20230101</v>
      </c>
      <c r="D536">
        <v>2023</v>
      </c>
      <c r="E536">
        <v>52</v>
      </c>
      <c r="F536" t="s">
        <v>354</v>
      </c>
      <c r="G536">
        <v>108</v>
      </c>
      <c r="H536" t="s">
        <v>85</v>
      </c>
      <c r="I536" t="s">
        <v>86</v>
      </c>
      <c r="J536" t="s">
        <v>44</v>
      </c>
      <c r="K536" t="s">
        <v>45</v>
      </c>
      <c r="L536">
        <v>0</v>
      </c>
      <c r="M536" t="s">
        <v>46</v>
      </c>
      <c r="N536" t="s">
        <v>47</v>
      </c>
      <c r="O536">
        <v>0</v>
      </c>
      <c r="P536" t="s">
        <v>46</v>
      </c>
      <c r="Q536" t="s">
        <v>47</v>
      </c>
      <c r="R536" t="s">
        <v>347</v>
      </c>
      <c r="S536" t="s">
        <v>49</v>
      </c>
      <c r="T536" t="b">
        <v>1</v>
      </c>
      <c r="U536" t="s">
        <v>50</v>
      </c>
      <c r="V536" t="s">
        <v>51</v>
      </c>
      <c r="W536">
        <v>4</v>
      </c>
      <c r="X536" t="b">
        <v>0</v>
      </c>
      <c r="Y536" t="s">
        <v>52</v>
      </c>
      <c r="Z536" t="s">
        <v>53</v>
      </c>
      <c r="AA536" t="s">
        <v>54</v>
      </c>
      <c r="AB536">
        <v>0</v>
      </c>
      <c r="AC536" t="s">
        <v>55</v>
      </c>
      <c r="AD536">
        <v>8</v>
      </c>
      <c r="AE536" t="s">
        <v>56</v>
      </c>
      <c r="AF536">
        <v>1249.4580000000001</v>
      </c>
      <c r="AG536" t="b">
        <v>1</v>
      </c>
      <c r="AH536">
        <v>-1</v>
      </c>
      <c r="AI536" t="s">
        <v>64</v>
      </c>
      <c r="AJ536">
        <v>0</v>
      </c>
      <c r="AK536" t="b">
        <v>0</v>
      </c>
      <c r="AL536">
        <v>1249.4580000000001</v>
      </c>
      <c r="AM536" t="b">
        <v>1</v>
      </c>
      <c r="AN536">
        <v>0</v>
      </c>
      <c r="AO536" t="b">
        <v>0</v>
      </c>
      <c r="AQ536">
        <v>74971981.479000002</v>
      </c>
      <c r="AR536">
        <v>74971981.479000002</v>
      </c>
      <c r="AS536">
        <v>6</v>
      </c>
      <c r="AT536" t="b">
        <v>0</v>
      </c>
      <c r="AU536" t="b">
        <v>1</v>
      </c>
      <c r="AV536" t="b">
        <v>1</v>
      </c>
      <c r="AW536" t="b">
        <v>1</v>
      </c>
      <c r="BC536" t="str">
        <f t="shared" si="8"/>
        <v>Normal</v>
      </c>
    </row>
    <row r="537" spans="1:55" x14ac:dyDescent="0.2">
      <c r="A537" t="s">
        <v>39</v>
      </c>
      <c r="B537" t="s">
        <v>40</v>
      </c>
      <c r="C537">
        <v>20230101</v>
      </c>
      <c r="D537">
        <v>2023</v>
      </c>
      <c r="E537">
        <v>52</v>
      </c>
      <c r="F537" t="s">
        <v>354</v>
      </c>
      <c r="G537">
        <v>116</v>
      </c>
      <c r="H537" t="s">
        <v>87</v>
      </c>
      <c r="I537" t="s">
        <v>88</v>
      </c>
      <c r="J537" t="s">
        <v>44</v>
      </c>
      <c r="K537" t="s">
        <v>45</v>
      </c>
      <c r="L537">
        <v>0</v>
      </c>
      <c r="M537" t="s">
        <v>46</v>
      </c>
      <c r="N537" t="s">
        <v>47</v>
      </c>
      <c r="O537">
        <v>0</v>
      </c>
      <c r="P537" t="s">
        <v>46</v>
      </c>
      <c r="Q537" t="s">
        <v>47</v>
      </c>
      <c r="R537" t="s">
        <v>347</v>
      </c>
      <c r="S537" t="s">
        <v>49</v>
      </c>
      <c r="T537" t="b">
        <v>1</v>
      </c>
      <c r="U537" t="s">
        <v>50</v>
      </c>
      <c r="V537" t="s">
        <v>51</v>
      </c>
      <c r="W537">
        <v>4</v>
      </c>
      <c r="X537" t="b">
        <v>0</v>
      </c>
      <c r="Y537" t="s">
        <v>52</v>
      </c>
      <c r="Z537" t="s">
        <v>53</v>
      </c>
      <c r="AA537" t="s">
        <v>54</v>
      </c>
      <c r="AB537">
        <v>0</v>
      </c>
      <c r="AC537" t="s">
        <v>55</v>
      </c>
      <c r="AD537">
        <v>8</v>
      </c>
      <c r="AE537" t="s">
        <v>56</v>
      </c>
      <c r="AF537">
        <v>13791.24</v>
      </c>
      <c r="AG537" t="b">
        <v>0</v>
      </c>
      <c r="AH537">
        <v>8</v>
      </c>
      <c r="AI537" t="s">
        <v>56</v>
      </c>
      <c r="AJ537">
        <v>13791.24</v>
      </c>
      <c r="AK537" t="b">
        <v>0</v>
      </c>
      <c r="AL537">
        <v>13791.24</v>
      </c>
      <c r="AM537" t="b">
        <v>0</v>
      </c>
      <c r="AN537">
        <v>0</v>
      </c>
      <c r="AO537" t="b">
        <v>0</v>
      </c>
      <c r="AQ537">
        <v>825416778.54999995</v>
      </c>
      <c r="AR537">
        <v>825416778.54999995</v>
      </c>
      <c r="AS537">
        <v>0</v>
      </c>
      <c r="AT537" t="b">
        <v>0</v>
      </c>
      <c r="AU537" t="b">
        <v>1</v>
      </c>
      <c r="AV537" t="b">
        <v>1</v>
      </c>
      <c r="AW537" t="b">
        <v>1</v>
      </c>
      <c r="BC537" t="str">
        <f t="shared" si="8"/>
        <v>Normal</v>
      </c>
    </row>
    <row r="538" spans="1:55" x14ac:dyDescent="0.2">
      <c r="A538" t="s">
        <v>39</v>
      </c>
      <c r="B538" t="s">
        <v>40</v>
      </c>
      <c r="C538">
        <v>20230101</v>
      </c>
      <c r="D538">
        <v>2023</v>
      </c>
      <c r="E538">
        <v>52</v>
      </c>
      <c r="F538" t="s">
        <v>354</v>
      </c>
      <c r="G538">
        <v>120</v>
      </c>
      <c r="H538" t="s">
        <v>89</v>
      </c>
      <c r="I538" t="s">
        <v>90</v>
      </c>
      <c r="J538" t="s">
        <v>44</v>
      </c>
      <c r="K538" t="s">
        <v>45</v>
      </c>
      <c r="L538">
        <v>0</v>
      </c>
      <c r="M538" t="s">
        <v>46</v>
      </c>
      <c r="N538" t="s">
        <v>47</v>
      </c>
      <c r="O538">
        <v>0</v>
      </c>
      <c r="P538" t="s">
        <v>46</v>
      </c>
      <c r="Q538" t="s">
        <v>47</v>
      </c>
      <c r="R538" t="s">
        <v>347</v>
      </c>
      <c r="S538" t="s">
        <v>49</v>
      </c>
      <c r="T538" t="b">
        <v>1</v>
      </c>
      <c r="U538" t="s">
        <v>50</v>
      </c>
      <c r="V538" t="s">
        <v>51</v>
      </c>
      <c r="W538">
        <v>4</v>
      </c>
      <c r="X538" t="b">
        <v>0</v>
      </c>
      <c r="Y538" t="s">
        <v>52</v>
      </c>
      <c r="Z538" t="s">
        <v>53</v>
      </c>
      <c r="AA538" t="s">
        <v>54</v>
      </c>
      <c r="AB538">
        <v>0</v>
      </c>
      <c r="AC538" t="s">
        <v>55</v>
      </c>
      <c r="AD538">
        <v>-1</v>
      </c>
      <c r="AE538" t="s">
        <v>64</v>
      </c>
      <c r="AF538">
        <v>0</v>
      </c>
      <c r="AG538" t="b">
        <v>0</v>
      </c>
      <c r="AH538">
        <v>-1</v>
      </c>
      <c r="AI538" t="s">
        <v>64</v>
      </c>
      <c r="AJ538">
        <v>0</v>
      </c>
      <c r="AK538" t="b">
        <v>0</v>
      </c>
      <c r="AM538" t="b">
        <v>0</v>
      </c>
      <c r="AN538">
        <v>0</v>
      </c>
      <c r="AO538" t="b">
        <v>0</v>
      </c>
      <c r="AQ538">
        <v>674905.65</v>
      </c>
      <c r="AR538">
        <v>674905.65</v>
      </c>
      <c r="AS538">
        <v>0</v>
      </c>
      <c r="AT538" t="b">
        <v>0</v>
      </c>
      <c r="AU538" t="b">
        <v>1</v>
      </c>
      <c r="AV538" t="b">
        <v>1</v>
      </c>
      <c r="AW538" t="b">
        <v>1</v>
      </c>
      <c r="BC538" t="str">
        <f t="shared" si="8"/>
        <v>Normal</v>
      </c>
    </row>
    <row r="539" spans="1:55" x14ac:dyDescent="0.2">
      <c r="A539" t="s">
        <v>39</v>
      </c>
      <c r="B539" t="s">
        <v>40</v>
      </c>
      <c r="C539">
        <v>20230101</v>
      </c>
      <c r="D539">
        <v>2023</v>
      </c>
      <c r="E539">
        <v>52</v>
      </c>
      <c r="F539" t="s">
        <v>354</v>
      </c>
      <c r="G539">
        <v>124</v>
      </c>
      <c r="H539" t="s">
        <v>91</v>
      </c>
      <c r="I539" t="s">
        <v>92</v>
      </c>
      <c r="J539" t="s">
        <v>44</v>
      </c>
      <c r="K539" t="s">
        <v>45</v>
      </c>
      <c r="L539">
        <v>0</v>
      </c>
      <c r="M539" t="s">
        <v>46</v>
      </c>
      <c r="N539" t="s">
        <v>47</v>
      </c>
      <c r="O539">
        <v>0</v>
      </c>
      <c r="P539" t="s">
        <v>46</v>
      </c>
      <c r="Q539" t="s">
        <v>47</v>
      </c>
      <c r="R539" t="s">
        <v>347</v>
      </c>
      <c r="S539" t="s">
        <v>49</v>
      </c>
      <c r="T539" t="b">
        <v>1</v>
      </c>
      <c r="U539" t="s">
        <v>50</v>
      </c>
      <c r="V539" t="s">
        <v>51</v>
      </c>
      <c r="W539">
        <v>4</v>
      </c>
      <c r="X539" t="b">
        <v>0</v>
      </c>
      <c r="Y539" t="s">
        <v>52</v>
      </c>
      <c r="Z539" t="s">
        <v>53</v>
      </c>
      <c r="AA539" t="s">
        <v>54</v>
      </c>
      <c r="AB539">
        <v>0</v>
      </c>
      <c r="AC539" t="s">
        <v>55</v>
      </c>
      <c r="AD539">
        <v>8</v>
      </c>
      <c r="AE539" t="s">
        <v>56</v>
      </c>
      <c r="AF539">
        <v>353790.37300000002</v>
      </c>
      <c r="AG539" t="b">
        <v>0</v>
      </c>
      <c r="AH539">
        <v>15</v>
      </c>
      <c r="AI539" t="s">
        <v>59</v>
      </c>
      <c r="AJ539">
        <v>353790373</v>
      </c>
      <c r="AK539" t="b">
        <v>0</v>
      </c>
      <c r="AL539" s="1">
        <v>353790.37300000002</v>
      </c>
      <c r="AM539" t="b">
        <v>0</v>
      </c>
      <c r="AN539">
        <v>0</v>
      </c>
      <c r="AO539" t="b">
        <v>0</v>
      </c>
      <c r="AQ539">
        <v>21357933191.862999</v>
      </c>
      <c r="AR539">
        <v>21357933191.862999</v>
      </c>
      <c r="AS539">
        <v>0</v>
      </c>
      <c r="AT539" t="b">
        <v>0</v>
      </c>
      <c r="AU539" t="b">
        <v>1</v>
      </c>
      <c r="AV539" t="b">
        <v>1</v>
      </c>
      <c r="AW539" t="b">
        <v>1</v>
      </c>
      <c r="BC539" t="str">
        <f t="shared" si="8"/>
        <v>Outlier</v>
      </c>
    </row>
    <row r="540" spans="1:55" x14ac:dyDescent="0.2">
      <c r="A540" t="s">
        <v>39</v>
      </c>
      <c r="B540" t="s">
        <v>40</v>
      </c>
      <c r="C540">
        <v>20230101</v>
      </c>
      <c r="D540">
        <v>2023</v>
      </c>
      <c r="E540">
        <v>52</v>
      </c>
      <c r="F540" t="s">
        <v>354</v>
      </c>
      <c r="G540">
        <v>140</v>
      </c>
      <c r="H540" t="s">
        <v>93</v>
      </c>
      <c r="I540" t="s">
        <v>94</v>
      </c>
      <c r="J540" t="s">
        <v>44</v>
      </c>
      <c r="K540" t="s">
        <v>45</v>
      </c>
      <c r="L540">
        <v>0</v>
      </c>
      <c r="M540" t="s">
        <v>46</v>
      </c>
      <c r="N540" t="s">
        <v>47</v>
      </c>
      <c r="O540">
        <v>0</v>
      </c>
      <c r="P540" t="s">
        <v>46</v>
      </c>
      <c r="Q540" t="s">
        <v>47</v>
      </c>
      <c r="R540" t="s">
        <v>48</v>
      </c>
      <c r="S540" t="s">
        <v>49</v>
      </c>
      <c r="T540" t="b">
        <v>1</v>
      </c>
      <c r="U540" t="s">
        <v>50</v>
      </c>
      <c r="V540" t="s">
        <v>51</v>
      </c>
      <c r="W540">
        <v>4</v>
      </c>
      <c r="X540" t="b">
        <v>0</v>
      </c>
      <c r="Y540" t="s">
        <v>52</v>
      </c>
      <c r="Z540" t="s">
        <v>53</v>
      </c>
      <c r="AA540" t="s">
        <v>54</v>
      </c>
      <c r="AB540">
        <v>0</v>
      </c>
      <c r="AC540" t="s">
        <v>55</v>
      </c>
      <c r="AD540">
        <v>-1</v>
      </c>
      <c r="AE540" t="s">
        <v>64</v>
      </c>
      <c r="AF540">
        <v>0</v>
      </c>
      <c r="AG540" t="b">
        <v>0</v>
      </c>
      <c r="AH540">
        <v>-1</v>
      </c>
      <c r="AI540" t="s">
        <v>64</v>
      </c>
      <c r="AJ540">
        <v>0</v>
      </c>
      <c r="AK540" t="b">
        <v>0</v>
      </c>
      <c r="AM540" t="b">
        <v>0</v>
      </c>
      <c r="AN540">
        <v>0</v>
      </c>
      <c r="AO540" t="b">
        <v>0</v>
      </c>
      <c r="AQ540">
        <v>72350644.266000003</v>
      </c>
      <c r="AR540">
        <v>72350644.266000003</v>
      </c>
      <c r="AS540">
        <v>0</v>
      </c>
      <c r="AT540" t="b">
        <v>0</v>
      </c>
      <c r="AU540" t="b">
        <v>1</v>
      </c>
      <c r="AV540" t="b">
        <v>1</v>
      </c>
      <c r="AW540" t="b">
        <v>1</v>
      </c>
      <c r="BC540" t="str">
        <f t="shared" si="8"/>
        <v>Normal</v>
      </c>
    </row>
    <row r="541" spans="1:55" x14ac:dyDescent="0.2">
      <c r="A541" t="s">
        <v>39</v>
      </c>
      <c r="B541" t="s">
        <v>40</v>
      </c>
      <c r="C541">
        <v>20230101</v>
      </c>
      <c r="D541">
        <v>2023</v>
      </c>
      <c r="E541">
        <v>52</v>
      </c>
      <c r="F541" t="s">
        <v>354</v>
      </c>
      <c r="G541">
        <v>144</v>
      </c>
      <c r="H541" t="s">
        <v>317</v>
      </c>
      <c r="I541" t="s">
        <v>318</v>
      </c>
      <c r="J541" t="s">
        <v>44</v>
      </c>
      <c r="K541" t="s">
        <v>45</v>
      </c>
      <c r="L541">
        <v>0</v>
      </c>
      <c r="M541" t="s">
        <v>46</v>
      </c>
      <c r="N541" t="s">
        <v>47</v>
      </c>
      <c r="O541">
        <v>0</v>
      </c>
      <c r="P541" t="s">
        <v>46</v>
      </c>
      <c r="Q541" t="s">
        <v>47</v>
      </c>
      <c r="R541" t="s">
        <v>347</v>
      </c>
      <c r="S541" t="s">
        <v>49</v>
      </c>
      <c r="T541" t="b">
        <v>1</v>
      </c>
      <c r="U541" t="s">
        <v>50</v>
      </c>
      <c r="V541" t="s">
        <v>51</v>
      </c>
      <c r="W541">
        <v>4</v>
      </c>
      <c r="X541" t="b">
        <v>0</v>
      </c>
      <c r="Y541" t="s">
        <v>52</v>
      </c>
      <c r="Z541" t="s">
        <v>53</v>
      </c>
      <c r="AA541" t="s">
        <v>54</v>
      </c>
      <c r="AB541">
        <v>0</v>
      </c>
      <c r="AC541" t="s">
        <v>55</v>
      </c>
      <c r="AD541">
        <v>-1</v>
      </c>
      <c r="AE541" t="s">
        <v>64</v>
      </c>
      <c r="AF541">
        <v>0</v>
      </c>
      <c r="AG541" t="b">
        <v>0</v>
      </c>
      <c r="AH541">
        <v>-1</v>
      </c>
      <c r="AI541" t="s">
        <v>64</v>
      </c>
      <c r="AJ541">
        <v>0</v>
      </c>
      <c r="AK541" t="b">
        <v>0</v>
      </c>
      <c r="AM541" t="b">
        <v>0</v>
      </c>
      <c r="AN541">
        <v>0</v>
      </c>
      <c r="AO541" t="b">
        <v>0</v>
      </c>
      <c r="AQ541">
        <v>1961.384</v>
      </c>
      <c r="AR541">
        <v>1961.384</v>
      </c>
      <c r="AS541">
        <v>0</v>
      </c>
      <c r="AT541" t="b">
        <v>0</v>
      </c>
      <c r="AU541" t="b">
        <v>1</v>
      </c>
      <c r="AV541" t="b">
        <v>1</v>
      </c>
      <c r="AW541" t="b">
        <v>1</v>
      </c>
      <c r="BC541" t="str">
        <f t="shared" si="8"/>
        <v>Normal</v>
      </c>
    </row>
    <row r="542" spans="1:55" x14ac:dyDescent="0.2">
      <c r="A542" t="s">
        <v>39</v>
      </c>
      <c r="B542" t="s">
        <v>40</v>
      </c>
      <c r="C542">
        <v>20230101</v>
      </c>
      <c r="D542">
        <v>2023</v>
      </c>
      <c r="E542">
        <v>52</v>
      </c>
      <c r="F542" t="s">
        <v>354</v>
      </c>
      <c r="G542">
        <v>152</v>
      </c>
      <c r="H542" t="s">
        <v>96</v>
      </c>
      <c r="I542" t="s">
        <v>97</v>
      </c>
      <c r="J542" t="s">
        <v>44</v>
      </c>
      <c r="K542" t="s">
        <v>45</v>
      </c>
      <c r="L542">
        <v>0</v>
      </c>
      <c r="M542" t="s">
        <v>46</v>
      </c>
      <c r="N542" t="s">
        <v>47</v>
      </c>
      <c r="O542">
        <v>0</v>
      </c>
      <c r="P542" t="s">
        <v>46</v>
      </c>
      <c r="Q542" t="s">
        <v>47</v>
      </c>
      <c r="R542" t="s">
        <v>347</v>
      </c>
      <c r="S542" t="s">
        <v>49</v>
      </c>
      <c r="T542" t="b">
        <v>1</v>
      </c>
      <c r="U542" t="s">
        <v>50</v>
      </c>
      <c r="V542" t="s">
        <v>51</v>
      </c>
      <c r="W542">
        <v>4</v>
      </c>
      <c r="X542" t="b">
        <v>0</v>
      </c>
      <c r="Y542" t="s">
        <v>52</v>
      </c>
      <c r="Z542" t="s">
        <v>53</v>
      </c>
      <c r="AA542" t="s">
        <v>54</v>
      </c>
      <c r="AB542">
        <v>0</v>
      </c>
      <c r="AC542" t="s">
        <v>55</v>
      </c>
      <c r="AD542">
        <v>-1</v>
      </c>
      <c r="AE542" t="s">
        <v>64</v>
      </c>
      <c r="AF542">
        <v>0</v>
      </c>
      <c r="AG542" t="b">
        <v>0</v>
      </c>
      <c r="AH542">
        <v>-1</v>
      </c>
      <c r="AI542" t="s">
        <v>64</v>
      </c>
      <c r="AJ542">
        <v>0</v>
      </c>
      <c r="AK542" t="b">
        <v>0</v>
      </c>
      <c r="AM542" t="b">
        <v>0</v>
      </c>
      <c r="AN542">
        <v>0</v>
      </c>
      <c r="AO542" t="b">
        <v>0</v>
      </c>
      <c r="AQ542">
        <v>1009359447.813</v>
      </c>
      <c r="AR542">
        <v>1009359447.813</v>
      </c>
      <c r="AS542">
        <v>0</v>
      </c>
      <c r="AT542" t="b">
        <v>0</v>
      </c>
      <c r="AU542" t="b">
        <v>1</v>
      </c>
      <c r="AV542" t="b">
        <v>1</v>
      </c>
      <c r="AW542" t="b">
        <v>1</v>
      </c>
      <c r="BC542" t="str">
        <f t="shared" si="8"/>
        <v>Normal</v>
      </c>
    </row>
    <row r="543" spans="1:55" x14ac:dyDescent="0.2">
      <c r="A543" t="s">
        <v>39</v>
      </c>
      <c r="B543" t="s">
        <v>40</v>
      </c>
      <c r="C543">
        <v>20230101</v>
      </c>
      <c r="D543">
        <v>2023</v>
      </c>
      <c r="E543">
        <v>52</v>
      </c>
      <c r="F543" t="s">
        <v>354</v>
      </c>
      <c r="G543">
        <v>156</v>
      </c>
      <c r="H543" t="s">
        <v>98</v>
      </c>
      <c r="I543" t="s">
        <v>99</v>
      </c>
      <c r="J543" t="s">
        <v>44</v>
      </c>
      <c r="K543" t="s">
        <v>45</v>
      </c>
      <c r="L543">
        <v>0</v>
      </c>
      <c r="M543" t="s">
        <v>46</v>
      </c>
      <c r="N543" t="s">
        <v>47</v>
      </c>
      <c r="O543">
        <v>0</v>
      </c>
      <c r="P543" t="s">
        <v>46</v>
      </c>
      <c r="Q543" t="s">
        <v>47</v>
      </c>
      <c r="R543" t="s">
        <v>347</v>
      </c>
      <c r="S543" t="s">
        <v>49</v>
      </c>
      <c r="T543" t="b">
        <v>1</v>
      </c>
      <c r="U543" t="s">
        <v>50</v>
      </c>
      <c r="V543" t="s">
        <v>51</v>
      </c>
      <c r="W543">
        <v>4</v>
      </c>
      <c r="X543" t="b">
        <v>0</v>
      </c>
      <c r="Y543" t="s">
        <v>52</v>
      </c>
      <c r="Z543" t="s">
        <v>53</v>
      </c>
      <c r="AA543" t="s">
        <v>54</v>
      </c>
      <c r="AB543">
        <v>0</v>
      </c>
      <c r="AC543" t="s">
        <v>55</v>
      </c>
      <c r="AD543">
        <v>8</v>
      </c>
      <c r="AE543" t="s">
        <v>56</v>
      </c>
      <c r="AF543">
        <v>61438.275000000001</v>
      </c>
      <c r="AG543" t="b">
        <v>0</v>
      </c>
      <c r="AH543">
        <v>15</v>
      </c>
      <c r="AI543" t="s">
        <v>59</v>
      </c>
      <c r="AJ543">
        <v>61438275</v>
      </c>
      <c r="AK543" t="b">
        <v>0</v>
      </c>
      <c r="AL543">
        <v>61438.275000000001</v>
      </c>
      <c r="AM543" t="b">
        <v>0</v>
      </c>
      <c r="AN543">
        <v>0</v>
      </c>
      <c r="AO543" t="b">
        <v>0</v>
      </c>
      <c r="AQ543">
        <v>3891153399</v>
      </c>
      <c r="AR543">
        <v>3891153399</v>
      </c>
      <c r="AS543">
        <v>0</v>
      </c>
      <c r="AT543" t="b">
        <v>0</v>
      </c>
      <c r="AU543" t="b">
        <v>1</v>
      </c>
      <c r="AV543" t="b">
        <v>1</v>
      </c>
      <c r="AW543" t="b">
        <v>1</v>
      </c>
      <c r="BC543" t="str">
        <f t="shared" si="8"/>
        <v>Normal</v>
      </c>
    </row>
    <row r="544" spans="1:55" x14ac:dyDescent="0.2">
      <c r="A544" t="s">
        <v>39</v>
      </c>
      <c r="B544" t="s">
        <v>40</v>
      </c>
      <c r="C544">
        <v>20230101</v>
      </c>
      <c r="D544">
        <v>2023</v>
      </c>
      <c r="E544">
        <v>52</v>
      </c>
      <c r="F544" t="s">
        <v>354</v>
      </c>
      <c r="G544">
        <v>170</v>
      </c>
      <c r="H544" t="s">
        <v>100</v>
      </c>
      <c r="I544" t="s">
        <v>101</v>
      </c>
      <c r="J544" t="s">
        <v>44</v>
      </c>
      <c r="K544" t="s">
        <v>45</v>
      </c>
      <c r="L544">
        <v>0</v>
      </c>
      <c r="M544" t="s">
        <v>46</v>
      </c>
      <c r="N544" t="s">
        <v>47</v>
      </c>
      <c r="O544">
        <v>0</v>
      </c>
      <c r="P544" t="s">
        <v>46</v>
      </c>
      <c r="Q544" t="s">
        <v>47</v>
      </c>
      <c r="R544" t="s">
        <v>347</v>
      </c>
      <c r="S544" t="s">
        <v>49</v>
      </c>
      <c r="T544" t="b">
        <v>1</v>
      </c>
      <c r="U544" t="s">
        <v>50</v>
      </c>
      <c r="V544" t="s">
        <v>51</v>
      </c>
      <c r="W544">
        <v>4</v>
      </c>
      <c r="X544" t="b">
        <v>0</v>
      </c>
      <c r="Y544" t="s">
        <v>52</v>
      </c>
      <c r="Z544" t="s">
        <v>53</v>
      </c>
      <c r="AA544" t="s">
        <v>54</v>
      </c>
      <c r="AB544">
        <v>0</v>
      </c>
      <c r="AC544" t="s">
        <v>55</v>
      </c>
      <c r="AD544">
        <v>8</v>
      </c>
      <c r="AE544" t="s">
        <v>56</v>
      </c>
      <c r="AF544">
        <v>71704.789999999994</v>
      </c>
      <c r="AG544" t="b">
        <v>0</v>
      </c>
      <c r="AH544">
        <v>8</v>
      </c>
      <c r="AI544" t="s">
        <v>56</v>
      </c>
      <c r="AJ544">
        <v>71704.789999999994</v>
      </c>
      <c r="AK544" t="b">
        <v>0</v>
      </c>
      <c r="AL544" s="1">
        <v>71704.789999999994</v>
      </c>
      <c r="AM544" t="b">
        <v>0</v>
      </c>
      <c r="AN544">
        <v>0</v>
      </c>
      <c r="AO544" t="b">
        <v>0</v>
      </c>
      <c r="AQ544">
        <v>3403928661.75</v>
      </c>
      <c r="AR544">
        <v>3403928661.75</v>
      </c>
      <c r="AS544">
        <v>0</v>
      </c>
      <c r="AT544" t="b">
        <v>0</v>
      </c>
      <c r="AU544" t="b">
        <v>1</v>
      </c>
      <c r="AV544" t="b">
        <v>1</v>
      </c>
      <c r="AW544" t="b">
        <v>1</v>
      </c>
      <c r="BC544" t="str">
        <f t="shared" si="8"/>
        <v>Outlier</v>
      </c>
    </row>
    <row r="545" spans="1:55" x14ac:dyDescent="0.2">
      <c r="A545" t="s">
        <v>39</v>
      </c>
      <c r="B545" t="s">
        <v>40</v>
      </c>
      <c r="C545">
        <v>20230101</v>
      </c>
      <c r="D545">
        <v>2023</v>
      </c>
      <c r="E545">
        <v>52</v>
      </c>
      <c r="F545" t="s">
        <v>354</v>
      </c>
      <c r="G545">
        <v>180</v>
      </c>
      <c r="H545" t="s">
        <v>104</v>
      </c>
      <c r="I545" t="s">
        <v>105</v>
      </c>
      <c r="J545" t="s">
        <v>44</v>
      </c>
      <c r="K545" t="s">
        <v>45</v>
      </c>
      <c r="L545">
        <v>0</v>
      </c>
      <c r="M545" t="s">
        <v>46</v>
      </c>
      <c r="N545" t="s">
        <v>47</v>
      </c>
      <c r="O545">
        <v>0</v>
      </c>
      <c r="P545" t="s">
        <v>46</v>
      </c>
      <c r="Q545" t="s">
        <v>47</v>
      </c>
      <c r="R545" t="s">
        <v>95</v>
      </c>
      <c r="S545" t="s">
        <v>49</v>
      </c>
      <c r="T545" t="b">
        <v>1</v>
      </c>
      <c r="U545" t="s">
        <v>50</v>
      </c>
      <c r="V545" t="s">
        <v>51</v>
      </c>
      <c r="W545">
        <v>4</v>
      </c>
      <c r="X545" t="b">
        <v>0</v>
      </c>
      <c r="Y545" t="s">
        <v>52</v>
      </c>
      <c r="Z545" t="s">
        <v>53</v>
      </c>
      <c r="AA545" t="s">
        <v>54</v>
      </c>
      <c r="AB545">
        <v>0</v>
      </c>
      <c r="AC545" t="s">
        <v>55</v>
      </c>
      <c r="AD545">
        <v>8</v>
      </c>
      <c r="AE545" t="s">
        <v>56</v>
      </c>
      <c r="AF545">
        <v>26646.031999999999</v>
      </c>
      <c r="AG545" t="b">
        <v>1</v>
      </c>
      <c r="AH545">
        <v>-1</v>
      </c>
      <c r="AI545" t="s">
        <v>64</v>
      </c>
      <c r="AJ545">
        <v>0</v>
      </c>
      <c r="AK545" t="b">
        <v>0</v>
      </c>
      <c r="AL545">
        <v>26646.031999999999</v>
      </c>
      <c r="AM545" t="b">
        <v>1</v>
      </c>
      <c r="AN545">
        <v>0</v>
      </c>
      <c r="AO545" t="b">
        <v>0</v>
      </c>
      <c r="AQ545">
        <v>1327514937.096</v>
      </c>
      <c r="AR545">
        <v>1327514937.096</v>
      </c>
      <c r="AS545">
        <v>6</v>
      </c>
      <c r="AT545" t="b">
        <v>0</v>
      </c>
      <c r="AU545" t="b">
        <v>1</v>
      </c>
      <c r="AV545" t="b">
        <v>1</v>
      </c>
      <c r="AW545" t="b">
        <v>1</v>
      </c>
      <c r="BC545" t="str">
        <f t="shared" si="8"/>
        <v>Normal</v>
      </c>
    </row>
    <row r="546" spans="1:55" x14ac:dyDescent="0.2">
      <c r="A546" t="s">
        <v>39</v>
      </c>
      <c r="B546" t="s">
        <v>40</v>
      </c>
      <c r="C546">
        <v>20230101</v>
      </c>
      <c r="D546">
        <v>2023</v>
      </c>
      <c r="E546">
        <v>52</v>
      </c>
      <c r="F546" t="s">
        <v>354</v>
      </c>
      <c r="G546">
        <v>188</v>
      </c>
      <c r="H546" t="s">
        <v>106</v>
      </c>
      <c r="I546" t="s">
        <v>107</v>
      </c>
      <c r="J546" t="s">
        <v>44</v>
      </c>
      <c r="K546" t="s">
        <v>45</v>
      </c>
      <c r="L546">
        <v>0</v>
      </c>
      <c r="M546" t="s">
        <v>46</v>
      </c>
      <c r="N546" t="s">
        <v>47</v>
      </c>
      <c r="O546">
        <v>0</v>
      </c>
      <c r="P546" t="s">
        <v>46</v>
      </c>
      <c r="Q546" t="s">
        <v>47</v>
      </c>
      <c r="R546" t="s">
        <v>347</v>
      </c>
      <c r="S546" t="s">
        <v>49</v>
      </c>
      <c r="T546" t="b">
        <v>1</v>
      </c>
      <c r="U546" t="s">
        <v>50</v>
      </c>
      <c r="V546" t="s">
        <v>51</v>
      </c>
      <c r="W546">
        <v>4</v>
      </c>
      <c r="X546" t="b">
        <v>0</v>
      </c>
      <c r="Y546" t="s">
        <v>52</v>
      </c>
      <c r="Z546" t="s">
        <v>53</v>
      </c>
      <c r="AA546" t="s">
        <v>54</v>
      </c>
      <c r="AB546">
        <v>0</v>
      </c>
      <c r="AC546" t="s">
        <v>55</v>
      </c>
      <c r="AD546">
        <v>8</v>
      </c>
      <c r="AE546" t="s">
        <v>56</v>
      </c>
      <c r="AF546">
        <v>656.59</v>
      </c>
      <c r="AG546" t="b">
        <v>0</v>
      </c>
      <c r="AH546">
        <v>8</v>
      </c>
      <c r="AI546" t="s">
        <v>56</v>
      </c>
      <c r="AJ546">
        <v>656.59</v>
      </c>
      <c r="AK546" t="b">
        <v>0</v>
      </c>
      <c r="AL546">
        <v>656.59</v>
      </c>
      <c r="AM546" t="b">
        <v>0</v>
      </c>
      <c r="AN546">
        <v>0</v>
      </c>
      <c r="AO546" t="b">
        <v>0</v>
      </c>
      <c r="AQ546">
        <v>18752898</v>
      </c>
      <c r="AR546">
        <v>18752898</v>
      </c>
      <c r="AS546">
        <v>0</v>
      </c>
      <c r="AT546" t="b">
        <v>0</v>
      </c>
      <c r="AU546" t="b">
        <v>1</v>
      </c>
      <c r="AV546" t="b">
        <v>1</v>
      </c>
      <c r="AW546" t="b">
        <v>1</v>
      </c>
      <c r="BC546" t="str">
        <f t="shared" si="8"/>
        <v>Normal</v>
      </c>
    </row>
    <row r="547" spans="1:55" x14ac:dyDescent="0.2">
      <c r="A547" t="s">
        <v>39</v>
      </c>
      <c r="B547" t="s">
        <v>40</v>
      </c>
      <c r="C547">
        <v>20230101</v>
      </c>
      <c r="D547">
        <v>2023</v>
      </c>
      <c r="E547">
        <v>52</v>
      </c>
      <c r="F547" t="s">
        <v>354</v>
      </c>
      <c r="G547">
        <v>191</v>
      </c>
      <c r="H547" t="s">
        <v>108</v>
      </c>
      <c r="I547" t="s">
        <v>109</v>
      </c>
      <c r="J547" t="s">
        <v>44</v>
      </c>
      <c r="K547" t="s">
        <v>45</v>
      </c>
      <c r="L547">
        <v>0</v>
      </c>
      <c r="M547" t="s">
        <v>46</v>
      </c>
      <c r="N547" t="s">
        <v>47</v>
      </c>
      <c r="O547">
        <v>0</v>
      </c>
      <c r="P547" t="s">
        <v>46</v>
      </c>
      <c r="Q547" t="s">
        <v>47</v>
      </c>
      <c r="R547" t="s">
        <v>347</v>
      </c>
      <c r="S547" t="s">
        <v>49</v>
      </c>
      <c r="T547" t="b">
        <v>1</v>
      </c>
      <c r="U547" t="s">
        <v>50</v>
      </c>
      <c r="V547" t="s">
        <v>51</v>
      </c>
      <c r="W547">
        <v>4</v>
      </c>
      <c r="X547" t="b">
        <v>0</v>
      </c>
      <c r="Y547" t="s">
        <v>52</v>
      </c>
      <c r="Z547" t="s">
        <v>53</v>
      </c>
      <c r="AA547" t="s">
        <v>54</v>
      </c>
      <c r="AB547">
        <v>0</v>
      </c>
      <c r="AC547" t="s">
        <v>55</v>
      </c>
      <c r="AD547">
        <v>8</v>
      </c>
      <c r="AE547" t="s">
        <v>56</v>
      </c>
      <c r="AF547">
        <v>1192.692</v>
      </c>
      <c r="AG547" t="b">
        <v>0</v>
      </c>
      <c r="AH547">
        <v>15</v>
      </c>
      <c r="AI547" t="s">
        <v>59</v>
      </c>
      <c r="AJ547">
        <v>1192692.08</v>
      </c>
      <c r="AK547" t="b">
        <v>0</v>
      </c>
      <c r="AL547">
        <v>1208.1420000000001</v>
      </c>
      <c r="AM547" t="b">
        <v>0</v>
      </c>
      <c r="AN547">
        <v>0</v>
      </c>
      <c r="AO547" t="b">
        <v>0</v>
      </c>
      <c r="AQ547">
        <v>68051855</v>
      </c>
      <c r="AR547">
        <v>68051855</v>
      </c>
      <c r="AS547">
        <v>0</v>
      </c>
      <c r="AT547" t="b">
        <v>0</v>
      </c>
      <c r="AU547" t="b">
        <v>1</v>
      </c>
      <c r="AV547" t="b">
        <v>1</v>
      </c>
      <c r="AW547" t="b">
        <v>1</v>
      </c>
      <c r="BC547" t="str">
        <f t="shared" si="8"/>
        <v>Normal</v>
      </c>
    </row>
    <row r="548" spans="1:55" x14ac:dyDescent="0.2">
      <c r="A548" t="s">
        <v>39</v>
      </c>
      <c r="B548" t="s">
        <v>40</v>
      </c>
      <c r="C548">
        <v>20230101</v>
      </c>
      <c r="D548">
        <v>2023</v>
      </c>
      <c r="E548">
        <v>52</v>
      </c>
      <c r="F548" t="s">
        <v>354</v>
      </c>
      <c r="G548">
        <v>196</v>
      </c>
      <c r="H548" t="s">
        <v>112</v>
      </c>
      <c r="I548" t="s">
        <v>113</v>
      </c>
      <c r="J548" t="s">
        <v>44</v>
      </c>
      <c r="K548" t="s">
        <v>45</v>
      </c>
      <c r="L548">
        <v>0</v>
      </c>
      <c r="M548" t="s">
        <v>46</v>
      </c>
      <c r="N548" t="s">
        <v>47</v>
      </c>
      <c r="O548">
        <v>0</v>
      </c>
      <c r="P548" t="s">
        <v>46</v>
      </c>
      <c r="Q548" t="s">
        <v>47</v>
      </c>
      <c r="R548" t="s">
        <v>347</v>
      </c>
      <c r="S548" t="s">
        <v>49</v>
      </c>
      <c r="T548" t="b">
        <v>1</v>
      </c>
      <c r="U548" t="s">
        <v>50</v>
      </c>
      <c r="V548" t="s">
        <v>51</v>
      </c>
      <c r="W548">
        <v>4</v>
      </c>
      <c r="X548" t="b">
        <v>0</v>
      </c>
      <c r="Y548" t="s">
        <v>52</v>
      </c>
      <c r="Z548" t="s">
        <v>53</v>
      </c>
      <c r="AA548" t="s">
        <v>54</v>
      </c>
      <c r="AB548">
        <v>0</v>
      </c>
      <c r="AC548" t="s">
        <v>55</v>
      </c>
      <c r="AD548">
        <v>8</v>
      </c>
      <c r="AE548" t="s">
        <v>56</v>
      </c>
      <c r="AF548">
        <v>204.857</v>
      </c>
      <c r="AG548" t="b">
        <v>1</v>
      </c>
      <c r="AH548">
        <v>-1</v>
      </c>
      <c r="AI548" t="s">
        <v>64</v>
      </c>
      <c r="AJ548">
        <v>0</v>
      </c>
      <c r="AK548" t="b">
        <v>0</v>
      </c>
      <c r="AM548" t="b">
        <v>0</v>
      </c>
      <c r="AN548">
        <v>0</v>
      </c>
      <c r="AO548" t="b">
        <v>0</v>
      </c>
      <c r="AQ548">
        <v>9585197.625</v>
      </c>
      <c r="AR548">
        <v>9585197.625</v>
      </c>
      <c r="AS548">
        <v>2</v>
      </c>
      <c r="AT548" t="b">
        <v>0</v>
      </c>
      <c r="AU548" t="b">
        <v>1</v>
      </c>
      <c r="AV548" t="b">
        <v>1</v>
      </c>
      <c r="AW548" t="b">
        <v>1</v>
      </c>
      <c r="BC548" t="str">
        <f t="shared" si="8"/>
        <v>Normal</v>
      </c>
    </row>
    <row r="549" spans="1:55" x14ac:dyDescent="0.2">
      <c r="A549" t="s">
        <v>39</v>
      </c>
      <c r="B549" t="s">
        <v>40</v>
      </c>
      <c r="C549">
        <v>20230101</v>
      </c>
      <c r="D549">
        <v>2023</v>
      </c>
      <c r="E549">
        <v>52</v>
      </c>
      <c r="F549" t="s">
        <v>354</v>
      </c>
      <c r="G549">
        <v>203</v>
      </c>
      <c r="H549" t="s">
        <v>114</v>
      </c>
      <c r="I549" t="s">
        <v>115</v>
      </c>
      <c r="J549" t="s">
        <v>44</v>
      </c>
      <c r="K549" t="s">
        <v>45</v>
      </c>
      <c r="L549">
        <v>0</v>
      </c>
      <c r="M549" t="s">
        <v>46</v>
      </c>
      <c r="N549" t="s">
        <v>47</v>
      </c>
      <c r="O549">
        <v>0</v>
      </c>
      <c r="P549" t="s">
        <v>46</v>
      </c>
      <c r="Q549" t="s">
        <v>47</v>
      </c>
      <c r="R549" t="s">
        <v>347</v>
      </c>
      <c r="S549" t="s">
        <v>49</v>
      </c>
      <c r="T549" t="b">
        <v>1</v>
      </c>
      <c r="U549" t="s">
        <v>50</v>
      </c>
      <c r="V549" t="s">
        <v>51</v>
      </c>
      <c r="W549">
        <v>4</v>
      </c>
      <c r="X549" t="b">
        <v>0</v>
      </c>
      <c r="Y549" t="s">
        <v>52</v>
      </c>
      <c r="Z549" t="s">
        <v>53</v>
      </c>
      <c r="AA549" t="s">
        <v>54</v>
      </c>
      <c r="AB549">
        <v>0</v>
      </c>
      <c r="AC549" t="s">
        <v>55</v>
      </c>
      <c r="AD549">
        <v>8</v>
      </c>
      <c r="AE549" t="s">
        <v>56</v>
      </c>
      <c r="AF549">
        <v>3005.5390000000002</v>
      </c>
      <c r="AG549" t="b">
        <v>1</v>
      </c>
      <c r="AH549">
        <v>-1</v>
      </c>
      <c r="AI549" t="s">
        <v>64</v>
      </c>
      <c r="AJ549">
        <v>0</v>
      </c>
      <c r="AK549" t="b">
        <v>0</v>
      </c>
      <c r="AL549">
        <v>3001.136</v>
      </c>
      <c r="AM549" t="b">
        <v>1</v>
      </c>
      <c r="AN549">
        <v>0</v>
      </c>
      <c r="AO549" t="b">
        <v>0</v>
      </c>
      <c r="AQ549">
        <v>97727941</v>
      </c>
      <c r="AR549">
        <v>97727941</v>
      </c>
      <c r="AS549">
        <v>6</v>
      </c>
      <c r="AT549" t="b">
        <v>0</v>
      </c>
      <c r="AU549" t="b">
        <v>1</v>
      </c>
      <c r="AV549" t="b">
        <v>1</v>
      </c>
      <c r="AW549" t="b">
        <v>1</v>
      </c>
      <c r="BC549" t="str">
        <f t="shared" si="8"/>
        <v>Normal</v>
      </c>
    </row>
    <row r="550" spans="1:55" x14ac:dyDescent="0.2">
      <c r="A550" t="s">
        <v>39</v>
      </c>
      <c r="B550" t="s">
        <v>40</v>
      </c>
      <c r="C550">
        <v>20230101</v>
      </c>
      <c r="D550">
        <v>2023</v>
      </c>
      <c r="E550">
        <v>52</v>
      </c>
      <c r="F550" t="s">
        <v>354</v>
      </c>
      <c r="G550">
        <v>204</v>
      </c>
      <c r="H550" t="s">
        <v>116</v>
      </c>
      <c r="I550" t="s">
        <v>117</v>
      </c>
      <c r="J550" t="s">
        <v>44</v>
      </c>
      <c r="K550" t="s">
        <v>45</v>
      </c>
      <c r="L550">
        <v>0</v>
      </c>
      <c r="M550" t="s">
        <v>46</v>
      </c>
      <c r="N550" t="s">
        <v>47</v>
      </c>
      <c r="O550">
        <v>0</v>
      </c>
      <c r="P550" t="s">
        <v>46</v>
      </c>
      <c r="Q550" t="s">
        <v>47</v>
      </c>
      <c r="R550" t="s">
        <v>347</v>
      </c>
      <c r="S550" t="s">
        <v>49</v>
      </c>
      <c r="T550" t="b">
        <v>1</v>
      </c>
      <c r="U550" t="s">
        <v>50</v>
      </c>
      <c r="V550" t="s">
        <v>51</v>
      </c>
      <c r="W550">
        <v>4</v>
      </c>
      <c r="X550" t="b">
        <v>0</v>
      </c>
      <c r="Y550" t="s">
        <v>52</v>
      </c>
      <c r="Z550" t="s">
        <v>53</v>
      </c>
      <c r="AA550" t="s">
        <v>54</v>
      </c>
      <c r="AB550">
        <v>0</v>
      </c>
      <c r="AC550" t="s">
        <v>55</v>
      </c>
      <c r="AD550">
        <v>8</v>
      </c>
      <c r="AE550" t="s">
        <v>56</v>
      </c>
      <c r="AF550">
        <v>3544</v>
      </c>
      <c r="AG550" t="b">
        <v>0</v>
      </c>
      <c r="AH550">
        <v>8</v>
      </c>
      <c r="AI550" t="s">
        <v>56</v>
      </c>
      <c r="AJ550">
        <v>3544</v>
      </c>
      <c r="AK550" t="b">
        <v>0</v>
      </c>
      <c r="AL550">
        <v>3544</v>
      </c>
      <c r="AM550" t="b">
        <v>0</v>
      </c>
      <c r="AN550">
        <v>0</v>
      </c>
      <c r="AO550" t="b">
        <v>0</v>
      </c>
      <c r="AQ550">
        <v>5841743.3329999996</v>
      </c>
      <c r="AR550">
        <v>5841743.3329999996</v>
      </c>
      <c r="AS550">
        <v>0</v>
      </c>
      <c r="AT550" t="b">
        <v>0</v>
      </c>
      <c r="AU550" t="b">
        <v>1</v>
      </c>
      <c r="AV550" t="b">
        <v>1</v>
      </c>
      <c r="AW550" t="b">
        <v>1</v>
      </c>
      <c r="BC550" t="str">
        <f t="shared" si="8"/>
        <v>Normal</v>
      </c>
    </row>
    <row r="551" spans="1:55" x14ac:dyDescent="0.2">
      <c r="A551" t="s">
        <v>39</v>
      </c>
      <c r="B551" t="s">
        <v>40</v>
      </c>
      <c r="C551">
        <v>20230101</v>
      </c>
      <c r="D551">
        <v>2023</v>
      </c>
      <c r="E551">
        <v>52</v>
      </c>
      <c r="F551" t="s">
        <v>354</v>
      </c>
      <c r="G551">
        <v>208</v>
      </c>
      <c r="H551" t="s">
        <v>118</v>
      </c>
      <c r="I551" t="s">
        <v>119</v>
      </c>
      <c r="J551" t="s">
        <v>44</v>
      </c>
      <c r="K551" t="s">
        <v>45</v>
      </c>
      <c r="L551">
        <v>0</v>
      </c>
      <c r="M551" t="s">
        <v>46</v>
      </c>
      <c r="N551" t="s">
        <v>47</v>
      </c>
      <c r="O551">
        <v>0</v>
      </c>
      <c r="P551" t="s">
        <v>46</v>
      </c>
      <c r="Q551" t="s">
        <v>47</v>
      </c>
      <c r="R551" t="s">
        <v>347</v>
      </c>
      <c r="S551" t="s">
        <v>49</v>
      </c>
      <c r="T551" t="b">
        <v>1</v>
      </c>
      <c r="U551" t="s">
        <v>50</v>
      </c>
      <c r="V551" t="s">
        <v>51</v>
      </c>
      <c r="W551">
        <v>4</v>
      </c>
      <c r="X551" t="b">
        <v>0</v>
      </c>
      <c r="Y551" t="s">
        <v>52</v>
      </c>
      <c r="Z551" t="s">
        <v>53</v>
      </c>
      <c r="AA551" t="s">
        <v>54</v>
      </c>
      <c r="AB551">
        <v>0</v>
      </c>
      <c r="AC551" t="s">
        <v>55</v>
      </c>
      <c r="AD551">
        <v>8</v>
      </c>
      <c r="AE551" t="s">
        <v>56</v>
      </c>
      <c r="AF551">
        <v>483.87400000000002</v>
      </c>
      <c r="AG551" t="b">
        <v>0</v>
      </c>
      <c r="AH551">
        <v>15</v>
      </c>
      <c r="AI551" t="s">
        <v>59</v>
      </c>
      <c r="AJ551">
        <v>100411874</v>
      </c>
      <c r="AK551" t="b">
        <v>0</v>
      </c>
      <c r="AM551" t="b">
        <v>0</v>
      </c>
      <c r="AN551">
        <v>0</v>
      </c>
      <c r="AO551" t="b">
        <v>0</v>
      </c>
      <c r="AQ551">
        <v>19758453.344999999</v>
      </c>
      <c r="AR551">
        <v>19758453.344999999</v>
      </c>
      <c r="AS551">
        <v>0</v>
      </c>
      <c r="AT551" t="b">
        <v>0</v>
      </c>
      <c r="AU551" t="b">
        <v>1</v>
      </c>
      <c r="AV551" t="b">
        <v>1</v>
      </c>
      <c r="AW551" t="b">
        <v>1</v>
      </c>
      <c r="BC551" t="str">
        <f t="shared" si="8"/>
        <v>Normal</v>
      </c>
    </row>
    <row r="552" spans="1:55" x14ac:dyDescent="0.2">
      <c r="A552" t="s">
        <v>39</v>
      </c>
      <c r="B552" t="s">
        <v>40</v>
      </c>
      <c r="C552">
        <v>20230101</v>
      </c>
      <c r="D552">
        <v>2023</v>
      </c>
      <c r="E552">
        <v>52</v>
      </c>
      <c r="F552" t="s">
        <v>354</v>
      </c>
      <c r="G552">
        <v>214</v>
      </c>
      <c r="H552" t="s">
        <v>120</v>
      </c>
      <c r="I552" t="s">
        <v>121</v>
      </c>
      <c r="J552" t="s">
        <v>44</v>
      </c>
      <c r="K552" t="s">
        <v>45</v>
      </c>
      <c r="L552">
        <v>0</v>
      </c>
      <c r="M552" t="s">
        <v>46</v>
      </c>
      <c r="N552" t="s">
        <v>47</v>
      </c>
      <c r="O552">
        <v>0</v>
      </c>
      <c r="P552" t="s">
        <v>46</v>
      </c>
      <c r="Q552" t="s">
        <v>47</v>
      </c>
      <c r="R552" t="s">
        <v>347</v>
      </c>
      <c r="S552" t="s">
        <v>49</v>
      </c>
      <c r="T552" t="b">
        <v>1</v>
      </c>
      <c r="U552" t="s">
        <v>50</v>
      </c>
      <c r="V552" t="s">
        <v>51</v>
      </c>
      <c r="W552">
        <v>4</v>
      </c>
      <c r="X552" t="b">
        <v>0</v>
      </c>
      <c r="Y552" t="s">
        <v>52</v>
      </c>
      <c r="Z552" t="s">
        <v>53</v>
      </c>
      <c r="AA552" t="s">
        <v>54</v>
      </c>
      <c r="AB552">
        <v>0</v>
      </c>
      <c r="AC552" t="s">
        <v>55</v>
      </c>
      <c r="AD552">
        <v>8</v>
      </c>
      <c r="AE552" t="s">
        <v>56</v>
      </c>
      <c r="AF552">
        <v>67272.543000000005</v>
      </c>
      <c r="AG552" t="b">
        <v>1</v>
      </c>
      <c r="AH552">
        <v>-1</v>
      </c>
      <c r="AI552" t="s">
        <v>64</v>
      </c>
      <c r="AJ552">
        <v>0</v>
      </c>
      <c r="AK552" t="b">
        <v>0</v>
      </c>
      <c r="AL552" s="1">
        <v>67272.543000000005</v>
      </c>
      <c r="AM552" t="b">
        <v>1</v>
      </c>
      <c r="AN552">
        <v>0</v>
      </c>
      <c r="AO552" t="b">
        <v>0</v>
      </c>
      <c r="AQ552">
        <v>1175036600.721</v>
      </c>
      <c r="AR552">
        <v>1175036600.721</v>
      </c>
      <c r="AS552">
        <v>6</v>
      </c>
      <c r="AT552" t="b">
        <v>0</v>
      </c>
      <c r="AU552" t="b">
        <v>1</v>
      </c>
      <c r="AV552" t="b">
        <v>1</v>
      </c>
      <c r="AW552" t="b">
        <v>1</v>
      </c>
      <c r="BC552" t="str">
        <f t="shared" si="8"/>
        <v>Outlier</v>
      </c>
    </row>
    <row r="553" spans="1:55" x14ac:dyDescent="0.2">
      <c r="A553" t="s">
        <v>39</v>
      </c>
      <c r="B553" t="s">
        <v>40</v>
      </c>
      <c r="C553">
        <v>20230101</v>
      </c>
      <c r="D553">
        <v>2023</v>
      </c>
      <c r="E553">
        <v>52</v>
      </c>
      <c r="F553" t="s">
        <v>354</v>
      </c>
      <c r="G553">
        <v>218</v>
      </c>
      <c r="H553" t="s">
        <v>122</v>
      </c>
      <c r="I553" t="s">
        <v>123</v>
      </c>
      <c r="J553" t="s">
        <v>44</v>
      </c>
      <c r="K553" t="s">
        <v>45</v>
      </c>
      <c r="L553">
        <v>0</v>
      </c>
      <c r="M553" t="s">
        <v>46</v>
      </c>
      <c r="N553" t="s">
        <v>47</v>
      </c>
      <c r="O553">
        <v>0</v>
      </c>
      <c r="P553" t="s">
        <v>46</v>
      </c>
      <c r="Q553" t="s">
        <v>47</v>
      </c>
      <c r="R553" t="s">
        <v>347</v>
      </c>
      <c r="S553" t="s">
        <v>49</v>
      </c>
      <c r="T553" t="b">
        <v>1</v>
      </c>
      <c r="U553" t="s">
        <v>50</v>
      </c>
      <c r="V553" t="s">
        <v>51</v>
      </c>
      <c r="W553">
        <v>4</v>
      </c>
      <c r="X553" t="b">
        <v>0</v>
      </c>
      <c r="Y553" t="s">
        <v>52</v>
      </c>
      <c r="Z553" t="s">
        <v>53</v>
      </c>
      <c r="AA553" t="s">
        <v>54</v>
      </c>
      <c r="AB553">
        <v>0</v>
      </c>
      <c r="AC553" t="s">
        <v>55</v>
      </c>
      <c r="AD553">
        <v>-1</v>
      </c>
      <c r="AE553" t="s">
        <v>64</v>
      </c>
      <c r="AF553">
        <v>0</v>
      </c>
      <c r="AG553" t="b">
        <v>0</v>
      </c>
      <c r="AH553">
        <v>-1</v>
      </c>
      <c r="AI553" t="s">
        <v>64</v>
      </c>
      <c r="AJ553">
        <v>0</v>
      </c>
      <c r="AK553" t="b">
        <v>0</v>
      </c>
      <c r="AM553" t="b">
        <v>0</v>
      </c>
      <c r="AN553">
        <v>0</v>
      </c>
      <c r="AO553" t="b">
        <v>0</v>
      </c>
      <c r="AQ553">
        <v>1390803407.9000001</v>
      </c>
      <c r="AR553">
        <v>1390803407.9000001</v>
      </c>
      <c r="AS553">
        <v>0</v>
      </c>
      <c r="AT553" t="b">
        <v>0</v>
      </c>
      <c r="AU553" t="b">
        <v>1</v>
      </c>
      <c r="AV553" t="b">
        <v>1</v>
      </c>
      <c r="AW553" t="b">
        <v>1</v>
      </c>
      <c r="BC553" t="str">
        <f t="shared" si="8"/>
        <v>Normal</v>
      </c>
    </row>
    <row r="554" spans="1:55" x14ac:dyDescent="0.2">
      <c r="A554" t="s">
        <v>39</v>
      </c>
      <c r="B554" t="s">
        <v>40</v>
      </c>
      <c r="C554">
        <v>20230101</v>
      </c>
      <c r="D554">
        <v>2023</v>
      </c>
      <c r="E554">
        <v>52</v>
      </c>
      <c r="F554" t="s">
        <v>354</v>
      </c>
      <c r="G554">
        <v>233</v>
      </c>
      <c r="H554" t="s">
        <v>124</v>
      </c>
      <c r="I554" t="s">
        <v>125</v>
      </c>
      <c r="J554" t="s">
        <v>44</v>
      </c>
      <c r="K554" t="s">
        <v>45</v>
      </c>
      <c r="L554">
        <v>0</v>
      </c>
      <c r="M554" t="s">
        <v>46</v>
      </c>
      <c r="N554" t="s">
        <v>47</v>
      </c>
      <c r="O554">
        <v>0</v>
      </c>
      <c r="P554" t="s">
        <v>46</v>
      </c>
      <c r="Q554" t="s">
        <v>47</v>
      </c>
      <c r="R554" t="s">
        <v>347</v>
      </c>
      <c r="S554" t="s">
        <v>49</v>
      </c>
      <c r="T554" t="b">
        <v>1</v>
      </c>
      <c r="U554" t="s">
        <v>50</v>
      </c>
      <c r="V554" t="s">
        <v>51</v>
      </c>
      <c r="W554">
        <v>4</v>
      </c>
      <c r="X554" t="b">
        <v>0</v>
      </c>
      <c r="Y554" t="s">
        <v>52</v>
      </c>
      <c r="Z554" t="s">
        <v>53</v>
      </c>
      <c r="AA554" t="s">
        <v>54</v>
      </c>
      <c r="AB554">
        <v>0</v>
      </c>
      <c r="AC554" t="s">
        <v>55</v>
      </c>
      <c r="AD554">
        <v>8</v>
      </c>
      <c r="AE554" t="s">
        <v>56</v>
      </c>
      <c r="AF554">
        <v>1674.3019999999999</v>
      </c>
      <c r="AG554" t="b">
        <v>0</v>
      </c>
      <c r="AH554">
        <v>15</v>
      </c>
      <c r="AI554" t="s">
        <v>59</v>
      </c>
      <c r="AJ554">
        <v>1674302.284</v>
      </c>
      <c r="AK554" t="b">
        <v>0</v>
      </c>
      <c r="AL554">
        <v>1674.2629999999999</v>
      </c>
      <c r="AM554" t="b">
        <v>0</v>
      </c>
      <c r="AN554">
        <v>0</v>
      </c>
      <c r="AO554" t="b">
        <v>0</v>
      </c>
      <c r="AQ554">
        <v>103577003.27</v>
      </c>
      <c r="AR554">
        <v>103577003.27</v>
      </c>
      <c r="AS554">
        <v>0</v>
      </c>
      <c r="AT554" t="b">
        <v>0</v>
      </c>
      <c r="AU554" t="b">
        <v>1</v>
      </c>
      <c r="AV554" t="b">
        <v>1</v>
      </c>
      <c r="AW554" t="b">
        <v>1</v>
      </c>
      <c r="BC554" t="str">
        <f t="shared" si="8"/>
        <v>Normal</v>
      </c>
    </row>
    <row r="555" spans="1:55" x14ac:dyDescent="0.2">
      <c r="A555" t="s">
        <v>39</v>
      </c>
      <c r="B555" t="s">
        <v>40</v>
      </c>
      <c r="C555">
        <v>20230101</v>
      </c>
      <c r="D555">
        <v>2023</v>
      </c>
      <c r="E555">
        <v>52</v>
      </c>
      <c r="F555" t="s">
        <v>354</v>
      </c>
      <c r="G555">
        <v>242</v>
      </c>
      <c r="H555" t="s">
        <v>126</v>
      </c>
      <c r="I555" t="s">
        <v>127</v>
      </c>
      <c r="J555" t="s">
        <v>44</v>
      </c>
      <c r="K555" t="s">
        <v>45</v>
      </c>
      <c r="L555">
        <v>0</v>
      </c>
      <c r="M555" t="s">
        <v>46</v>
      </c>
      <c r="N555" t="s">
        <v>47</v>
      </c>
      <c r="O555">
        <v>0</v>
      </c>
      <c r="P555" t="s">
        <v>46</v>
      </c>
      <c r="Q555" t="s">
        <v>47</v>
      </c>
      <c r="R555" t="s">
        <v>347</v>
      </c>
      <c r="S555" t="s">
        <v>49</v>
      </c>
      <c r="T555" t="b">
        <v>1</v>
      </c>
      <c r="U555" t="s">
        <v>50</v>
      </c>
      <c r="V555" t="s">
        <v>51</v>
      </c>
      <c r="W555">
        <v>4</v>
      </c>
      <c r="X555" t="b">
        <v>0</v>
      </c>
      <c r="Y555" t="s">
        <v>52</v>
      </c>
      <c r="Z555" t="s">
        <v>53</v>
      </c>
      <c r="AA555" t="s">
        <v>54</v>
      </c>
      <c r="AB555">
        <v>0</v>
      </c>
      <c r="AC555" t="s">
        <v>55</v>
      </c>
      <c r="AD555">
        <v>-1</v>
      </c>
      <c r="AE555" t="s">
        <v>64</v>
      </c>
      <c r="AF555">
        <v>0</v>
      </c>
      <c r="AG555" t="b">
        <v>1</v>
      </c>
      <c r="AH555">
        <v>-1</v>
      </c>
      <c r="AI555" t="s">
        <v>64</v>
      </c>
      <c r="AJ555">
        <v>0</v>
      </c>
      <c r="AK555" t="b">
        <v>0</v>
      </c>
      <c r="AL555">
        <v>0</v>
      </c>
      <c r="AM555" t="b">
        <v>1</v>
      </c>
      <c r="AN555">
        <v>0</v>
      </c>
      <c r="AO555" t="b">
        <v>0</v>
      </c>
      <c r="AQ555">
        <v>43723391.817000002</v>
      </c>
      <c r="AR555">
        <v>43723391.817000002</v>
      </c>
      <c r="AS555">
        <v>6</v>
      </c>
      <c r="AT555" t="b">
        <v>0</v>
      </c>
      <c r="AU555" t="b">
        <v>1</v>
      </c>
      <c r="AV555" t="b">
        <v>1</v>
      </c>
      <c r="AW555" t="b">
        <v>1</v>
      </c>
      <c r="BC555" t="str">
        <f t="shared" si="8"/>
        <v>Normal</v>
      </c>
    </row>
    <row r="556" spans="1:55" x14ac:dyDescent="0.2">
      <c r="A556" t="s">
        <v>39</v>
      </c>
      <c r="B556" t="s">
        <v>40</v>
      </c>
      <c r="C556">
        <v>20230101</v>
      </c>
      <c r="D556">
        <v>2023</v>
      </c>
      <c r="E556">
        <v>52</v>
      </c>
      <c r="F556" t="s">
        <v>354</v>
      </c>
      <c r="G556">
        <v>246</v>
      </c>
      <c r="H556" t="s">
        <v>128</v>
      </c>
      <c r="I556" t="s">
        <v>129</v>
      </c>
      <c r="J556" t="s">
        <v>44</v>
      </c>
      <c r="K556" t="s">
        <v>45</v>
      </c>
      <c r="L556">
        <v>0</v>
      </c>
      <c r="M556" t="s">
        <v>46</v>
      </c>
      <c r="N556" t="s">
        <v>47</v>
      </c>
      <c r="O556">
        <v>0</v>
      </c>
      <c r="P556" t="s">
        <v>46</v>
      </c>
      <c r="Q556" t="s">
        <v>47</v>
      </c>
      <c r="R556" t="s">
        <v>347</v>
      </c>
      <c r="S556" t="s">
        <v>49</v>
      </c>
      <c r="T556" t="b">
        <v>1</v>
      </c>
      <c r="U556" t="s">
        <v>50</v>
      </c>
      <c r="V556" t="s">
        <v>51</v>
      </c>
      <c r="W556">
        <v>4</v>
      </c>
      <c r="X556" t="b">
        <v>0</v>
      </c>
      <c r="Y556" t="s">
        <v>52</v>
      </c>
      <c r="Z556" t="s">
        <v>53</v>
      </c>
      <c r="AA556" t="s">
        <v>54</v>
      </c>
      <c r="AB556">
        <v>0</v>
      </c>
      <c r="AC556" t="s">
        <v>55</v>
      </c>
      <c r="AD556">
        <v>8</v>
      </c>
      <c r="AE556" t="s">
        <v>56</v>
      </c>
      <c r="AF556">
        <v>121.316</v>
      </c>
      <c r="AG556" t="b">
        <v>0</v>
      </c>
      <c r="AH556">
        <v>15</v>
      </c>
      <c r="AI556" t="s">
        <v>59</v>
      </c>
      <c r="AJ556">
        <v>121316</v>
      </c>
      <c r="AK556" t="b">
        <v>0</v>
      </c>
      <c r="AL556">
        <v>125.601</v>
      </c>
      <c r="AM556" t="b">
        <v>0</v>
      </c>
      <c r="AN556">
        <v>0</v>
      </c>
      <c r="AO556" t="b">
        <v>0</v>
      </c>
      <c r="AQ556">
        <v>6588316.7539999997</v>
      </c>
      <c r="AR556">
        <v>6588316.7539999997</v>
      </c>
      <c r="AS556">
        <v>0</v>
      </c>
      <c r="AT556" t="b">
        <v>0</v>
      </c>
      <c r="AU556" t="b">
        <v>1</v>
      </c>
      <c r="AV556" t="b">
        <v>1</v>
      </c>
      <c r="AW556" t="b">
        <v>1</v>
      </c>
      <c r="BC556" t="str">
        <f t="shared" si="8"/>
        <v>Normal</v>
      </c>
    </row>
    <row r="557" spans="1:55" x14ac:dyDescent="0.2">
      <c r="A557" t="s">
        <v>39</v>
      </c>
      <c r="B557" t="s">
        <v>40</v>
      </c>
      <c r="C557">
        <v>20230101</v>
      </c>
      <c r="D557">
        <v>2023</v>
      </c>
      <c r="E557">
        <v>52</v>
      </c>
      <c r="F557" t="s">
        <v>354</v>
      </c>
      <c r="G557">
        <v>251</v>
      </c>
      <c r="H557" t="s">
        <v>130</v>
      </c>
      <c r="I557" t="s">
        <v>131</v>
      </c>
      <c r="J557" t="s">
        <v>44</v>
      </c>
      <c r="K557" t="s">
        <v>45</v>
      </c>
      <c r="L557">
        <v>0</v>
      </c>
      <c r="M557" t="s">
        <v>46</v>
      </c>
      <c r="N557" t="s">
        <v>47</v>
      </c>
      <c r="O557">
        <v>0</v>
      </c>
      <c r="P557" t="s">
        <v>46</v>
      </c>
      <c r="Q557" t="s">
        <v>47</v>
      </c>
      <c r="R557" t="s">
        <v>347</v>
      </c>
      <c r="S557" t="s">
        <v>49</v>
      </c>
      <c r="T557" t="b">
        <v>1</v>
      </c>
      <c r="U557" t="s">
        <v>50</v>
      </c>
      <c r="V557" t="s">
        <v>51</v>
      </c>
      <c r="W557">
        <v>4</v>
      </c>
      <c r="X557" t="b">
        <v>0</v>
      </c>
      <c r="Y557" t="s">
        <v>52</v>
      </c>
      <c r="Z557" t="s">
        <v>53</v>
      </c>
      <c r="AA557" t="s">
        <v>54</v>
      </c>
      <c r="AB557">
        <v>0</v>
      </c>
      <c r="AC557" t="s">
        <v>55</v>
      </c>
      <c r="AD557">
        <v>-1</v>
      </c>
      <c r="AE557" t="s">
        <v>64</v>
      </c>
      <c r="AF557">
        <v>0</v>
      </c>
      <c r="AG557" t="b">
        <v>0</v>
      </c>
      <c r="AH557">
        <v>-1</v>
      </c>
      <c r="AI557" t="s">
        <v>64</v>
      </c>
      <c r="AJ557">
        <v>0</v>
      </c>
      <c r="AK557" t="b">
        <v>0</v>
      </c>
      <c r="AM557" t="b">
        <v>0</v>
      </c>
      <c r="AN557">
        <v>0</v>
      </c>
      <c r="AO557" t="b">
        <v>0</v>
      </c>
      <c r="AQ557">
        <v>2505934972.6659999</v>
      </c>
      <c r="AR557">
        <v>2505934972.6659999</v>
      </c>
      <c r="AS557">
        <v>0</v>
      </c>
      <c r="AT557" t="b">
        <v>0</v>
      </c>
      <c r="AU557" t="b">
        <v>1</v>
      </c>
      <c r="AV557" t="b">
        <v>1</v>
      </c>
      <c r="AW557" t="b">
        <v>1</v>
      </c>
      <c r="BC557" t="str">
        <f t="shared" si="8"/>
        <v>Normal</v>
      </c>
    </row>
    <row r="558" spans="1:55" x14ac:dyDescent="0.2">
      <c r="A558" t="s">
        <v>39</v>
      </c>
      <c r="B558" t="s">
        <v>40</v>
      </c>
      <c r="C558">
        <v>20230101</v>
      </c>
      <c r="D558">
        <v>2023</v>
      </c>
      <c r="E558">
        <v>52</v>
      </c>
      <c r="F558" t="s">
        <v>354</v>
      </c>
      <c r="G558">
        <v>258</v>
      </c>
      <c r="H558" t="s">
        <v>132</v>
      </c>
      <c r="I558" t="s">
        <v>133</v>
      </c>
      <c r="J558" t="s">
        <v>44</v>
      </c>
      <c r="K558" t="s">
        <v>45</v>
      </c>
      <c r="L558">
        <v>0</v>
      </c>
      <c r="M558" t="s">
        <v>46</v>
      </c>
      <c r="N558" t="s">
        <v>47</v>
      </c>
      <c r="O558">
        <v>0</v>
      </c>
      <c r="P558" t="s">
        <v>46</v>
      </c>
      <c r="Q558" t="s">
        <v>47</v>
      </c>
      <c r="R558" t="s">
        <v>48</v>
      </c>
      <c r="S558" t="s">
        <v>49</v>
      </c>
      <c r="T558" t="b">
        <v>1</v>
      </c>
      <c r="U558" t="s">
        <v>50</v>
      </c>
      <c r="V558" t="s">
        <v>51</v>
      </c>
      <c r="W558">
        <v>4</v>
      </c>
      <c r="X558" t="b">
        <v>0</v>
      </c>
      <c r="Y558" t="s">
        <v>52</v>
      </c>
      <c r="Z558" t="s">
        <v>53</v>
      </c>
      <c r="AA558" t="s">
        <v>54</v>
      </c>
      <c r="AB558">
        <v>0</v>
      </c>
      <c r="AC558" t="s">
        <v>55</v>
      </c>
      <c r="AD558">
        <v>8</v>
      </c>
      <c r="AE558" t="s">
        <v>56</v>
      </c>
      <c r="AF558">
        <v>8.4740000000000002</v>
      </c>
      <c r="AG558" t="b">
        <v>0</v>
      </c>
      <c r="AH558">
        <v>8</v>
      </c>
      <c r="AI558" t="s">
        <v>56</v>
      </c>
      <c r="AJ558">
        <v>8.4740000000000002</v>
      </c>
      <c r="AK558" t="b">
        <v>0</v>
      </c>
      <c r="AL558">
        <v>8.4740000000000002</v>
      </c>
      <c r="AM558" t="b">
        <v>0</v>
      </c>
      <c r="AN558">
        <v>0</v>
      </c>
      <c r="AO558" t="b">
        <v>0</v>
      </c>
      <c r="AQ558">
        <v>205107.94200000001</v>
      </c>
      <c r="AR558">
        <v>205107.94200000001</v>
      </c>
      <c r="AS558">
        <v>0</v>
      </c>
      <c r="AT558" t="b">
        <v>0</v>
      </c>
      <c r="AU558" t="b">
        <v>1</v>
      </c>
      <c r="AV558" t="b">
        <v>1</v>
      </c>
      <c r="AW558" t="b">
        <v>1</v>
      </c>
      <c r="BC558" t="str">
        <f t="shared" si="8"/>
        <v>Normal</v>
      </c>
    </row>
    <row r="559" spans="1:55" x14ac:dyDescent="0.2">
      <c r="A559" t="s">
        <v>39</v>
      </c>
      <c r="B559" t="s">
        <v>40</v>
      </c>
      <c r="C559">
        <v>20230101</v>
      </c>
      <c r="D559">
        <v>2023</v>
      </c>
      <c r="E559">
        <v>52</v>
      </c>
      <c r="F559" t="s">
        <v>354</v>
      </c>
      <c r="G559">
        <v>266</v>
      </c>
      <c r="H559" t="s">
        <v>134</v>
      </c>
      <c r="I559" t="s">
        <v>135</v>
      </c>
      <c r="J559" t="s">
        <v>44</v>
      </c>
      <c r="K559" t="s">
        <v>45</v>
      </c>
      <c r="L559">
        <v>0</v>
      </c>
      <c r="M559" t="s">
        <v>46</v>
      </c>
      <c r="N559" t="s">
        <v>47</v>
      </c>
      <c r="O559">
        <v>0</v>
      </c>
      <c r="P559" t="s">
        <v>46</v>
      </c>
      <c r="Q559" t="s">
        <v>47</v>
      </c>
      <c r="R559" t="s">
        <v>347</v>
      </c>
      <c r="S559" t="s">
        <v>49</v>
      </c>
      <c r="T559" t="b">
        <v>1</v>
      </c>
      <c r="U559" t="s">
        <v>50</v>
      </c>
      <c r="V559" t="s">
        <v>51</v>
      </c>
      <c r="W559">
        <v>4</v>
      </c>
      <c r="X559" t="b">
        <v>0</v>
      </c>
      <c r="Y559" t="s">
        <v>52</v>
      </c>
      <c r="Z559" t="s">
        <v>53</v>
      </c>
      <c r="AA559" t="s">
        <v>54</v>
      </c>
      <c r="AB559">
        <v>0</v>
      </c>
      <c r="AC559" t="s">
        <v>55</v>
      </c>
      <c r="AD559">
        <v>8</v>
      </c>
      <c r="AE559" t="s">
        <v>56</v>
      </c>
      <c r="AF559">
        <v>232</v>
      </c>
      <c r="AG559" t="b">
        <v>0</v>
      </c>
      <c r="AH559">
        <v>8</v>
      </c>
      <c r="AI559" t="s">
        <v>56</v>
      </c>
      <c r="AJ559">
        <v>232</v>
      </c>
      <c r="AK559" t="b">
        <v>0</v>
      </c>
      <c r="AL559">
        <v>232</v>
      </c>
      <c r="AM559" t="b">
        <v>0</v>
      </c>
      <c r="AN559">
        <v>0</v>
      </c>
      <c r="AO559" t="b">
        <v>0</v>
      </c>
      <c r="AQ559">
        <v>13964382.198999999</v>
      </c>
      <c r="AR559">
        <v>13964382.198999999</v>
      </c>
      <c r="AS559">
        <v>0</v>
      </c>
      <c r="AT559" t="b">
        <v>0</v>
      </c>
      <c r="AU559" t="b">
        <v>1</v>
      </c>
      <c r="AV559" t="b">
        <v>1</v>
      </c>
      <c r="AW559" t="b">
        <v>1</v>
      </c>
      <c r="BC559" t="str">
        <f t="shared" si="8"/>
        <v>Normal</v>
      </c>
    </row>
    <row r="560" spans="1:55" x14ac:dyDescent="0.2">
      <c r="A560" t="s">
        <v>39</v>
      </c>
      <c r="B560" t="s">
        <v>40</v>
      </c>
      <c r="C560">
        <v>20230101</v>
      </c>
      <c r="D560">
        <v>2023</v>
      </c>
      <c r="E560">
        <v>52</v>
      </c>
      <c r="F560" t="s">
        <v>354</v>
      </c>
      <c r="G560">
        <v>268</v>
      </c>
      <c r="H560" t="s">
        <v>137</v>
      </c>
      <c r="I560" t="s">
        <v>138</v>
      </c>
      <c r="J560" t="s">
        <v>44</v>
      </c>
      <c r="K560" t="s">
        <v>45</v>
      </c>
      <c r="L560">
        <v>0</v>
      </c>
      <c r="M560" t="s">
        <v>46</v>
      </c>
      <c r="N560" t="s">
        <v>47</v>
      </c>
      <c r="O560">
        <v>0</v>
      </c>
      <c r="P560" t="s">
        <v>46</v>
      </c>
      <c r="Q560" t="s">
        <v>47</v>
      </c>
      <c r="R560" t="s">
        <v>48</v>
      </c>
      <c r="S560" t="s">
        <v>49</v>
      </c>
      <c r="T560" t="b">
        <v>1</v>
      </c>
      <c r="U560" t="s">
        <v>50</v>
      </c>
      <c r="V560" t="s">
        <v>51</v>
      </c>
      <c r="W560">
        <v>4</v>
      </c>
      <c r="X560" t="b">
        <v>0</v>
      </c>
      <c r="Y560" t="s">
        <v>52</v>
      </c>
      <c r="Z560" t="s">
        <v>53</v>
      </c>
      <c r="AA560" t="s">
        <v>54</v>
      </c>
      <c r="AB560">
        <v>0</v>
      </c>
      <c r="AC560" t="s">
        <v>55</v>
      </c>
      <c r="AD560">
        <v>8</v>
      </c>
      <c r="AE560" t="s">
        <v>56</v>
      </c>
      <c r="AF560">
        <v>2724.8310000000001</v>
      </c>
      <c r="AG560" t="b">
        <v>0</v>
      </c>
      <c r="AH560">
        <v>8</v>
      </c>
      <c r="AI560" t="s">
        <v>56</v>
      </c>
      <c r="AJ560">
        <v>2724.8310000000001</v>
      </c>
      <c r="AK560" t="b">
        <v>0</v>
      </c>
      <c r="AL560">
        <v>2722.748</v>
      </c>
      <c r="AM560" t="b">
        <v>0</v>
      </c>
      <c r="AN560">
        <v>0</v>
      </c>
      <c r="AO560" t="b">
        <v>0</v>
      </c>
      <c r="AQ560">
        <v>88765990.459999993</v>
      </c>
      <c r="AR560">
        <v>88765990.459999993</v>
      </c>
      <c r="AS560">
        <v>0</v>
      </c>
      <c r="AT560" t="b">
        <v>0</v>
      </c>
      <c r="AU560" t="b">
        <v>1</v>
      </c>
      <c r="AV560" t="b">
        <v>1</v>
      </c>
      <c r="AW560" t="b">
        <v>1</v>
      </c>
      <c r="BC560" t="str">
        <f t="shared" si="8"/>
        <v>Normal</v>
      </c>
    </row>
    <row r="561" spans="1:55" x14ac:dyDescent="0.2">
      <c r="A561" t="s">
        <v>39</v>
      </c>
      <c r="B561" t="s">
        <v>40</v>
      </c>
      <c r="C561">
        <v>20230101</v>
      </c>
      <c r="D561">
        <v>2023</v>
      </c>
      <c r="E561">
        <v>52</v>
      </c>
      <c r="F561" t="s">
        <v>354</v>
      </c>
      <c r="G561">
        <v>276</v>
      </c>
      <c r="H561" t="s">
        <v>139</v>
      </c>
      <c r="I561" t="s">
        <v>140</v>
      </c>
      <c r="J561" t="s">
        <v>44</v>
      </c>
      <c r="K561" t="s">
        <v>45</v>
      </c>
      <c r="L561">
        <v>0</v>
      </c>
      <c r="M561" t="s">
        <v>46</v>
      </c>
      <c r="N561" t="s">
        <v>47</v>
      </c>
      <c r="O561">
        <v>0</v>
      </c>
      <c r="P561" t="s">
        <v>46</v>
      </c>
      <c r="Q561" t="s">
        <v>47</v>
      </c>
      <c r="R561" t="s">
        <v>347</v>
      </c>
      <c r="S561" t="s">
        <v>49</v>
      </c>
      <c r="T561" t="b">
        <v>1</v>
      </c>
      <c r="U561" t="s">
        <v>50</v>
      </c>
      <c r="V561" t="s">
        <v>51</v>
      </c>
      <c r="W561">
        <v>4</v>
      </c>
      <c r="X561" t="b">
        <v>0</v>
      </c>
      <c r="Y561" t="s">
        <v>52</v>
      </c>
      <c r="Z561" t="s">
        <v>53</v>
      </c>
      <c r="AA561" t="s">
        <v>54</v>
      </c>
      <c r="AB561">
        <v>0</v>
      </c>
      <c r="AC561" t="s">
        <v>55</v>
      </c>
      <c r="AD561">
        <v>8</v>
      </c>
      <c r="AE561" t="s">
        <v>56</v>
      </c>
      <c r="AF561">
        <v>179402.25399999999</v>
      </c>
      <c r="AG561" t="b">
        <v>0</v>
      </c>
      <c r="AH561">
        <v>8</v>
      </c>
      <c r="AI561" t="s">
        <v>56</v>
      </c>
      <c r="AJ561">
        <v>179402.25399999999</v>
      </c>
      <c r="AK561" t="b">
        <v>0</v>
      </c>
      <c r="AL561" s="1">
        <v>179331.81299999999</v>
      </c>
      <c r="AM561" t="b">
        <v>0</v>
      </c>
      <c r="AN561">
        <v>0</v>
      </c>
      <c r="AO561" t="b">
        <v>0</v>
      </c>
      <c r="AQ561">
        <v>10379099241.820999</v>
      </c>
      <c r="AR561">
        <v>10379099241.820999</v>
      </c>
      <c r="AS561">
        <v>0</v>
      </c>
      <c r="AT561" t="b">
        <v>0</v>
      </c>
      <c r="AU561" t="b">
        <v>1</v>
      </c>
      <c r="AV561" t="b">
        <v>1</v>
      </c>
      <c r="AW561" t="b">
        <v>1</v>
      </c>
      <c r="BC561" t="str">
        <f t="shared" si="8"/>
        <v>Outlier</v>
      </c>
    </row>
    <row r="562" spans="1:55" x14ac:dyDescent="0.2">
      <c r="A562" t="s">
        <v>39</v>
      </c>
      <c r="B562" t="s">
        <v>40</v>
      </c>
      <c r="C562">
        <v>20230101</v>
      </c>
      <c r="D562">
        <v>2023</v>
      </c>
      <c r="E562">
        <v>52</v>
      </c>
      <c r="F562" t="s">
        <v>354</v>
      </c>
      <c r="G562">
        <v>288</v>
      </c>
      <c r="H562" t="s">
        <v>141</v>
      </c>
      <c r="I562" t="s">
        <v>142</v>
      </c>
      <c r="J562" t="s">
        <v>44</v>
      </c>
      <c r="K562" t="s">
        <v>45</v>
      </c>
      <c r="L562">
        <v>0</v>
      </c>
      <c r="M562" t="s">
        <v>46</v>
      </c>
      <c r="N562" t="s">
        <v>47</v>
      </c>
      <c r="O562">
        <v>0</v>
      </c>
      <c r="P562" t="s">
        <v>46</v>
      </c>
      <c r="Q562" t="s">
        <v>47</v>
      </c>
      <c r="R562" t="s">
        <v>48</v>
      </c>
      <c r="S562" t="s">
        <v>49</v>
      </c>
      <c r="T562" t="b">
        <v>1</v>
      </c>
      <c r="U562" t="s">
        <v>50</v>
      </c>
      <c r="V562" t="s">
        <v>51</v>
      </c>
      <c r="W562">
        <v>4</v>
      </c>
      <c r="X562" t="b">
        <v>0</v>
      </c>
      <c r="Y562" t="s">
        <v>52</v>
      </c>
      <c r="Z562" t="s">
        <v>53</v>
      </c>
      <c r="AA562" t="s">
        <v>54</v>
      </c>
      <c r="AB562">
        <v>0</v>
      </c>
      <c r="AC562" t="s">
        <v>55</v>
      </c>
      <c r="AD562">
        <v>8</v>
      </c>
      <c r="AE562" t="s">
        <v>56</v>
      </c>
      <c r="AF562">
        <v>3096800.517</v>
      </c>
      <c r="AG562" t="b">
        <v>1</v>
      </c>
      <c r="AH562">
        <v>-1</v>
      </c>
      <c r="AI562" t="s">
        <v>64</v>
      </c>
      <c r="AJ562">
        <v>0</v>
      </c>
      <c r="AK562" t="b">
        <v>0</v>
      </c>
      <c r="AL562" s="1">
        <v>141141.31599999999</v>
      </c>
      <c r="AM562" t="b">
        <v>1</v>
      </c>
      <c r="AN562">
        <v>0</v>
      </c>
      <c r="AO562" t="b">
        <v>0</v>
      </c>
      <c r="AQ562">
        <v>7654649969.934</v>
      </c>
      <c r="AR562">
        <v>7654649969.934</v>
      </c>
      <c r="AS562">
        <v>6</v>
      </c>
      <c r="AT562" t="b">
        <v>0</v>
      </c>
      <c r="AU562" t="b">
        <v>1</v>
      </c>
      <c r="AV562" t="b">
        <v>1</v>
      </c>
      <c r="AW562" t="b">
        <v>1</v>
      </c>
      <c r="BC562" t="str">
        <f t="shared" si="8"/>
        <v>Outlier</v>
      </c>
    </row>
    <row r="563" spans="1:55" x14ac:dyDescent="0.2">
      <c r="A563" t="s">
        <v>39</v>
      </c>
      <c r="B563" t="s">
        <v>40</v>
      </c>
      <c r="C563">
        <v>20230101</v>
      </c>
      <c r="D563">
        <v>2023</v>
      </c>
      <c r="E563">
        <v>52</v>
      </c>
      <c r="F563" t="s">
        <v>354</v>
      </c>
      <c r="G563">
        <v>300</v>
      </c>
      <c r="H563" t="s">
        <v>143</v>
      </c>
      <c r="I563" t="s">
        <v>144</v>
      </c>
      <c r="J563" t="s">
        <v>44</v>
      </c>
      <c r="K563" t="s">
        <v>45</v>
      </c>
      <c r="L563">
        <v>0</v>
      </c>
      <c r="M563" t="s">
        <v>46</v>
      </c>
      <c r="N563" t="s">
        <v>47</v>
      </c>
      <c r="O563">
        <v>0</v>
      </c>
      <c r="P563" t="s">
        <v>46</v>
      </c>
      <c r="Q563" t="s">
        <v>47</v>
      </c>
      <c r="R563" t="s">
        <v>347</v>
      </c>
      <c r="S563" t="s">
        <v>49</v>
      </c>
      <c r="T563" t="b">
        <v>1</v>
      </c>
      <c r="U563" t="s">
        <v>50</v>
      </c>
      <c r="V563" t="s">
        <v>51</v>
      </c>
      <c r="W563">
        <v>4</v>
      </c>
      <c r="X563" t="b">
        <v>0</v>
      </c>
      <c r="Y563" t="s">
        <v>52</v>
      </c>
      <c r="Z563" t="s">
        <v>53</v>
      </c>
      <c r="AA563" t="s">
        <v>54</v>
      </c>
      <c r="AB563">
        <v>0</v>
      </c>
      <c r="AC563" t="s">
        <v>55</v>
      </c>
      <c r="AD563">
        <v>-1</v>
      </c>
      <c r="AE563" t="s">
        <v>64</v>
      </c>
      <c r="AF563">
        <v>0</v>
      </c>
      <c r="AG563" t="b">
        <v>0</v>
      </c>
      <c r="AH563">
        <v>-1</v>
      </c>
      <c r="AI563" t="s">
        <v>64</v>
      </c>
      <c r="AJ563">
        <v>0</v>
      </c>
      <c r="AK563" t="b">
        <v>0</v>
      </c>
      <c r="AM563" t="b">
        <v>0</v>
      </c>
      <c r="AN563">
        <v>0</v>
      </c>
      <c r="AO563" t="b">
        <v>0</v>
      </c>
      <c r="AQ563">
        <v>19461168.925000001</v>
      </c>
      <c r="AR563">
        <v>19461168.925000001</v>
      </c>
      <c r="AS563">
        <v>0</v>
      </c>
      <c r="AT563" t="b">
        <v>0</v>
      </c>
      <c r="AU563" t="b">
        <v>1</v>
      </c>
      <c r="AV563" t="b">
        <v>1</v>
      </c>
      <c r="AW563" t="b">
        <v>1</v>
      </c>
      <c r="BC563" t="str">
        <f t="shared" si="8"/>
        <v>Normal</v>
      </c>
    </row>
    <row r="564" spans="1:55" x14ac:dyDescent="0.2">
      <c r="A564" t="s">
        <v>39</v>
      </c>
      <c r="B564" t="s">
        <v>40</v>
      </c>
      <c r="C564">
        <v>20230101</v>
      </c>
      <c r="D564">
        <v>2023</v>
      </c>
      <c r="E564">
        <v>52</v>
      </c>
      <c r="F564" t="s">
        <v>354</v>
      </c>
      <c r="G564">
        <v>328</v>
      </c>
      <c r="H564" t="s">
        <v>145</v>
      </c>
      <c r="I564" t="s">
        <v>146</v>
      </c>
      <c r="J564" t="s">
        <v>44</v>
      </c>
      <c r="K564" t="s">
        <v>45</v>
      </c>
      <c r="L564">
        <v>0</v>
      </c>
      <c r="M564" t="s">
        <v>46</v>
      </c>
      <c r="N564" t="s">
        <v>47</v>
      </c>
      <c r="O564">
        <v>0</v>
      </c>
      <c r="P564" t="s">
        <v>46</v>
      </c>
      <c r="Q564" t="s">
        <v>47</v>
      </c>
      <c r="R564" t="s">
        <v>48</v>
      </c>
      <c r="S564" t="s">
        <v>49</v>
      </c>
      <c r="T564" t="b">
        <v>1</v>
      </c>
      <c r="U564" t="s">
        <v>50</v>
      </c>
      <c r="V564" t="s">
        <v>51</v>
      </c>
      <c r="W564">
        <v>4</v>
      </c>
      <c r="X564" t="b">
        <v>0</v>
      </c>
      <c r="Y564" t="s">
        <v>52</v>
      </c>
      <c r="Z564" t="s">
        <v>53</v>
      </c>
      <c r="AA564" t="s">
        <v>54</v>
      </c>
      <c r="AB564">
        <v>0</v>
      </c>
      <c r="AC564" t="s">
        <v>55</v>
      </c>
      <c r="AD564">
        <v>8</v>
      </c>
      <c r="AE564" t="s">
        <v>56</v>
      </c>
      <c r="AF564">
        <v>9835.08</v>
      </c>
      <c r="AG564" t="b">
        <v>0</v>
      </c>
      <c r="AH564">
        <v>5</v>
      </c>
      <c r="AI564" t="s">
        <v>312</v>
      </c>
      <c r="AJ564">
        <v>312402.46000000002</v>
      </c>
      <c r="AK564" t="b">
        <v>0</v>
      </c>
      <c r="AL564">
        <v>9835.08</v>
      </c>
      <c r="AM564" t="b">
        <v>0</v>
      </c>
      <c r="AN564">
        <v>0</v>
      </c>
      <c r="AO564" t="b">
        <v>0</v>
      </c>
      <c r="AQ564">
        <v>581013970.32799995</v>
      </c>
      <c r="AR564">
        <v>581013970.32799995</v>
      </c>
      <c r="AS564">
        <v>0</v>
      </c>
      <c r="AT564" t="b">
        <v>0</v>
      </c>
      <c r="AU564" t="b">
        <v>1</v>
      </c>
      <c r="AV564" t="b">
        <v>1</v>
      </c>
      <c r="AW564" t="b">
        <v>1</v>
      </c>
      <c r="BC564" t="str">
        <f t="shared" si="8"/>
        <v>Normal</v>
      </c>
    </row>
    <row r="565" spans="1:55" x14ac:dyDescent="0.2">
      <c r="A565" t="s">
        <v>39</v>
      </c>
      <c r="B565" t="s">
        <v>40</v>
      </c>
      <c r="C565">
        <v>20230101</v>
      </c>
      <c r="D565">
        <v>2023</v>
      </c>
      <c r="E565">
        <v>52</v>
      </c>
      <c r="F565" t="s">
        <v>354</v>
      </c>
      <c r="G565">
        <v>340</v>
      </c>
      <c r="H565" t="s">
        <v>147</v>
      </c>
      <c r="I565" t="s">
        <v>148</v>
      </c>
      <c r="J565" t="s">
        <v>44</v>
      </c>
      <c r="K565" t="s">
        <v>45</v>
      </c>
      <c r="L565">
        <v>0</v>
      </c>
      <c r="M565" t="s">
        <v>46</v>
      </c>
      <c r="N565" t="s">
        <v>47</v>
      </c>
      <c r="O565">
        <v>0</v>
      </c>
      <c r="P565" t="s">
        <v>46</v>
      </c>
      <c r="Q565" t="s">
        <v>47</v>
      </c>
      <c r="R565" t="s">
        <v>347</v>
      </c>
      <c r="S565" t="s">
        <v>49</v>
      </c>
      <c r="T565" t="b">
        <v>1</v>
      </c>
      <c r="U565" t="s">
        <v>50</v>
      </c>
      <c r="V565" t="s">
        <v>51</v>
      </c>
      <c r="W565">
        <v>4</v>
      </c>
      <c r="X565" t="b">
        <v>0</v>
      </c>
      <c r="Y565" t="s">
        <v>52</v>
      </c>
      <c r="Z565" t="s">
        <v>53</v>
      </c>
      <c r="AA565" t="s">
        <v>54</v>
      </c>
      <c r="AB565">
        <v>0</v>
      </c>
      <c r="AC565" t="s">
        <v>55</v>
      </c>
      <c r="AD565">
        <v>8</v>
      </c>
      <c r="AE565" t="s">
        <v>56</v>
      </c>
      <c r="AF565">
        <v>2157.12</v>
      </c>
      <c r="AG565" t="b">
        <v>0</v>
      </c>
      <c r="AH565">
        <v>8</v>
      </c>
      <c r="AI565" t="s">
        <v>56</v>
      </c>
      <c r="AJ565">
        <v>2157.12</v>
      </c>
      <c r="AK565" t="b">
        <v>0</v>
      </c>
      <c r="AL565">
        <v>2157.12</v>
      </c>
      <c r="AM565" t="b">
        <v>0</v>
      </c>
      <c r="AN565">
        <v>0</v>
      </c>
      <c r="AO565" t="b">
        <v>0</v>
      </c>
      <c r="AQ565">
        <v>134177111.53</v>
      </c>
      <c r="AR565">
        <v>134177111.53</v>
      </c>
      <c r="AS565">
        <v>0</v>
      </c>
      <c r="AT565" t="b">
        <v>0</v>
      </c>
      <c r="AU565" t="b">
        <v>1</v>
      </c>
      <c r="AV565" t="b">
        <v>1</v>
      </c>
      <c r="AW565" t="b">
        <v>1</v>
      </c>
      <c r="BC565" t="str">
        <f t="shared" si="8"/>
        <v>Normal</v>
      </c>
    </row>
    <row r="566" spans="1:55" x14ac:dyDescent="0.2">
      <c r="A566" t="s">
        <v>39</v>
      </c>
      <c r="B566" t="s">
        <v>40</v>
      </c>
      <c r="C566">
        <v>20230101</v>
      </c>
      <c r="D566">
        <v>2023</v>
      </c>
      <c r="E566">
        <v>52</v>
      </c>
      <c r="F566" t="s">
        <v>354</v>
      </c>
      <c r="G566">
        <v>344</v>
      </c>
      <c r="H566" t="s">
        <v>149</v>
      </c>
      <c r="I566" t="s">
        <v>150</v>
      </c>
      <c r="J566" t="s">
        <v>44</v>
      </c>
      <c r="K566" t="s">
        <v>45</v>
      </c>
      <c r="L566">
        <v>0</v>
      </c>
      <c r="M566" t="s">
        <v>46</v>
      </c>
      <c r="N566" t="s">
        <v>47</v>
      </c>
      <c r="O566">
        <v>0</v>
      </c>
      <c r="P566" t="s">
        <v>46</v>
      </c>
      <c r="Q566" t="s">
        <v>47</v>
      </c>
      <c r="R566" t="s">
        <v>347</v>
      </c>
      <c r="S566" t="s">
        <v>49</v>
      </c>
      <c r="T566" t="b">
        <v>1</v>
      </c>
      <c r="U566" t="s">
        <v>50</v>
      </c>
      <c r="V566" t="s">
        <v>51</v>
      </c>
      <c r="W566">
        <v>4</v>
      </c>
      <c r="X566" t="b">
        <v>0</v>
      </c>
      <c r="Y566" t="s">
        <v>52</v>
      </c>
      <c r="Z566" t="s">
        <v>53</v>
      </c>
      <c r="AA566" t="s">
        <v>54</v>
      </c>
      <c r="AB566">
        <v>0</v>
      </c>
      <c r="AC566" t="s">
        <v>55</v>
      </c>
      <c r="AD566">
        <v>8</v>
      </c>
      <c r="AE566" t="s">
        <v>56</v>
      </c>
      <c r="AF566">
        <v>649197.00399999996</v>
      </c>
      <c r="AG566" t="b">
        <v>1</v>
      </c>
      <c r="AH566">
        <v>-1</v>
      </c>
      <c r="AI566" t="s">
        <v>64</v>
      </c>
      <c r="AJ566">
        <v>0</v>
      </c>
      <c r="AK566" t="b">
        <v>0</v>
      </c>
      <c r="AL566" s="1">
        <v>649197.00399999996</v>
      </c>
      <c r="AM566" t="b">
        <v>1</v>
      </c>
      <c r="AN566">
        <v>0</v>
      </c>
      <c r="AO566" t="b">
        <v>0</v>
      </c>
      <c r="AQ566">
        <v>40235768234.234001</v>
      </c>
      <c r="AR566">
        <v>40235768234.234001</v>
      </c>
      <c r="AS566">
        <v>6</v>
      </c>
      <c r="AT566" t="b">
        <v>0</v>
      </c>
      <c r="AU566" t="b">
        <v>1</v>
      </c>
      <c r="AV566" t="b">
        <v>1</v>
      </c>
      <c r="AW566" t="b">
        <v>1</v>
      </c>
      <c r="BC566" t="str">
        <f t="shared" si="8"/>
        <v>Outlier</v>
      </c>
    </row>
    <row r="567" spans="1:55" x14ac:dyDescent="0.2">
      <c r="A567" t="s">
        <v>39</v>
      </c>
      <c r="B567" t="s">
        <v>40</v>
      </c>
      <c r="C567">
        <v>20230101</v>
      </c>
      <c r="D567">
        <v>2023</v>
      </c>
      <c r="E567">
        <v>52</v>
      </c>
      <c r="F567" t="s">
        <v>354</v>
      </c>
      <c r="G567">
        <v>348</v>
      </c>
      <c r="H567" t="s">
        <v>151</v>
      </c>
      <c r="I567" t="s">
        <v>152</v>
      </c>
      <c r="J567" t="s">
        <v>44</v>
      </c>
      <c r="K567" t="s">
        <v>45</v>
      </c>
      <c r="L567">
        <v>0</v>
      </c>
      <c r="M567" t="s">
        <v>46</v>
      </c>
      <c r="N567" t="s">
        <v>47</v>
      </c>
      <c r="O567">
        <v>0</v>
      </c>
      <c r="P567" t="s">
        <v>46</v>
      </c>
      <c r="Q567" t="s">
        <v>47</v>
      </c>
      <c r="R567" t="s">
        <v>347</v>
      </c>
      <c r="S567" t="s">
        <v>49</v>
      </c>
      <c r="T567" t="b">
        <v>1</v>
      </c>
      <c r="U567" t="s">
        <v>50</v>
      </c>
      <c r="V567" t="s">
        <v>51</v>
      </c>
      <c r="W567">
        <v>4</v>
      </c>
      <c r="X567" t="b">
        <v>0</v>
      </c>
      <c r="Y567" t="s">
        <v>52</v>
      </c>
      <c r="Z567" t="s">
        <v>53</v>
      </c>
      <c r="AA567" t="s">
        <v>54</v>
      </c>
      <c r="AB567">
        <v>0</v>
      </c>
      <c r="AC567" t="s">
        <v>55</v>
      </c>
      <c r="AD567">
        <v>-1</v>
      </c>
      <c r="AE567" t="s">
        <v>64</v>
      </c>
      <c r="AF567">
        <v>0</v>
      </c>
      <c r="AG567" t="b">
        <v>0</v>
      </c>
      <c r="AH567">
        <v>-1</v>
      </c>
      <c r="AI567" t="s">
        <v>64</v>
      </c>
      <c r="AJ567">
        <v>0</v>
      </c>
      <c r="AK567" t="b">
        <v>0</v>
      </c>
      <c r="AL567">
        <v>0</v>
      </c>
      <c r="AM567" t="b">
        <v>0</v>
      </c>
      <c r="AN567">
        <v>0</v>
      </c>
      <c r="AO567" t="b">
        <v>0</v>
      </c>
      <c r="AQ567">
        <v>63090715</v>
      </c>
      <c r="AR567">
        <v>63090715</v>
      </c>
      <c r="AS567">
        <v>0</v>
      </c>
      <c r="AT567" t="b">
        <v>0</v>
      </c>
      <c r="AU567" t="b">
        <v>1</v>
      </c>
      <c r="AV567" t="b">
        <v>1</v>
      </c>
      <c r="AW567" t="b">
        <v>1</v>
      </c>
      <c r="BC567" t="str">
        <f t="shared" si="8"/>
        <v>Normal</v>
      </c>
    </row>
    <row r="568" spans="1:55" x14ac:dyDescent="0.2">
      <c r="A568" t="s">
        <v>39</v>
      </c>
      <c r="B568" t="s">
        <v>40</v>
      </c>
      <c r="C568">
        <v>20230101</v>
      </c>
      <c r="D568">
        <v>2023</v>
      </c>
      <c r="E568">
        <v>52</v>
      </c>
      <c r="F568" t="s">
        <v>354</v>
      </c>
      <c r="G568">
        <v>360</v>
      </c>
      <c r="H568" t="s">
        <v>155</v>
      </c>
      <c r="I568" t="s">
        <v>156</v>
      </c>
      <c r="J568" t="s">
        <v>44</v>
      </c>
      <c r="K568" t="s">
        <v>45</v>
      </c>
      <c r="L568">
        <v>0</v>
      </c>
      <c r="M568" t="s">
        <v>46</v>
      </c>
      <c r="N568" t="s">
        <v>47</v>
      </c>
      <c r="O568">
        <v>0</v>
      </c>
      <c r="P568" t="s">
        <v>46</v>
      </c>
      <c r="Q568" t="s">
        <v>47</v>
      </c>
      <c r="R568" t="s">
        <v>347</v>
      </c>
      <c r="S568" t="s">
        <v>49</v>
      </c>
      <c r="T568" t="b">
        <v>1</v>
      </c>
      <c r="U568" t="s">
        <v>50</v>
      </c>
      <c r="V568" t="s">
        <v>51</v>
      </c>
      <c r="W568">
        <v>4</v>
      </c>
      <c r="X568" t="b">
        <v>0</v>
      </c>
      <c r="Y568" t="s">
        <v>52</v>
      </c>
      <c r="Z568" t="s">
        <v>53</v>
      </c>
      <c r="AA568" t="s">
        <v>54</v>
      </c>
      <c r="AB568">
        <v>0</v>
      </c>
      <c r="AC568" t="s">
        <v>55</v>
      </c>
      <c r="AD568">
        <v>8</v>
      </c>
      <c r="AE568" t="s">
        <v>56</v>
      </c>
      <c r="AF568">
        <v>13611.66</v>
      </c>
      <c r="AG568" t="b">
        <v>0</v>
      </c>
      <c r="AH568">
        <v>8</v>
      </c>
      <c r="AI568" t="s">
        <v>56</v>
      </c>
      <c r="AJ568">
        <v>13611.66</v>
      </c>
      <c r="AK568" t="b">
        <v>0</v>
      </c>
      <c r="AL568">
        <v>13611.66</v>
      </c>
      <c r="AM568" t="b">
        <v>0</v>
      </c>
      <c r="AN568">
        <v>0</v>
      </c>
      <c r="AO568" t="b">
        <v>0</v>
      </c>
      <c r="AQ568">
        <v>848316873.29999995</v>
      </c>
      <c r="AR568">
        <v>848316873.29999995</v>
      </c>
      <c r="AS568">
        <v>0</v>
      </c>
      <c r="AT568" t="b">
        <v>0</v>
      </c>
      <c r="AU568" t="b">
        <v>1</v>
      </c>
      <c r="AV568" t="b">
        <v>1</v>
      </c>
      <c r="AW568" t="b">
        <v>1</v>
      </c>
      <c r="BC568" t="str">
        <f t="shared" si="8"/>
        <v>Normal</v>
      </c>
    </row>
    <row r="569" spans="1:55" x14ac:dyDescent="0.2">
      <c r="A569" t="s">
        <v>39</v>
      </c>
      <c r="B569" t="s">
        <v>40</v>
      </c>
      <c r="C569">
        <v>20230101</v>
      </c>
      <c r="D569">
        <v>2023</v>
      </c>
      <c r="E569">
        <v>52</v>
      </c>
      <c r="F569" t="s">
        <v>354</v>
      </c>
      <c r="G569">
        <v>372</v>
      </c>
      <c r="H569" t="s">
        <v>157</v>
      </c>
      <c r="I569" t="s">
        <v>158</v>
      </c>
      <c r="J569" t="s">
        <v>44</v>
      </c>
      <c r="K569" t="s">
        <v>45</v>
      </c>
      <c r="L569">
        <v>0</v>
      </c>
      <c r="M569" t="s">
        <v>46</v>
      </c>
      <c r="N569" t="s">
        <v>47</v>
      </c>
      <c r="O569">
        <v>0</v>
      </c>
      <c r="P569" t="s">
        <v>46</v>
      </c>
      <c r="Q569" t="s">
        <v>47</v>
      </c>
      <c r="R569" t="s">
        <v>347</v>
      </c>
      <c r="S569" t="s">
        <v>49</v>
      </c>
      <c r="T569" t="b">
        <v>1</v>
      </c>
      <c r="U569" t="s">
        <v>50</v>
      </c>
      <c r="V569" t="s">
        <v>51</v>
      </c>
      <c r="W569">
        <v>4</v>
      </c>
      <c r="X569" t="b">
        <v>0</v>
      </c>
      <c r="Y569" t="s">
        <v>52</v>
      </c>
      <c r="Z569" t="s">
        <v>53</v>
      </c>
      <c r="AA569" t="s">
        <v>54</v>
      </c>
      <c r="AB569">
        <v>0</v>
      </c>
      <c r="AC569" t="s">
        <v>55</v>
      </c>
      <c r="AD569">
        <v>8</v>
      </c>
      <c r="AE569" t="s">
        <v>56</v>
      </c>
      <c r="AF569">
        <v>335.43599999999998</v>
      </c>
      <c r="AG569" t="b">
        <v>0</v>
      </c>
      <c r="AH569">
        <v>15</v>
      </c>
      <c r="AI569" t="s">
        <v>59</v>
      </c>
      <c r="AJ569">
        <v>335436</v>
      </c>
      <c r="AK569" t="b">
        <v>0</v>
      </c>
      <c r="AM569" t="b">
        <v>0</v>
      </c>
      <c r="AN569">
        <v>0</v>
      </c>
      <c r="AO569" t="b">
        <v>0</v>
      </c>
      <c r="AQ569">
        <v>13740894.619000001</v>
      </c>
      <c r="AR569">
        <v>13740894.619000001</v>
      </c>
      <c r="AS569">
        <v>0</v>
      </c>
      <c r="AT569" t="b">
        <v>0</v>
      </c>
      <c r="AU569" t="b">
        <v>1</v>
      </c>
      <c r="AV569" t="b">
        <v>1</v>
      </c>
      <c r="AW569" t="b">
        <v>1</v>
      </c>
      <c r="BC569" t="str">
        <f t="shared" si="8"/>
        <v>Normal</v>
      </c>
    </row>
    <row r="570" spans="1:55" x14ac:dyDescent="0.2">
      <c r="A570" t="s">
        <v>39</v>
      </c>
      <c r="B570" t="s">
        <v>40</v>
      </c>
      <c r="C570">
        <v>20230101</v>
      </c>
      <c r="D570">
        <v>2023</v>
      </c>
      <c r="E570">
        <v>52</v>
      </c>
      <c r="F570" t="s">
        <v>354</v>
      </c>
      <c r="G570">
        <v>376</v>
      </c>
      <c r="H570" t="s">
        <v>159</v>
      </c>
      <c r="I570" t="s">
        <v>160</v>
      </c>
      <c r="J570" t="s">
        <v>44</v>
      </c>
      <c r="K570" t="s">
        <v>45</v>
      </c>
      <c r="L570">
        <v>0</v>
      </c>
      <c r="M570" t="s">
        <v>46</v>
      </c>
      <c r="N570" t="s">
        <v>47</v>
      </c>
      <c r="O570">
        <v>0</v>
      </c>
      <c r="P570" t="s">
        <v>46</v>
      </c>
      <c r="Q570" t="s">
        <v>47</v>
      </c>
      <c r="R570" t="s">
        <v>347</v>
      </c>
      <c r="S570" t="s">
        <v>49</v>
      </c>
      <c r="T570" t="b">
        <v>1</v>
      </c>
      <c r="U570" t="s">
        <v>50</v>
      </c>
      <c r="V570" t="s">
        <v>51</v>
      </c>
      <c r="W570">
        <v>4</v>
      </c>
      <c r="X570" t="b">
        <v>0</v>
      </c>
      <c r="Y570" t="s">
        <v>52</v>
      </c>
      <c r="Z570" t="s">
        <v>53</v>
      </c>
      <c r="AA570" t="s">
        <v>54</v>
      </c>
      <c r="AB570">
        <v>0</v>
      </c>
      <c r="AC570" t="s">
        <v>55</v>
      </c>
      <c r="AD570">
        <v>8</v>
      </c>
      <c r="AE570" t="s">
        <v>56</v>
      </c>
      <c r="AF570">
        <v>78.757000000000005</v>
      </c>
      <c r="AG570" t="b">
        <v>1</v>
      </c>
      <c r="AH570">
        <v>-1</v>
      </c>
      <c r="AI570" t="s">
        <v>64</v>
      </c>
      <c r="AJ570">
        <v>0</v>
      </c>
      <c r="AK570" t="b">
        <v>0</v>
      </c>
      <c r="AL570">
        <v>78.757000000000005</v>
      </c>
      <c r="AM570" t="b">
        <v>1</v>
      </c>
      <c r="AN570">
        <v>0</v>
      </c>
      <c r="AO570" t="b">
        <v>0</v>
      </c>
      <c r="AQ570">
        <v>4763000</v>
      </c>
      <c r="AR570">
        <v>4763000</v>
      </c>
      <c r="AS570">
        <v>6</v>
      </c>
      <c r="AT570" t="b">
        <v>0</v>
      </c>
      <c r="AU570" t="b">
        <v>1</v>
      </c>
      <c r="AV570" t="b">
        <v>1</v>
      </c>
      <c r="AW570" t="b">
        <v>1</v>
      </c>
      <c r="BC570" t="str">
        <f t="shared" si="8"/>
        <v>Normal</v>
      </c>
    </row>
    <row r="571" spans="1:55" x14ac:dyDescent="0.2">
      <c r="A571" t="s">
        <v>39</v>
      </c>
      <c r="B571" t="s">
        <v>40</v>
      </c>
      <c r="C571">
        <v>20230101</v>
      </c>
      <c r="D571">
        <v>2023</v>
      </c>
      <c r="E571">
        <v>52</v>
      </c>
      <c r="F571" t="s">
        <v>354</v>
      </c>
      <c r="G571">
        <v>380</v>
      </c>
      <c r="H571" t="s">
        <v>161</v>
      </c>
      <c r="I571" t="s">
        <v>162</v>
      </c>
      <c r="J571" t="s">
        <v>44</v>
      </c>
      <c r="K571" t="s">
        <v>45</v>
      </c>
      <c r="L571">
        <v>0</v>
      </c>
      <c r="M571" t="s">
        <v>46</v>
      </c>
      <c r="N571" t="s">
        <v>47</v>
      </c>
      <c r="O571">
        <v>0</v>
      </c>
      <c r="P571" t="s">
        <v>46</v>
      </c>
      <c r="Q571" t="s">
        <v>47</v>
      </c>
      <c r="R571" t="s">
        <v>347</v>
      </c>
      <c r="S571" t="s">
        <v>49</v>
      </c>
      <c r="T571" t="b">
        <v>1</v>
      </c>
      <c r="U571" t="s">
        <v>50</v>
      </c>
      <c r="V571" t="s">
        <v>51</v>
      </c>
      <c r="W571">
        <v>4</v>
      </c>
      <c r="X571" t="b">
        <v>0</v>
      </c>
      <c r="Y571" t="s">
        <v>52</v>
      </c>
      <c r="Z571" t="s">
        <v>53</v>
      </c>
      <c r="AA571" t="s">
        <v>54</v>
      </c>
      <c r="AB571">
        <v>0</v>
      </c>
      <c r="AC571" t="s">
        <v>55</v>
      </c>
      <c r="AD571">
        <v>-1</v>
      </c>
      <c r="AE571" t="s">
        <v>64</v>
      </c>
      <c r="AF571">
        <v>0</v>
      </c>
      <c r="AG571" t="b">
        <v>0</v>
      </c>
      <c r="AH571">
        <v>-1</v>
      </c>
      <c r="AI571" t="s">
        <v>64</v>
      </c>
      <c r="AJ571">
        <v>0</v>
      </c>
      <c r="AK571" t="b">
        <v>0</v>
      </c>
      <c r="AM571" t="b">
        <v>0</v>
      </c>
      <c r="AN571">
        <v>0</v>
      </c>
      <c r="AO571" t="b">
        <v>0</v>
      </c>
      <c r="AQ571">
        <v>3646066741.9320002</v>
      </c>
      <c r="AR571">
        <v>3646066741.9320002</v>
      </c>
      <c r="AS571">
        <v>0</v>
      </c>
      <c r="AT571" t="b">
        <v>0</v>
      </c>
      <c r="AU571" t="b">
        <v>1</v>
      </c>
      <c r="AV571" t="b">
        <v>1</v>
      </c>
      <c r="AW571" t="b">
        <v>1</v>
      </c>
      <c r="BC571" t="str">
        <f t="shared" si="8"/>
        <v>Normal</v>
      </c>
    </row>
    <row r="572" spans="1:55" x14ac:dyDescent="0.2">
      <c r="A572" t="s">
        <v>39</v>
      </c>
      <c r="B572" t="s">
        <v>40</v>
      </c>
      <c r="C572">
        <v>20230101</v>
      </c>
      <c r="D572">
        <v>2023</v>
      </c>
      <c r="E572">
        <v>52</v>
      </c>
      <c r="F572" t="s">
        <v>354</v>
      </c>
      <c r="G572">
        <v>384</v>
      </c>
      <c r="H572" t="s">
        <v>163</v>
      </c>
      <c r="I572" t="s">
        <v>164</v>
      </c>
      <c r="J572" t="s">
        <v>44</v>
      </c>
      <c r="K572" t="s">
        <v>45</v>
      </c>
      <c r="L572">
        <v>0</v>
      </c>
      <c r="M572" t="s">
        <v>46</v>
      </c>
      <c r="N572" t="s">
        <v>47</v>
      </c>
      <c r="O572">
        <v>0</v>
      </c>
      <c r="P572" t="s">
        <v>46</v>
      </c>
      <c r="Q572" t="s">
        <v>47</v>
      </c>
      <c r="R572" t="s">
        <v>347</v>
      </c>
      <c r="S572" t="s">
        <v>49</v>
      </c>
      <c r="T572" t="b">
        <v>1</v>
      </c>
      <c r="U572" t="s">
        <v>50</v>
      </c>
      <c r="V572" t="s">
        <v>51</v>
      </c>
      <c r="W572">
        <v>4</v>
      </c>
      <c r="X572" t="b">
        <v>0</v>
      </c>
      <c r="Y572" t="s">
        <v>52</v>
      </c>
      <c r="Z572" t="s">
        <v>53</v>
      </c>
      <c r="AA572" t="s">
        <v>54</v>
      </c>
      <c r="AB572">
        <v>0</v>
      </c>
      <c r="AC572" t="s">
        <v>55</v>
      </c>
      <c r="AD572">
        <v>8</v>
      </c>
      <c r="AE572" t="s">
        <v>56</v>
      </c>
      <c r="AF572">
        <v>50297</v>
      </c>
      <c r="AG572" t="b">
        <v>0</v>
      </c>
      <c r="AH572">
        <v>8</v>
      </c>
      <c r="AI572" t="s">
        <v>56</v>
      </c>
      <c r="AJ572">
        <v>50297</v>
      </c>
      <c r="AK572" t="b">
        <v>0</v>
      </c>
      <c r="AL572">
        <v>50297</v>
      </c>
      <c r="AM572" t="b">
        <v>0</v>
      </c>
      <c r="AN572">
        <v>0</v>
      </c>
      <c r="AO572" t="b">
        <v>0</v>
      </c>
      <c r="AQ572">
        <v>2352721430.6609998</v>
      </c>
      <c r="AR572">
        <v>2352721430.6609998</v>
      </c>
      <c r="AS572">
        <v>0</v>
      </c>
      <c r="AT572" t="b">
        <v>0</v>
      </c>
      <c r="AU572" t="b">
        <v>1</v>
      </c>
      <c r="AV572" t="b">
        <v>1</v>
      </c>
      <c r="AW572" t="b">
        <v>1</v>
      </c>
      <c r="BC572" t="str">
        <f t="shared" si="8"/>
        <v>Normal</v>
      </c>
    </row>
    <row r="573" spans="1:55" x14ac:dyDescent="0.2">
      <c r="A573" t="s">
        <v>39</v>
      </c>
      <c r="B573" t="s">
        <v>40</v>
      </c>
      <c r="C573">
        <v>20230101</v>
      </c>
      <c r="D573">
        <v>2023</v>
      </c>
      <c r="E573">
        <v>52</v>
      </c>
      <c r="F573" t="s">
        <v>354</v>
      </c>
      <c r="G573">
        <v>388</v>
      </c>
      <c r="H573" t="s">
        <v>336</v>
      </c>
      <c r="I573" t="s">
        <v>337</v>
      </c>
      <c r="J573" t="s">
        <v>44</v>
      </c>
      <c r="K573" t="s">
        <v>45</v>
      </c>
      <c r="L573">
        <v>0</v>
      </c>
      <c r="M573" t="s">
        <v>46</v>
      </c>
      <c r="N573" t="s">
        <v>47</v>
      </c>
      <c r="O573">
        <v>0</v>
      </c>
      <c r="P573" t="s">
        <v>46</v>
      </c>
      <c r="Q573" t="s">
        <v>47</v>
      </c>
      <c r="R573" t="s">
        <v>347</v>
      </c>
      <c r="S573" t="s">
        <v>49</v>
      </c>
      <c r="T573" t="b">
        <v>1</v>
      </c>
      <c r="U573" t="s">
        <v>50</v>
      </c>
      <c r="V573" t="s">
        <v>51</v>
      </c>
      <c r="W573">
        <v>4</v>
      </c>
      <c r="X573" t="b">
        <v>0</v>
      </c>
      <c r="Y573" t="s">
        <v>52</v>
      </c>
      <c r="Z573" t="s">
        <v>53</v>
      </c>
      <c r="AA573" t="s">
        <v>54</v>
      </c>
      <c r="AB573">
        <v>0</v>
      </c>
      <c r="AC573" t="s">
        <v>55</v>
      </c>
      <c r="AD573">
        <v>8</v>
      </c>
      <c r="AE573" t="s">
        <v>56</v>
      </c>
      <c r="AF573">
        <v>2.48</v>
      </c>
      <c r="AG573" t="b">
        <v>0</v>
      </c>
      <c r="AH573">
        <v>8</v>
      </c>
      <c r="AI573" t="s">
        <v>56</v>
      </c>
      <c r="AJ573">
        <v>2.48</v>
      </c>
      <c r="AK573" t="b">
        <v>0</v>
      </c>
      <c r="AL573">
        <v>2.48</v>
      </c>
      <c r="AM573" t="b">
        <v>0</v>
      </c>
      <c r="AN573">
        <v>0</v>
      </c>
      <c r="AO573" t="b">
        <v>0</v>
      </c>
      <c r="AQ573">
        <v>66116.11</v>
      </c>
      <c r="AR573">
        <v>66116.11</v>
      </c>
      <c r="AS573">
        <v>0</v>
      </c>
      <c r="AT573" t="b">
        <v>0</v>
      </c>
      <c r="AU573" t="b">
        <v>1</v>
      </c>
      <c r="AV573" t="b">
        <v>1</v>
      </c>
      <c r="AW573" t="b">
        <v>1</v>
      </c>
      <c r="BC573" t="str">
        <f t="shared" si="8"/>
        <v>Normal</v>
      </c>
    </row>
    <row r="574" spans="1:55" x14ac:dyDescent="0.2">
      <c r="A574" t="s">
        <v>39</v>
      </c>
      <c r="B574" t="s">
        <v>40</v>
      </c>
      <c r="C574">
        <v>20230101</v>
      </c>
      <c r="D574">
        <v>2023</v>
      </c>
      <c r="E574">
        <v>52</v>
      </c>
      <c r="F574" t="s">
        <v>354</v>
      </c>
      <c r="G574">
        <v>392</v>
      </c>
      <c r="H574" t="s">
        <v>165</v>
      </c>
      <c r="I574" t="s">
        <v>166</v>
      </c>
      <c r="J574" t="s">
        <v>44</v>
      </c>
      <c r="K574" t="s">
        <v>45</v>
      </c>
      <c r="L574">
        <v>0</v>
      </c>
      <c r="M574" t="s">
        <v>46</v>
      </c>
      <c r="N574" t="s">
        <v>47</v>
      </c>
      <c r="O574">
        <v>0</v>
      </c>
      <c r="P574" t="s">
        <v>46</v>
      </c>
      <c r="Q574" t="s">
        <v>47</v>
      </c>
      <c r="R574" t="s">
        <v>347</v>
      </c>
      <c r="S574" t="s">
        <v>49</v>
      </c>
      <c r="T574" t="b">
        <v>1</v>
      </c>
      <c r="U574" t="s">
        <v>50</v>
      </c>
      <c r="V574" t="s">
        <v>51</v>
      </c>
      <c r="W574">
        <v>4</v>
      </c>
      <c r="X574" t="b">
        <v>0</v>
      </c>
      <c r="Y574" t="s">
        <v>52</v>
      </c>
      <c r="Z574" t="s">
        <v>53</v>
      </c>
      <c r="AA574" t="s">
        <v>54</v>
      </c>
      <c r="AB574">
        <v>0</v>
      </c>
      <c r="AC574" t="s">
        <v>55</v>
      </c>
      <c r="AD574">
        <v>8</v>
      </c>
      <c r="AE574" t="s">
        <v>56</v>
      </c>
      <c r="AF574">
        <v>199256.584</v>
      </c>
      <c r="AG574" t="b">
        <v>1</v>
      </c>
      <c r="AH574">
        <v>-1</v>
      </c>
      <c r="AI574" t="s">
        <v>64</v>
      </c>
      <c r="AJ574">
        <v>0</v>
      </c>
      <c r="AK574" t="b">
        <v>0</v>
      </c>
      <c r="AL574" s="1">
        <v>199256.584</v>
      </c>
      <c r="AM574" t="b">
        <v>1</v>
      </c>
      <c r="AN574">
        <v>0</v>
      </c>
      <c r="AO574" t="b">
        <v>0</v>
      </c>
      <c r="AQ574">
        <v>12464380531.184</v>
      </c>
      <c r="AR574">
        <v>12464380531.184</v>
      </c>
      <c r="AS574">
        <v>6</v>
      </c>
      <c r="AT574" t="b">
        <v>0</v>
      </c>
      <c r="AU574" t="b">
        <v>1</v>
      </c>
      <c r="AV574" t="b">
        <v>1</v>
      </c>
      <c r="AW574" t="b">
        <v>1</v>
      </c>
      <c r="BC574" t="str">
        <f t="shared" si="8"/>
        <v>Outlier</v>
      </c>
    </row>
    <row r="575" spans="1:55" x14ac:dyDescent="0.2">
      <c r="A575" t="s">
        <v>39</v>
      </c>
      <c r="B575" t="s">
        <v>40</v>
      </c>
      <c r="C575">
        <v>20230101</v>
      </c>
      <c r="D575">
        <v>2023</v>
      </c>
      <c r="E575">
        <v>52</v>
      </c>
      <c r="F575" t="s">
        <v>354</v>
      </c>
      <c r="G575">
        <v>398</v>
      </c>
      <c r="H575" t="s">
        <v>167</v>
      </c>
      <c r="I575" t="s">
        <v>168</v>
      </c>
      <c r="J575" t="s">
        <v>44</v>
      </c>
      <c r="K575" t="s">
        <v>45</v>
      </c>
      <c r="L575">
        <v>0</v>
      </c>
      <c r="M575" t="s">
        <v>46</v>
      </c>
      <c r="N575" t="s">
        <v>47</v>
      </c>
      <c r="O575">
        <v>0</v>
      </c>
      <c r="P575" t="s">
        <v>46</v>
      </c>
      <c r="Q575" t="s">
        <v>47</v>
      </c>
      <c r="R575" t="s">
        <v>347</v>
      </c>
      <c r="S575" t="s">
        <v>49</v>
      </c>
      <c r="T575" t="b">
        <v>1</v>
      </c>
      <c r="U575" t="s">
        <v>50</v>
      </c>
      <c r="V575" t="s">
        <v>51</v>
      </c>
      <c r="W575">
        <v>4</v>
      </c>
      <c r="X575" t="b">
        <v>0</v>
      </c>
      <c r="Y575" t="s">
        <v>52</v>
      </c>
      <c r="Z575" t="s">
        <v>53</v>
      </c>
      <c r="AA575" t="s">
        <v>54</v>
      </c>
      <c r="AB575">
        <v>0</v>
      </c>
      <c r="AC575" t="s">
        <v>55</v>
      </c>
      <c r="AD575">
        <v>-1</v>
      </c>
      <c r="AE575" t="s">
        <v>64</v>
      </c>
      <c r="AF575">
        <v>0</v>
      </c>
      <c r="AG575" t="b">
        <v>0</v>
      </c>
      <c r="AH575">
        <v>-1</v>
      </c>
      <c r="AI575" t="s">
        <v>64</v>
      </c>
      <c r="AJ575">
        <v>0</v>
      </c>
      <c r="AK575" t="b">
        <v>0</v>
      </c>
      <c r="AM575" t="b">
        <v>0</v>
      </c>
      <c r="AN575">
        <v>0</v>
      </c>
      <c r="AO575" t="b">
        <v>0</v>
      </c>
      <c r="AQ575">
        <v>430770717.81999999</v>
      </c>
      <c r="AR575">
        <v>430770717.81999999</v>
      </c>
      <c r="AS575">
        <v>0</v>
      </c>
      <c r="AT575" t="b">
        <v>0</v>
      </c>
      <c r="AU575" t="b">
        <v>1</v>
      </c>
      <c r="AV575" t="b">
        <v>1</v>
      </c>
      <c r="AW575" t="b">
        <v>1</v>
      </c>
      <c r="BC575" t="str">
        <f t="shared" si="8"/>
        <v>Normal</v>
      </c>
    </row>
    <row r="576" spans="1:55" x14ac:dyDescent="0.2">
      <c r="A576" t="s">
        <v>39</v>
      </c>
      <c r="B576" t="s">
        <v>40</v>
      </c>
      <c r="C576">
        <v>20230101</v>
      </c>
      <c r="D576">
        <v>2023</v>
      </c>
      <c r="E576">
        <v>52</v>
      </c>
      <c r="F576" t="s">
        <v>354</v>
      </c>
      <c r="G576">
        <v>400</v>
      </c>
      <c r="H576" t="s">
        <v>169</v>
      </c>
      <c r="I576" t="s">
        <v>170</v>
      </c>
      <c r="J576" t="s">
        <v>44</v>
      </c>
      <c r="K576" t="s">
        <v>45</v>
      </c>
      <c r="L576">
        <v>0</v>
      </c>
      <c r="M576" t="s">
        <v>46</v>
      </c>
      <c r="N576" t="s">
        <v>47</v>
      </c>
      <c r="O576">
        <v>0</v>
      </c>
      <c r="P576" t="s">
        <v>46</v>
      </c>
      <c r="Q576" t="s">
        <v>47</v>
      </c>
      <c r="R576" t="s">
        <v>347</v>
      </c>
      <c r="S576" t="s">
        <v>49</v>
      </c>
      <c r="T576" t="b">
        <v>1</v>
      </c>
      <c r="U576" t="s">
        <v>50</v>
      </c>
      <c r="V576" t="s">
        <v>51</v>
      </c>
      <c r="W576">
        <v>4</v>
      </c>
      <c r="X576" t="b">
        <v>0</v>
      </c>
      <c r="Y576" t="s">
        <v>52</v>
      </c>
      <c r="Z576" t="s">
        <v>53</v>
      </c>
      <c r="AA576" t="s">
        <v>54</v>
      </c>
      <c r="AB576">
        <v>0</v>
      </c>
      <c r="AC576" t="s">
        <v>55</v>
      </c>
      <c r="AD576">
        <v>8</v>
      </c>
      <c r="AE576" t="s">
        <v>56</v>
      </c>
      <c r="AF576">
        <v>6375.5460000000003</v>
      </c>
      <c r="AG576" t="b">
        <v>1</v>
      </c>
      <c r="AH576">
        <v>-1</v>
      </c>
      <c r="AI576" t="s">
        <v>64</v>
      </c>
      <c r="AJ576">
        <v>0</v>
      </c>
      <c r="AK576" t="b">
        <v>0</v>
      </c>
      <c r="AL576">
        <v>6375.5460000000003</v>
      </c>
      <c r="AM576" t="b">
        <v>1</v>
      </c>
      <c r="AN576">
        <v>0</v>
      </c>
      <c r="AO576" t="b">
        <v>0</v>
      </c>
      <c r="AQ576">
        <v>390730460.13800001</v>
      </c>
      <c r="AR576">
        <v>390730460.13800001</v>
      </c>
      <c r="AS576">
        <v>6</v>
      </c>
      <c r="AT576" t="b">
        <v>0</v>
      </c>
      <c r="AU576" t="b">
        <v>1</v>
      </c>
      <c r="AV576" t="b">
        <v>1</v>
      </c>
      <c r="AW576" t="b">
        <v>1</v>
      </c>
      <c r="BC576" t="str">
        <f t="shared" si="8"/>
        <v>Normal</v>
      </c>
    </row>
    <row r="577" spans="1:55" x14ac:dyDescent="0.2">
      <c r="A577" t="s">
        <v>39</v>
      </c>
      <c r="B577" t="s">
        <v>40</v>
      </c>
      <c r="C577">
        <v>20230101</v>
      </c>
      <c r="D577">
        <v>2023</v>
      </c>
      <c r="E577">
        <v>52</v>
      </c>
      <c r="F577" t="s">
        <v>354</v>
      </c>
      <c r="G577">
        <v>404</v>
      </c>
      <c r="H577" t="s">
        <v>171</v>
      </c>
      <c r="I577" t="s">
        <v>172</v>
      </c>
      <c r="J577" t="s">
        <v>44</v>
      </c>
      <c r="K577" t="s">
        <v>45</v>
      </c>
      <c r="L577">
        <v>0</v>
      </c>
      <c r="M577" t="s">
        <v>46</v>
      </c>
      <c r="N577" t="s">
        <v>47</v>
      </c>
      <c r="O577">
        <v>0</v>
      </c>
      <c r="P577" t="s">
        <v>46</v>
      </c>
      <c r="Q577" t="s">
        <v>47</v>
      </c>
      <c r="R577" t="s">
        <v>347</v>
      </c>
      <c r="S577" t="s">
        <v>49</v>
      </c>
      <c r="T577" t="b">
        <v>1</v>
      </c>
      <c r="U577" t="s">
        <v>50</v>
      </c>
      <c r="V577" t="s">
        <v>51</v>
      </c>
      <c r="W577">
        <v>4</v>
      </c>
      <c r="X577" t="b">
        <v>0</v>
      </c>
      <c r="Y577" t="s">
        <v>52</v>
      </c>
      <c r="Z577" t="s">
        <v>53</v>
      </c>
      <c r="AA577" t="s">
        <v>54</v>
      </c>
      <c r="AB577">
        <v>0</v>
      </c>
      <c r="AC577" t="s">
        <v>55</v>
      </c>
      <c r="AD577">
        <v>-1</v>
      </c>
      <c r="AE577" t="s">
        <v>64</v>
      </c>
      <c r="AF577">
        <v>0</v>
      </c>
      <c r="AG577" t="b">
        <v>0</v>
      </c>
      <c r="AH577">
        <v>-1</v>
      </c>
      <c r="AI577" t="s">
        <v>64</v>
      </c>
      <c r="AJ577">
        <v>0</v>
      </c>
      <c r="AK577" t="b">
        <v>0</v>
      </c>
      <c r="AM577" t="b">
        <v>0</v>
      </c>
      <c r="AN577">
        <v>0</v>
      </c>
      <c r="AO577" t="b">
        <v>0</v>
      </c>
      <c r="AQ577">
        <v>33469053.043000001</v>
      </c>
      <c r="AR577">
        <v>33469053.043000001</v>
      </c>
      <c r="AS577">
        <v>0</v>
      </c>
      <c r="AT577" t="b">
        <v>0</v>
      </c>
      <c r="AU577" t="b">
        <v>1</v>
      </c>
      <c r="AV577" t="b">
        <v>1</v>
      </c>
      <c r="AW577" t="b">
        <v>1</v>
      </c>
      <c r="BC577" t="str">
        <f t="shared" si="8"/>
        <v>Normal</v>
      </c>
    </row>
    <row r="578" spans="1:55" x14ac:dyDescent="0.2">
      <c r="A578" t="s">
        <v>39</v>
      </c>
      <c r="B578" t="s">
        <v>40</v>
      </c>
      <c r="C578">
        <v>20230101</v>
      </c>
      <c r="D578">
        <v>2023</v>
      </c>
      <c r="E578">
        <v>52</v>
      </c>
      <c r="F578" t="s">
        <v>354</v>
      </c>
      <c r="G578">
        <v>410</v>
      </c>
      <c r="H578" t="s">
        <v>173</v>
      </c>
      <c r="I578" t="s">
        <v>174</v>
      </c>
      <c r="J578" t="s">
        <v>44</v>
      </c>
      <c r="K578" t="s">
        <v>45</v>
      </c>
      <c r="L578">
        <v>0</v>
      </c>
      <c r="M578" t="s">
        <v>46</v>
      </c>
      <c r="N578" t="s">
        <v>47</v>
      </c>
      <c r="O578">
        <v>0</v>
      </c>
      <c r="P578" t="s">
        <v>46</v>
      </c>
      <c r="Q578" t="s">
        <v>47</v>
      </c>
      <c r="R578" t="s">
        <v>347</v>
      </c>
      <c r="S578" t="s">
        <v>49</v>
      </c>
      <c r="T578" t="b">
        <v>1</v>
      </c>
      <c r="U578" t="s">
        <v>50</v>
      </c>
      <c r="V578" t="s">
        <v>51</v>
      </c>
      <c r="W578">
        <v>4</v>
      </c>
      <c r="X578" t="b">
        <v>0</v>
      </c>
      <c r="Y578" t="s">
        <v>52</v>
      </c>
      <c r="Z578" t="s">
        <v>53</v>
      </c>
      <c r="AA578" t="s">
        <v>54</v>
      </c>
      <c r="AB578">
        <v>0</v>
      </c>
      <c r="AC578" t="s">
        <v>55</v>
      </c>
      <c r="AD578">
        <v>8</v>
      </c>
      <c r="AE578" t="s">
        <v>56</v>
      </c>
      <c r="AF578">
        <v>48731.822999999997</v>
      </c>
      <c r="AG578" t="b">
        <v>1</v>
      </c>
      <c r="AH578">
        <v>-1</v>
      </c>
      <c r="AI578" t="s">
        <v>64</v>
      </c>
      <c r="AJ578">
        <v>0</v>
      </c>
      <c r="AK578" t="b">
        <v>0</v>
      </c>
      <c r="AL578">
        <v>48731.822999999997</v>
      </c>
      <c r="AM578" t="b">
        <v>1</v>
      </c>
      <c r="AN578">
        <v>0</v>
      </c>
      <c r="AO578" t="b">
        <v>0</v>
      </c>
      <c r="AQ578">
        <v>1545927418</v>
      </c>
      <c r="AR578">
        <v>1545927418</v>
      </c>
      <c r="AS578">
        <v>6</v>
      </c>
      <c r="AT578" t="b">
        <v>0</v>
      </c>
      <c r="AU578" t="b">
        <v>1</v>
      </c>
      <c r="AV578" t="b">
        <v>1</v>
      </c>
      <c r="AW578" t="b">
        <v>1</v>
      </c>
      <c r="BC578" t="str">
        <f t="shared" si="8"/>
        <v>Normal</v>
      </c>
    </row>
    <row r="579" spans="1:55" x14ac:dyDescent="0.2">
      <c r="A579" t="s">
        <v>39</v>
      </c>
      <c r="B579" t="s">
        <v>40</v>
      </c>
      <c r="C579">
        <v>20230101</v>
      </c>
      <c r="D579">
        <v>2023</v>
      </c>
      <c r="E579">
        <v>52</v>
      </c>
      <c r="F579" t="s">
        <v>354</v>
      </c>
      <c r="G579">
        <v>414</v>
      </c>
      <c r="H579" t="s">
        <v>175</v>
      </c>
      <c r="I579" t="s">
        <v>176</v>
      </c>
      <c r="J579" t="s">
        <v>44</v>
      </c>
      <c r="K579" t="s">
        <v>45</v>
      </c>
      <c r="L579">
        <v>0</v>
      </c>
      <c r="M579" t="s">
        <v>46</v>
      </c>
      <c r="N579" t="s">
        <v>47</v>
      </c>
      <c r="O579">
        <v>0</v>
      </c>
      <c r="P579" t="s">
        <v>46</v>
      </c>
      <c r="Q579" t="s">
        <v>47</v>
      </c>
      <c r="R579" t="s">
        <v>347</v>
      </c>
      <c r="S579" t="s">
        <v>49</v>
      </c>
      <c r="T579" t="b">
        <v>1</v>
      </c>
      <c r="U579" t="s">
        <v>50</v>
      </c>
      <c r="V579" t="s">
        <v>51</v>
      </c>
      <c r="W579">
        <v>4</v>
      </c>
      <c r="X579" t="b">
        <v>0</v>
      </c>
      <c r="Y579" t="s">
        <v>52</v>
      </c>
      <c r="Z579" t="s">
        <v>53</v>
      </c>
      <c r="AA579" t="s">
        <v>54</v>
      </c>
      <c r="AB579">
        <v>0</v>
      </c>
      <c r="AC579" t="s">
        <v>55</v>
      </c>
      <c r="AD579">
        <v>8</v>
      </c>
      <c r="AE579" t="s">
        <v>56</v>
      </c>
      <c r="AF579">
        <v>3168.0360000000001</v>
      </c>
      <c r="AG579" t="b">
        <v>0</v>
      </c>
      <c r="AH579">
        <v>8</v>
      </c>
      <c r="AI579" t="s">
        <v>56</v>
      </c>
      <c r="AJ579">
        <v>3168.0360000000001</v>
      </c>
      <c r="AK579" t="b">
        <v>0</v>
      </c>
      <c r="AL579">
        <v>3168.0360000000001</v>
      </c>
      <c r="AM579" t="b">
        <v>0</v>
      </c>
      <c r="AN579">
        <v>0</v>
      </c>
      <c r="AO579" t="b">
        <v>0</v>
      </c>
      <c r="AQ579">
        <v>185845823.51300001</v>
      </c>
      <c r="AR579">
        <v>185845823.51300001</v>
      </c>
      <c r="AS579">
        <v>0</v>
      </c>
      <c r="AT579" t="b">
        <v>0</v>
      </c>
      <c r="AU579" t="b">
        <v>1</v>
      </c>
      <c r="AV579" t="b">
        <v>1</v>
      </c>
      <c r="AW579" t="b">
        <v>1</v>
      </c>
      <c r="BC579" t="str">
        <f t="shared" ref="BC579:BC642" si="9">IF(OR(AL579&lt;$BA$2,AL579&gt;$BB$2),"Outlier","Normal")</f>
        <v>Normal</v>
      </c>
    </row>
    <row r="580" spans="1:55" x14ac:dyDescent="0.2">
      <c r="A580" t="s">
        <v>39</v>
      </c>
      <c r="B580" t="s">
        <v>40</v>
      </c>
      <c r="C580">
        <v>20230101</v>
      </c>
      <c r="D580">
        <v>2023</v>
      </c>
      <c r="E580">
        <v>52</v>
      </c>
      <c r="F580" t="s">
        <v>354</v>
      </c>
      <c r="G580">
        <v>417</v>
      </c>
      <c r="H580" t="s">
        <v>177</v>
      </c>
      <c r="I580" t="s">
        <v>178</v>
      </c>
      <c r="J580" t="s">
        <v>44</v>
      </c>
      <c r="K580" t="s">
        <v>45</v>
      </c>
      <c r="L580">
        <v>0</v>
      </c>
      <c r="M580" t="s">
        <v>46</v>
      </c>
      <c r="N580" t="s">
        <v>47</v>
      </c>
      <c r="O580">
        <v>0</v>
      </c>
      <c r="P580" t="s">
        <v>46</v>
      </c>
      <c r="Q580" t="s">
        <v>47</v>
      </c>
      <c r="R580" t="s">
        <v>347</v>
      </c>
      <c r="S580" t="s">
        <v>49</v>
      </c>
      <c r="T580" t="b">
        <v>1</v>
      </c>
      <c r="U580" t="s">
        <v>50</v>
      </c>
      <c r="V580" t="s">
        <v>51</v>
      </c>
      <c r="W580">
        <v>4</v>
      </c>
      <c r="X580" t="b">
        <v>0</v>
      </c>
      <c r="Y580" t="s">
        <v>52</v>
      </c>
      <c r="Z580" t="s">
        <v>53</v>
      </c>
      <c r="AA580" t="s">
        <v>54</v>
      </c>
      <c r="AB580">
        <v>0</v>
      </c>
      <c r="AC580" t="s">
        <v>55</v>
      </c>
      <c r="AD580">
        <v>8</v>
      </c>
      <c r="AE580" t="s">
        <v>56</v>
      </c>
      <c r="AF580">
        <v>20213.116999999998</v>
      </c>
      <c r="AG580" t="b">
        <v>0</v>
      </c>
      <c r="AH580">
        <v>15</v>
      </c>
      <c r="AI580" t="s">
        <v>59</v>
      </c>
      <c r="AJ580">
        <v>20213117</v>
      </c>
      <c r="AK580" t="b">
        <v>0</v>
      </c>
      <c r="AL580">
        <v>20215</v>
      </c>
      <c r="AM580" t="b">
        <v>0</v>
      </c>
      <c r="AN580">
        <v>0</v>
      </c>
      <c r="AO580" t="b">
        <v>0</v>
      </c>
      <c r="AQ580">
        <v>1284332757</v>
      </c>
      <c r="AR580">
        <v>1284332757</v>
      </c>
      <c r="AS580">
        <v>0</v>
      </c>
      <c r="AT580" t="b">
        <v>0</v>
      </c>
      <c r="AU580" t="b">
        <v>1</v>
      </c>
      <c r="AV580" t="b">
        <v>1</v>
      </c>
      <c r="AW580" t="b">
        <v>1</v>
      </c>
      <c r="BC580" t="str">
        <f t="shared" si="9"/>
        <v>Normal</v>
      </c>
    </row>
    <row r="581" spans="1:55" x14ac:dyDescent="0.2">
      <c r="A581" t="s">
        <v>39</v>
      </c>
      <c r="B581" t="s">
        <v>40</v>
      </c>
      <c r="C581">
        <v>20230101</v>
      </c>
      <c r="D581">
        <v>2023</v>
      </c>
      <c r="E581">
        <v>52</v>
      </c>
      <c r="F581" t="s">
        <v>354</v>
      </c>
      <c r="G581">
        <v>418</v>
      </c>
      <c r="H581" t="s">
        <v>179</v>
      </c>
      <c r="I581" t="s">
        <v>180</v>
      </c>
      <c r="J581" t="s">
        <v>44</v>
      </c>
      <c r="K581" t="s">
        <v>45</v>
      </c>
      <c r="L581">
        <v>0</v>
      </c>
      <c r="M581" t="s">
        <v>46</v>
      </c>
      <c r="N581" t="s">
        <v>47</v>
      </c>
      <c r="O581">
        <v>0</v>
      </c>
      <c r="P581" t="s">
        <v>46</v>
      </c>
      <c r="Q581" t="s">
        <v>47</v>
      </c>
      <c r="R581" t="s">
        <v>347</v>
      </c>
      <c r="S581" t="s">
        <v>49</v>
      </c>
      <c r="T581" t="b">
        <v>1</v>
      </c>
      <c r="U581" t="s">
        <v>50</v>
      </c>
      <c r="V581" t="s">
        <v>51</v>
      </c>
      <c r="W581">
        <v>4</v>
      </c>
      <c r="X581" t="b">
        <v>0</v>
      </c>
      <c r="Y581" t="s">
        <v>52</v>
      </c>
      <c r="Z581" t="s">
        <v>53</v>
      </c>
      <c r="AA581" t="s">
        <v>54</v>
      </c>
      <c r="AB581">
        <v>0</v>
      </c>
      <c r="AC581" t="s">
        <v>55</v>
      </c>
      <c r="AD581">
        <v>8</v>
      </c>
      <c r="AE581" t="s">
        <v>56</v>
      </c>
      <c r="AF581">
        <v>29572.956999999999</v>
      </c>
      <c r="AG581" t="b">
        <v>0</v>
      </c>
      <c r="AH581">
        <v>8</v>
      </c>
      <c r="AI581" t="s">
        <v>56</v>
      </c>
      <c r="AJ581">
        <v>29572.956999999999</v>
      </c>
      <c r="AK581" t="b">
        <v>0</v>
      </c>
      <c r="AL581">
        <v>29573.118999999999</v>
      </c>
      <c r="AM581" t="b">
        <v>0</v>
      </c>
      <c r="AN581">
        <v>0</v>
      </c>
      <c r="AO581" t="b">
        <v>0</v>
      </c>
      <c r="AQ581">
        <v>703200300.60000002</v>
      </c>
      <c r="AR581">
        <v>703200300.60000002</v>
      </c>
      <c r="AS581">
        <v>0</v>
      </c>
      <c r="AT581" t="b">
        <v>0</v>
      </c>
      <c r="AU581" t="b">
        <v>1</v>
      </c>
      <c r="AV581" t="b">
        <v>1</v>
      </c>
      <c r="AW581" t="b">
        <v>1</v>
      </c>
      <c r="BC581" t="str">
        <f t="shared" si="9"/>
        <v>Normal</v>
      </c>
    </row>
    <row r="582" spans="1:55" x14ac:dyDescent="0.2">
      <c r="A582" t="s">
        <v>39</v>
      </c>
      <c r="B582" t="s">
        <v>40</v>
      </c>
      <c r="C582">
        <v>20230101</v>
      </c>
      <c r="D582">
        <v>2023</v>
      </c>
      <c r="E582">
        <v>52</v>
      </c>
      <c r="F582" t="s">
        <v>354</v>
      </c>
      <c r="G582">
        <v>422</v>
      </c>
      <c r="H582" t="s">
        <v>181</v>
      </c>
      <c r="I582" t="s">
        <v>182</v>
      </c>
      <c r="J582" t="s">
        <v>44</v>
      </c>
      <c r="K582" t="s">
        <v>45</v>
      </c>
      <c r="L582">
        <v>0</v>
      </c>
      <c r="M582" t="s">
        <v>46</v>
      </c>
      <c r="N582" t="s">
        <v>47</v>
      </c>
      <c r="O582">
        <v>0</v>
      </c>
      <c r="P582" t="s">
        <v>46</v>
      </c>
      <c r="Q582" t="s">
        <v>47</v>
      </c>
      <c r="R582" t="s">
        <v>48</v>
      </c>
      <c r="S582" t="s">
        <v>49</v>
      </c>
      <c r="T582" t="b">
        <v>1</v>
      </c>
      <c r="U582" t="s">
        <v>50</v>
      </c>
      <c r="V582" t="s">
        <v>51</v>
      </c>
      <c r="W582">
        <v>4</v>
      </c>
      <c r="X582" t="b">
        <v>0</v>
      </c>
      <c r="Y582" t="s">
        <v>52</v>
      </c>
      <c r="Z582" t="s">
        <v>53</v>
      </c>
      <c r="AA582" t="s">
        <v>54</v>
      </c>
      <c r="AB582">
        <v>0</v>
      </c>
      <c r="AC582" t="s">
        <v>55</v>
      </c>
      <c r="AD582">
        <v>8</v>
      </c>
      <c r="AE582" t="s">
        <v>56</v>
      </c>
      <c r="AF582">
        <v>5316.1540000000005</v>
      </c>
      <c r="AG582" t="b">
        <v>1</v>
      </c>
      <c r="AH582">
        <v>-1</v>
      </c>
      <c r="AI582" t="s">
        <v>64</v>
      </c>
      <c r="AJ582">
        <v>0</v>
      </c>
      <c r="AK582" t="b">
        <v>0</v>
      </c>
      <c r="AL582">
        <v>5316.1540000000005</v>
      </c>
      <c r="AM582" t="b">
        <v>1</v>
      </c>
      <c r="AN582">
        <v>0</v>
      </c>
      <c r="AO582" t="b">
        <v>0</v>
      </c>
      <c r="AQ582">
        <v>325875441</v>
      </c>
      <c r="AR582">
        <v>325875441</v>
      </c>
      <c r="AS582">
        <v>6</v>
      </c>
      <c r="AT582" t="b">
        <v>0</v>
      </c>
      <c r="AU582" t="b">
        <v>1</v>
      </c>
      <c r="AV582" t="b">
        <v>1</v>
      </c>
      <c r="AW582" t="b">
        <v>1</v>
      </c>
      <c r="BC582" t="str">
        <f t="shared" si="9"/>
        <v>Normal</v>
      </c>
    </row>
    <row r="583" spans="1:55" x14ac:dyDescent="0.2">
      <c r="A583" t="s">
        <v>39</v>
      </c>
      <c r="B583" t="s">
        <v>40</v>
      </c>
      <c r="C583">
        <v>20230101</v>
      </c>
      <c r="D583">
        <v>2023</v>
      </c>
      <c r="E583">
        <v>52</v>
      </c>
      <c r="F583" t="s">
        <v>354</v>
      </c>
      <c r="G583">
        <v>428</v>
      </c>
      <c r="H583" t="s">
        <v>183</v>
      </c>
      <c r="I583" t="s">
        <v>184</v>
      </c>
      <c r="J583" t="s">
        <v>44</v>
      </c>
      <c r="K583" t="s">
        <v>45</v>
      </c>
      <c r="L583">
        <v>0</v>
      </c>
      <c r="M583" t="s">
        <v>46</v>
      </c>
      <c r="N583" t="s">
        <v>47</v>
      </c>
      <c r="O583">
        <v>0</v>
      </c>
      <c r="P583" t="s">
        <v>46</v>
      </c>
      <c r="Q583" t="s">
        <v>47</v>
      </c>
      <c r="R583" t="s">
        <v>347</v>
      </c>
      <c r="S583" t="s">
        <v>49</v>
      </c>
      <c r="T583" t="b">
        <v>1</v>
      </c>
      <c r="U583" t="s">
        <v>50</v>
      </c>
      <c r="V583" t="s">
        <v>51</v>
      </c>
      <c r="W583">
        <v>4</v>
      </c>
      <c r="X583" t="b">
        <v>0</v>
      </c>
      <c r="Y583" t="s">
        <v>52</v>
      </c>
      <c r="Z583" t="s">
        <v>53</v>
      </c>
      <c r="AA583" t="s">
        <v>54</v>
      </c>
      <c r="AB583">
        <v>0</v>
      </c>
      <c r="AC583" t="s">
        <v>55</v>
      </c>
      <c r="AD583">
        <v>8</v>
      </c>
      <c r="AE583" t="s">
        <v>56</v>
      </c>
      <c r="AF583">
        <v>210.816</v>
      </c>
      <c r="AG583" t="b">
        <v>0</v>
      </c>
      <c r="AH583">
        <v>15</v>
      </c>
      <c r="AI583" t="s">
        <v>59</v>
      </c>
      <c r="AJ583">
        <v>210816</v>
      </c>
      <c r="AK583" t="b">
        <v>0</v>
      </c>
      <c r="AL583">
        <v>206.59700000000001</v>
      </c>
      <c r="AM583" t="b">
        <v>0</v>
      </c>
      <c r="AN583">
        <v>0</v>
      </c>
      <c r="AO583" t="b">
        <v>0</v>
      </c>
      <c r="AQ583">
        <v>11923500.484999999</v>
      </c>
      <c r="AR583">
        <v>11923500.484999999</v>
      </c>
      <c r="AS583">
        <v>0</v>
      </c>
      <c r="AT583" t="b">
        <v>0</v>
      </c>
      <c r="AU583" t="b">
        <v>1</v>
      </c>
      <c r="AV583" t="b">
        <v>1</v>
      </c>
      <c r="AW583" t="b">
        <v>1</v>
      </c>
      <c r="BC583" t="str">
        <f t="shared" si="9"/>
        <v>Normal</v>
      </c>
    </row>
    <row r="584" spans="1:55" x14ac:dyDescent="0.2">
      <c r="A584" t="s">
        <v>39</v>
      </c>
      <c r="B584" t="s">
        <v>40</v>
      </c>
      <c r="C584">
        <v>20230101</v>
      </c>
      <c r="D584">
        <v>2023</v>
      </c>
      <c r="E584">
        <v>52</v>
      </c>
      <c r="F584" t="s">
        <v>354</v>
      </c>
      <c r="G584">
        <v>440</v>
      </c>
      <c r="H584" t="s">
        <v>189</v>
      </c>
      <c r="I584" t="s">
        <v>190</v>
      </c>
      <c r="J584" t="s">
        <v>44</v>
      </c>
      <c r="K584" t="s">
        <v>45</v>
      </c>
      <c r="L584">
        <v>0</v>
      </c>
      <c r="M584" t="s">
        <v>46</v>
      </c>
      <c r="N584" t="s">
        <v>47</v>
      </c>
      <c r="O584">
        <v>0</v>
      </c>
      <c r="P584" t="s">
        <v>46</v>
      </c>
      <c r="Q584" t="s">
        <v>47</v>
      </c>
      <c r="R584" t="s">
        <v>347</v>
      </c>
      <c r="S584" t="s">
        <v>49</v>
      </c>
      <c r="T584" t="b">
        <v>1</v>
      </c>
      <c r="U584" t="s">
        <v>50</v>
      </c>
      <c r="V584" t="s">
        <v>51</v>
      </c>
      <c r="W584">
        <v>4</v>
      </c>
      <c r="X584" t="b">
        <v>0</v>
      </c>
      <c r="Y584" t="s">
        <v>52</v>
      </c>
      <c r="Z584" t="s">
        <v>53</v>
      </c>
      <c r="AA584" t="s">
        <v>54</v>
      </c>
      <c r="AB584">
        <v>0</v>
      </c>
      <c r="AC584" t="s">
        <v>55</v>
      </c>
      <c r="AD584">
        <v>8</v>
      </c>
      <c r="AE584" t="s">
        <v>56</v>
      </c>
      <c r="AF584">
        <v>27.396000000000001</v>
      </c>
      <c r="AG584" t="b">
        <v>0</v>
      </c>
      <c r="AH584">
        <v>15</v>
      </c>
      <c r="AI584" t="s">
        <v>59</v>
      </c>
      <c r="AJ584">
        <v>27396</v>
      </c>
      <c r="AK584" t="b">
        <v>0</v>
      </c>
      <c r="AL584">
        <v>27.279</v>
      </c>
      <c r="AM584" t="b">
        <v>0</v>
      </c>
      <c r="AN584">
        <v>0</v>
      </c>
      <c r="AO584" t="b">
        <v>0</v>
      </c>
      <c r="AQ584">
        <v>1344832</v>
      </c>
      <c r="AR584">
        <v>1344832</v>
      </c>
      <c r="AS584">
        <v>0</v>
      </c>
      <c r="AT584" t="b">
        <v>0</v>
      </c>
      <c r="AU584" t="b">
        <v>1</v>
      </c>
      <c r="AV584" t="b">
        <v>1</v>
      </c>
      <c r="AW584" t="b">
        <v>1</v>
      </c>
      <c r="BC584" t="str">
        <f t="shared" si="9"/>
        <v>Normal</v>
      </c>
    </row>
    <row r="585" spans="1:55" x14ac:dyDescent="0.2">
      <c r="A585" t="s">
        <v>39</v>
      </c>
      <c r="B585" t="s">
        <v>40</v>
      </c>
      <c r="C585">
        <v>20230101</v>
      </c>
      <c r="D585">
        <v>2023</v>
      </c>
      <c r="E585">
        <v>52</v>
      </c>
      <c r="F585" t="s">
        <v>354</v>
      </c>
      <c r="G585">
        <v>442</v>
      </c>
      <c r="H585" t="s">
        <v>191</v>
      </c>
      <c r="I585" t="s">
        <v>192</v>
      </c>
      <c r="J585" t="s">
        <v>44</v>
      </c>
      <c r="K585" t="s">
        <v>45</v>
      </c>
      <c r="L585">
        <v>0</v>
      </c>
      <c r="M585" t="s">
        <v>46</v>
      </c>
      <c r="N585" t="s">
        <v>47</v>
      </c>
      <c r="O585">
        <v>0</v>
      </c>
      <c r="P585" t="s">
        <v>46</v>
      </c>
      <c r="Q585" t="s">
        <v>47</v>
      </c>
      <c r="R585" t="s">
        <v>347</v>
      </c>
      <c r="S585" t="s">
        <v>49</v>
      </c>
      <c r="T585" t="b">
        <v>1</v>
      </c>
      <c r="U585" t="s">
        <v>50</v>
      </c>
      <c r="V585" t="s">
        <v>51</v>
      </c>
      <c r="W585">
        <v>4</v>
      </c>
      <c r="X585" t="b">
        <v>0</v>
      </c>
      <c r="Y585" t="s">
        <v>52</v>
      </c>
      <c r="Z585" t="s">
        <v>53</v>
      </c>
      <c r="AA585" t="s">
        <v>54</v>
      </c>
      <c r="AB585">
        <v>0</v>
      </c>
      <c r="AC585" t="s">
        <v>55</v>
      </c>
      <c r="AD585">
        <v>8</v>
      </c>
      <c r="AE585" t="s">
        <v>56</v>
      </c>
      <c r="AF585">
        <v>2539.1480000000001</v>
      </c>
      <c r="AG585" t="b">
        <v>0</v>
      </c>
      <c r="AH585">
        <v>15</v>
      </c>
      <c r="AI585" t="s">
        <v>59</v>
      </c>
      <c r="AJ585">
        <v>2539148.4900000002</v>
      </c>
      <c r="AK585" t="b">
        <v>0</v>
      </c>
      <c r="AL585">
        <v>4890.5119999999997</v>
      </c>
      <c r="AM585" t="b">
        <v>0</v>
      </c>
      <c r="AN585">
        <v>0</v>
      </c>
      <c r="AO585" t="b">
        <v>0</v>
      </c>
      <c r="AQ585">
        <v>152365290.669</v>
      </c>
      <c r="AR585">
        <v>152365290.669</v>
      </c>
      <c r="AS585">
        <v>0</v>
      </c>
      <c r="AT585" t="b">
        <v>0</v>
      </c>
      <c r="AU585" t="b">
        <v>1</v>
      </c>
      <c r="AV585" t="b">
        <v>1</v>
      </c>
      <c r="AW585" t="b">
        <v>1</v>
      </c>
      <c r="BC585" t="str">
        <f t="shared" si="9"/>
        <v>Normal</v>
      </c>
    </row>
    <row r="586" spans="1:55" x14ac:dyDescent="0.2">
      <c r="A586" t="s">
        <v>39</v>
      </c>
      <c r="B586" t="s">
        <v>40</v>
      </c>
      <c r="C586">
        <v>20230101</v>
      </c>
      <c r="D586">
        <v>2023</v>
      </c>
      <c r="E586">
        <v>52</v>
      </c>
      <c r="F586" t="s">
        <v>354</v>
      </c>
      <c r="G586">
        <v>446</v>
      </c>
      <c r="H586" t="s">
        <v>323</v>
      </c>
      <c r="I586" t="s">
        <v>324</v>
      </c>
      <c r="J586" t="s">
        <v>44</v>
      </c>
      <c r="K586" t="s">
        <v>45</v>
      </c>
      <c r="L586">
        <v>0</v>
      </c>
      <c r="M586" t="s">
        <v>46</v>
      </c>
      <c r="N586" t="s">
        <v>47</v>
      </c>
      <c r="O586">
        <v>0</v>
      </c>
      <c r="P586" t="s">
        <v>46</v>
      </c>
      <c r="Q586" t="s">
        <v>47</v>
      </c>
      <c r="R586" t="s">
        <v>347</v>
      </c>
      <c r="S586" t="s">
        <v>49</v>
      </c>
      <c r="T586" t="b">
        <v>1</v>
      </c>
      <c r="U586" t="s">
        <v>50</v>
      </c>
      <c r="V586" t="s">
        <v>51</v>
      </c>
      <c r="W586">
        <v>4</v>
      </c>
      <c r="X586" t="b">
        <v>0</v>
      </c>
      <c r="Y586" t="s">
        <v>52</v>
      </c>
      <c r="Z586" t="s">
        <v>53</v>
      </c>
      <c r="AA586" t="s">
        <v>54</v>
      </c>
      <c r="AB586">
        <v>0</v>
      </c>
      <c r="AC586" t="s">
        <v>55</v>
      </c>
      <c r="AD586">
        <v>8</v>
      </c>
      <c r="AE586" t="s">
        <v>56</v>
      </c>
      <c r="AF586">
        <v>91</v>
      </c>
      <c r="AG586" t="b">
        <v>0</v>
      </c>
      <c r="AH586">
        <v>8</v>
      </c>
      <c r="AI586" t="s">
        <v>56</v>
      </c>
      <c r="AJ586">
        <v>91</v>
      </c>
      <c r="AK586" t="b">
        <v>0</v>
      </c>
      <c r="AL586">
        <v>91</v>
      </c>
      <c r="AM586" t="b">
        <v>0</v>
      </c>
      <c r="AN586">
        <v>0</v>
      </c>
      <c r="AO586" t="b">
        <v>0</v>
      </c>
      <c r="AQ586">
        <v>5448465.0060000001</v>
      </c>
      <c r="AR586">
        <v>5448465.0060000001</v>
      </c>
      <c r="AS586">
        <v>0</v>
      </c>
      <c r="AT586" t="b">
        <v>0</v>
      </c>
      <c r="AU586" t="b">
        <v>1</v>
      </c>
      <c r="AV586" t="b">
        <v>1</v>
      </c>
      <c r="AW586" t="b">
        <v>1</v>
      </c>
      <c r="BC586" t="str">
        <f t="shared" si="9"/>
        <v>Normal</v>
      </c>
    </row>
    <row r="587" spans="1:55" x14ac:dyDescent="0.2">
      <c r="A587" t="s">
        <v>39</v>
      </c>
      <c r="B587" t="s">
        <v>40</v>
      </c>
      <c r="C587">
        <v>20230101</v>
      </c>
      <c r="D587">
        <v>2023</v>
      </c>
      <c r="E587">
        <v>52</v>
      </c>
      <c r="F587" t="s">
        <v>354</v>
      </c>
      <c r="G587">
        <v>450</v>
      </c>
      <c r="H587" t="s">
        <v>193</v>
      </c>
      <c r="I587" t="s">
        <v>194</v>
      </c>
      <c r="J587" t="s">
        <v>44</v>
      </c>
      <c r="K587" t="s">
        <v>45</v>
      </c>
      <c r="L587">
        <v>0</v>
      </c>
      <c r="M587" t="s">
        <v>46</v>
      </c>
      <c r="N587" t="s">
        <v>47</v>
      </c>
      <c r="O587">
        <v>0</v>
      </c>
      <c r="P587" t="s">
        <v>46</v>
      </c>
      <c r="Q587" t="s">
        <v>47</v>
      </c>
      <c r="R587" t="s">
        <v>347</v>
      </c>
      <c r="S587" t="s">
        <v>49</v>
      </c>
      <c r="T587" t="b">
        <v>1</v>
      </c>
      <c r="U587" t="s">
        <v>50</v>
      </c>
      <c r="V587" t="s">
        <v>51</v>
      </c>
      <c r="W587">
        <v>4</v>
      </c>
      <c r="X587" t="b">
        <v>0</v>
      </c>
      <c r="Y587" t="s">
        <v>52</v>
      </c>
      <c r="Z587" t="s">
        <v>53</v>
      </c>
      <c r="AA587" t="s">
        <v>54</v>
      </c>
      <c r="AB587">
        <v>0</v>
      </c>
      <c r="AC587" t="s">
        <v>55</v>
      </c>
      <c r="AD587">
        <v>8</v>
      </c>
      <c r="AE587" t="s">
        <v>56</v>
      </c>
      <c r="AF587">
        <v>2038.9</v>
      </c>
      <c r="AG587" t="b">
        <v>0</v>
      </c>
      <c r="AH587">
        <v>8</v>
      </c>
      <c r="AI587" t="s">
        <v>56</v>
      </c>
      <c r="AJ587">
        <v>2038.9</v>
      </c>
      <c r="AK587" t="b">
        <v>0</v>
      </c>
      <c r="AL587">
        <v>2038.9</v>
      </c>
      <c r="AM587" t="b">
        <v>0</v>
      </c>
      <c r="AN587">
        <v>0</v>
      </c>
      <c r="AO587" t="b">
        <v>0</v>
      </c>
      <c r="AQ587">
        <v>124374089.596</v>
      </c>
      <c r="AR587">
        <v>124374089.596</v>
      </c>
      <c r="AS587">
        <v>0</v>
      </c>
      <c r="AT587" t="b">
        <v>0</v>
      </c>
      <c r="AU587" t="b">
        <v>1</v>
      </c>
      <c r="AV587" t="b">
        <v>1</v>
      </c>
      <c r="AW587" t="b">
        <v>1</v>
      </c>
      <c r="BC587" t="str">
        <f t="shared" si="9"/>
        <v>Normal</v>
      </c>
    </row>
    <row r="588" spans="1:55" x14ac:dyDescent="0.2">
      <c r="A588" t="s">
        <v>39</v>
      </c>
      <c r="B588" t="s">
        <v>40</v>
      </c>
      <c r="C588">
        <v>20230101</v>
      </c>
      <c r="D588">
        <v>2023</v>
      </c>
      <c r="E588">
        <v>52</v>
      </c>
      <c r="F588" t="s">
        <v>354</v>
      </c>
      <c r="G588">
        <v>458</v>
      </c>
      <c r="H588" t="s">
        <v>195</v>
      </c>
      <c r="I588" t="s">
        <v>196</v>
      </c>
      <c r="J588" t="s">
        <v>44</v>
      </c>
      <c r="K588" t="s">
        <v>45</v>
      </c>
      <c r="L588">
        <v>0</v>
      </c>
      <c r="M588" t="s">
        <v>46</v>
      </c>
      <c r="N588" t="s">
        <v>47</v>
      </c>
      <c r="O588">
        <v>0</v>
      </c>
      <c r="P588" t="s">
        <v>46</v>
      </c>
      <c r="Q588" t="s">
        <v>47</v>
      </c>
      <c r="R588" t="s">
        <v>347</v>
      </c>
      <c r="S588" t="s">
        <v>49</v>
      </c>
      <c r="T588" t="b">
        <v>1</v>
      </c>
      <c r="U588" t="s">
        <v>50</v>
      </c>
      <c r="V588" t="s">
        <v>51</v>
      </c>
      <c r="W588">
        <v>4</v>
      </c>
      <c r="X588" t="b">
        <v>0</v>
      </c>
      <c r="Y588" t="s">
        <v>52</v>
      </c>
      <c r="Z588" t="s">
        <v>53</v>
      </c>
      <c r="AA588" t="s">
        <v>54</v>
      </c>
      <c r="AB588">
        <v>0</v>
      </c>
      <c r="AC588" t="s">
        <v>55</v>
      </c>
      <c r="AD588">
        <v>-1</v>
      </c>
      <c r="AE588" t="s">
        <v>64</v>
      </c>
      <c r="AF588">
        <v>0</v>
      </c>
      <c r="AG588" t="b">
        <v>0</v>
      </c>
      <c r="AH588">
        <v>-1</v>
      </c>
      <c r="AI588" t="s">
        <v>64</v>
      </c>
      <c r="AJ588">
        <v>0</v>
      </c>
      <c r="AK588" t="b">
        <v>0</v>
      </c>
      <c r="AM588" t="b">
        <v>0</v>
      </c>
      <c r="AN588">
        <v>0</v>
      </c>
      <c r="AO588" t="b">
        <v>0</v>
      </c>
      <c r="AQ588">
        <v>642842543.89499998</v>
      </c>
      <c r="AR588">
        <v>642842543.89499998</v>
      </c>
      <c r="AS588">
        <v>0</v>
      </c>
      <c r="AT588" t="b">
        <v>0</v>
      </c>
      <c r="AU588" t="b">
        <v>1</v>
      </c>
      <c r="AV588" t="b">
        <v>1</v>
      </c>
      <c r="AW588" t="b">
        <v>1</v>
      </c>
      <c r="BC588" t="str">
        <f t="shared" si="9"/>
        <v>Normal</v>
      </c>
    </row>
    <row r="589" spans="1:55" x14ac:dyDescent="0.2">
      <c r="A589" t="s">
        <v>39</v>
      </c>
      <c r="B589" t="s">
        <v>40</v>
      </c>
      <c r="C589">
        <v>20230101</v>
      </c>
      <c r="D589">
        <v>2023</v>
      </c>
      <c r="E589">
        <v>52</v>
      </c>
      <c r="F589" t="s">
        <v>354</v>
      </c>
      <c r="G589">
        <v>466</v>
      </c>
      <c r="H589" t="s">
        <v>197</v>
      </c>
      <c r="I589" t="s">
        <v>198</v>
      </c>
      <c r="J589" t="s">
        <v>44</v>
      </c>
      <c r="K589" t="s">
        <v>45</v>
      </c>
      <c r="L589">
        <v>0</v>
      </c>
      <c r="M589" t="s">
        <v>46</v>
      </c>
      <c r="N589" t="s">
        <v>47</v>
      </c>
      <c r="O589">
        <v>0</v>
      </c>
      <c r="P589" t="s">
        <v>46</v>
      </c>
      <c r="Q589" t="s">
        <v>47</v>
      </c>
      <c r="R589" t="s">
        <v>347</v>
      </c>
      <c r="S589" t="s">
        <v>49</v>
      </c>
      <c r="T589" t="b">
        <v>1</v>
      </c>
      <c r="U589" t="s">
        <v>50</v>
      </c>
      <c r="V589" t="s">
        <v>51</v>
      </c>
      <c r="W589">
        <v>4</v>
      </c>
      <c r="X589" t="b">
        <v>0</v>
      </c>
      <c r="Y589" t="s">
        <v>52</v>
      </c>
      <c r="Z589" t="s">
        <v>53</v>
      </c>
      <c r="AA589" t="s">
        <v>54</v>
      </c>
      <c r="AB589">
        <v>0</v>
      </c>
      <c r="AC589" t="s">
        <v>55</v>
      </c>
      <c r="AD589">
        <v>8</v>
      </c>
      <c r="AE589" t="s">
        <v>56</v>
      </c>
      <c r="AF589">
        <v>64534.567999999999</v>
      </c>
      <c r="AG589" t="b">
        <v>0</v>
      </c>
      <c r="AH589">
        <v>8</v>
      </c>
      <c r="AI589" t="s">
        <v>56</v>
      </c>
      <c r="AJ589">
        <v>64534.567999999999</v>
      </c>
      <c r="AK589" t="b">
        <v>0</v>
      </c>
      <c r="AL589">
        <v>64534.567999999999</v>
      </c>
      <c r="AM589" t="b">
        <v>0</v>
      </c>
      <c r="AN589">
        <v>0</v>
      </c>
      <c r="AO589" t="b">
        <v>0</v>
      </c>
      <c r="AQ589">
        <v>3071051037.2519999</v>
      </c>
      <c r="AR589">
        <v>3071051037.2519999</v>
      </c>
      <c r="AS589">
        <v>0</v>
      </c>
      <c r="AT589" t="b">
        <v>0</v>
      </c>
      <c r="AU589" t="b">
        <v>1</v>
      </c>
      <c r="AV589" t="b">
        <v>1</v>
      </c>
      <c r="AW589" t="b">
        <v>1</v>
      </c>
      <c r="BC589" t="str">
        <f t="shared" si="9"/>
        <v>Normal</v>
      </c>
    </row>
    <row r="590" spans="1:55" x14ac:dyDescent="0.2">
      <c r="A590" t="s">
        <v>39</v>
      </c>
      <c r="B590" t="s">
        <v>40</v>
      </c>
      <c r="C590">
        <v>20230101</v>
      </c>
      <c r="D590">
        <v>2023</v>
      </c>
      <c r="E590">
        <v>52</v>
      </c>
      <c r="F590" t="s">
        <v>354</v>
      </c>
      <c r="G590">
        <v>470</v>
      </c>
      <c r="H590" t="s">
        <v>199</v>
      </c>
      <c r="I590" t="s">
        <v>200</v>
      </c>
      <c r="J590" t="s">
        <v>44</v>
      </c>
      <c r="K590" t="s">
        <v>45</v>
      </c>
      <c r="L590">
        <v>0</v>
      </c>
      <c r="M590" t="s">
        <v>46</v>
      </c>
      <c r="N590" t="s">
        <v>47</v>
      </c>
      <c r="O590">
        <v>0</v>
      </c>
      <c r="P590" t="s">
        <v>46</v>
      </c>
      <c r="Q590" t="s">
        <v>47</v>
      </c>
      <c r="R590" t="s">
        <v>347</v>
      </c>
      <c r="S590" t="s">
        <v>49</v>
      </c>
      <c r="T590" t="b">
        <v>1</v>
      </c>
      <c r="U590" t="s">
        <v>50</v>
      </c>
      <c r="V590" t="s">
        <v>51</v>
      </c>
      <c r="W590">
        <v>4</v>
      </c>
      <c r="X590" t="b">
        <v>0</v>
      </c>
      <c r="Y590" t="s">
        <v>52</v>
      </c>
      <c r="Z590" t="s">
        <v>53</v>
      </c>
      <c r="AA590" t="s">
        <v>54</v>
      </c>
      <c r="AB590">
        <v>0</v>
      </c>
      <c r="AC590" t="s">
        <v>55</v>
      </c>
      <c r="AD590">
        <v>8</v>
      </c>
      <c r="AE590" t="s">
        <v>56</v>
      </c>
      <c r="AF590">
        <v>69.891000000000005</v>
      </c>
      <c r="AG590" t="b">
        <v>0</v>
      </c>
      <c r="AH590">
        <v>15</v>
      </c>
      <c r="AI590" t="s">
        <v>59</v>
      </c>
      <c r="AJ590">
        <v>69891</v>
      </c>
      <c r="AK590" t="b">
        <v>0</v>
      </c>
      <c r="AL590">
        <v>70</v>
      </c>
      <c r="AM590" t="b">
        <v>0</v>
      </c>
      <c r="AN590">
        <v>0</v>
      </c>
      <c r="AO590" t="b">
        <v>0</v>
      </c>
      <c r="AQ590">
        <v>3215843.1719999998</v>
      </c>
      <c r="AR590">
        <v>3215843.1719999998</v>
      </c>
      <c r="AS590">
        <v>0</v>
      </c>
      <c r="AT590" t="b">
        <v>0</v>
      </c>
      <c r="AU590" t="b">
        <v>1</v>
      </c>
      <c r="AV590" t="b">
        <v>1</v>
      </c>
      <c r="AW590" t="b">
        <v>1</v>
      </c>
      <c r="BC590" t="str">
        <f t="shared" si="9"/>
        <v>Normal</v>
      </c>
    </row>
    <row r="591" spans="1:55" x14ac:dyDescent="0.2">
      <c r="A591" t="s">
        <v>39</v>
      </c>
      <c r="B591" t="s">
        <v>40</v>
      </c>
      <c r="C591">
        <v>20230101</v>
      </c>
      <c r="D591">
        <v>2023</v>
      </c>
      <c r="E591">
        <v>52</v>
      </c>
      <c r="F591" t="s">
        <v>354</v>
      </c>
      <c r="G591">
        <v>478</v>
      </c>
      <c r="H591" t="s">
        <v>325</v>
      </c>
      <c r="I591" t="s">
        <v>326</v>
      </c>
      <c r="J591" t="s">
        <v>44</v>
      </c>
      <c r="K591" t="s">
        <v>45</v>
      </c>
      <c r="L591">
        <v>0</v>
      </c>
      <c r="M591" t="s">
        <v>46</v>
      </c>
      <c r="N591" t="s">
        <v>47</v>
      </c>
      <c r="O591">
        <v>0</v>
      </c>
      <c r="P591" t="s">
        <v>46</v>
      </c>
      <c r="Q591" t="s">
        <v>47</v>
      </c>
      <c r="R591" t="s">
        <v>48</v>
      </c>
      <c r="S591" t="s">
        <v>49</v>
      </c>
      <c r="T591" t="b">
        <v>1</v>
      </c>
      <c r="U591" t="s">
        <v>50</v>
      </c>
      <c r="V591" t="s">
        <v>51</v>
      </c>
      <c r="W591">
        <v>4</v>
      </c>
      <c r="X591" t="b">
        <v>0</v>
      </c>
      <c r="Y591" t="s">
        <v>52</v>
      </c>
      <c r="Z591" t="s">
        <v>53</v>
      </c>
      <c r="AA591" t="s">
        <v>54</v>
      </c>
      <c r="AB591">
        <v>0</v>
      </c>
      <c r="AC591" t="s">
        <v>55</v>
      </c>
      <c r="AD591">
        <v>8</v>
      </c>
      <c r="AE591" t="s">
        <v>56</v>
      </c>
      <c r="AF591">
        <v>26484.558000000001</v>
      </c>
      <c r="AG591" t="b">
        <v>0</v>
      </c>
      <c r="AH591">
        <v>8</v>
      </c>
      <c r="AI591" t="s">
        <v>56</v>
      </c>
      <c r="AJ591">
        <v>26484.558000000001</v>
      </c>
      <c r="AK591" t="b">
        <v>0</v>
      </c>
      <c r="AL591">
        <v>26484.558000000001</v>
      </c>
      <c r="AM591" t="b">
        <v>0</v>
      </c>
      <c r="AN591">
        <v>0</v>
      </c>
      <c r="AO591" t="b">
        <v>0</v>
      </c>
      <c r="AQ591">
        <v>1517800755.6500001</v>
      </c>
      <c r="AR591">
        <v>1517800755.6500001</v>
      </c>
      <c r="AS591">
        <v>0</v>
      </c>
      <c r="AT591" t="b">
        <v>0</v>
      </c>
      <c r="AU591" t="b">
        <v>1</v>
      </c>
      <c r="AV591" t="b">
        <v>1</v>
      </c>
      <c r="AW591" t="b">
        <v>1</v>
      </c>
      <c r="BC591" t="str">
        <f t="shared" si="9"/>
        <v>Normal</v>
      </c>
    </row>
    <row r="592" spans="1:55" x14ac:dyDescent="0.2">
      <c r="A592" t="s">
        <v>39</v>
      </c>
      <c r="B592" t="s">
        <v>40</v>
      </c>
      <c r="C592">
        <v>20230101</v>
      </c>
      <c r="D592">
        <v>2023</v>
      </c>
      <c r="E592">
        <v>52</v>
      </c>
      <c r="F592" t="s">
        <v>354</v>
      </c>
      <c r="G592">
        <v>480</v>
      </c>
      <c r="H592" t="s">
        <v>201</v>
      </c>
      <c r="I592" t="s">
        <v>202</v>
      </c>
      <c r="J592" t="s">
        <v>44</v>
      </c>
      <c r="K592" t="s">
        <v>45</v>
      </c>
      <c r="L592">
        <v>0</v>
      </c>
      <c r="M592" t="s">
        <v>46</v>
      </c>
      <c r="N592" t="s">
        <v>47</v>
      </c>
      <c r="O592">
        <v>0</v>
      </c>
      <c r="P592" t="s">
        <v>46</v>
      </c>
      <c r="Q592" t="s">
        <v>47</v>
      </c>
      <c r="R592" t="s">
        <v>347</v>
      </c>
      <c r="S592" t="s">
        <v>49</v>
      </c>
      <c r="T592" t="b">
        <v>1</v>
      </c>
      <c r="U592" t="s">
        <v>50</v>
      </c>
      <c r="V592" t="s">
        <v>51</v>
      </c>
      <c r="W592">
        <v>4</v>
      </c>
      <c r="X592" t="b">
        <v>0</v>
      </c>
      <c r="Y592" t="s">
        <v>52</v>
      </c>
      <c r="Z592" t="s">
        <v>53</v>
      </c>
      <c r="AA592" t="s">
        <v>54</v>
      </c>
      <c r="AB592">
        <v>0</v>
      </c>
      <c r="AC592" t="s">
        <v>55</v>
      </c>
      <c r="AD592">
        <v>8</v>
      </c>
      <c r="AE592" t="s">
        <v>56</v>
      </c>
      <c r="AF592">
        <v>46</v>
      </c>
      <c r="AG592" t="b">
        <v>0</v>
      </c>
      <c r="AH592">
        <v>8</v>
      </c>
      <c r="AI592" t="s">
        <v>56</v>
      </c>
      <c r="AJ592">
        <v>46</v>
      </c>
      <c r="AK592" t="b">
        <v>0</v>
      </c>
      <c r="AL592">
        <v>5</v>
      </c>
      <c r="AM592" t="b">
        <v>0</v>
      </c>
      <c r="AN592">
        <v>0</v>
      </c>
      <c r="AO592" t="b">
        <v>0</v>
      </c>
      <c r="AQ592">
        <v>1129317.135</v>
      </c>
      <c r="AR592">
        <v>1129317.135</v>
      </c>
      <c r="AS592">
        <v>0</v>
      </c>
      <c r="AT592" t="b">
        <v>0</v>
      </c>
      <c r="AU592" t="b">
        <v>1</v>
      </c>
      <c r="AV592" t="b">
        <v>1</v>
      </c>
      <c r="AW592" t="b">
        <v>1</v>
      </c>
      <c r="BC592" t="str">
        <f t="shared" si="9"/>
        <v>Normal</v>
      </c>
    </row>
    <row r="593" spans="1:55" x14ac:dyDescent="0.2">
      <c r="A593" t="s">
        <v>39</v>
      </c>
      <c r="B593" t="s">
        <v>40</v>
      </c>
      <c r="C593">
        <v>20230101</v>
      </c>
      <c r="D593">
        <v>2023</v>
      </c>
      <c r="E593">
        <v>52</v>
      </c>
      <c r="F593" t="s">
        <v>354</v>
      </c>
      <c r="G593">
        <v>484</v>
      </c>
      <c r="H593" t="s">
        <v>203</v>
      </c>
      <c r="I593" t="s">
        <v>204</v>
      </c>
      <c r="J593" t="s">
        <v>44</v>
      </c>
      <c r="K593" t="s">
        <v>45</v>
      </c>
      <c r="L593">
        <v>0</v>
      </c>
      <c r="M593" t="s">
        <v>46</v>
      </c>
      <c r="N593" t="s">
        <v>47</v>
      </c>
      <c r="O593">
        <v>0</v>
      </c>
      <c r="P593" t="s">
        <v>46</v>
      </c>
      <c r="Q593" t="s">
        <v>47</v>
      </c>
      <c r="R593" t="s">
        <v>347</v>
      </c>
      <c r="S593" t="s">
        <v>49</v>
      </c>
      <c r="T593" t="b">
        <v>1</v>
      </c>
      <c r="U593" t="s">
        <v>50</v>
      </c>
      <c r="V593" t="s">
        <v>51</v>
      </c>
      <c r="W593">
        <v>4</v>
      </c>
      <c r="X593" t="b">
        <v>0</v>
      </c>
      <c r="Y593" t="s">
        <v>52</v>
      </c>
      <c r="Z593" t="s">
        <v>53</v>
      </c>
      <c r="AA593" t="s">
        <v>54</v>
      </c>
      <c r="AB593">
        <v>0</v>
      </c>
      <c r="AC593" t="s">
        <v>55</v>
      </c>
      <c r="AD593">
        <v>-1</v>
      </c>
      <c r="AE593" t="s">
        <v>64</v>
      </c>
      <c r="AF593">
        <v>0</v>
      </c>
      <c r="AG593" t="b">
        <v>0</v>
      </c>
      <c r="AH593">
        <v>-1</v>
      </c>
      <c r="AI593" t="s">
        <v>64</v>
      </c>
      <c r="AJ593">
        <v>0</v>
      </c>
      <c r="AK593" t="b">
        <v>0</v>
      </c>
      <c r="AL593">
        <v>0</v>
      </c>
      <c r="AM593" t="b">
        <v>0</v>
      </c>
      <c r="AN593">
        <v>0</v>
      </c>
      <c r="AO593" t="b">
        <v>0</v>
      </c>
      <c r="AQ593">
        <v>3531978516</v>
      </c>
      <c r="AR593">
        <v>3531978516</v>
      </c>
      <c r="AS593">
        <v>0</v>
      </c>
      <c r="AT593" t="b">
        <v>0</v>
      </c>
      <c r="AU593" t="b">
        <v>1</v>
      </c>
      <c r="AV593" t="b">
        <v>1</v>
      </c>
      <c r="AW593" t="b">
        <v>1</v>
      </c>
      <c r="BC593" t="str">
        <f t="shared" si="9"/>
        <v>Normal</v>
      </c>
    </row>
    <row r="594" spans="1:55" x14ac:dyDescent="0.2">
      <c r="A594" t="s">
        <v>39</v>
      </c>
      <c r="B594" t="s">
        <v>40</v>
      </c>
      <c r="C594">
        <v>20230101</v>
      </c>
      <c r="D594">
        <v>2023</v>
      </c>
      <c r="E594">
        <v>52</v>
      </c>
      <c r="F594" t="s">
        <v>354</v>
      </c>
      <c r="G594">
        <v>490</v>
      </c>
      <c r="H594" t="s">
        <v>205</v>
      </c>
      <c r="I594" t="s">
        <v>206</v>
      </c>
      <c r="J594" t="s">
        <v>44</v>
      </c>
      <c r="K594" t="s">
        <v>45</v>
      </c>
      <c r="L594">
        <v>0</v>
      </c>
      <c r="M594" t="s">
        <v>46</v>
      </c>
      <c r="N594" t="s">
        <v>47</v>
      </c>
      <c r="O594">
        <v>0</v>
      </c>
      <c r="P594" t="s">
        <v>46</v>
      </c>
      <c r="Q594" t="s">
        <v>47</v>
      </c>
      <c r="R594" t="s">
        <v>347</v>
      </c>
      <c r="S594" t="s">
        <v>49</v>
      </c>
      <c r="T594" t="b">
        <v>1</v>
      </c>
      <c r="U594" t="s">
        <v>50</v>
      </c>
      <c r="V594" t="s">
        <v>51</v>
      </c>
      <c r="W594">
        <v>4</v>
      </c>
      <c r="X594" t="b">
        <v>0</v>
      </c>
      <c r="Y594" t="s">
        <v>52</v>
      </c>
      <c r="Z594" t="s">
        <v>53</v>
      </c>
      <c r="AA594" t="s">
        <v>54</v>
      </c>
      <c r="AB594">
        <v>0</v>
      </c>
      <c r="AC594" t="s">
        <v>55</v>
      </c>
      <c r="AD594">
        <v>8</v>
      </c>
      <c r="AE594" t="s">
        <v>56</v>
      </c>
      <c r="AF594">
        <v>20143.169000000002</v>
      </c>
      <c r="AG594" t="b">
        <v>1</v>
      </c>
      <c r="AH594">
        <v>-1</v>
      </c>
      <c r="AI594" t="s">
        <v>64</v>
      </c>
      <c r="AJ594">
        <v>0</v>
      </c>
      <c r="AK594" t="b">
        <v>0</v>
      </c>
      <c r="AL594">
        <v>20143.169000000002</v>
      </c>
      <c r="AM594" t="b">
        <v>1</v>
      </c>
      <c r="AN594">
        <v>0</v>
      </c>
      <c r="AO594" t="b">
        <v>0</v>
      </c>
      <c r="AQ594">
        <v>1179595944.9979999</v>
      </c>
      <c r="AR594">
        <v>1179595944.9979999</v>
      </c>
      <c r="AS594">
        <v>6</v>
      </c>
      <c r="AT594" t="b">
        <v>0</v>
      </c>
      <c r="AU594" t="b">
        <v>1</v>
      </c>
      <c r="AV594" t="b">
        <v>1</v>
      </c>
      <c r="AW594" t="b">
        <v>1</v>
      </c>
      <c r="BC594" t="str">
        <f t="shared" si="9"/>
        <v>Normal</v>
      </c>
    </row>
    <row r="595" spans="1:55" x14ac:dyDescent="0.2">
      <c r="A595" t="s">
        <v>39</v>
      </c>
      <c r="B595" t="s">
        <v>40</v>
      </c>
      <c r="C595">
        <v>20230101</v>
      </c>
      <c r="D595">
        <v>2023</v>
      </c>
      <c r="E595">
        <v>52</v>
      </c>
      <c r="F595" t="s">
        <v>354</v>
      </c>
      <c r="G595">
        <v>496</v>
      </c>
      <c r="H595" t="s">
        <v>207</v>
      </c>
      <c r="I595" t="s">
        <v>208</v>
      </c>
      <c r="J595" t="s">
        <v>44</v>
      </c>
      <c r="K595" t="s">
        <v>45</v>
      </c>
      <c r="L595">
        <v>0</v>
      </c>
      <c r="M595" t="s">
        <v>46</v>
      </c>
      <c r="N595" t="s">
        <v>47</v>
      </c>
      <c r="O595">
        <v>0</v>
      </c>
      <c r="P595" t="s">
        <v>46</v>
      </c>
      <c r="Q595" t="s">
        <v>47</v>
      </c>
      <c r="R595" t="s">
        <v>347</v>
      </c>
      <c r="S595" t="s">
        <v>49</v>
      </c>
      <c r="T595" t="b">
        <v>1</v>
      </c>
      <c r="U595" t="s">
        <v>50</v>
      </c>
      <c r="V595" t="s">
        <v>51</v>
      </c>
      <c r="W595">
        <v>4</v>
      </c>
      <c r="X595" t="b">
        <v>0</v>
      </c>
      <c r="Y595" t="s">
        <v>52</v>
      </c>
      <c r="Z595" t="s">
        <v>53</v>
      </c>
      <c r="AA595" t="s">
        <v>54</v>
      </c>
      <c r="AB595">
        <v>0</v>
      </c>
      <c r="AC595" t="s">
        <v>55</v>
      </c>
      <c r="AD595">
        <v>8</v>
      </c>
      <c r="AE595" t="s">
        <v>56</v>
      </c>
      <c r="AF595">
        <v>11733.56</v>
      </c>
      <c r="AG595" t="b">
        <v>0</v>
      </c>
      <c r="AH595">
        <v>8</v>
      </c>
      <c r="AI595" t="s">
        <v>56</v>
      </c>
      <c r="AJ595">
        <v>11733.56</v>
      </c>
      <c r="AK595" t="b">
        <v>0</v>
      </c>
      <c r="AL595">
        <v>11733.56</v>
      </c>
      <c r="AM595" t="b">
        <v>0</v>
      </c>
      <c r="AN595">
        <v>0</v>
      </c>
      <c r="AO595" t="b">
        <v>0</v>
      </c>
      <c r="AQ595">
        <v>738016290.16999996</v>
      </c>
      <c r="AR595">
        <v>738016290.16999996</v>
      </c>
      <c r="AS595">
        <v>0</v>
      </c>
      <c r="AT595" t="b">
        <v>0</v>
      </c>
      <c r="AU595" t="b">
        <v>1</v>
      </c>
      <c r="AV595" t="b">
        <v>1</v>
      </c>
      <c r="AW595" t="b">
        <v>1</v>
      </c>
      <c r="BC595" t="str">
        <f t="shared" si="9"/>
        <v>Normal</v>
      </c>
    </row>
    <row r="596" spans="1:55" x14ac:dyDescent="0.2">
      <c r="A596" t="s">
        <v>39</v>
      </c>
      <c r="B596" t="s">
        <v>40</v>
      </c>
      <c r="C596">
        <v>20230101</v>
      </c>
      <c r="D596">
        <v>2023</v>
      </c>
      <c r="E596">
        <v>52</v>
      </c>
      <c r="F596" t="s">
        <v>354</v>
      </c>
      <c r="G596">
        <v>498</v>
      </c>
      <c r="H596" t="s">
        <v>209</v>
      </c>
      <c r="I596" t="s">
        <v>210</v>
      </c>
      <c r="J596" t="s">
        <v>44</v>
      </c>
      <c r="K596" t="s">
        <v>45</v>
      </c>
      <c r="L596">
        <v>0</v>
      </c>
      <c r="M596" t="s">
        <v>46</v>
      </c>
      <c r="N596" t="s">
        <v>47</v>
      </c>
      <c r="O596">
        <v>0</v>
      </c>
      <c r="P596" t="s">
        <v>46</v>
      </c>
      <c r="Q596" t="s">
        <v>47</v>
      </c>
      <c r="R596" t="s">
        <v>347</v>
      </c>
      <c r="S596" t="s">
        <v>49</v>
      </c>
      <c r="T596" t="b">
        <v>1</v>
      </c>
      <c r="U596" t="s">
        <v>50</v>
      </c>
      <c r="V596" t="s">
        <v>51</v>
      </c>
      <c r="W596">
        <v>4</v>
      </c>
      <c r="X596" t="b">
        <v>0</v>
      </c>
      <c r="Y596" t="s">
        <v>52</v>
      </c>
      <c r="Z596" t="s">
        <v>53</v>
      </c>
      <c r="AA596" t="s">
        <v>54</v>
      </c>
      <c r="AB596">
        <v>0</v>
      </c>
      <c r="AC596" t="s">
        <v>55</v>
      </c>
      <c r="AD596">
        <v>8</v>
      </c>
      <c r="AE596" t="s">
        <v>56</v>
      </c>
      <c r="AF596">
        <v>38.128999999999998</v>
      </c>
      <c r="AG596" t="b">
        <v>0</v>
      </c>
      <c r="AH596">
        <v>15</v>
      </c>
      <c r="AI596" t="s">
        <v>59</v>
      </c>
      <c r="AJ596">
        <v>38129</v>
      </c>
      <c r="AK596" t="b">
        <v>0</v>
      </c>
      <c r="AL596">
        <v>38</v>
      </c>
      <c r="AM596" t="b">
        <v>0</v>
      </c>
      <c r="AN596">
        <v>0</v>
      </c>
      <c r="AO596" t="b">
        <v>0</v>
      </c>
      <c r="AQ596">
        <v>1744315</v>
      </c>
      <c r="AR596">
        <v>1744315</v>
      </c>
      <c r="AS596">
        <v>0</v>
      </c>
      <c r="AT596" t="b">
        <v>0</v>
      </c>
      <c r="AU596" t="b">
        <v>1</v>
      </c>
      <c r="AV596" t="b">
        <v>1</v>
      </c>
      <c r="AW596" t="b">
        <v>1</v>
      </c>
      <c r="BC596" t="str">
        <f t="shared" si="9"/>
        <v>Normal</v>
      </c>
    </row>
    <row r="597" spans="1:55" x14ac:dyDescent="0.2">
      <c r="A597" t="s">
        <v>39</v>
      </c>
      <c r="B597" t="s">
        <v>40</v>
      </c>
      <c r="C597">
        <v>20230101</v>
      </c>
      <c r="D597">
        <v>2023</v>
      </c>
      <c r="E597">
        <v>52</v>
      </c>
      <c r="F597" t="s">
        <v>354</v>
      </c>
      <c r="G597">
        <v>504</v>
      </c>
      <c r="H597" t="s">
        <v>211</v>
      </c>
      <c r="I597" t="s">
        <v>212</v>
      </c>
      <c r="J597" t="s">
        <v>44</v>
      </c>
      <c r="K597" t="s">
        <v>45</v>
      </c>
      <c r="L597">
        <v>0</v>
      </c>
      <c r="M597" t="s">
        <v>46</v>
      </c>
      <c r="N597" t="s">
        <v>47</v>
      </c>
      <c r="O597">
        <v>0</v>
      </c>
      <c r="P597" t="s">
        <v>46</v>
      </c>
      <c r="Q597" t="s">
        <v>47</v>
      </c>
      <c r="R597" t="s">
        <v>347</v>
      </c>
      <c r="S597" t="s">
        <v>49</v>
      </c>
      <c r="T597" t="b">
        <v>1</v>
      </c>
      <c r="U597" t="s">
        <v>50</v>
      </c>
      <c r="V597" t="s">
        <v>51</v>
      </c>
      <c r="W597">
        <v>4</v>
      </c>
      <c r="X597" t="b">
        <v>0</v>
      </c>
      <c r="Y597" t="s">
        <v>52</v>
      </c>
      <c r="Z597" t="s">
        <v>53</v>
      </c>
      <c r="AA597" t="s">
        <v>54</v>
      </c>
      <c r="AB597">
        <v>0</v>
      </c>
      <c r="AC597" t="s">
        <v>55</v>
      </c>
      <c r="AD597">
        <v>8</v>
      </c>
      <c r="AE597" t="s">
        <v>56</v>
      </c>
      <c r="AF597">
        <v>356.75</v>
      </c>
      <c r="AG597" t="b">
        <v>0</v>
      </c>
      <c r="AH597">
        <v>8</v>
      </c>
      <c r="AI597" t="s">
        <v>56</v>
      </c>
      <c r="AJ597">
        <v>356.75</v>
      </c>
      <c r="AK597" t="b">
        <v>0</v>
      </c>
      <c r="AL597">
        <v>356.75</v>
      </c>
      <c r="AM597" t="b">
        <v>0</v>
      </c>
      <c r="AN597">
        <v>0</v>
      </c>
      <c r="AO597" t="b">
        <v>0</v>
      </c>
      <c r="AQ597">
        <v>19362691.039999999</v>
      </c>
      <c r="AR597">
        <v>19362691.039999999</v>
      </c>
      <c r="AS597">
        <v>0</v>
      </c>
      <c r="AT597" t="b">
        <v>0</v>
      </c>
      <c r="AU597" t="b">
        <v>1</v>
      </c>
      <c r="AV597" t="b">
        <v>1</v>
      </c>
      <c r="AW597" t="b">
        <v>1</v>
      </c>
      <c r="BC597" t="str">
        <f t="shared" si="9"/>
        <v>Normal</v>
      </c>
    </row>
    <row r="598" spans="1:55" x14ac:dyDescent="0.2">
      <c r="A598" t="s">
        <v>39</v>
      </c>
      <c r="B598" t="s">
        <v>40</v>
      </c>
      <c r="C598">
        <v>20230101</v>
      </c>
      <c r="D598">
        <v>2023</v>
      </c>
      <c r="E598">
        <v>52</v>
      </c>
      <c r="F598" t="s">
        <v>354</v>
      </c>
      <c r="G598">
        <v>508</v>
      </c>
      <c r="H598" t="s">
        <v>213</v>
      </c>
      <c r="I598" t="s">
        <v>214</v>
      </c>
      <c r="J598" t="s">
        <v>44</v>
      </c>
      <c r="K598" t="s">
        <v>45</v>
      </c>
      <c r="L598">
        <v>0</v>
      </c>
      <c r="M598" t="s">
        <v>46</v>
      </c>
      <c r="N598" t="s">
        <v>47</v>
      </c>
      <c r="O598">
        <v>0</v>
      </c>
      <c r="P598" t="s">
        <v>46</v>
      </c>
      <c r="Q598" t="s">
        <v>47</v>
      </c>
      <c r="R598" t="s">
        <v>347</v>
      </c>
      <c r="S598" t="s">
        <v>49</v>
      </c>
      <c r="T598" t="b">
        <v>1</v>
      </c>
      <c r="U598" t="s">
        <v>50</v>
      </c>
      <c r="V598" t="s">
        <v>51</v>
      </c>
      <c r="W598">
        <v>4</v>
      </c>
      <c r="X598" t="b">
        <v>0</v>
      </c>
      <c r="Y598" t="s">
        <v>52</v>
      </c>
      <c r="Z598" t="s">
        <v>53</v>
      </c>
      <c r="AA598" t="s">
        <v>54</v>
      </c>
      <c r="AB598">
        <v>0</v>
      </c>
      <c r="AC598" t="s">
        <v>55</v>
      </c>
      <c r="AD598">
        <v>-1</v>
      </c>
      <c r="AE598" t="s">
        <v>64</v>
      </c>
      <c r="AF598">
        <v>0</v>
      </c>
      <c r="AG598" t="b">
        <v>0</v>
      </c>
      <c r="AH598">
        <v>15</v>
      </c>
      <c r="AI598" t="s">
        <v>59</v>
      </c>
      <c r="AJ598">
        <v>354521.12</v>
      </c>
      <c r="AK598" t="b">
        <v>0</v>
      </c>
      <c r="AL598">
        <v>357</v>
      </c>
      <c r="AM598" t="b">
        <v>0</v>
      </c>
      <c r="AN598">
        <v>0</v>
      </c>
      <c r="AO598" t="b">
        <v>0</v>
      </c>
      <c r="AQ598">
        <v>20208000</v>
      </c>
      <c r="AR598">
        <v>20208000</v>
      </c>
      <c r="AS598">
        <v>0</v>
      </c>
      <c r="AT598" t="b">
        <v>0</v>
      </c>
      <c r="AU598" t="b">
        <v>1</v>
      </c>
      <c r="AV598" t="b">
        <v>1</v>
      </c>
      <c r="AW598" t="b">
        <v>1</v>
      </c>
      <c r="BC598" t="str">
        <f t="shared" si="9"/>
        <v>Normal</v>
      </c>
    </row>
    <row r="599" spans="1:55" x14ac:dyDescent="0.2">
      <c r="A599" t="s">
        <v>39</v>
      </c>
      <c r="B599" t="s">
        <v>40</v>
      </c>
      <c r="C599">
        <v>20230101</v>
      </c>
      <c r="D599">
        <v>2023</v>
      </c>
      <c r="E599">
        <v>52</v>
      </c>
      <c r="F599" t="s">
        <v>354</v>
      </c>
      <c r="G599">
        <v>512</v>
      </c>
      <c r="H599" t="s">
        <v>215</v>
      </c>
      <c r="I599" t="s">
        <v>216</v>
      </c>
      <c r="J599" t="s">
        <v>44</v>
      </c>
      <c r="K599" t="s">
        <v>45</v>
      </c>
      <c r="L599">
        <v>0</v>
      </c>
      <c r="M599" t="s">
        <v>46</v>
      </c>
      <c r="N599" t="s">
        <v>47</v>
      </c>
      <c r="O599">
        <v>0</v>
      </c>
      <c r="P599" t="s">
        <v>46</v>
      </c>
      <c r="Q599" t="s">
        <v>47</v>
      </c>
      <c r="R599" t="s">
        <v>347</v>
      </c>
      <c r="S599" t="s">
        <v>49</v>
      </c>
      <c r="T599" t="b">
        <v>1</v>
      </c>
      <c r="U599" t="s">
        <v>50</v>
      </c>
      <c r="V599" t="s">
        <v>51</v>
      </c>
      <c r="W599">
        <v>4</v>
      </c>
      <c r="X599" t="b">
        <v>0</v>
      </c>
      <c r="Y599" t="s">
        <v>52</v>
      </c>
      <c r="Z599" t="s">
        <v>53</v>
      </c>
      <c r="AA599" t="s">
        <v>54</v>
      </c>
      <c r="AB599">
        <v>0</v>
      </c>
      <c r="AC599" t="s">
        <v>55</v>
      </c>
      <c r="AD599">
        <v>8</v>
      </c>
      <c r="AE599" t="s">
        <v>56</v>
      </c>
      <c r="AF599">
        <v>1652.386</v>
      </c>
      <c r="AG599" t="b">
        <v>1</v>
      </c>
      <c r="AH599">
        <v>-1</v>
      </c>
      <c r="AI599" t="s">
        <v>64</v>
      </c>
      <c r="AJ599">
        <v>0</v>
      </c>
      <c r="AK599" t="b">
        <v>0</v>
      </c>
      <c r="AL599">
        <v>1652.386</v>
      </c>
      <c r="AM599" t="b">
        <v>1</v>
      </c>
      <c r="AN599">
        <v>0</v>
      </c>
      <c r="AO599" t="b">
        <v>0</v>
      </c>
      <c r="AQ599">
        <v>100732462.781</v>
      </c>
      <c r="AR599">
        <v>100732462.781</v>
      </c>
      <c r="AS599">
        <v>6</v>
      </c>
      <c r="AT599" t="b">
        <v>0</v>
      </c>
      <c r="AU599" t="b">
        <v>1</v>
      </c>
      <c r="AV599" t="b">
        <v>1</v>
      </c>
      <c r="AW599" t="b">
        <v>1</v>
      </c>
      <c r="BC599" t="str">
        <f t="shared" si="9"/>
        <v>Normal</v>
      </c>
    </row>
    <row r="600" spans="1:55" x14ac:dyDescent="0.2">
      <c r="A600" t="s">
        <v>39</v>
      </c>
      <c r="B600" t="s">
        <v>40</v>
      </c>
      <c r="C600">
        <v>20230101</v>
      </c>
      <c r="D600">
        <v>2023</v>
      </c>
      <c r="E600">
        <v>52</v>
      </c>
      <c r="F600" t="s">
        <v>354</v>
      </c>
      <c r="G600">
        <v>516</v>
      </c>
      <c r="H600" t="s">
        <v>217</v>
      </c>
      <c r="I600" t="s">
        <v>218</v>
      </c>
      <c r="J600" t="s">
        <v>44</v>
      </c>
      <c r="K600" t="s">
        <v>45</v>
      </c>
      <c r="L600">
        <v>0</v>
      </c>
      <c r="M600" t="s">
        <v>46</v>
      </c>
      <c r="N600" t="s">
        <v>47</v>
      </c>
      <c r="O600">
        <v>0</v>
      </c>
      <c r="P600" t="s">
        <v>46</v>
      </c>
      <c r="Q600" t="s">
        <v>47</v>
      </c>
      <c r="R600" t="s">
        <v>347</v>
      </c>
      <c r="S600" t="s">
        <v>49</v>
      </c>
      <c r="T600" t="b">
        <v>1</v>
      </c>
      <c r="U600" t="s">
        <v>50</v>
      </c>
      <c r="V600" t="s">
        <v>51</v>
      </c>
      <c r="W600">
        <v>4</v>
      </c>
      <c r="X600" t="b">
        <v>0</v>
      </c>
      <c r="Y600" t="s">
        <v>52</v>
      </c>
      <c r="Z600" t="s">
        <v>53</v>
      </c>
      <c r="AA600" t="s">
        <v>54</v>
      </c>
      <c r="AB600">
        <v>0</v>
      </c>
      <c r="AC600" t="s">
        <v>55</v>
      </c>
      <c r="AD600">
        <v>-1</v>
      </c>
      <c r="AE600" t="s">
        <v>64</v>
      </c>
      <c r="AF600">
        <v>0</v>
      </c>
      <c r="AG600" t="b">
        <v>0</v>
      </c>
      <c r="AH600">
        <v>-1</v>
      </c>
      <c r="AI600" t="s">
        <v>64</v>
      </c>
      <c r="AJ600">
        <v>0</v>
      </c>
      <c r="AK600" t="b">
        <v>0</v>
      </c>
      <c r="AM600" t="b">
        <v>0</v>
      </c>
      <c r="AN600">
        <v>0</v>
      </c>
      <c r="AO600" t="b">
        <v>0</v>
      </c>
      <c r="AQ600">
        <v>620065364.75699997</v>
      </c>
      <c r="AR600">
        <v>620065364.75699997</v>
      </c>
      <c r="AS600">
        <v>0</v>
      </c>
      <c r="AT600" t="b">
        <v>0</v>
      </c>
      <c r="AU600" t="b">
        <v>1</v>
      </c>
      <c r="AV600" t="b">
        <v>1</v>
      </c>
      <c r="AW600" t="b">
        <v>1</v>
      </c>
      <c r="BC600" t="str">
        <f t="shared" si="9"/>
        <v>Normal</v>
      </c>
    </row>
    <row r="601" spans="1:55" x14ac:dyDescent="0.2">
      <c r="A601" t="s">
        <v>39</v>
      </c>
      <c r="B601" t="s">
        <v>40</v>
      </c>
      <c r="C601">
        <v>20230101</v>
      </c>
      <c r="D601">
        <v>2023</v>
      </c>
      <c r="E601">
        <v>52</v>
      </c>
      <c r="F601" t="s">
        <v>354</v>
      </c>
      <c r="G601">
        <v>528</v>
      </c>
      <c r="H601" t="s">
        <v>219</v>
      </c>
      <c r="I601" t="s">
        <v>220</v>
      </c>
      <c r="J601" t="s">
        <v>44</v>
      </c>
      <c r="K601" t="s">
        <v>45</v>
      </c>
      <c r="L601">
        <v>0</v>
      </c>
      <c r="M601" t="s">
        <v>46</v>
      </c>
      <c r="N601" t="s">
        <v>47</v>
      </c>
      <c r="O601">
        <v>0</v>
      </c>
      <c r="P601" t="s">
        <v>46</v>
      </c>
      <c r="Q601" t="s">
        <v>47</v>
      </c>
      <c r="R601" t="s">
        <v>347</v>
      </c>
      <c r="S601" t="s">
        <v>49</v>
      </c>
      <c r="T601" t="b">
        <v>1</v>
      </c>
      <c r="U601" t="s">
        <v>50</v>
      </c>
      <c r="V601" t="s">
        <v>51</v>
      </c>
      <c r="W601">
        <v>4</v>
      </c>
      <c r="X601" t="b">
        <v>0</v>
      </c>
      <c r="Y601" t="s">
        <v>52</v>
      </c>
      <c r="Z601" t="s">
        <v>53</v>
      </c>
      <c r="AA601" t="s">
        <v>54</v>
      </c>
      <c r="AB601">
        <v>0</v>
      </c>
      <c r="AC601" t="s">
        <v>55</v>
      </c>
      <c r="AD601">
        <v>8</v>
      </c>
      <c r="AE601" t="s">
        <v>56</v>
      </c>
      <c r="AF601">
        <v>4536.7560000000003</v>
      </c>
      <c r="AG601" t="b">
        <v>0</v>
      </c>
      <c r="AH601">
        <v>15</v>
      </c>
      <c r="AI601" t="s">
        <v>59</v>
      </c>
      <c r="AJ601">
        <v>4536756</v>
      </c>
      <c r="AK601" t="b">
        <v>0</v>
      </c>
      <c r="AL601">
        <v>10763.025</v>
      </c>
      <c r="AM601" t="b">
        <v>0</v>
      </c>
      <c r="AN601">
        <v>0</v>
      </c>
      <c r="AO601" t="b">
        <v>0</v>
      </c>
      <c r="AQ601">
        <v>273554314.30199999</v>
      </c>
      <c r="AR601">
        <v>273554314.30199999</v>
      </c>
      <c r="AS601">
        <v>0</v>
      </c>
      <c r="AT601" t="b">
        <v>0</v>
      </c>
      <c r="AU601" t="b">
        <v>1</v>
      </c>
      <c r="AV601" t="b">
        <v>1</v>
      </c>
      <c r="AW601" t="b">
        <v>1</v>
      </c>
      <c r="BC601" t="str">
        <f t="shared" si="9"/>
        <v>Normal</v>
      </c>
    </row>
    <row r="602" spans="1:55" x14ac:dyDescent="0.2">
      <c r="A602" t="s">
        <v>39</v>
      </c>
      <c r="B602" t="s">
        <v>40</v>
      </c>
      <c r="C602">
        <v>20230101</v>
      </c>
      <c r="D602">
        <v>2023</v>
      </c>
      <c r="E602">
        <v>52</v>
      </c>
      <c r="F602" t="s">
        <v>354</v>
      </c>
      <c r="G602">
        <v>554</v>
      </c>
      <c r="H602" t="s">
        <v>223</v>
      </c>
      <c r="I602" t="s">
        <v>224</v>
      </c>
      <c r="J602" t="s">
        <v>44</v>
      </c>
      <c r="K602" t="s">
        <v>45</v>
      </c>
      <c r="L602">
        <v>0</v>
      </c>
      <c r="M602" t="s">
        <v>46</v>
      </c>
      <c r="N602" t="s">
        <v>47</v>
      </c>
      <c r="O602">
        <v>0</v>
      </c>
      <c r="P602" t="s">
        <v>46</v>
      </c>
      <c r="Q602" t="s">
        <v>47</v>
      </c>
      <c r="R602" t="s">
        <v>347</v>
      </c>
      <c r="S602" t="s">
        <v>49</v>
      </c>
      <c r="T602" t="b">
        <v>1</v>
      </c>
      <c r="U602" t="s">
        <v>50</v>
      </c>
      <c r="V602" t="s">
        <v>51</v>
      </c>
      <c r="W602">
        <v>4</v>
      </c>
      <c r="X602" t="b">
        <v>0</v>
      </c>
      <c r="Y602" t="s">
        <v>52</v>
      </c>
      <c r="Z602" t="s">
        <v>53</v>
      </c>
      <c r="AA602" t="s">
        <v>54</v>
      </c>
      <c r="AB602">
        <v>0</v>
      </c>
      <c r="AC602" t="s">
        <v>55</v>
      </c>
      <c r="AD602">
        <v>8</v>
      </c>
      <c r="AE602" t="s">
        <v>56</v>
      </c>
      <c r="AF602">
        <v>13307.371999999999</v>
      </c>
      <c r="AG602" t="b">
        <v>0</v>
      </c>
      <c r="AH602">
        <v>15</v>
      </c>
      <c r="AI602" t="s">
        <v>59</v>
      </c>
      <c r="AJ602">
        <v>13307372</v>
      </c>
      <c r="AK602" t="b">
        <v>0</v>
      </c>
      <c r="AL602">
        <v>13307.371999999999</v>
      </c>
      <c r="AM602" t="b">
        <v>0</v>
      </c>
      <c r="AN602">
        <v>0</v>
      </c>
      <c r="AO602" t="b">
        <v>0</v>
      </c>
      <c r="AQ602">
        <v>464412956.24299997</v>
      </c>
      <c r="AR602">
        <v>464412956.24299997</v>
      </c>
      <c r="AS602">
        <v>0</v>
      </c>
      <c r="AT602" t="b">
        <v>0</v>
      </c>
      <c r="AU602" t="b">
        <v>1</v>
      </c>
      <c r="AV602" t="b">
        <v>1</v>
      </c>
      <c r="AW602" t="b">
        <v>1</v>
      </c>
      <c r="BC602" t="str">
        <f t="shared" si="9"/>
        <v>Normal</v>
      </c>
    </row>
    <row r="603" spans="1:55" x14ac:dyDescent="0.2">
      <c r="A603" t="s">
        <v>39</v>
      </c>
      <c r="B603" t="s">
        <v>40</v>
      </c>
      <c r="C603">
        <v>20230101</v>
      </c>
      <c r="D603">
        <v>2023</v>
      </c>
      <c r="E603">
        <v>52</v>
      </c>
      <c r="F603" t="s">
        <v>354</v>
      </c>
      <c r="G603">
        <v>558</v>
      </c>
      <c r="H603" t="s">
        <v>225</v>
      </c>
      <c r="I603" t="s">
        <v>226</v>
      </c>
      <c r="J603" t="s">
        <v>44</v>
      </c>
      <c r="K603" t="s">
        <v>45</v>
      </c>
      <c r="L603">
        <v>0</v>
      </c>
      <c r="M603" t="s">
        <v>46</v>
      </c>
      <c r="N603" t="s">
        <v>47</v>
      </c>
      <c r="O603">
        <v>0</v>
      </c>
      <c r="P603" t="s">
        <v>46</v>
      </c>
      <c r="Q603" t="s">
        <v>47</v>
      </c>
      <c r="R603" t="s">
        <v>347</v>
      </c>
      <c r="S603" t="s">
        <v>49</v>
      </c>
      <c r="T603" t="b">
        <v>1</v>
      </c>
      <c r="U603" t="s">
        <v>50</v>
      </c>
      <c r="V603" t="s">
        <v>51</v>
      </c>
      <c r="W603">
        <v>4</v>
      </c>
      <c r="X603" t="b">
        <v>0</v>
      </c>
      <c r="Y603" t="s">
        <v>52</v>
      </c>
      <c r="Z603" t="s">
        <v>53</v>
      </c>
      <c r="AA603" t="s">
        <v>54</v>
      </c>
      <c r="AB603">
        <v>0</v>
      </c>
      <c r="AC603" t="s">
        <v>55</v>
      </c>
      <c r="AD603">
        <v>8</v>
      </c>
      <c r="AE603" t="s">
        <v>56</v>
      </c>
      <c r="AF603">
        <v>19720.099999999999</v>
      </c>
      <c r="AG603" t="b">
        <v>0</v>
      </c>
      <c r="AH603">
        <v>8</v>
      </c>
      <c r="AI603" t="s">
        <v>56</v>
      </c>
      <c r="AJ603">
        <v>19720.099999999999</v>
      </c>
      <c r="AK603" t="b">
        <v>0</v>
      </c>
      <c r="AL603">
        <v>19720.099999999999</v>
      </c>
      <c r="AM603" t="b">
        <v>0</v>
      </c>
      <c r="AN603">
        <v>0</v>
      </c>
      <c r="AO603" t="b">
        <v>0</v>
      </c>
      <c r="AQ603">
        <v>1128988757.52</v>
      </c>
      <c r="AR603">
        <v>1128988757.52</v>
      </c>
      <c r="AS603">
        <v>0</v>
      </c>
      <c r="AT603" t="b">
        <v>0</v>
      </c>
      <c r="AU603" t="b">
        <v>1</v>
      </c>
      <c r="AV603" t="b">
        <v>1</v>
      </c>
      <c r="AW603" t="b">
        <v>1</v>
      </c>
      <c r="BC603" t="str">
        <f t="shared" si="9"/>
        <v>Normal</v>
      </c>
    </row>
    <row r="604" spans="1:55" x14ac:dyDescent="0.2">
      <c r="A604" t="s">
        <v>39</v>
      </c>
      <c r="B604" t="s">
        <v>40</v>
      </c>
      <c r="C604">
        <v>20230101</v>
      </c>
      <c r="D604">
        <v>2023</v>
      </c>
      <c r="E604">
        <v>52</v>
      </c>
      <c r="F604" t="s">
        <v>354</v>
      </c>
      <c r="G604">
        <v>562</v>
      </c>
      <c r="H604" t="s">
        <v>227</v>
      </c>
      <c r="I604" t="s">
        <v>228</v>
      </c>
      <c r="J604" t="s">
        <v>44</v>
      </c>
      <c r="K604" t="s">
        <v>45</v>
      </c>
      <c r="L604">
        <v>0</v>
      </c>
      <c r="M604" t="s">
        <v>46</v>
      </c>
      <c r="N604" t="s">
        <v>47</v>
      </c>
      <c r="O604">
        <v>0</v>
      </c>
      <c r="P604" t="s">
        <v>46</v>
      </c>
      <c r="Q604" t="s">
        <v>47</v>
      </c>
      <c r="R604" t="s">
        <v>347</v>
      </c>
      <c r="S604" t="s">
        <v>49</v>
      </c>
      <c r="T604" t="b">
        <v>1</v>
      </c>
      <c r="U604" t="s">
        <v>50</v>
      </c>
      <c r="V604" t="s">
        <v>51</v>
      </c>
      <c r="W604">
        <v>4</v>
      </c>
      <c r="X604" t="b">
        <v>0</v>
      </c>
      <c r="Y604" t="s">
        <v>52</v>
      </c>
      <c r="Z604" t="s">
        <v>53</v>
      </c>
      <c r="AA604" t="s">
        <v>54</v>
      </c>
      <c r="AB604">
        <v>0</v>
      </c>
      <c r="AC604" t="s">
        <v>55</v>
      </c>
      <c r="AD604">
        <v>8</v>
      </c>
      <c r="AE604" t="s">
        <v>56</v>
      </c>
      <c r="AF604">
        <v>2173</v>
      </c>
      <c r="AG604" t="b">
        <v>0</v>
      </c>
      <c r="AH604">
        <v>8</v>
      </c>
      <c r="AI604" t="s">
        <v>56</v>
      </c>
      <c r="AJ604">
        <v>2173</v>
      </c>
      <c r="AK604" t="b">
        <v>0</v>
      </c>
      <c r="AL604">
        <v>2173</v>
      </c>
      <c r="AM604" t="b">
        <v>0</v>
      </c>
      <c r="AN604">
        <v>0</v>
      </c>
      <c r="AO604" t="b">
        <v>0</v>
      </c>
      <c r="AQ604">
        <v>110812754.04099999</v>
      </c>
      <c r="AR604">
        <v>110812754.04099999</v>
      </c>
      <c r="AS604">
        <v>0</v>
      </c>
      <c r="AT604" t="b">
        <v>0</v>
      </c>
      <c r="AU604" t="b">
        <v>1</v>
      </c>
      <c r="AV604" t="b">
        <v>1</v>
      </c>
      <c r="AW604" t="b">
        <v>1</v>
      </c>
      <c r="BC604" t="str">
        <f t="shared" si="9"/>
        <v>Normal</v>
      </c>
    </row>
    <row r="605" spans="1:55" x14ac:dyDescent="0.2">
      <c r="A605" t="s">
        <v>39</v>
      </c>
      <c r="B605" t="s">
        <v>40</v>
      </c>
      <c r="C605">
        <v>20230101</v>
      </c>
      <c r="D605">
        <v>2023</v>
      </c>
      <c r="E605">
        <v>52</v>
      </c>
      <c r="F605" t="s">
        <v>354</v>
      </c>
      <c r="G605">
        <v>566</v>
      </c>
      <c r="H605" t="s">
        <v>329</v>
      </c>
      <c r="I605" t="s">
        <v>330</v>
      </c>
      <c r="J605" t="s">
        <v>44</v>
      </c>
      <c r="K605" t="s">
        <v>45</v>
      </c>
      <c r="L605">
        <v>0</v>
      </c>
      <c r="M605" t="s">
        <v>46</v>
      </c>
      <c r="N605" t="s">
        <v>47</v>
      </c>
      <c r="O605">
        <v>0</v>
      </c>
      <c r="P605" t="s">
        <v>46</v>
      </c>
      <c r="Q605" t="s">
        <v>47</v>
      </c>
      <c r="R605" t="s">
        <v>347</v>
      </c>
      <c r="S605" t="s">
        <v>49</v>
      </c>
      <c r="T605" t="b">
        <v>1</v>
      </c>
      <c r="U605" t="s">
        <v>50</v>
      </c>
      <c r="V605" t="s">
        <v>51</v>
      </c>
      <c r="W605">
        <v>4</v>
      </c>
      <c r="X605" t="b">
        <v>0</v>
      </c>
      <c r="Y605" t="s">
        <v>52</v>
      </c>
      <c r="Z605" t="s">
        <v>53</v>
      </c>
      <c r="AA605" t="s">
        <v>54</v>
      </c>
      <c r="AB605">
        <v>0</v>
      </c>
      <c r="AC605" t="s">
        <v>55</v>
      </c>
      <c r="AD605">
        <v>8</v>
      </c>
      <c r="AE605" t="s">
        <v>56</v>
      </c>
      <c r="AF605">
        <v>3217.799</v>
      </c>
      <c r="AG605" t="b">
        <v>1</v>
      </c>
      <c r="AH605">
        <v>-1</v>
      </c>
      <c r="AI605" t="s">
        <v>64</v>
      </c>
      <c r="AJ605">
        <v>0</v>
      </c>
      <c r="AK605" t="b">
        <v>0</v>
      </c>
      <c r="AL605">
        <v>3217.799</v>
      </c>
      <c r="AM605" t="b">
        <v>1</v>
      </c>
      <c r="AN605">
        <v>0</v>
      </c>
      <c r="AO605" t="b">
        <v>0</v>
      </c>
      <c r="AQ605">
        <v>141061875.64300001</v>
      </c>
      <c r="AR605">
        <v>141061875.64300001</v>
      </c>
      <c r="AS605">
        <v>6</v>
      </c>
      <c r="AT605" t="b">
        <v>0</v>
      </c>
      <c r="AU605" t="b">
        <v>1</v>
      </c>
      <c r="AV605" t="b">
        <v>1</v>
      </c>
      <c r="AW605" t="b">
        <v>1</v>
      </c>
      <c r="BC605" t="str">
        <f t="shared" si="9"/>
        <v>Normal</v>
      </c>
    </row>
    <row r="606" spans="1:55" x14ac:dyDescent="0.2">
      <c r="A606" t="s">
        <v>39</v>
      </c>
      <c r="B606" t="s">
        <v>40</v>
      </c>
      <c r="C606">
        <v>20230101</v>
      </c>
      <c r="D606">
        <v>2023</v>
      </c>
      <c r="E606">
        <v>52</v>
      </c>
      <c r="F606" t="s">
        <v>354</v>
      </c>
      <c r="G606">
        <v>579</v>
      </c>
      <c r="H606" t="s">
        <v>229</v>
      </c>
      <c r="I606" t="s">
        <v>230</v>
      </c>
      <c r="J606" t="s">
        <v>44</v>
      </c>
      <c r="K606" t="s">
        <v>45</v>
      </c>
      <c r="L606">
        <v>0</v>
      </c>
      <c r="M606" t="s">
        <v>46</v>
      </c>
      <c r="N606" t="s">
        <v>47</v>
      </c>
      <c r="O606">
        <v>0</v>
      </c>
      <c r="P606" t="s">
        <v>46</v>
      </c>
      <c r="Q606" t="s">
        <v>47</v>
      </c>
      <c r="R606" t="s">
        <v>347</v>
      </c>
      <c r="S606" t="s">
        <v>49</v>
      </c>
      <c r="T606" t="b">
        <v>1</v>
      </c>
      <c r="U606" t="s">
        <v>50</v>
      </c>
      <c r="V606" t="s">
        <v>51</v>
      </c>
      <c r="W606">
        <v>4</v>
      </c>
      <c r="X606" t="b">
        <v>0</v>
      </c>
      <c r="Y606" t="s">
        <v>52</v>
      </c>
      <c r="Z606" t="s">
        <v>53</v>
      </c>
      <c r="AA606" t="s">
        <v>54</v>
      </c>
      <c r="AB606">
        <v>0</v>
      </c>
      <c r="AC606" t="s">
        <v>55</v>
      </c>
      <c r="AD606">
        <v>8</v>
      </c>
      <c r="AE606" t="s">
        <v>56</v>
      </c>
      <c r="AF606">
        <v>2684</v>
      </c>
      <c r="AG606" t="b">
        <v>0</v>
      </c>
      <c r="AH606">
        <v>8</v>
      </c>
      <c r="AI606" t="s">
        <v>56</v>
      </c>
      <c r="AJ606">
        <v>2684</v>
      </c>
      <c r="AK606" t="b">
        <v>0</v>
      </c>
      <c r="AL606">
        <v>2684</v>
      </c>
      <c r="AM606" t="b">
        <v>0</v>
      </c>
      <c r="AN606">
        <v>0</v>
      </c>
      <c r="AO606" t="b">
        <v>0</v>
      </c>
      <c r="AQ606">
        <v>154930537.06200001</v>
      </c>
      <c r="AR606">
        <v>154930537.06200001</v>
      </c>
      <c r="AS606">
        <v>0</v>
      </c>
      <c r="AT606" t="b">
        <v>0</v>
      </c>
      <c r="AU606" t="b">
        <v>1</v>
      </c>
      <c r="AV606" t="b">
        <v>1</v>
      </c>
      <c r="AW606" t="b">
        <v>1</v>
      </c>
      <c r="BC606" t="str">
        <f t="shared" si="9"/>
        <v>Normal</v>
      </c>
    </row>
    <row r="607" spans="1:55" x14ac:dyDescent="0.2">
      <c r="A607" t="s">
        <v>39</v>
      </c>
      <c r="B607" t="s">
        <v>40</v>
      </c>
      <c r="C607">
        <v>20230101</v>
      </c>
      <c r="D607">
        <v>2023</v>
      </c>
      <c r="E607">
        <v>52</v>
      </c>
      <c r="F607" t="s">
        <v>354</v>
      </c>
      <c r="G607">
        <v>591</v>
      </c>
      <c r="H607" t="s">
        <v>231</v>
      </c>
      <c r="I607" t="s">
        <v>232</v>
      </c>
      <c r="J607" t="s">
        <v>44</v>
      </c>
      <c r="K607" t="s">
        <v>45</v>
      </c>
      <c r="L607">
        <v>0</v>
      </c>
      <c r="M607" t="s">
        <v>46</v>
      </c>
      <c r="N607" t="s">
        <v>47</v>
      </c>
      <c r="O607">
        <v>0</v>
      </c>
      <c r="P607" t="s">
        <v>46</v>
      </c>
      <c r="Q607" t="s">
        <v>47</v>
      </c>
      <c r="R607" t="s">
        <v>347</v>
      </c>
      <c r="S607" t="s">
        <v>49</v>
      </c>
      <c r="T607" t="b">
        <v>1</v>
      </c>
      <c r="U607" t="s">
        <v>50</v>
      </c>
      <c r="V607" t="s">
        <v>51</v>
      </c>
      <c r="W607">
        <v>4</v>
      </c>
      <c r="X607" t="b">
        <v>0</v>
      </c>
      <c r="Y607" t="s">
        <v>52</v>
      </c>
      <c r="Z607" t="s">
        <v>53</v>
      </c>
      <c r="AA607" t="s">
        <v>54</v>
      </c>
      <c r="AB607">
        <v>0</v>
      </c>
      <c r="AC607" t="s">
        <v>55</v>
      </c>
      <c r="AD607">
        <v>8</v>
      </c>
      <c r="AE607" t="s">
        <v>56</v>
      </c>
      <c r="AF607">
        <v>277</v>
      </c>
      <c r="AG607" t="b">
        <v>0</v>
      </c>
      <c r="AH607">
        <v>8</v>
      </c>
      <c r="AI607" t="s">
        <v>56</v>
      </c>
      <c r="AJ607">
        <v>277</v>
      </c>
      <c r="AK607" t="b">
        <v>0</v>
      </c>
      <c r="AL607">
        <v>277</v>
      </c>
      <c r="AM607" t="b">
        <v>0</v>
      </c>
      <c r="AN607">
        <v>277</v>
      </c>
      <c r="AO607" t="b">
        <v>0</v>
      </c>
      <c r="AQ607">
        <v>13271134</v>
      </c>
      <c r="AR607">
        <v>13271134</v>
      </c>
      <c r="AS607">
        <v>0</v>
      </c>
      <c r="AT607" t="b">
        <v>0</v>
      </c>
      <c r="AU607" t="b">
        <v>1</v>
      </c>
      <c r="AV607" t="b">
        <v>1</v>
      </c>
      <c r="AW607" t="b">
        <v>1</v>
      </c>
      <c r="BC607" t="str">
        <f t="shared" si="9"/>
        <v>Normal</v>
      </c>
    </row>
    <row r="608" spans="1:55" x14ac:dyDescent="0.2">
      <c r="A608" t="s">
        <v>39</v>
      </c>
      <c r="B608" t="s">
        <v>40</v>
      </c>
      <c r="C608">
        <v>20230101</v>
      </c>
      <c r="D608">
        <v>2023</v>
      </c>
      <c r="E608">
        <v>52</v>
      </c>
      <c r="F608" t="s">
        <v>354</v>
      </c>
      <c r="G608">
        <v>598</v>
      </c>
      <c r="H608" t="s">
        <v>340</v>
      </c>
      <c r="I608" t="s">
        <v>341</v>
      </c>
      <c r="J608" t="s">
        <v>44</v>
      </c>
      <c r="K608" t="s">
        <v>45</v>
      </c>
      <c r="L608">
        <v>0</v>
      </c>
      <c r="M608" t="s">
        <v>46</v>
      </c>
      <c r="N608" t="s">
        <v>47</v>
      </c>
      <c r="O608">
        <v>0</v>
      </c>
      <c r="P608" t="s">
        <v>46</v>
      </c>
      <c r="Q608" t="s">
        <v>47</v>
      </c>
      <c r="R608" t="s">
        <v>347</v>
      </c>
      <c r="S608" t="s">
        <v>49</v>
      </c>
      <c r="T608" t="b">
        <v>1</v>
      </c>
      <c r="U608" t="s">
        <v>50</v>
      </c>
      <c r="V608" t="s">
        <v>51</v>
      </c>
      <c r="W608">
        <v>4</v>
      </c>
      <c r="X608" t="b">
        <v>0</v>
      </c>
      <c r="Y608" t="s">
        <v>52</v>
      </c>
      <c r="Z608" t="s">
        <v>53</v>
      </c>
      <c r="AA608" t="s">
        <v>54</v>
      </c>
      <c r="AB608">
        <v>0</v>
      </c>
      <c r="AC608" t="s">
        <v>55</v>
      </c>
      <c r="AD608">
        <v>8</v>
      </c>
      <c r="AE608" t="s">
        <v>56</v>
      </c>
      <c r="AF608">
        <v>5329.75</v>
      </c>
      <c r="AG608" t="b">
        <v>0</v>
      </c>
      <c r="AH608">
        <v>15</v>
      </c>
      <c r="AI608" t="s">
        <v>59</v>
      </c>
      <c r="AJ608">
        <v>5329750</v>
      </c>
      <c r="AK608" t="b">
        <v>0</v>
      </c>
      <c r="AL608">
        <v>5329.75</v>
      </c>
      <c r="AM608" t="b">
        <v>0</v>
      </c>
      <c r="AN608">
        <v>0</v>
      </c>
      <c r="AO608" t="b">
        <v>0</v>
      </c>
      <c r="AQ608">
        <v>325194837.81</v>
      </c>
      <c r="AR608">
        <v>325194837.81</v>
      </c>
      <c r="AS608">
        <v>0</v>
      </c>
      <c r="AT608" t="b">
        <v>0</v>
      </c>
      <c r="AU608" t="b">
        <v>1</v>
      </c>
      <c r="AV608" t="b">
        <v>1</v>
      </c>
      <c r="AW608" t="b">
        <v>1</v>
      </c>
      <c r="BC608" t="str">
        <f t="shared" si="9"/>
        <v>Normal</v>
      </c>
    </row>
    <row r="609" spans="1:55" x14ac:dyDescent="0.2">
      <c r="A609" t="s">
        <v>39</v>
      </c>
      <c r="B609" t="s">
        <v>40</v>
      </c>
      <c r="C609">
        <v>20230101</v>
      </c>
      <c r="D609">
        <v>2023</v>
      </c>
      <c r="E609">
        <v>52</v>
      </c>
      <c r="F609" t="s">
        <v>354</v>
      </c>
      <c r="G609">
        <v>600</v>
      </c>
      <c r="H609" t="s">
        <v>233</v>
      </c>
      <c r="I609" t="s">
        <v>234</v>
      </c>
      <c r="J609" t="s">
        <v>44</v>
      </c>
      <c r="K609" t="s">
        <v>45</v>
      </c>
      <c r="L609">
        <v>0</v>
      </c>
      <c r="M609" t="s">
        <v>46</v>
      </c>
      <c r="N609" t="s">
        <v>47</v>
      </c>
      <c r="O609">
        <v>0</v>
      </c>
      <c r="P609" t="s">
        <v>46</v>
      </c>
      <c r="Q609" t="s">
        <v>47</v>
      </c>
      <c r="R609" t="s">
        <v>347</v>
      </c>
      <c r="S609" t="s">
        <v>49</v>
      </c>
      <c r="T609" t="b">
        <v>1</v>
      </c>
      <c r="U609" t="s">
        <v>50</v>
      </c>
      <c r="V609" t="s">
        <v>51</v>
      </c>
      <c r="W609">
        <v>4</v>
      </c>
      <c r="X609" t="b">
        <v>0</v>
      </c>
      <c r="Y609" t="s">
        <v>52</v>
      </c>
      <c r="Z609" t="s">
        <v>53</v>
      </c>
      <c r="AA609" t="s">
        <v>54</v>
      </c>
      <c r="AB609">
        <v>0</v>
      </c>
      <c r="AC609" t="s">
        <v>55</v>
      </c>
      <c r="AD609">
        <v>8</v>
      </c>
      <c r="AE609" t="s">
        <v>56</v>
      </c>
      <c r="AF609">
        <v>211.768</v>
      </c>
      <c r="AG609" t="b">
        <v>0</v>
      </c>
      <c r="AH609">
        <v>8</v>
      </c>
      <c r="AI609" t="s">
        <v>56</v>
      </c>
      <c r="AJ609">
        <v>211.768</v>
      </c>
      <c r="AK609" t="b">
        <v>0</v>
      </c>
      <c r="AL609">
        <v>211.768</v>
      </c>
      <c r="AM609" t="b">
        <v>0</v>
      </c>
      <c r="AN609">
        <v>0</v>
      </c>
      <c r="AO609" t="b">
        <v>0</v>
      </c>
      <c r="AQ609">
        <v>12161253.33</v>
      </c>
      <c r="AR609">
        <v>12161253.33</v>
      </c>
      <c r="AS609">
        <v>0</v>
      </c>
      <c r="AT609" t="b">
        <v>0</v>
      </c>
      <c r="AU609" t="b">
        <v>1</v>
      </c>
      <c r="AV609" t="b">
        <v>1</v>
      </c>
      <c r="AW609" t="b">
        <v>1</v>
      </c>
      <c r="BC609" t="str">
        <f t="shared" si="9"/>
        <v>Normal</v>
      </c>
    </row>
    <row r="610" spans="1:55" x14ac:dyDescent="0.2">
      <c r="A610" t="s">
        <v>39</v>
      </c>
      <c r="B610" t="s">
        <v>40</v>
      </c>
      <c r="C610">
        <v>20230101</v>
      </c>
      <c r="D610">
        <v>2023</v>
      </c>
      <c r="E610">
        <v>52</v>
      </c>
      <c r="F610" t="s">
        <v>354</v>
      </c>
      <c r="G610">
        <v>604</v>
      </c>
      <c r="H610" t="s">
        <v>235</v>
      </c>
      <c r="I610" t="s">
        <v>236</v>
      </c>
      <c r="J610" t="s">
        <v>44</v>
      </c>
      <c r="K610" t="s">
        <v>45</v>
      </c>
      <c r="L610">
        <v>0</v>
      </c>
      <c r="M610" t="s">
        <v>46</v>
      </c>
      <c r="N610" t="s">
        <v>47</v>
      </c>
      <c r="O610">
        <v>0</v>
      </c>
      <c r="P610" t="s">
        <v>46</v>
      </c>
      <c r="Q610" t="s">
        <v>47</v>
      </c>
      <c r="R610" t="s">
        <v>347</v>
      </c>
      <c r="S610" t="s">
        <v>49</v>
      </c>
      <c r="T610" t="b">
        <v>1</v>
      </c>
      <c r="U610" t="s">
        <v>50</v>
      </c>
      <c r="V610" t="s">
        <v>51</v>
      </c>
      <c r="W610">
        <v>4</v>
      </c>
      <c r="X610" t="b">
        <v>0</v>
      </c>
      <c r="Y610" t="s">
        <v>52</v>
      </c>
      <c r="Z610" t="s">
        <v>53</v>
      </c>
      <c r="AA610" t="s">
        <v>54</v>
      </c>
      <c r="AB610">
        <v>0</v>
      </c>
      <c r="AC610" t="s">
        <v>55</v>
      </c>
      <c r="AD610">
        <v>8</v>
      </c>
      <c r="AE610" t="s">
        <v>56</v>
      </c>
      <c r="AF610">
        <v>405376.40100000001</v>
      </c>
      <c r="AG610" t="b">
        <v>1</v>
      </c>
      <c r="AH610">
        <v>-1</v>
      </c>
      <c r="AI610" t="s">
        <v>64</v>
      </c>
      <c r="AJ610">
        <v>0</v>
      </c>
      <c r="AK610" t="b">
        <v>0</v>
      </c>
      <c r="AL610" s="1">
        <v>405376.40100000001</v>
      </c>
      <c r="AM610" t="b">
        <v>1</v>
      </c>
      <c r="AN610">
        <v>0</v>
      </c>
      <c r="AO610" t="b">
        <v>0</v>
      </c>
      <c r="AQ610">
        <v>8373413343.4799995</v>
      </c>
      <c r="AR610">
        <v>8373413343.4799995</v>
      </c>
      <c r="AS610">
        <v>6</v>
      </c>
      <c r="AT610" t="b">
        <v>0</v>
      </c>
      <c r="AU610" t="b">
        <v>1</v>
      </c>
      <c r="AV610" t="b">
        <v>1</v>
      </c>
      <c r="AW610" t="b">
        <v>1</v>
      </c>
      <c r="BC610" t="str">
        <f t="shared" si="9"/>
        <v>Outlier</v>
      </c>
    </row>
    <row r="611" spans="1:55" x14ac:dyDescent="0.2">
      <c r="A611" t="s">
        <v>39</v>
      </c>
      <c r="B611" t="s">
        <v>40</v>
      </c>
      <c r="C611">
        <v>20230101</v>
      </c>
      <c r="D611">
        <v>2023</v>
      </c>
      <c r="E611">
        <v>52</v>
      </c>
      <c r="F611" t="s">
        <v>354</v>
      </c>
      <c r="G611">
        <v>608</v>
      </c>
      <c r="H611" t="s">
        <v>237</v>
      </c>
      <c r="I611" t="s">
        <v>238</v>
      </c>
      <c r="J611" t="s">
        <v>44</v>
      </c>
      <c r="K611" t="s">
        <v>45</v>
      </c>
      <c r="L611">
        <v>0</v>
      </c>
      <c r="M611" t="s">
        <v>46</v>
      </c>
      <c r="N611" t="s">
        <v>47</v>
      </c>
      <c r="O611">
        <v>0</v>
      </c>
      <c r="P611" t="s">
        <v>46</v>
      </c>
      <c r="Q611" t="s">
        <v>47</v>
      </c>
      <c r="R611" t="s">
        <v>48</v>
      </c>
      <c r="S611" t="s">
        <v>49</v>
      </c>
      <c r="T611" t="b">
        <v>1</v>
      </c>
      <c r="U611" t="s">
        <v>50</v>
      </c>
      <c r="V611" t="s">
        <v>51</v>
      </c>
      <c r="W611">
        <v>4</v>
      </c>
      <c r="X611" t="b">
        <v>0</v>
      </c>
      <c r="Y611" t="s">
        <v>52</v>
      </c>
      <c r="Z611" t="s">
        <v>53</v>
      </c>
      <c r="AA611" t="s">
        <v>54</v>
      </c>
      <c r="AB611">
        <v>0</v>
      </c>
      <c r="AC611" t="s">
        <v>55</v>
      </c>
      <c r="AD611">
        <v>-1</v>
      </c>
      <c r="AE611" t="s">
        <v>64</v>
      </c>
      <c r="AF611">
        <v>0</v>
      </c>
      <c r="AG611" t="b">
        <v>0</v>
      </c>
      <c r="AH611">
        <v>-1</v>
      </c>
      <c r="AI611" t="s">
        <v>64</v>
      </c>
      <c r="AJ611">
        <v>0</v>
      </c>
      <c r="AK611" t="b">
        <v>0</v>
      </c>
      <c r="AM611" t="b">
        <v>0</v>
      </c>
      <c r="AN611">
        <v>112233.85</v>
      </c>
      <c r="AO611" t="b">
        <v>0</v>
      </c>
      <c r="AQ611">
        <v>1203469761</v>
      </c>
      <c r="AR611">
        <v>1203469761</v>
      </c>
      <c r="AS611">
        <v>0</v>
      </c>
      <c r="AT611" t="b">
        <v>0</v>
      </c>
      <c r="AU611" t="b">
        <v>1</v>
      </c>
      <c r="AV611" t="b">
        <v>1</v>
      </c>
      <c r="AW611" t="b">
        <v>1</v>
      </c>
      <c r="BC611" t="str">
        <f t="shared" si="9"/>
        <v>Normal</v>
      </c>
    </row>
    <row r="612" spans="1:55" x14ac:dyDescent="0.2">
      <c r="A612" t="s">
        <v>39</v>
      </c>
      <c r="B612" t="s">
        <v>40</v>
      </c>
      <c r="C612">
        <v>20230101</v>
      </c>
      <c r="D612">
        <v>2023</v>
      </c>
      <c r="E612">
        <v>52</v>
      </c>
      <c r="F612" t="s">
        <v>354</v>
      </c>
      <c r="G612">
        <v>616</v>
      </c>
      <c r="H612" t="s">
        <v>239</v>
      </c>
      <c r="I612" t="s">
        <v>240</v>
      </c>
      <c r="J612" t="s">
        <v>44</v>
      </c>
      <c r="K612" t="s">
        <v>45</v>
      </c>
      <c r="L612">
        <v>0</v>
      </c>
      <c r="M612" t="s">
        <v>46</v>
      </c>
      <c r="N612" t="s">
        <v>47</v>
      </c>
      <c r="O612">
        <v>0</v>
      </c>
      <c r="P612" t="s">
        <v>46</v>
      </c>
      <c r="Q612" t="s">
        <v>47</v>
      </c>
      <c r="R612" t="s">
        <v>347</v>
      </c>
      <c r="S612" t="s">
        <v>49</v>
      </c>
      <c r="T612" t="b">
        <v>1</v>
      </c>
      <c r="U612" t="s">
        <v>50</v>
      </c>
      <c r="V612" t="s">
        <v>51</v>
      </c>
      <c r="W612">
        <v>4</v>
      </c>
      <c r="X612" t="b">
        <v>0</v>
      </c>
      <c r="Y612" t="s">
        <v>52</v>
      </c>
      <c r="Z612" t="s">
        <v>53</v>
      </c>
      <c r="AA612" t="s">
        <v>54</v>
      </c>
      <c r="AB612">
        <v>0</v>
      </c>
      <c r="AC612" t="s">
        <v>55</v>
      </c>
      <c r="AD612">
        <v>8</v>
      </c>
      <c r="AE612" t="s">
        <v>56</v>
      </c>
      <c r="AF612">
        <v>10485.061</v>
      </c>
      <c r="AG612" t="b">
        <v>1</v>
      </c>
      <c r="AH612">
        <v>-1</v>
      </c>
      <c r="AI612" t="s">
        <v>64</v>
      </c>
      <c r="AJ612">
        <v>0</v>
      </c>
      <c r="AK612" t="b">
        <v>0</v>
      </c>
      <c r="AM612" t="b">
        <v>0</v>
      </c>
      <c r="AN612">
        <v>0</v>
      </c>
      <c r="AO612" t="b">
        <v>0</v>
      </c>
      <c r="AQ612">
        <v>272178561</v>
      </c>
      <c r="AR612">
        <v>272178561</v>
      </c>
      <c r="AS612">
        <v>2</v>
      </c>
      <c r="AT612" t="b">
        <v>0</v>
      </c>
      <c r="AU612" t="b">
        <v>1</v>
      </c>
      <c r="AV612" t="b">
        <v>1</v>
      </c>
      <c r="AW612" t="b">
        <v>1</v>
      </c>
      <c r="BC612" t="str">
        <f t="shared" si="9"/>
        <v>Normal</v>
      </c>
    </row>
    <row r="613" spans="1:55" x14ac:dyDescent="0.2">
      <c r="A613" t="s">
        <v>39</v>
      </c>
      <c r="B613" t="s">
        <v>40</v>
      </c>
      <c r="C613">
        <v>20230101</v>
      </c>
      <c r="D613">
        <v>2023</v>
      </c>
      <c r="E613">
        <v>52</v>
      </c>
      <c r="F613" t="s">
        <v>354</v>
      </c>
      <c r="G613">
        <v>620</v>
      </c>
      <c r="H613" t="s">
        <v>241</v>
      </c>
      <c r="I613" t="s">
        <v>242</v>
      </c>
      <c r="J613" t="s">
        <v>44</v>
      </c>
      <c r="K613" t="s">
        <v>45</v>
      </c>
      <c r="L613">
        <v>0</v>
      </c>
      <c r="M613" t="s">
        <v>46</v>
      </c>
      <c r="N613" t="s">
        <v>47</v>
      </c>
      <c r="O613">
        <v>0</v>
      </c>
      <c r="P613" t="s">
        <v>46</v>
      </c>
      <c r="Q613" t="s">
        <v>47</v>
      </c>
      <c r="R613" t="s">
        <v>347</v>
      </c>
      <c r="S613" t="s">
        <v>49</v>
      </c>
      <c r="T613" t="b">
        <v>1</v>
      </c>
      <c r="U613" t="s">
        <v>50</v>
      </c>
      <c r="V613" t="s">
        <v>51</v>
      </c>
      <c r="W613">
        <v>4</v>
      </c>
      <c r="X613" t="b">
        <v>0</v>
      </c>
      <c r="Y613" t="s">
        <v>52</v>
      </c>
      <c r="Z613" t="s">
        <v>53</v>
      </c>
      <c r="AA613" t="s">
        <v>54</v>
      </c>
      <c r="AB613">
        <v>0</v>
      </c>
      <c r="AC613" t="s">
        <v>55</v>
      </c>
      <c r="AD613">
        <v>8</v>
      </c>
      <c r="AE613" t="s">
        <v>56</v>
      </c>
      <c r="AF613">
        <v>2815.03</v>
      </c>
      <c r="AG613" t="b">
        <v>0</v>
      </c>
      <c r="AH613">
        <v>15</v>
      </c>
      <c r="AI613" t="s">
        <v>59</v>
      </c>
      <c r="AJ613">
        <v>2815030</v>
      </c>
      <c r="AK613" t="b">
        <v>0</v>
      </c>
      <c r="AL613">
        <v>2814.9769999999999</v>
      </c>
      <c r="AM613" t="b">
        <v>0</v>
      </c>
      <c r="AN613">
        <v>0</v>
      </c>
      <c r="AO613" t="b">
        <v>0</v>
      </c>
      <c r="AQ613">
        <v>170618231.52700001</v>
      </c>
      <c r="AR613">
        <v>170618231.52700001</v>
      </c>
      <c r="AS613">
        <v>0</v>
      </c>
      <c r="AT613" t="b">
        <v>0</v>
      </c>
      <c r="AU613" t="b">
        <v>1</v>
      </c>
      <c r="AV613" t="b">
        <v>1</v>
      </c>
      <c r="AW613" t="b">
        <v>1</v>
      </c>
      <c r="BC613" t="str">
        <f t="shared" si="9"/>
        <v>Normal</v>
      </c>
    </row>
    <row r="614" spans="1:55" x14ac:dyDescent="0.2">
      <c r="A614" t="s">
        <v>39</v>
      </c>
      <c r="B614" t="s">
        <v>40</v>
      </c>
      <c r="C614">
        <v>20230101</v>
      </c>
      <c r="D614">
        <v>2023</v>
      </c>
      <c r="E614">
        <v>52</v>
      </c>
      <c r="F614" t="s">
        <v>354</v>
      </c>
      <c r="G614">
        <v>634</v>
      </c>
      <c r="H614" t="s">
        <v>243</v>
      </c>
      <c r="I614" t="s">
        <v>244</v>
      </c>
      <c r="J614" t="s">
        <v>44</v>
      </c>
      <c r="K614" t="s">
        <v>45</v>
      </c>
      <c r="L614">
        <v>0</v>
      </c>
      <c r="M614" t="s">
        <v>46</v>
      </c>
      <c r="N614" t="s">
        <v>47</v>
      </c>
      <c r="O614">
        <v>0</v>
      </c>
      <c r="P614" t="s">
        <v>46</v>
      </c>
      <c r="Q614" t="s">
        <v>47</v>
      </c>
      <c r="R614" t="s">
        <v>347</v>
      </c>
      <c r="S614" t="s">
        <v>49</v>
      </c>
      <c r="T614" t="b">
        <v>1</v>
      </c>
      <c r="U614" t="s">
        <v>50</v>
      </c>
      <c r="V614" t="s">
        <v>51</v>
      </c>
      <c r="W614">
        <v>4</v>
      </c>
      <c r="X614" t="b">
        <v>0</v>
      </c>
      <c r="Y614" t="s">
        <v>52</v>
      </c>
      <c r="Z614" t="s">
        <v>53</v>
      </c>
      <c r="AA614" t="s">
        <v>54</v>
      </c>
      <c r="AB614">
        <v>0</v>
      </c>
      <c r="AC614" t="s">
        <v>55</v>
      </c>
      <c r="AD614">
        <v>-1</v>
      </c>
      <c r="AE614" t="s">
        <v>64</v>
      </c>
      <c r="AF614">
        <v>0</v>
      </c>
      <c r="AG614" t="b">
        <v>0</v>
      </c>
      <c r="AH614">
        <v>-1</v>
      </c>
      <c r="AI614" t="s">
        <v>64</v>
      </c>
      <c r="AJ614">
        <v>0</v>
      </c>
      <c r="AK614" t="b">
        <v>0</v>
      </c>
      <c r="AL614">
        <v>0</v>
      </c>
      <c r="AM614" t="b">
        <v>0</v>
      </c>
      <c r="AN614">
        <v>0</v>
      </c>
      <c r="AO614" t="b">
        <v>0</v>
      </c>
      <c r="AQ614">
        <v>3602029.699</v>
      </c>
      <c r="AR614">
        <v>3602029.699</v>
      </c>
      <c r="AS614">
        <v>0</v>
      </c>
      <c r="AT614" t="b">
        <v>0</v>
      </c>
      <c r="AU614" t="b">
        <v>1</v>
      </c>
      <c r="AV614" t="b">
        <v>1</v>
      </c>
      <c r="AW614" t="b">
        <v>1</v>
      </c>
      <c r="BC614" t="str">
        <f t="shared" si="9"/>
        <v>Normal</v>
      </c>
    </row>
    <row r="615" spans="1:55" x14ac:dyDescent="0.2">
      <c r="A615" t="s">
        <v>39</v>
      </c>
      <c r="B615" t="s">
        <v>40</v>
      </c>
      <c r="C615">
        <v>20230101</v>
      </c>
      <c r="D615">
        <v>2023</v>
      </c>
      <c r="E615">
        <v>52</v>
      </c>
      <c r="F615" t="s">
        <v>354</v>
      </c>
      <c r="G615">
        <v>682</v>
      </c>
      <c r="H615" t="s">
        <v>249</v>
      </c>
      <c r="I615" t="s">
        <v>250</v>
      </c>
      <c r="J615" t="s">
        <v>44</v>
      </c>
      <c r="K615" t="s">
        <v>45</v>
      </c>
      <c r="L615">
        <v>0</v>
      </c>
      <c r="M615" t="s">
        <v>46</v>
      </c>
      <c r="N615" t="s">
        <v>47</v>
      </c>
      <c r="O615">
        <v>0</v>
      </c>
      <c r="P615" t="s">
        <v>46</v>
      </c>
      <c r="Q615" t="s">
        <v>47</v>
      </c>
      <c r="R615" t="s">
        <v>347</v>
      </c>
      <c r="S615" t="s">
        <v>49</v>
      </c>
      <c r="T615" t="b">
        <v>1</v>
      </c>
      <c r="U615" t="s">
        <v>50</v>
      </c>
      <c r="V615" t="s">
        <v>51</v>
      </c>
      <c r="W615">
        <v>4</v>
      </c>
      <c r="X615" t="b">
        <v>0</v>
      </c>
      <c r="Y615" t="s">
        <v>52</v>
      </c>
      <c r="Z615" t="s">
        <v>53</v>
      </c>
      <c r="AA615" t="s">
        <v>54</v>
      </c>
      <c r="AB615">
        <v>0</v>
      </c>
      <c r="AC615" t="s">
        <v>55</v>
      </c>
      <c r="AD615">
        <v>8</v>
      </c>
      <c r="AE615" t="s">
        <v>56</v>
      </c>
      <c r="AF615">
        <v>23281.623</v>
      </c>
      <c r="AG615" t="b">
        <v>1</v>
      </c>
      <c r="AH615">
        <v>-1</v>
      </c>
      <c r="AI615" t="s">
        <v>64</v>
      </c>
      <c r="AJ615">
        <v>0</v>
      </c>
      <c r="AK615" t="b">
        <v>0</v>
      </c>
      <c r="AL615">
        <v>23281.623</v>
      </c>
      <c r="AM615" t="b">
        <v>1</v>
      </c>
      <c r="AN615">
        <v>0</v>
      </c>
      <c r="AO615" t="b">
        <v>0</v>
      </c>
      <c r="AQ615">
        <v>1408748981.0480001</v>
      </c>
      <c r="AR615">
        <v>1408748981.0480001</v>
      </c>
      <c r="AS615">
        <v>6</v>
      </c>
      <c r="AT615" t="b">
        <v>0</v>
      </c>
      <c r="AU615" t="b">
        <v>1</v>
      </c>
      <c r="AV615" t="b">
        <v>1</v>
      </c>
      <c r="AW615" t="b">
        <v>1</v>
      </c>
      <c r="BC615" t="str">
        <f t="shared" si="9"/>
        <v>Normal</v>
      </c>
    </row>
    <row r="616" spans="1:55" x14ac:dyDescent="0.2">
      <c r="A616" t="s">
        <v>39</v>
      </c>
      <c r="B616" t="s">
        <v>40</v>
      </c>
      <c r="C616">
        <v>20230101</v>
      </c>
      <c r="D616">
        <v>2023</v>
      </c>
      <c r="E616">
        <v>52</v>
      </c>
      <c r="F616" t="s">
        <v>354</v>
      </c>
      <c r="G616">
        <v>686</v>
      </c>
      <c r="H616" t="s">
        <v>251</v>
      </c>
      <c r="I616" t="s">
        <v>252</v>
      </c>
      <c r="J616" t="s">
        <v>44</v>
      </c>
      <c r="K616" t="s">
        <v>45</v>
      </c>
      <c r="L616">
        <v>0</v>
      </c>
      <c r="M616" t="s">
        <v>46</v>
      </c>
      <c r="N616" t="s">
        <v>47</v>
      </c>
      <c r="O616">
        <v>0</v>
      </c>
      <c r="P616" t="s">
        <v>46</v>
      </c>
      <c r="Q616" t="s">
        <v>47</v>
      </c>
      <c r="R616" t="s">
        <v>347</v>
      </c>
      <c r="S616" t="s">
        <v>49</v>
      </c>
      <c r="T616" t="b">
        <v>1</v>
      </c>
      <c r="U616" t="s">
        <v>50</v>
      </c>
      <c r="V616" t="s">
        <v>51</v>
      </c>
      <c r="W616">
        <v>4</v>
      </c>
      <c r="X616" t="b">
        <v>0</v>
      </c>
      <c r="Y616" t="s">
        <v>52</v>
      </c>
      <c r="Z616" t="s">
        <v>53</v>
      </c>
      <c r="AA616" t="s">
        <v>54</v>
      </c>
      <c r="AB616">
        <v>0</v>
      </c>
      <c r="AC616" t="s">
        <v>55</v>
      </c>
      <c r="AD616">
        <v>8</v>
      </c>
      <c r="AE616" t="s">
        <v>56</v>
      </c>
      <c r="AF616">
        <v>16984</v>
      </c>
      <c r="AG616" t="b">
        <v>0</v>
      </c>
      <c r="AH616">
        <v>8</v>
      </c>
      <c r="AI616" t="s">
        <v>56</v>
      </c>
      <c r="AJ616">
        <v>16984</v>
      </c>
      <c r="AK616" t="b">
        <v>0</v>
      </c>
      <c r="AL616">
        <v>16984</v>
      </c>
      <c r="AM616" t="b">
        <v>0</v>
      </c>
      <c r="AN616">
        <v>0</v>
      </c>
      <c r="AO616" t="b">
        <v>0</v>
      </c>
      <c r="AQ616">
        <v>874749413.23000002</v>
      </c>
      <c r="AR616">
        <v>874749413.23000002</v>
      </c>
      <c r="AS616">
        <v>0</v>
      </c>
      <c r="AT616" t="b">
        <v>0</v>
      </c>
      <c r="AU616" t="b">
        <v>1</v>
      </c>
      <c r="AV616" t="b">
        <v>1</v>
      </c>
      <c r="AW616" t="b">
        <v>1</v>
      </c>
      <c r="BC616" t="str">
        <f t="shared" si="9"/>
        <v>Normal</v>
      </c>
    </row>
    <row r="617" spans="1:55" x14ac:dyDescent="0.2">
      <c r="A617" t="s">
        <v>39</v>
      </c>
      <c r="B617" t="s">
        <v>40</v>
      </c>
      <c r="C617">
        <v>20230101</v>
      </c>
      <c r="D617">
        <v>2023</v>
      </c>
      <c r="E617">
        <v>52</v>
      </c>
      <c r="F617" t="s">
        <v>354</v>
      </c>
      <c r="G617">
        <v>688</v>
      </c>
      <c r="H617" t="s">
        <v>253</v>
      </c>
      <c r="I617" t="s">
        <v>254</v>
      </c>
      <c r="J617" t="s">
        <v>44</v>
      </c>
      <c r="K617" t="s">
        <v>45</v>
      </c>
      <c r="L617">
        <v>0</v>
      </c>
      <c r="M617" t="s">
        <v>46</v>
      </c>
      <c r="N617" t="s">
        <v>47</v>
      </c>
      <c r="O617">
        <v>0</v>
      </c>
      <c r="P617" t="s">
        <v>46</v>
      </c>
      <c r="Q617" t="s">
        <v>47</v>
      </c>
      <c r="R617" t="s">
        <v>347</v>
      </c>
      <c r="S617" t="s">
        <v>49</v>
      </c>
      <c r="T617" t="b">
        <v>1</v>
      </c>
      <c r="U617" t="s">
        <v>50</v>
      </c>
      <c r="V617" t="s">
        <v>51</v>
      </c>
      <c r="W617">
        <v>4</v>
      </c>
      <c r="X617" t="b">
        <v>0</v>
      </c>
      <c r="Y617" t="s">
        <v>52</v>
      </c>
      <c r="Z617" t="s">
        <v>53</v>
      </c>
      <c r="AA617" t="s">
        <v>54</v>
      </c>
      <c r="AB617">
        <v>0</v>
      </c>
      <c r="AC617" t="s">
        <v>55</v>
      </c>
      <c r="AD617">
        <v>8</v>
      </c>
      <c r="AE617" t="s">
        <v>56</v>
      </c>
      <c r="AF617">
        <v>314.03899999999999</v>
      </c>
      <c r="AG617" t="b">
        <v>0</v>
      </c>
      <c r="AH617">
        <v>15</v>
      </c>
      <c r="AI617" t="s">
        <v>59</v>
      </c>
      <c r="AJ617">
        <v>314039</v>
      </c>
      <c r="AK617" t="b">
        <v>0</v>
      </c>
      <c r="AL617">
        <v>315.3</v>
      </c>
      <c r="AM617" t="b">
        <v>0</v>
      </c>
      <c r="AN617">
        <v>0</v>
      </c>
      <c r="AO617" t="b">
        <v>0</v>
      </c>
      <c r="AQ617">
        <v>12629428</v>
      </c>
      <c r="AR617">
        <v>12629428</v>
      </c>
      <c r="AS617">
        <v>0</v>
      </c>
      <c r="AT617" t="b">
        <v>0</v>
      </c>
      <c r="AU617" t="b">
        <v>1</v>
      </c>
      <c r="AV617" t="b">
        <v>1</v>
      </c>
      <c r="AW617" t="b">
        <v>1</v>
      </c>
      <c r="BC617" t="str">
        <f t="shared" si="9"/>
        <v>Normal</v>
      </c>
    </row>
    <row r="618" spans="1:55" x14ac:dyDescent="0.2">
      <c r="A618" t="s">
        <v>39</v>
      </c>
      <c r="B618" t="s">
        <v>40</v>
      </c>
      <c r="C618">
        <v>20230101</v>
      </c>
      <c r="D618">
        <v>2023</v>
      </c>
      <c r="E618">
        <v>52</v>
      </c>
      <c r="F618" t="s">
        <v>354</v>
      </c>
      <c r="G618">
        <v>699</v>
      </c>
      <c r="H618" t="s">
        <v>255</v>
      </c>
      <c r="I618" t="s">
        <v>256</v>
      </c>
      <c r="J618" t="s">
        <v>44</v>
      </c>
      <c r="K618" t="s">
        <v>45</v>
      </c>
      <c r="L618">
        <v>0</v>
      </c>
      <c r="M618" t="s">
        <v>46</v>
      </c>
      <c r="N618" t="s">
        <v>47</v>
      </c>
      <c r="O618">
        <v>0</v>
      </c>
      <c r="P618" t="s">
        <v>46</v>
      </c>
      <c r="Q618" t="s">
        <v>47</v>
      </c>
      <c r="R618" t="s">
        <v>347</v>
      </c>
      <c r="S618" t="s">
        <v>49</v>
      </c>
      <c r="T618" t="b">
        <v>1</v>
      </c>
      <c r="U618" t="s">
        <v>50</v>
      </c>
      <c r="V618" t="s">
        <v>51</v>
      </c>
      <c r="W618">
        <v>4</v>
      </c>
      <c r="X618" t="b">
        <v>0</v>
      </c>
      <c r="Y618" t="s">
        <v>52</v>
      </c>
      <c r="Z618" t="s">
        <v>53</v>
      </c>
      <c r="AA618" t="s">
        <v>54</v>
      </c>
      <c r="AB618">
        <v>0</v>
      </c>
      <c r="AC618" t="s">
        <v>55</v>
      </c>
      <c r="AD618">
        <v>8</v>
      </c>
      <c r="AE618" t="s">
        <v>56</v>
      </c>
      <c r="AF618">
        <v>1298.8320000000001</v>
      </c>
      <c r="AG618" t="b">
        <v>1</v>
      </c>
      <c r="AH618">
        <v>-1</v>
      </c>
      <c r="AI618" t="s">
        <v>64</v>
      </c>
      <c r="AJ618">
        <v>0</v>
      </c>
      <c r="AK618" t="b">
        <v>0</v>
      </c>
      <c r="AL618">
        <v>1298.8320000000001</v>
      </c>
      <c r="AM618" t="b">
        <v>1</v>
      </c>
      <c r="AN618">
        <v>0</v>
      </c>
      <c r="AO618" t="b">
        <v>0</v>
      </c>
      <c r="AQ618">
        <v>74514561.893999994</v>
      </c>
      <c r="AR618">
        <v>74514561.893999994</v>
      </c>
      <c r="AS618">
        <v>6</v>
      </c>
      <c r="AT618" t="b">
        <v>0</v>
      </c>
      <c r="AU618" t="b">
        <v>1</v>
      </c>
      <c r="AV618" t="b">
        <v>1</v>
      </c>
      <c r="AW618" t="b">
        <v>1</v>
      </c>
      <c r="BC618" t="str">
        <f t="shared" si="9"/>
        <v>Normal</v>
      </c>
    </row>
    <row r="619" spans="1:55" x14ac:dyDescent="0.2">
      <c r="A619" t="s">
        <v>39</v>
      </c>
      <c r="B619" t="s">
        <v>40</v>
      </c>
      <c r="C619">
        <v>20230101</v>
      </c>
      <c r="D619">
        <v>2023</v>
      </c>
      <c r="E619">
        <v>52</v>
      </c>
      <c r="F619" t="s">
        <v>354</v>
      </c>
      <c r="G619">
        <v>702</v>
      </c>
      <c r="H619" t="s">
        <v>257</v>
      </c>
      <c r="I619" t="s">
        <v>258</v>
      </c>
      <c r="J619" t="s">
        <v>44</v>
      </c>
      <c r="K619" t="s">
        <v>45</v>
      </c>
      <c r="L619">
        <v>0</v>
      </c>
      <c r="M619" t="s">
        <v>46</v>
      </c>
      <c r="N619" t="s">
        <v>47</v>
      </c>
      <c r="O619">
        <v>0</v>
      </c>
      <c r="P619" t="s">
        <v>46</v>
      </c>
      <c r="Q619" t="s">
        <v>47</v>
      </c>
      <c r="R619" t="s">
        <v>347</v>
      </c>
      <c r="S619" t="s">
        <v>49</v>
      </c>
      <c r="T619" t="b">
        <v>1</v>
      </c>
      <c r="U619" t="s">
        <v>50</v>
      </c>
      <c r="V619" t="s">
        <v>51</v>
      </c>
      <c r="W619">
        <v>4</v>
      </c>
      <c r="X619" t="b">
        <v>0</v>
      </c>
      <c r="Y619" t="s">
        <v>52</v>
      </c>
      <c r="Z619" t="s">
        <v>53</v>
      </c>
      <c r="AA619" t="s">
        <v>54</v>
      </c>
      <c r="AB619">
        <v>0</v>
      </c>
      <c r="AC619" t="s">
        <v>55</v>
      </c>
      <c r="AD619">
        <v>8</v>
      </c>
      <c r="AE619" t="s">
        <v>56</v>
      </c>
      <c r="AF619">
        <v>210381.17</v>
      </c>
      <c r="AG619" t="b">
        <v>0</v>
      </c>
      <c r="AH619">
        <v>8</v>
      </c>
      <c r="AI619" t="s">
        <v>56</v>
      </c>
      <c r="AJ619">
        <v>210381.17</v>
      </c>
      <c r="AK619" t="b">
        <v>0</v>
      </c>
      <c r="AL619" s="1">
        <v>210381.17</v>
      </c>
      <c r="AM619" t="b">
        <v>0</v>
      </c>
      <c r="AN619">
        <v>0</v>
      </c>
      <c r="AO619" t="b">
        <v>0</v>
      </c>
      <c r="AQ619">
        <v>12563141451.48</v>
      </c>
      <c r="AR619">
        <v>12563141451.48</v>
      </c>
      <c r="AS619">
        <v>0</v>
      </c>
      <c r="AT619" t="b">
        <v>0</v>
      </c>
      <c r="AU619" t="b">
        <v>1</v>
      </c>
      <c r="AV619" t="b">
        <v>1</v>
      </c>
      <c r="AW619" t="b">
        <v>1</v>
      </c>
      <c r="BC619" t="str">
        <f t="shared" si="9"/>
        <v>Outlier</v>
      </c>
    </row>
    <row r="620" spans="1:55" x14ac:dyDescent="0.2">
      <c r="A620" t="s">
        <v>39</v>
      </c>
      <c r="B620" t="s">
        <v>40</v>
      </c>
      <c r="C620">
        <v>20230101</v>
      </c>
      <c r="D620">
        <v>2023</v>
      </c>
      <c r="E620">
        <v>52</v>
      </c>
      <c r="F620" t="s">
        <v>354</v>
      </c>
      <c r="G620">
        <v>703</v>
      </c>
      <c r="H620" t="s">
        <v>259</v>
      </c>
      <c r="I620" t="s">
        <v>260</v>
      </c>
      <c r="J620" t="s">
        <v>44</v>
      </c>
      <c r="K620" t="s">
        <v>45</v>
      </c>
      <c r="L620">
        <v>0</v>
      </c>
      <c r="M620" t="s">
        <v>46</v>
      </c>
      <c r="N620" t="s">
        <v>47</v>
      </c>
      <c r="O620">
        <v>0</v>
      </c>
      <c r="P620" t="s">
        <v>46</v>
      </c>
      <c r="Q620" t="s">
        <v>47</v>
      </c>
      <c r="R620" t="s">
        <v>347</v>
      </c>
      <c r="S620" t="s">
        <v>49</v>
      </c>
      <c r="T620" t="b">
        <v>1</v>
      </c>
      <c r="U620" t="s">
        <v>50</v>
      </c>
      <c r="V620" t="s">
        <v>51</v>
      </c>
      <c r="W620">
        <v>4</v>
      </c>
      <c r="X620" t="b">
        <v>0</v>
      </c>
      <c r="Y620" t="s">
        <v>52</v>
      </c>
      <c r="Z620" t="s">
        <v>53</v>
      </c>
      <c r="AA620" t="s">
        <v>54</v>
      </c>
      <c r="AB620">
        <v>0</v>
      </c>
      <c r="AC620" t="s">
        <v>55</v>
      </c>
      <c r="AD620">
        <v>8</v>
      </c>
      <c r="AE620" t="s">
        <v>56</v>
      </c>
      <c r="AF620">
        <v>769.94399999999996</v>
      </c>
      <c r="AG620" t="b">
        <v>0</v>
      </c>
      <c r="AH620">
        <v>15</v>
      </c>
      <c r="AI620" t="s">
        <v>59</v>
      </c>
      <c r="AJ620">
        <v>769944</v>
      </c>
      <c r="AK620" t="b">
        <v>0</v>
      </c>
      <c r="AM620" t="b">
        <v>0</v>
      </c>
      <c r="AN620">
        <v>0</v>
      </c>
      <c r="AO620" t="b">
        <v>0</v>
      </c>
      <c r="AQ620">
        <v>21549161.344000001</v>
      </c>
      <c r="AR620">
        <v>21549161.344000001</v>
      </c>
      <c r="AS620">
        <v>0</v>
      </c>
      <c r="AT620" t="b">
        <v>0</v>
      </c>
      <c r="AU620" t="b">
        <v>1</v>
      </c>
      <c r="AV620" t="b">
        <v>1</v>
      </c>
      <c r="AW620" t="b">
        <v>1</v>
      </c>
      <c r="BC620" t="str">
        <f t="shared" si="9"/>
        <v>Normal</v>
      </c>
    </row>
    <row r="621" spans="1:55" x14ac:dyDescent="0.2">
      <c r="A621" t="s">
        <v>39</v>
      </c>
      <c r="B621" t="s">
        <v>40</v>
      </c>
      <c r="C621">
        <v>20230101</v>
      </c>
      <c r="D621">
        <v>2023</v>
      </c>
      <c r="E621">
        <v>52</v>
      </c>
      <c r="F621" t="s">
        <v>354</v>
      </c>
      <c r="G621">
        <v>704</v>
      </c>
      <c r="H621" t="s">
        <v>261</v>
      </c>
      <c r="I621" t="s">
        <v>262</v>
      </c>
      <c r="J621" t="s">
        <v>44</v>
      </c>
      <c r="K621" t="s">
        <v>45</v>
      </c>
      <c r="L621">
        <v>0</v>
      </c>
      <c r="M621" t="s">
        <v>46</v>
      </c>
      <c r="N621" t="s">
        <v>47</v>
      </c>
      <c r="O621">
        <v>0</v>
      </c>
      <c r="P621" t="s">
        <v>46</v>
      </c>
      <c r="Q621" t="s">
        <v>47</v>
      </c>
      <c r="R621" t="s">
        <v>347</v>
      </c>
      <c r="S621" t="s">
        <v>49</v>
      </c>
      <c r="T621" t="b">
        <v>1</v>
      </c>
      <c r="U621" t="s">
        <v>50</v>
      </c>
      <c r="V621" t="s">
        <v>51</v>
      </c>
      <c r="W621">
        <v>4</v>
      </c>
      <c r="X621" t="b">
        <v>0</v>
      </c>
      <c r="Y621" t="s">
        <v>52</v>
      </c>
      <c r="Z621" t="s">
        <v>53</v>
      </c>
      <c r="AA621" t="s">
        <v>54</v>
      </c>
      <c r="AB621">
        <v>0</v>
      </c>
      <c r="AC621" t="s">
        <v>55</v>
      </c>
      <c r="AD621">
        <v>8</v>
      </c>
      <c r="AE621" t="s">
        <v>56</v>
      </c>
      <c r="AF621">
        <v>312.83199999999999</v>
      </c>
      <c r="AG621" t="b">
        <v>1</v>
      </c>
      <c r="AH621">
        <v>-1</v>
      </c>
      <c r="AI621" t="s">
        <v>64</v>
      </c>
      <c r="AJ621">
        <v>0</v>
      </c>
      <c r="AK621" t="b">
        <v>0</v>
      </c>
      <c r="AL621">
        <v>312.83199999999999</v>
      </c>
      <c r="AM621" t="b">
        <v>1</v>
      </c>
      <c r="AN621">
        <v>0</v>
      </c>
      <c r="AO621" t="b">
        <v>0</v>
      </c>
      <c r="AQ621">
        <v>18942944.592</v>
      </c>
      <c r="AR621">
        <v>18942944.592</v>
      </c>
      <c r="AS621">
        <v>6</v>
      </c>
      <c r="AT621" t="b">
        <v>0</v>
      </c>
      <c r="AU621" t="b">
        <v>1</v>
      </c>
      <c r="AV621" t="b">
        <v>1</v>
      </c>
      <c r="AW621" t="b">
        <v>1</v>
      </c>
      <c r="BC621" t="str">
        <f t="shared" si="9"/>
        <v>Normal</v>
      </c>
    </row>
    <row r="622" spans="1:55" x14ac:dyDescent="0.2">
      <c r="A622" t="s">
        <v>39</v>
      </c>
      <c r="B622" t="s">
        <v>40</v>
      </c>
      <c r="C622">
        <v>20230101</v>
      </c>
      <c r="D622">
        <v>2023</v>
      </c>
      <c r="E622">
        <v>52</v>
      </c>
      <c r="F622" t="s">
        <v>354</v>
      </c>
      <c r="G622">
        <v>705</v>
      </c>
      <c r="H622" t="s">
        <v>263</v>
      </c>
      <c r="I622" t="s">
        <v>264</v>
      </c>
      <c r="J622" t="s">
        <v>44</v>
      </c>
      <c r="K622" t="s">
        <v>45</v>
      </c>
      <c r="L622">
        <v>0</v>
      </c>
      <c r="M622" t="s">
        <v>46</v>
      </c>
      <c r="N622" t="s">
        <v>47</v>
      </c>
      <c r="O622">
        <v>0</v>
      </c>
      <c r="P622" t="s">
        <v>46</v>
      </c>
      <c r="Q622" t="s">
        <v>47</v>
      </c>
      <c r="R622" t="s">
        <v>347</v>
      </c>
      <c r="S622" t="s">
        <v>49</v>
      </c>
      <c r="T622" t="b">
        <v>1</v>
      </c>
      <c r="U622" t="s">
        <v>50</v>
      </c>
      <c r="V622" t="s">
        <v>51</v>
      </c>
      <c r="W622">
        <v>4</v>
      </c>
      <c r="X622" t="b">
        <v>0</v>
      </c>
      <c r="Y622" t="s">
        <v>52</v>
      </c>
      <c r="Z622" t="s">
        <v>53</v>
      </c>
      <c r="AA622" t="s">
        <v>54</v>
      </c>
      <c r="AB622">
        <v>0</v>
      </c>
      <c r="AC622" t="s">
        <v>55</v>
      </c>
      <c r="AD622">
        <v>8</v>
      </c>
      <c r="AE622" t="s">
        <v>56</v>
      </c>
      <c r="AF622">
        <v>315.44099999999997</v>
      </c>
      <c r="AG622" t="b">
        <v>0</v>
      </c>
      <c r="AH622">
        <v>15</v>
      </c>
      <c r="AI622" t="s">
        <v>59</v>
      </c>
      <c r="AJ622">
        <v>315441.12199999997</v>
      </c>
      <c r="AK622" t="b">
        <v>0</v>
      </c>
      <c r="AL622">
        <v>330.44900000000001</v>
      </c>
      <c r="AM622" t="b">
        <v>0</v>
      </c>
      <c r="AN622">
        <v>0</v>
      </c>
      <c r="AO622" t="b">
        <v>0</v>
      </c>
      <c r="AQ622">
        <v>19596892.037</v>
      </c>
      <c r="AR622">
        <v>19596892.037</v>
      </c>
      <c r="AS622">
        <v>0</v>
      </c>
      <c r="AT622" t="b">
        <v>0</v>
      </c>
      <c r="AU622" t="b">
        <v>1</v>
      </c>
      <c r="AV622" t="b">
        <v>1</v>
      </c>
      <c r="AW622" t="b">
        <v>1</v>
      </c>
      <c r="BC622" t="str">
        <f t="shared" si="9"/>
        <v>Normal</v>
      </c>
    </row>
    <row r="623" spans="1:55" x14ac:dyDescent="0.2">
      <c r="A623" t="s">
        <v>39</v>
      </c>
      <c r="B623" t="s">
        <v>40</v>
      </c>
      <c r="C623">
        <v>20230101</v>
      </c>
      <c r="D623">
        <v>2023</v>
      </c>
      <c r="E623">
        <v>52</v>
      </c>
      <c r="F623" t="s">
        <v>354</v>
      </c>
      <c r="G623">
        <v>710</v>
      </c>
      <c r="H623" t="s">
        <v>265</v>
      </c>
      <c r="I623" t="s">
        <v>266</v>
      </c>
      <c r="J623" t="s">
        <v>44</v>
      </c>
      <c r="K623" t="s">
        <v>45</v>
      </c>
      <c r="L623">
        <v>0</v>
      </c>
      <c r="M623" t="s">
        <v>46</v>
      </c>
      <c r="N623" t="s">
        <v>47</v>
      </c>
      <c r="O623">
        <v>0</v>
      </c>
      <c r="P623" t="s">
        <v>46</v>
      </c>
      <c r="Q623" t="s">
        <v>47</v>
      </c>
      <c r="R623" t="s">
        <v>347</v>
      </c>
      <c r="S623" t="s">
        <v>49</v>
      </c>
      <c r="T623" t="b">
        <v>1</v>
      </c>
      <c r="U623" t="s">
        <v>50</v>
      </c>
      <c r="V623" t="s">
        <v>51</v>
      </c>
      <c r="W623">
        <v>4</v>
      </c>
      <c r="X623" t="b">
        <v>0</v>
      </c>
      <c r="Y623" t="s">
        <v>52</v>
      </c>
      <c r="Z623" t="s">
        <v>53</v>
      </c>
      <c r="AA623" t="s">
        <v>54</v>
      </c>
      <c r="AB623">
        <v>0</v>
      </c>
      <c r="AC623" t="s">
        <v>55</v>
      </c>
      <c r="AD623">
        <v>-1</v>
      </c>
      <c r="AE623" t="s">
        <v>64</v>
      </c>
      <c r="AF623">
        <v>0</v>
      </c>
      <c r="AG623" t="b">
        <v>0</v>
      </c>
      <c r="AH623">
        <v>-1</v>
      </c>
      <c r="AI623" t="s">
        <v>64</v>
      </c>
      <c r="AJ623">
        <v>0</v>
      </c>
      <c r="AK623" t="b">
        <v>0</v>
      </c>
      <c r="AM623" t="b">
        <v>0</v>
      </c>
      <c r="AN623">
        <v>0</v>
      </c>
      <c r="AO623" t="b">
        <v>0</v>
      </c>
      <c r="AQ623">
        <v>6290623861.5179996</v>
      </c>
      <c r="AR623">
        <v>6290623861.5179996</v>
      </c>
      <c r="AS623">
        <v>0</v>
      </c>
      <c r="AT623" t="b">
        <v>0</v>
      </c>
      <c r="AU623" t="b">
        <v>1</v>
      </c>
      <c r="AV623" t="b">
        <v>1</v>
      </c>
      <c r="AW623" t="b">
        <v>1</v>
      </c>
      <c r="BC623" t="str">
        <f t="shared" si="9"/>
        <v>Normal</v>
      </c>
    </row>
    <row r="624" spans="1:55" x14ac:dyDescent="0.2">
      <c r="A624" t="s">
        <v>39</v>
      </c>
      <c r="B624" t="s">
        <v>40</v>
      </c>
      <c r="C624">
        <v>20230101</v>
      </c>
      <c r="D624">
        <v>2023</v>
      </c>
      <c r="E624">
        <v>52</v>
      </c>
      <c r="F624" t="s">
        <v>354</v>
      </c>
      <c r="G624">
        <v>716</v>
      </c>
      <c r="H624" t="s">
        <v>267</v>
      </c>
      <c r="I624" t="s">
        <v>268</v>
      </c>
      <c r="J624" t="s">
        <v>44</v>
      </c>
      <c r="K624" t="s">
        <v>45</v>
      </c>
      <c r="L624">
        <v>0</v>
      </c>
      <c r="M624" t="s">
        <v>46</v>
      </c>
      <c r="N624" t="s">
        <v>47</v>
      </c>
      <c r="O624">
        <v>0</v>
      </c>
      <c r="P624" t="s">
        <v>46</v>
      </c>
      <c r="Q624" t="s">
        <v>47</v>
      </c>
      <c r="R624" t="s">
        <v>347</v>
      </c>
      <c r="S624" t="s">
        <v>49</v>
      </c>
      <c r="T624" t="b">
        <v>1</v>
      </c>
      <c r="U624" t="s">
        <v>50</v>
      </c>
      <c r="V624" t="s">
        <v>51</v>
      </c>
      <c r="W624">
        <v>4</v>
      </c>
      <c r="X624" t="b">
        <v>0</v>
      </c>
      <c r="Y624" t="s">
        <v>52</v>
      </c>
      <c r="Z624" t="s">
        <v>53</v>
      </c>
      <c r="AA624" t="s">
        <v>54</v>
      </c>
      <c r="AB624">
        <v>0</v>
      </c>
      <c r="AC624" t="s">
        <v>55</v>
      </c>
      <c r="AD624">
        <v>-1</v>
      </c>
      <c r="AE624" t="s">
        <v>64</v>
      </c>
      <c r="AF624">
        <v>0</v>
      </c>
      <c r="AG624" t="b">
        <v>0</v>
      </c>
      <c r="AH624">
        <v>-1</v>
      </c>
      <c r="AI624" t="s">
        <v>64</v>
      </c>
      <c r="AJ624">
        <v>0</v>
      </c>
      <c r="AK624" t="b">
        <v>0</v>
      </c>
      <c r="AM624" t="b">
        <v>0</v>
      </c>
      <c r="AN624">
        <v>0</v>
      </c>
      <c r="AO624" t="b">
        <v>0</v>
      </c>
      <c r="AQ624">
        <v>1805476918.21</v>
      </c>
      <c r="AR624">
        <v>1805476918.21</v>
      </c>
      <c r="AS624">
        <v>0</v>
      </c>
      <c r="AT624" t="b">
        <v>0</v>
      </c>
      <c r="AU624" t="b">
        <v>1</v>
      </c>
      <c r="AV624" t="b">
        <v>1</v>
      </c>
      <c r="AW624" t="b">
        <v>1</v>
      </c>
      <c r="BC624" t="str">
        <f t="shared" si="9"/>
        <v>Normal</v>
      </c>
    </row>
    <row r="625" spans="1:55" x14ac:dyDescent="0.2">
      <c r="A625" t="s">
        <v>39</v>
      </c>
      <c r="B625" t="s">
        <v>40</v>
      </c>
      <c r="C625">
        <v>20230101</v>
      </c>
      <c r="D625">
        <v>2023</v>
      </c>
      <c r="E625">
        <v>52</v>
      </c>
      <c r="F625" t="s">
        <v>354</v>
      </c>
      <c r="G625">
        <v>724</v>
      </c>
      <c r="H625" t="s">
        <v>269</v>
      </c>
      <c r="I625" t="s">
        <v>270</v>
      </c>
      <c r="J625" t="s">
        <v>44</v>
      </c>
      <c r="K625" t="s">
        <v>45</v>
      </c>
      <c r="L625">
        <v>0</v>
      </c>
      <c r="M625" t="s">
        <v>46</v>
      </c>
      <c r="N625" t="s">
        <v>47</v>
      </c>
      <c r="O625">
        <v>0</v>
      </c>
      <c r="P625" t="s">
        <v>46</v>
      </c>
      <c r="Q625" t="s">
        <v>47</v>
      </c>
      <c r="R625" t="s">
        <v>347</v>
      </c>
      <c r="S625" t="s">
        <v>49</v>
      </c>
      <c r="T625" t="b">
        <v>1</v>
      </c>
      <c r="U625" t="s">
        <v>50</v>
      </c>
      <c r="V625" t="s">
        <v>51</v>
      </c>
      <c r="W625">
        <v>4</v>
      </c>
      <c r="X625" t="b">
        <v>0</v>
      </c>
      <c r="Y625" t="s">
        <v>52</v>
      </c>
      <c r="Z625" t="s">
        <v>53</v>
      </c>
      <c r="AA625" t="s">
        <v>54</v>
      </c>
      <c r="AB625">
        <v>0</v>
      </c>
      <c r="AC625" t="s">
        <v>55</v>
      </c>
      <c r="AD625">
        <v>-1</v>
      </c>
      <c r="AE625" t="s">
        <v>64</v>
      </c>
      <c r="AF625">
        <v>0</v>
      </c>
      <c r="AG625" t="b">
        <v>0</v>
      </c>
      <c r="AH625">
        <v>15</v>
      </c>
      <c r="AI625" t="s">
        <v>59</v>
      </c>
      <c r="AJ625">
        <v>52502760.920000002</v>
      </c>
      <c r="AK625" t="b">
        <v>0</v>
      </c>
      <c r="AM625" t="b">
        <v>0</v>
      </c>
      <c r="AN625">
        <v>0</v>
      </c>
      <c r="AO625" t="b">
        <v>0</v>
      </c>
      <c r="AQ625">
        <v>2976011481.5100002</v>
      </c>
      <c r="AR625">
        <v>2976011481.5100002</v>
      </c>
      <c r="AS625">
        <v>0</v>
      </c>
      <c r="AT625" t="b">
        <v>0</v>
      </c>
      <c r="AU625" t="b">
        <v>1</v>
      </c>
      <c r="AV625" t="b">
        <v>1</v>
      </c>
      <c r="AW625" t="b">
        <v>1</v>
      </c>
      <c r="BC625" t="str">
        <f t="shared" si="9"/>
        <v>Normal</v>
      </c>
    </row>
    <row r="626" spans="1:55" x14ac:dyDescent="0.2">
      <c r="A626" t="s">
        <v>39</v>
      </c>
      <c r="B626" t="s">
        <v>40</v>
      </c>
      <c r="C626">
        <v>20230101</v>
      </c>
      <c r="D626">
        <v>2023</v>
      </c>
      <c r="E626">
        <v>52</v>
      </c>
      <c r="F626" t="s">
        <v>354</v>
      </c>
      <c r="G626">
        <v>740</v>
      </c>
      <c r="H626" t="s">
        <v>271</v>
      </c>
      <c r="I626" t="s">
        <v>272</v>
      </c>
      <c r="J626" t="s">
        <v>44</v>
      </c>
      <c r="K626" t="s">
        <v>45</v>
      </c>
      <c r="L626">
        <v>0</v>
      </c>
      <c r="M626" t="s">
        <v>46</v>
      </c>
      <c r="N626" t="s">
        <v>47</v>
      </c>
      <c r="O626">
        <v>0</v>
      </c>
      <c r="P626" t="s">
        <v>46</v>
      </c>
      <c r="Q626" t="s">
        <v>47</v>
      </c>
      <c r="R626" t="s">
        <v>136</v>
      </c>
      <c r="S626" t="s">
        <v>49</v>
      </c>
      <c r="T626" t="b">
        <v>1</v>
      </c>
      <c r="U626" t="s">
        <v>50</v>
      </c>
      <c r="V626" t="s">
        <v>51</v>
      </c>
      <c r="W626">
        <v>4</v>
      </c>
      <c r="X626" t="b">
        <v>0</v>
      </c>
      <c r="Y626" t="s">
        <v>52</v>
      </c>
      <c r="Z626" t="s">
        <v>53</v>
      </c>
      <c r="AA626" t="s">
        <v>54</v>
      </c>
      <c r="AB626">
        <v>0</v>
      </c>
      <c r="AC626" t="s">
        <v>55</v>
      </c>
      <c r="AD626">
        <v>8</v>
      </c>
      <c r="AE626" t="s">
        <v>56</v>
      </c>
      <c r="AF626">
        <v>16338.300999999999</v>
      </c>
      <c r="AG626" t="b">
        <v>0</v>
      </c>
      <c r="AH626">
        <v>15</v>
      </c>
      <c r="AI626" t="s">
        <v>59</v>
      </c>
      <c r="AJ626">
        <v>16337302</v>
      </c>
      <c r="AK626" t="b">
        <v>0</v>
      </c>
      <c r="AM626" t="b">
        <v>0</v>
      </c>
      <c r="AN626">
        <v>48895.8</v>
      </c>
      <c r="AO626" t="b">
        <v>0</v>
      </c>
      <c r="AQ626">
        <v>1167321201.223</v>
      </c>
      <c r="AR626">
        <v>1167321201.223</v>
      </c>
      <c r="AS626">
        <v>0</v>
      </c>
      <c r="AT626" t="b">
        <v>0</v>
      </c>
      <c r="AU626" t="b">
        <v>1</v>
      </c>
      <c r="AV626" t="b">
        <v>1</v>
      </c>
      <c r="AW626" t="b">
        <v>1</v>
      </c>
      <c r="BC626" t="str">
        <f t="shared" si="9"/>
        <v>Normal</v>
      </c>
    </row>
    <row r="627" spans="1:55" x14ac:dyDescent="0.2">
      <c r="A627" t="s">
        <v>39</v>
      </c>
      <c r="B627" t="s">
        <v>40</v>
      </c>
      <c r="C627">
        <v>20230101</v>
      </c>
      <c r="D627">
        <v>2023</v>
      </c>
      <c r="E627">
        <v>52</v>
      </c>
      <c r="F627" t="s">
        <v>354</v>
      </c>
      <c r="G627">
        <v>748</v>
      </c>
      <c r="H627" t="s">
        <v>273</v>
      </c>
      <c r="I627" t="s">
        <v>274</v>
      </c>
      <c r="J627" t="s">
        <v>44</v>
      </c>
      <c r="K627" t="s">
        <v>45</v>
      </c>
      <c r="L627">
        <v>0</v>
      </c>
      <c r="M627" t="s">
        <v>46</v>
      </c>
      <c r="N627" t="s">
        <v>47</v>
      </c>
      <c r="O627">
        <v>0</v>
      </c>
      <c r="P627" t="s">
        <v>46</v>
      </c>
      <c r="Q627" t="s">
        <v>47</v>
      </c>
      <c r="R627" t="s">
        <v>347</v>
      </c>
      <c r="S627" t="s">
        <v>49</v>
      </c>
      <c r="T627" t="b">
        <v>1</v>
      </c>
      <c r="U627" t="s">
        <v>50</v>
      </c>
      <c r="V627" t="s">
        <v>51</v>
      </c>
      <c r="W627">
        <v>4</v>
      </c>
      <c r="X627" t="b">
        <v>0</v>
      </c>
      <c r="Y627" t="s">
        <v>52</v>
      </c>
      <c r="Z627" t="s">
        <v>53</v>
      </c>
      <c r="AA627" t="s">
        <v>54</v>
      </c>
      <c r="AB627">
        <v>0</v>
      </c>
      <c r="AC627" t="s">
        <v>55</v>
      </c>
      <c r="AD627">
        <v>8</v>
      </c>
      <c r="AE627" t="s">
        <v>56</v>
      </c>
      <c r="AF627">
        <v>30.08</v>
      </c>
      <c r="AG627" t="b">
        <v>0</v>
      </c>
      <c r="AH627">
        <v>8</v>
      </c>
      <c r="AI627" t="s">
        <v>56</v>
      </c>
      <c r="AJ627">
        <v>30.08</v>
      </c>
      <c r="AK627" t="b">
        <v>0</v>
      </c>
      <c r="AL627">
        <v>30.08</v>
      </c>
      <c r="AM627" t="b">
        <v>0</v>
      </c>
      <c r="AN627">
        <v>0</v>
      </c>
      <c r="AO627" t="b">
        <v>0</v>
      </c>
      <c r="AQ627">
        <v>1618594.35</v>
      </c>
      <c r="AR627">
        <v>1618594.35</v>
      </c>
      <c r="AS627">
        <v>0</v>
      </c>
      <c r="AT627" t="b">
        <v>0</v>
      </c>
      <c r="AU627" t="b">
        <v>1</v>
      </c>
      <c r="AV627" t="b">
        <v>1</v>
      </c>
      <c r="AW627" t="b">
        <v>1</v>
      </c>
      <c r="BC627" t="str">
        <f t="shared" si="9"/>
        <v>Normal</v>
      </c>
    </row>
    <row r="628" spans="1:55" x14ac:dyDescent="0.2">
      <c r="A628" t="s">
        <v>39</v>
      </c>
      <c r="B628" t="s">
        <v>40</v>
      </c>
      <c r="C628">
        <v>20230101</v>
      </c>
      <c r="D628">
        <v>2023</v>
      </c>
      <c r="E628">
        <v>52</v>
      </c>
      <c r="F628" t="s">
        <v>354</v>
      </c>
      <c r="G628">
        <v>752</v>
      </c>
      <c r="H628" t="s">
        <v>275</v>
      </c>
      <c r="I628" t="s">
        <v>276</v>
      </c>
      <c r="J628" t="s">
        <v>44</v>
      </c>
      <c r="K628" t="s">
        <v>45</v>
      </c>
      <c r="L628">
        <v>0</v>
      </c>
      <c r="M628" t="s">
        <v>46</v>
      </c>
      <c r="N628" t="s">
        <v>47</v>
      </c>
      <c r="O628">
        <v>0</v>
      </c>
      <c r="P628" t="s">
        <v>46</v>
      </c>
      <c r="Q628" t="s">
        <v>47</v>
      </c>
      <c r="R628" t="s">
        <v>347</v>
      </c>
      <c r="S628" t="s">
        <v>49</v>
      </c>
      <c r="T628" t="b">
        <v>1</v>
      </c>
      <c r="U628" t="s">
        <v>50</v>
      </c>
      <c r="V628" t="s">
        <v>51</v>
      </c>
      <c r="W628">
        <v>4</v>
      </c>
      <c r="X628" t="b">
        <v>0</v>
      </c>
      <c r="Y628" t="s">
        <v>52</v>
      </c>
      <c r="Z628" t="s">
        <v>53</v>
      </c>
      <c r="AA628" t="s">
        <v>54</v>
      </c>
      <c r="AB628">
        <v>0</v>
      </c>
      <c r="AC628" t="s">
        <v>55</v>
      </c>
      <c r="AD628">
        <v>-1</v>
      </c>
      <c r="AE628" t="s">
        <v>64</v>
      </c>
      <c r="AF628">
        <v>0</v>
      </c>
      <c r="AG628" t="b">
        <v>0</v>
      </c>
      <c r="AH628">
        <v>-1</v>
      </c>
      <c r="AI628" t="s">
        <v>64</v>
      </c>
      <c r="AJ628">
        <v>0</v>
      </c>
      <c r="AK628" t="b">
        <v>0</v>
      </c>
      <c r="AM628" t="b">
        <v>0</v>
      </c>
      <c r="AN628">
        <v>0</v>
      </c>
      <c r="AO628" t="b">
        <v>0</v>
      </c>
      <c r="AQ628">
        <v>824816642.95000005</v>
      </c>
      <c r="AR628">
        <v>824816642.95000005</v>
      </c>
      <c r="AS628">
        <v>0</v>
      </c>
      <c r="AT628" t="b">
        <v>0</v>
      </c>
      <c r="AU628" t="b">
        <v>1</v>
      </c>
      <c r="AV628" t="b">
        <v>1</v>
      </c>
      <c r="AW628" t="b">
        <v>1</v>
      </c>
      <c r="BC628" t="str">
        <f t="shared" si="9"/>
        <v>Normal</v>
      </c>
    </row>
    <row r="629" spans="1:55" x14ac:dyDescent="0.2">
      <c r="A629" t="s">
        <v>39</v>
      </c>
      <c r="B629" t="s">
        <v>40</v>
      </c>
      <c r="C629">
        <v>20230101</v>
      </c>
      <c r="D629">
        <v>2023</v>
      </c>
      <c r="E629">
        <v>52</v>
      </c>
      <c r="F629" t="s">
        <v>354</v>
      </c>
      <c r="G629">
        <v>757</v>
      </c>
      <c r="H629" t="s">
        <v>277</v>
      </c>
      <c r="I629" t="s">
        <v>278</v>
      </c>
      <c r="J629" t="s">
        <v>44</v>
      </c>
      <c r="K629" t="s">
        <v>45</v>
      </c>
      <c r="L629">
        <v>0</v>
      </c>
      <c r="M629" t="s">
        <v>46</v>
      </c>
      <c r="N629" t="s">
        <v>47</v>
      </c>
      <c r="O629">
        <v>0</v>
      </c>
      <c r="P629" t="s">
        <v>46</v>
      </c>
      <c r="Q629" t="s">
        <v>47</v>
      </c>
      <c r="R629" t="s">
        <v>347</v>
      </c>
      <c r="S629" t="s">
        <v>49</v>
      </c>
      <c r="T629" t="b">
        <v>1</v>
      </c>
      <c r="U629" t="s">
        <v>50</v>
      </c>
      <c r="V629" t="s">
        <v>51</v>
      </c>
      <c r="W629">
        <v>4</v>
      </c>
      <c r="X629" t="b">
        <v>0</v>
      </c>
      <c r="Y629" t="s">
        <v>52</v>
      </c>
      <c r="Z629" t="s">
        <v>53</v>
      </c>
      <c r="AA629" t="s">
        <v>54</v>
      </c>
      <c r="AB629">
        <v>0</v>
      </c>
      <c r="AC629" t="s">
        <v>55</v>
      </c>
      <c r="AD629">
        <v>-1</v>
      </c>
      <c r="AE629" t="s">
        <v>64</v>
      </c>
      <c r="AF629">
        <v>0</v>
      </c>
      <c r="AG629" t="b">
        <v>0</v>
      </c>
      <c r="AH629">
        <v>-1</v>
      </c>
      <c r="AI629" t="s">
        <v>64</v>
      </c>
      <c r="AJ629">
        <v>0</v>
      </c>
      <c r="AK629" t="b">
        <v>0</v>
      </c>
      <c r="AM629" t="b">
        <v>0</v>
      </c>
      <c r="AN629">
        <v>0</v>
      </c>
      <c r="AO629" t="b">
        <v>0</v>
      </c>
      <c r="AQ629">
        <v>107165596657.388</v>
      </c>
      <c r="AR629">
        <v>107165596657.388</v>
      </c>
      <c r="AS629">
        <v>0</v>
      </c>
      <c r="AT629" t="b">
        <v>0</v>
      </c>
      <c r="AU629" t="b">
        <v>1</v>
      </c>
      <c r="AV629" t="b">
        <v>1</v>
      </c>
      <c r="AW629" t="b">
        <v>1</v>
      </c>
      <c r="BC629" t="str">
        <f t="shared" si="9"/>
        <v>Normal</v>
      </c>
    </row>
    <row r="630" spans="1:55" x14ac:dyDescent="0.2">
      <c r="A630" t="s">
        <v>39</v>
      </c>
      <c r="B630" t="s">
        <v>40</v>
      </c>
      <c r="C630">
        <v>20230101</v>
      </c>
      <c r="D630">
        <v>2023</v>
      </c>
      <c r="E630">
        <v>52</v>
      </c>
      <c r="F630" t="s">
        <v>354</v>
      </c>
      <c r="G630">
        <v>764</v>
      </c>
      <c r="H630" t="s">
        <v>279</v>
      </c>
      <c r="I630" t="s">
        <v>280</v>
      </c>
      <c r="J630" t="s">
        <v>44</v>
      </c>
      <c r="K630" t="s">
        <v>45</v>
      </c>
      <c r="L630">
        <v>0</v>
      </c>
      <c r="M630" t="s">
        <v>46</v>
      </c>
      <c r="N630" t="s">
        <v>47</v>
      </c>
      <c r="O630">
        <v>0</v>
      </c>
      <c r="P630" t="s">
        <v>46</v>
      </c>
      <c r="Q630" t="s">
        <v>47</v>
      </c>
      <c r="R630" t="s">
        <v>347</v>
      </c>
      <c r="S630" t="s">
        <v>49</v>
      </c>
      <c r="T630" t="b">
        <v>1</v>
      </c>
      <c r="U630" t="s">
        <v>50</v>
      </c>
      <c r="V630" t="s">
        <v>51</v>
      </c>
      <c r="W630">
        <v>4</v>
      </c>
      <c r="X630" t="b">
        <v>0</v>
      </c>
      <c r="Y630" t="s">
        <v>52</v>
      </c>
      <c r="Z630" t="s">
        <v>53</v>
      </c>
      <c r="AA630" t="s">
        <v>54</v>
      </c>
      <c r="AB630">
        <v>0</v>
      </c>
      <c r="AC630" t="s">
        <v>55</v>
      </c>
      <c r="AD630">
        <v>-1</v>
      </c>
      <c r="AE630" t="s">
        <v>64</v>
      </c>
      <c r="AF630">
        <v>0</v>
      </c>
      <c r="AG630" t="b">
        <v>0</v>
      </c>
      <c r="AH630">
        <v>-1</v>
      </c>
      <c r="AI630" t="s">
        <v>64</v>
      </c>
      <c r="AJ630">
        <v>0</v>
      </c>
      <c r="AK630" t="b">
        <v>0</v>
      </c>
      <c r="AM630" t="b">
        <v>0</v>
      </c>
      <c r="AN630">
        <v>0</v>
      </c>
      <c r="AO630" t="b">
        <v>0</v>
      </c>
      <c r="AQ630">
        <v>5978827739.0539999</v>
      </c>
      <c r="AR630">
        <v>5978827739.0539999</v>
      </c>
      <c r="AS630">
        <v>0</v>
      </c>
      <c r="AT630" t="b">
        <v>0</v>
      </c>
      <c r="AU630" t="b">
        <v>1</v>
      </c>
      <c r="AV630" t="b">
        <v>1</v>
      </c>
      <c r="AW630" t="b">
        <v>1</v>
      </c>
      <c r="BC630" t="str">
        <f t="shared" si="9"/>
        <v>Normal</v>
      </c>
    </row>
    <row r="631" spans="1:55" x14ac:dyDescent="0.2">
      <c r="A631" t="s">
        <v>39</v>
      </c>
      <c r="B631" t="s">
        <v>40</v>
      </c>
      <c r="C631">
        <v>20230101</v>
      </c>
      <c r="D631">
        <v>2023</v>
      </c>
      <c r="E631">
        <v>52</v>
      </c>
      <c r="F631" t="s">
        <v>354</v>
      </c>
      <c r="G631">
        <v>768</v>
      </c>
      <c r="H631" t="s">
        <v>281</v>
      </c>
      <c r="I631" t="s">
        <v>282</v>
      </c>
      <c r="J631" t="s">
        <v>44</v>
      </c>
      <c r="K631" t="s">
        <v>45</v>
      </c>
      <c r="L631">
        <v>0</v>
      </c>
      <c r="M631" t="s">
        <v>46</v>
      </c>
      <c r="N631" t="s">
        <v>47</v>
      </c>
      <c r="O631">
        <v>0</v>
      </c>
      <c r="P631" t="s">
        <v>46</v>
      </c>
      <c r="Q631" t="s">
        <v>47</v>
      </c>
      <c r="R631" t="s">
        <v>48</v>
      </c>
      <c r="S631" t="s">
        <v>49</v>
      </c>
      <c r="T631" t="b">
        <v>1</v>
      </c>
      <c r="U631" t="s">
        <v>50</v>
      </c>
      <c r="V631" t="s">
        <v>51</v>
      </c>
      <c r="W631">
        <v>4</v>
      </c>
      <c r="X631" t="b">
        <v>0</v>
      </c>
      <c r="Y631" t="s">
        <v>52</v>
      </c>
      <c r="Z631" t="s">
        <v>53</v>
      </c>
      <c r="AA631" t="s">
        <v>54</v>
      </c>
      <c r="AB631">
        <v>0</v>
      </c>
      <c r="AC631" t="s">
        <v>55</v>
      </c>
      <c r="AD631">
        <v>8</v>
      </c>
      <c r="AE631" t="s">
        <v>56</v>
      </c>
      <c r="AF631">
        <v>2</v>
      </c>
      <c r="AG631" t="b">
        <v>0</v>
      </c>
      <c r="AH631">
        <v>8</v>
      </c>
      <c r="AI631" t="s">
        <v>56</v>
      </c>
      <c r="AJ631">
        <v>2</v>
      </c>
      <c r="AK631" t="b">
        <v>0</v>
      </c>
      <c r="AL631">
        <v>2</v>
      </c>
      <c r="AM631" t="b">
        <v>0</v>
      </c>
      <c r="AN631">
        <v>0</v>
      </c>
      <c r="AO631" t="b">
        <v>0</v>
      </c>
      <c r="AQ631">
        <v>1947.3710000000001</v>
      </c>
      <c r="AR631">
        <v>1947.3710000000001</v>
      </c>
      <c r="AS631">
        <v>0</v>
      </c>
      <c r="AT631" t="b">
        <v>0</v>
      </c>
      <c r="AU631" t="b">
        <v>1</v>
      </c>
      <c r="AV631" t="b">
        <v>1</v>
      </c>
      <c r="AW631" t="b">
        <v>1</v>
      </c>
      <c r="BC631" t="str">
        <f t="shared" si="9"/>
        <v>Normal</v>
      </c>
    </row>
    <row r="632" spans="1:55" x14ac:dyDescent="0.2">
      <c r="A632" t="s">
        <v>39</v>
      </c>
      <c r="B632" t="s">
        <v>40</v>
      </c>
      <c r="C632">
        <v>20230101</v>
      </c>
      <c r="D632">
        <v>2023</v>
      </c>
      <c r="E632">
        <v>52</v>
      </c>
      <c r="F632" t="s">
        <v>354</v>
      </c>
      <c r="G632">
        <v>784</v>
      </c>
      <c r="H632" t="s">
        <v>285</v>
      </c>
      <c r="I632" t="s">
        <v>286</v>
      </c>
      <c r="J632" t="s">
        <v>44</v>
      </c>
      <c r="K632" t="s">
        <v>45</v>
      </c>
      <c r="L632">
        <v>0</v>
      </c>
      <c r="M632" t="s">
        <v>46</v>
      </c>
      <c r="N632" t="s">
        <v>47</v>
      </c>
      <c r="O632">
        <v>0</v>
      </c>
      <c r="P632" t="s">
        <v>46</v>
      </c>
      <c r="Q632" t="s">
        <v>47</v>
      </c>
      <c r="R632" t="s">
        <v>347</v>
      </c>
      <c r="S632" t="s">
        <v>49</v>
      </c>
      <c r="T632" t="b">
        <v>1</v>
      </c>
      <c r="U632" t="s">
        <v>50</v>
      </c>
      <c r="V632" t="s">
        <v>51</v>
      </c>
      <c r="W632">
        <v>4</v>
      </c>
      <c r="X632" t="b">
        <v>0</v>
      </c>
      <c r="Y632" t="s">
        <v>52</v>
      </c>
      <c r="Z632" t="s">
        <v>53</v>
      </c>
      <c r="AA632" t="s">
        <v>54</v>
      </c>
      <c r="AB632">
        <v>0</v>
      </c>
      <c r="AC632" t="s">
        <v>55</v>
      </c>
      <c r="AD632">
        <v>8</v>
      </c>
      <c r="AE632" t="s">
        <v>56</v>
      </c>
      <c r="AF632">
        <v>2687093.4279999998</v>
      </c>
      <c r="AG632" t="b">
        <v>1</v>
      </c>
      <c r="AH632">
        <v>-1</v>
      </c>
      <c r="AI632" t="s">
        <v>64</v>
      </c>
      <c r="AJ632">
        <v>0</v>
      </c>
      <c r="AK632" t="b">
        <v>0</v>
      </c>
      <c r="AL632" s="1">
        <v>2687093.4279999998</v>
      </c>
      <c r="AM632" t="b">
        <v>1</v>
      </c>
      <c r="AN632">
        <v>0</v>
      </c>
      <c r="AO632" t="b">
        <v>0</v>
      </c>
      <c r="AQ632">
        <v>52829324883.558998</v>
      </c>
      <c r="AR632">
        <v>52829324883.558998</v>
      </c>
      <c r="AS632">
        <v>6</v>
      </c>
      <c r="AT632" t="b">
        <v>0</v>
      </c>
      <c r="AU632" t="b">
        <v>1</v>
      </c>
      <c r="AV632" t="b">
        <v>1</v>
      </c>
      <c r="AW632" t="b">
        <v>1</v>
      </c>
      <c r="BC632" t="str">
        <f t="shared" si="9"/>
        <v>Outlier</v>
      </c>
    </row>
    <row r="633" spans="1:55" x14ac:dyDescent="0.2">
      <c r="A633" t="s">
        <v>39</v>
      </c>
      <c r="B633" t="s">
        <v>40</v>
      </c>
      <c r="C633">
        <v>20230101</v>
      </c>
      <c r="D633">
        <v>2023</v>
      </c>
      <c r="E633">
        <v>52</v>
      </c>
      <c r="F633" t="s">
        <v>354</v>
      </c>
      <c r="G633">
        <v>792</v>
      </c>
      <c r="H633" t="s">
        <v>287</v>
      </c>
      <c r="I633" t="s">
        <v>288</v>
      </c>
      <c r="J633" t="s">
        <v>44</v>
      </c>
      <c r="K633" t="s">
        <v>45</v>
      </c>
      <c r="L633">
        <v>0</v>
      </c>
      <c r="M633" t="s">
        <v>46</v>
      </c>
      <c r="N633" t="s">
        <v>47</v>
      </c>
      <c r="O633">
        <v>0</v>
      </c>
      <c r="P633" t="s">
        <v>46</v>
      </c>
      <c r="Q633" t="s">
        <v>47</v>
      </c>
      <c r="R633" t="s">
        <v>347</v>
      </c>
      <c r="S633" t="s">
        <v>49</v>
      </c>
      <c r="T633" t="b">
        <v>1</v>
      </c>
      <c r="U633" t="s">
        <v>50</v>
      </c>
      <c r="V633" t="s">
        <v>51</v>
      </c>
      <c r="W633">
        <v>4</v>
      </c>
      <c r="X633" t="b">
        <v>0</v>
      </c>
      <c r="Y633" t="s">
        <v>52</v>
      </c>
      <c r="Z633" t="s">
        <v>53</v>
      </c>
      <c r="AA633" t="s">
        <v>54</v>
      </c>
      <c r="AB633">
        <v>0</v>
      </c>
      <c r="AC633" t="s">
        <v>55</v>
      </c>
      <c r="AD633">
        <v>8</v>
      </c>
      <c r="AE633" t="s">
        <v>56</v>
      </c>
      <c r="AF633">
        <v>69168.577000000005</v>
      </c>
      <c r="AG633" t="b">
        <v>0</v>
      </c>
      <c r="AH633">
        <v>15</v>
      </c>
      <c r="AI633" t="s">
        <v>59</v>
      </c>
      <c r="AJ633">
        <v>69168577</v>
      </c>
      <c r="AK633" t="b">
        <v>0</v>
      </c>
      <c r="AM633" t="b">
        <v>0</v>
      </c>
      <c r="AN633">
        <v>0</v>
      </c>
      <c r="AO633" t="b">
        <v>0</v>
      </c>
      <c r="AQ633">
        <v>4329534058</v>
      </c>
      <c r="AR633">
        <v>4329534058</v>
      </c>
      <c r="AS633">
        <v>0</v>
      </c>
      <c r="AT633" t="b">
        <v>0</v>
      </c>
      <c r="AU633" t="b">
        <v>1</v>
      </c>
      <c r="AV633" t="b">
        <v>1</v>
      </c>
      <c r="AW633" t="b">
        <v>1</v>
      </c>
      <c r="BC633" t="str">
        <f t="shared" si="9"/>
        <v>Normal</v>
      </c>
    </row>
    <row r="634" spans="1:55" x14ac:dyDescent="0.2">
      <c r="A634" t="s">
        <v>39</v>
      </c>
      <c r="B634" t="s">
        <v>40</v>
      </c>
      <c r="C634">
        <v>20230101</v>
      </c>
      <c r="D634">
        <v>2023</v>
      </c>
      <c r="E634">
        <v>52</v>
      </c>
      <c r="F634" t="s">
        <v>354</v>
      </c>
      <c r="G634">
        <v>800</v>
      </c>
      <c r="H634" t="s">
        <v>289</v>
      </c>
      <c r="I634" t="s">
        <v>290</v>
      </c>
      <c r="J634" t="s">
        <v>44</v>
      </c>
      <c r="K634" t="s">
        <v>45</v>
      </c>
      <c r="L634">
        <v>0</v>
      </c>
      <c r="M634" t="s">
        <v>46</v>
      </c>
      <c r="N634" t="s">
        <v>47</v>
      </c>
      <c r="O634">
        <v>0</v>
      </c>
      <c r="P634" t="s">
        <v>46</v>
      </c>
      <c r="Q634" t="s">
        <v>47</v>
      </c>
      <c r="R634" t="s">
        <v>347</v>
      </c>
      <c r="S634" t="s">
        <v>49</v>
      </c>
      <c r="T634" t="b">
        <v>1</v>
      </c>
      <c r="U634" t="s">
        <v>50</v>
      </c>
      <c r="V634" t="s">
        <v>51</v>
      </c>
      <c r="W634">
        <v>4</v>
      </c>
      <c r="X634" t="b">
        <v>0</v>
      </c>
      <c r="Y634" t="s">
        <v>52</v>
      </c>
      <c r="Z634" t="s">
        <v>53</v>
      </c>
      <c r="AA634" t="s">
        <v>54</v>
      </c>
      <c r="AB634">
        <v>0</v>
      </c>
      <c r="AC634" t="s">
        <v>55</v>
      </c>
      <c r="AD634">
        <v>8</v>
      </c>
      <c r="AE634" t="s">
        <v>56</v>
      </c>
      <c r="AF634">
        <v>38678.872000000003</v>
      </c>
      <c r="AG634" t="b">
        <v>0</v>
      </c>
      <c r="AH634">
        <v>15</v>
      </c>
      <c r="AI634" t="s">
        <v>59</v>
      </c>
      <c r="AJ634">
        <v>38678872</v>
      </c>
      <c r="AK634" t="b">
        <v>0</v>
      </c>
      <c r="AL634">
        <v>36643.269999999997</v>
      </c>
      <c r="AM634" t="b">
        <v>0</v>
      </c>
      <c r="AN634">
        <v>0</v>
      </c>
      <c r="AO634" t="b">
        <v>0</v>
      </c>
      <c r="AQ634">
        <v>2228569033.9400001</v>
      </c>
      <c r="AR634">
        <v>2228569033.9400001</v>
      </c>
      <c r="AS634">
        <v>0</v>
      </c>
      <c r="AT634" t="b">
        <v>0</v>
      </c>
      <c r="AU634" t="b">
        <v>1</v>
      </c>
      <c r="AV634" t="b">
        <v>1</v>
      </c>
      <c r="AW634" t="b">
        <v>1</v>
      </c>
      <c r="BC634" t="str">
        <f t="shared" si="9"/>
        <v>Normal</v>
      </c>
    </row>
    <row r="635" spans="1:55" x14ac:dyDescent="0.2">
      <c r="A635" t="s">
        <v>39</v>
      </c>
      <c r="B635" t="s">
        <v>40</v>
      </c>
      <c r="C635">
        <v>20230101</v>
      </c>
      <c r="D635">
        <v>2023</v>
      </c>
      <c r="E635">
        <v>52</v>
      </c>
      <c r="F635" t="s">
        <v>354</v>
      </c>
      <c r="G635">
        <v>804</v>
      </c>
      <c r="H635" t="s">
        <v>291</v>
      </c>
      <c r="I635" t="s">
        <v>292</v>
      </c>
      <c r="J635" t="s">
        <v>44</v>
      </c>
      <c r="K635" t="s">
        <v>45</v>
      </c>
      <c r="L635">
        <v>0</v>
      </c>
      <c r="M635" t="s">
        <v>46</v>
      </c>
      <c r="N635" t="s">
        <v>47</v>
      </c>
      <c r="O635">
        <v>0</v>
      </c>
      <c r="P635" t="s">
        <v>46</v>
      </c>
      <c r="Q635" t="s">
        <v>47</v>
      </c>
      <c r="R635" t="s">
        <v>347</v>
      </c>
      <c r="S635" t="s">
        <v>49</v>
      </c>
      <c r="T635" t="b">
        <v>1</v>
      </c>
      <c r="U635" t="s">
        <v>50</v>
      </c>
      <c r="V635" t="s">
        <v>51</v>
      </c>
      <c r="W635">
        <v>4</v>
      </c>
      <c r="X635" t="b">
        <v>0</v>
      </c>
      <c r="Y635" t="s">
        <v>52</v>
      </c>
      <c r="Z635" t="s">
        <v>53</v>
      </c>
      <c r="AA635" t="s">
        <v>54</v>
      </c>
      <c r="AB635">
        <v>0</v>
      </c>
      <c r="AC635" t="s">
        <v>55</v>
      </c>
      <c r="AD635">
        <v>8</v>
      </c>
      <c r="AE635" t="s">
        <v>56</v>
      </c>
      <c r="AF635">
        <v>39.652999999999999</v>
      </c>
      <c r="AG635" t="b">
        <v>0</v>
      </c>
      <c r="AH635">
        <v>15</v>
      </c>
      <c r="AI635" t="s">
        <v>59</v>
      </c>
      <c r="AJ635">
        <v>39652.5</v>
      </c>
      <c r="AK635" t="b">
        <v>0</v>
      </c>
      <c r="AL635">
        <v>39.652999999999999</v>
      </c>
      <c r="AM635" t="b">
        <v>0</v>
      </c>
      <c r="AN635">
        <v>0</v>
      </c>
      <c r="AO635" t="b">
        <v>0</v>
      </c>
      <c r="AQ635">
        <v>1489266.39</v>
      </c>
      <c r="AR635">
        <v>1489266.39</v>
      </c>
      <c r="AS635">
        <v>0</v>
      </c>
      <c r="AT635" t="b">
        <v>0</v>
      </c>
      <c r="AU635" t="b">
        <v>1</v>
      </c>
      <c r="AV635" t="b">
        <v>1</v>
      </c>
      <c r="AW635" t="b">
        <v>1</v>
      </c>
      <c r="BC635" t="str">
        <f t="shared" si="9"/>
        <v>Normal</v>
      </c>
    </row>
    <row r="636" spans="1:55" x14ac:dyDescent="0.2">
      <c r="A636" t="s">
        <v>39</v>
      </c>
      <c r="B636" t="s">
        <v>40</v>
      </c>
      <c r="C636">
        <v>20230101</v>
      </c>
      <c r="D636">
        <v>2023</v>
      </c>
      <c r="E636">
        <v>52</v>
      </c>
      <c r="F636" t="s">
        <v>354</v>
      </c>
      <c r="G636">
        <v>818</v>
      </c>
      <c r="H636" t="s">
        <v>293</v>
      </c>
      <c r="I636" t="s">
        <v>294</v>
      </c>
      <c r="J636" t="s">
        <v>44</v>
      </c>
      <c r="K636" t="s">
        <v>45</v>
      </c>
      <c r="L636">
        <v>0</v>
      </c>
      <c r="M636" t="s">
        <v>46</v>
      </c>
      <c r="N636" t="s">
        <v>47</v>
      </c>
      <c r="O636">
        <v>0</v>
      </c>
      <c r="P636" t="s">
        <v>46</v>
      </c>
      <c r="Q636" t="s">
        <v>47</v>
      </c>
      <c r="R636" t="s">
        <v>347</v>
      </c>
      <c r="S636" t="s">
        <v>49</v>
      </c>
      <c r="T636" t="b">
        <v>1</v>
      </c>
      <c r="U636" t="s">
        <v>50</v>
      </c>
      <c r="V636" t="s">
        <v>51</v>
      </c>
      <c r="W636">
        <v>4</v>
      </c>
      <c r="X636" t="b">
        <v>0</v>
      </c>
      <c r="Y636" t="s">
        <v>52</v>
      </c>
      <c r="Z636" t="s">
        <v>53</v>
      </c>
      <c r="AA636" t="s">
        <v>54</v>
      </c>
      <c r="AB636">
        <v>0</v>
      </c>
      <c r="AC636" t="s">
        <v>55</v>
      </c>
      <c r="AD636">
        <v>8</v>
      </c>
      <c r="AE636" t="s">
        <v>56</v>
      </c>
      <c r="AF636">
        <v>30216.953000000001</v>
      </c>
      <c r="AG636" t="b">
        <v>1</v>
      </c>
      <c r="AH636">
        <v>-1</v>
      </c>
      <c r="AI636" t="s">
        <v>64</v>
      </c>
      <c r="AJ636">
        <v>0</v>
      </c>
      <c r="AK636" t="b">
        <v>0</v>
      </c>
      <c r="AL636">
        <v>30216.953000000001</v>
      </c>
      <c r="AM636" t="b">
        <v>1</v>
      </c>
      <c r="AN636">
        <v>0</v>
      </c>
      <c r="AO636" t="b">
        <v>0</v>
      </c>
      <c r="AQ636">
        <v>1828383212.1389999</v>
      </c>
      <c r="AR636">
        <v>1828383212.1389999</v>
      </c>
      <c r="AS636">
        <v>6</v>
      </c>
      <c r="AT636" t="b">
        <v>0</v>
      </c>
      <c r="AU636" t="b">
        <v>1</v>
      </c>
      <c r="AV636" t="b">
        <v>1</v>
      </c>
      <c r="AW636" t="b">
        <v>1</v>
      </c>
      <c r="BC636" t="str">
        <f t="shared" si="9"/>
        <v>Normal</v>
      </c>
    </row>
    <row r="637" spans="1:55" x14ac:dyDescent="0.2">
      <c r="A637" t="s">
        <v>39</v>
      </c>
      <c r="B637" t="s">
        <v>40</v>
      </c>
      <c r="C637">
        <v>20230101</v>
      </c>
      <c r="D637">
        <v>2023</v>
      </c>
      <c r="E637">
        <v>52</v>
      </c>
      <c r="F637" t="s">
        <v>354</v>
      </c>
      <c r="G637">
        <v>826</v>
      </c>
      <c r="H637" t="s">
        <v>295</v>
      </c>
      <c r="I637" t="s">
        <v>296</v>
      </c>
      <c r="J637" t="s">
        <v>44</v>
      </c>
      <c r="K637" t="s">
        <v>45</v>
      </c>
      <c r="L637">
        <v>0</v>
      </c>
      <c r="M637" t="s">
        <v>46</v>
      </c>
      <c r="N637" t="s">
        <v>47</v>
      </c>
      <c r="O637">
        <v>0</v>
      </c>
      <c r="P637" t="s">
        <v>46</v>
      </c>
      <c r="Q637" t="s">
        <v>47</v>
      </c>
      <c r="R637" t="s">
        <v>347</v>
      </c>
      <c r="S637" t="s">
        <v>49</v>
      </c>
      <c r="T637" t="b">
        <v>1</v>
      </c>
      <c r="U637" t="s">
        <v>50</v>
      </c>
      <c r="V637" t="s">
        <v>51</v>
      </c>
      <c r="W637">
        <v>4</v>
      </c>
      <c r="X637" t="b">
        <v>0</v>
      </c>
      <c r="Y637" t="s">
        <v>52</v>
      </c>
      <c r="Z637" t="s">
        <v>53</v>
      </c>
      <c r="AA637" t="s">
        <v>54</v>
      </c>
      <c r="AB637">
        <v>0</v>
      </c>
      <c r="AC637" t="s">
        <v>55</v>
      </c>
      <c r="AD637">
        <v>8</v>
      </c>
      <c r="AE637" t="s">
        <v>56</v>
      </c>
      <c r="AF637">
        <v>1057373.311</v>
      </c>
      <c r="AG637" t="b">
        <v>1</v>
      </c>
      <c r="AH637">
        <v>-1</v>
      </c>
      <c r="AI637" t="s">
        <v>64</v>
      </c>
      <c r="AJ637">
        <v>0</v>
      </c>
      <c r="AK637" t="b">
        <v>0</v>
      </c>
      <c r="AL637" s="1">
        <v>1055429.4569999999</v>
      </c>
      <c r="AM637" t="b">
        <v>1</v>
      </c>
      <c r="AN637">
        <v>0</v>
      </c>
      <c r="AO637" t="b">
        <v>0</v>
      </c>
      <c r="AQ637">
        <v>65218437179.947998</v>
      </c>
      <c r="AR637">
        <v>65218437179.947998</v>
      </c>
      <c r="AS637">
        <v>6</v>
      </c>
      <c r="AT637" t="b">
        <v>0</v>
      </c>
      <c r="AU637" t="b">
        <v>1</v>
      </c>
      <c r="AV637" t="b">
        <v>1</v>
      </c>
      <c r="AW637" t="b">
        <v>1</v>
      </c>
      <c r="BC637" t="str">
        <f t="shared" si="9"/>
        <v>Outlier</v>
      </c>
    </row>
    <row r="638" spans="1:55" x14ac:dyDescent="0.2">
      <c r="A638" t="s">
        <v>39</v>
      </c>
      <c r="B638" t="s">
        <v>40</v>
      </c>
      <c r="C638">
        <v>20230101</v>
      </c>
      <c r="D638">
        <v>2023</v>
      </c>
      <c r="E638">
        <v>52</v>
      </c>
      <c r="F638" t="s">
        <v>354</v>
      </c>
      <c r="G638">
        <v>834</v>
      </c>
      <c r="H638" t="s">
        <v>297</v>
      </c>
      <c r="I638" t="s">
        <v>298</v>
      </c>
      <c r="J638" t="s">
        <v>44</v>
      </c>
      <c r="K638" t="s">
        <v>45</v>
      </c>
      <c r="L638">
        <v>0</v>
      </c>
      <c r="M638" t="s">
        <v>46</v>
      </c>
      <c r="N638" t="s">
        <v>47</v>
      </c>
      <c r="O638">
        <v>0</v>
      </c>
      <c r="P638" t="s">
        <v>46</v>
      </c>
      <c r="Q638" t="s">
        <v>47</v>
      </c>
      <c r="R638" t="s">
        <v>347</v>
      </c>
      <c r="S638" t="s">
        <v>49</v>
      </c>
      <c r="T638" t="b">
        <v>1</v>
      </c>
      <c r="U638" t="s">
        <v>50</v>
      </c>
      <c r="V638" t="s">
        <v>51</v>
      </c>
      <c r="W638">
        <v>4</v>
      </c>
      <c r="X638" t="b">
        <v>0</v>
      </c>
      <c r="Y638" t="s">
        <v>52</v>
      </c>
      <c r="Z638" t="s">
        <v>53</v>
      </c>
      <c r="AA638" t="s">
        <v>54</v>
      </c>
      <c r="AB638">
        <v>0</v>
      </c>
      <c r="AC638" t="s">
        <v>55</v>
      </c>
      <c r="AD638">
        <v>-1</v>
      </c>
      <c r="AE638" t="s">
        <v>64</v>
      </c>
      <c r="AF638">
        <v>0</v>
      </c>
      <c r="AG638" t="b">
        <v>0</v>
      </c>
      <c r="AH638">
        <v>15</v>
      </c>
      <c r="AI638" t="s">
        <v>59</v>
      </c>
      <c r="AJ638">
        <v>97723.46</v>
      </c>
      <c r="AK638" t="b">
        <v>0</v>
      </c>
      <c r="AM638" t="b">
        <v>0</v>
      </c>
      <c r="AN638">
        <v>0</v>
      </c>
      <c r="AO638" t="b">
        <v>0</v>
      </c>
      <c r="AQ638">
        <v>3058855241.29</v>
      </c>
      <c r="AR638">
        <v>3058855241.29</v>
      </c>
      <c r="AS638">
        <v>0</v>
      </c>
      <c r="AT638" t="b">
        <v>0</v>
      </c>
      <c r="AU638" t="b">
        <v>1</v>
      </c>
      <c r="AV638" t="b">
        <v>1</v>
      </c>
      <c r="AW638" t="b">
        <v>1</v>
      </c>
      <c r="BC638" t="str">
        <f t="shared" si="9"/>
        <v>Normal</v>
      </c>
    </row>
    <row r="639" spans="1:55" x14ac:dyDescent="0.2">
      <c r="A639" t="s">
        <v>39</v>
      </c>
      <c r="B639" t="s">
        <v>40</v>
      </c>
      <c r="C639">
        <v>20230101</v>
      </c>
      <c r="D639">
        <v>2023</v>
      </c>
      <c r="E639">
        <v>52</v>
      </c>
      <c r="F639" t="s">
        <v>354</v>
      </c>
      <c r="G639">
        <v>842</v>
      </c>
      <c r="H639" t="s">
        <v>299</v>
      </c>
      <c r="I639" t="s">
        <v>299</v>
      </c>
      <c r="J639" t="s">
        <v>44</v>
      </c>
      <c r="K639" t="s">
        <v>45</v>
      </c>
      <c r="L639">
        <v>0</v>
      </c>
      <c r="M639" t="s">
        <v>46</v>
      </c>
      <c r="N639" t="s">
        <v>47</v>
      </c>
      <c r="O639">
        <v>0</v>
      </c>
      <c r="P639" t="s">
        <v>46</v>
      </c>
      <c r="Q639" t="s">
        <v>47</v>
      </c>
      <c r="R639" t="s">
        <v>347</v>
      </c>
      <c r="S639" t="s">
        <v>49</v>
      </c>
      <c r="T639" t="b">
        <v>1</v>
      </c>
      <c r="U639" t="s">
        <v>50</v>
      </c>
      <c r="V639" t="s">
        <v>51</v>
      </c>
      <c r="W639">
        <v>4</v>
      </c>
      <c r="X639" t="b">
        <v>0</v>
      </c>
      <c r="Y639" t="s">
        <v>52</v>
      </c>
      <c r="Z639" t="s">
        <v>53</v>
      </c>
      <c r="AA639" t="s">
        <v>54</v>
      </c>
      <c r="AB639">
        <v>0</v>
      </c>
      <c r="AC639" t="s">
        <v>55</v>
      </c>
      <c r="AD639">
        <v>8</v>
      </c>
      <c r="AE639" t="s">
        <v>56</v>
      </c>
      <c r="AF639">
        <v>417701.30599999998</v>
      </c>
      <c r="AG639" t="b">
        <v>1</v>
      </c>
      <c r="AH639">
        <v>-1</v>
      </c>
      <c r="AI639" t="s">
        <v>64</v>
      </c>
      <c r="AJ639">
        <v>0</v>
      </c>
      <c r="AK639" t="b">
        <v>0</v>
      </c>
      <c r="AL639" s="1">
        <v>417701.29599999997</v>
      </c>
      <c r="AM639" t="b">
        <v>1</v>
      </c>
      <c r="AN639">
        <v>0</v>
      </c>
      <c r="AO639" t="b">
        <v>0</v>
      </c>
      <c r="AQ639">
        <v>26042732408</v>
      </c>
      <c r="AR639">
        <v>26042732408</v>
      </c>
      <c r="AS639">
        <v>6</v>
      </c>
      <c r="AT639" t="b">
        <v>0</v>
      </c>
      <c r="AU639" t="b">
        <v>1</v>
      </c>
      <c r="AV639" t="b">
        <v>1</v>
      </c>
      <c r="AW639" t="b">
        <v>1</v>
      </c>
      <c r="BC639" t="str">
        <f t="shared" si="9"/>
        <v>Outlier</v>
      </c>
    </row>
    <row r="640" spans="1:55" x14ac:dyDescent="0.2">
      <c r="A640" t="s">
        <v>39</v>
      </c>
      <c r="B640" t="s">
        <v>40</v>
      </c>
      <c r="C640">
        <v>20230101</v>
      </c>
      <c r="D640">
        <v>2023</v>
      </c>
      <c r="E640">
        <v>52</v>
      </c>
      <c r="F640" t="s">
        <v>354</v>
      </c>
      <c r="G640">
        <v>854</v>
      </c>
      <c r="H640" t="s">
        <v>300</v>
      </c>
      <c r="I640" t="s">
        <v>301</v>
      </c>
      <c r="J640" t="s">
        <v>44</v>
      </c>
      <c r="K640" t="s">
        <v>45</v>
      </c>
      <c r="L640">
        <v>0</v>
      </c>
      <c r="M640" t="s">
        <v>46</v>
      </c>
      <c r="N640" t="s">
        <v>47</v>
      </c>
      <c r="O640">
        <v>0</v>
      </c>
      <c r="P640" t="s">
        <v>46</v>
      </c>
      <c r="Q640" t="s">
        <v>47</v>
      </c>
      <c r="R640" t="s">
        <v>347</v>
      </c>
      <c r="S640" t="s">
        <v>49</v>
      </c>
      <c r="T640" t="b">
        <v>1</v>
      </c>
      <c r="U640" t="s">
        <v>50</v>
      </c>
      <c r="V640" t="s">
        <v>51</v>
      </c>
      <c r="W640">
        <v>4</v>
      </c>
      <c r="X640" t="b">
        <v>0</v>
      </c>
      <c r="Y640" t="s">
        <v>52</v>
      </c>
      <c r="Z640" t="s">
        <v>53</v>
      </c>
      <c r="AA640" t="s">
        <v>54</v>
      </c>
      <c r="AB640">
        <v>0</v>
      </c>
      <c r="AC640" t="s">
        <v>55</v>
      </c>
      <c r="AD640">
        <v>8</v>
      </c>
      <c r="AE640" t="s">
        <v>56</v>
      </c>
      <c r="AF640">
        <v>57238</v>
      </c>
      <c r="AG640" t="b">
        <v>0</v>
      </c>
      <c r="AH640">
        <v>8</v>
      </c>
      <c r="AI640" t="s">
        <v>56</v>
      </c>
      <c r="AJ640">
        <v>57238</v>
      </c>
      <c r="AK640" t="b">
        <v>0</v>
      </c>
      <c r="AL640">
        <v>57238</v>
      </c>
      <c r="AM640" t="b">
        <v>0</v>
      </c>
      <c r="AN640">
        <v>0</v>
      </c>
      <c r="AO640" t="b">
        <v>0</v>
      </c>
      <c r="AQ640">
        <v>3511999006.7839999</v>
      </c>
      <c r="AR640">
        <v>3511999006.7839999</v>
      </c>
      <c r="AS640">
        <v>0</v>
      </c>
      <c r="AT640" t="b">
        <v>0</v>
      </c>
      <c r="AU640" t="b">
        <v>1</v>
      </c>
      <c r="AV640" t="b">
        <v>1</v>
      </c>
      <c r="AW640" t="b">
        <v>1</v>
      </c>
      <c r="BC640" t="str">
        <f t="shared" si="9"/>
        <v>Normal</v>
      </c>
    </row>
    <row r="641" spans="1:55" x14ac:dyDescent="0.2">
      <c r="A641" t="s">
        <v>39</v>
      </c>
      <c r="B641" t="s">
        <v>40</v>
      </c>
      <c r="C641">
        <v>20230101</v>
      </c>
      <c r="D641">
        <v>2023</v>
      </c>
      <c r="E641">
        <v>52</v>
      </c>
      <c r="F641" t="s">
        <v>354</v>
      </c>
      <c r="G641">
        <v>858</v>
      </c>
      <c r="H641" t="s">
        <v>302</v>
      </c>
      <c r="I641" t="s">
        <v>303</v>
      </c>
      <c r="J641" t="s">
        <v>44</v>
      </c>
      <c r="K641" t="s">
        <v>45</v>
      </c>
      <c r="L641">
        <v>0</v>
      </c>
      <c r="M641" t="s">
        <v>46</v>
      </c>
      <c r="N641" t="s">
        <v>47</v>
      </c>
      <c r="O641">
        <v>0</v>
      </c>
      <c r="P641" t="s">
        <v>46</v>
      </c>
      <c r="Q641" t="s">
        <v>47</v>
      </c>
      <c r="R641" t="s">
        <v>347</v>
      </c>
      <c r="S641" t="s">
        <v>49</v>
      </c>
      <c r="T641" t="b">
        <v>1</v>
      </c>
      <c r="U641" t="s">
        <v>50</v>
      </c>
      <c r="V641" t="s">
        <v>51</v>
      </c>
      <c r="W641">
        <v>4</v>
      </c>
      <c r="X641" t="b">
        <v>0</v>
      </c>
      <c r="Y641" t="s">
        <v>52</v>
      </c>
      <c r="Z641" t="s">
        <v>53</v>
      </c>
      <c r="AA641" t="s">
        <v>54</v>
      </c>
      <c r="AB641">
        <v>0</v>
      </c>
      <c r="AC641" t="s">
        <v>55</v>
      </c>
      <c r="AD641">
        <v>8</v>
      </c>
      <c r="AE641" t="s">
        <v>56</v>
      </c>
      <c r="AF641">
        <v>8.9209999999999994</v>
      </c>
      <c r="AG641" t="b">
        <v>0</v>
      </c>
      <c r="AH641">
        <v>8</v>
      </c>
      <c r="AI641" t="s">
        <v>56</v>
      </c>
      <c r="AJ641">
        <v>8.9209999999999994</v>
      </c>
      <c r="AK641" t="b">
        <v>0</v>
      </c>
      <c r="AL641">
        <v>8.9209999999999994</v>
      </c>
      <c r="AM641" t="b">
        <v>0</v>
      </c>
      <c r="AN641">
        <v>0</v>
      </c>
      <c r="AO641" t="b">
        <v>0</v>
      </c>
      <c r="AQ641">
        <v>545232</v>
      </c>
      <c r="AR641">
        <v>545232</v>
      </c>
      <c r="AS641">
        <v>0</v>
      </c>
      <c r="AT641" t="b">
        <v>0</v>
      </c>
      <c r="AU641" t="b">
        <v>1</v>
      </c>
      <c r="AV641" t="b">
        <v>1</v>
      </c>
      <c r="AW641" t="b">
        <v>1</v>
      </c>
      <c r="BC641" t="str">
        <f t="shared" si="9"/>
        <v>Normal</v>
      </c>
    </row>
    <row r="642" spans="1:55" x14ac:dyDescent="0.2">
      <c r="A642" t="s">
        <v>39</v>
      </c>
      <c r="B642" t="s">
        <v>40</v>
      </c>
      <c r="C642">
        <v>20230101</v>
      </c>
      <c r="D642">
        <v>2023</v>
      </c>
      <c r="E642">
        <v>52</v>
      </c>
      <c r="F642" t="s">
        <v>354</v>
      </c>
      <c r="G642">
        <v>860</v>
      </c>
      <c r="H642" t="s">
        <v>304</v>
      </c>
      <c r="I642" t="s">
        <v>305</v>
      </c>
      <c r="J642" t="s">
        <v>44</v>
      </c>
      <c r="K642" t="s">
        <v>45</v>
      </c>
      <c r="L642">
        <v>0</v>
      </c>
      <c r="M642" t="s">
        <v>46</v>
      </c>
      <c r="N642" t="s">
        <v>47</v>
      </c>
      <c r="O642">
        <v>0</v>
      </c>
      <c r="P642" t="s">
        <v>46</v>
      </c>
      <c r="Q642" t="s">
        <v>47</v>
      </c>
      <c r="R642" t="s">
        <v>347</v>
      </c>
      <c r="S642" t="s">
        <v>49</v>
      </c>
      <c r="T642" t="b">
        <v>1</v>
      </c>
      <c r="U642" t="s">
        <v>50</v>
      </c>
      <c r="V642" t="s">
        <v>51</v>
      </c>
      <c r="W642">
        <v>4</v>
      </c>
      <c r="X642" t="b">
        <v>0</v>
      </c>
      <c r="Y642" t="s">
        <v>52</v>
      </c>
      <c r="Z642" t="s">
        <v>53</v>
      </c>
      <c r="AA642" t="s">
        <v>54</v>
      </c>
      <c r="AB642">
        <v>0</v>
      </c>
      <c r="AC642" t="s">
        <v>55</v>
      </c>
      <c r="AD642">
        <v>8</v>
      </c>
      <c r="AE642" t="s">
        <v>56</v>
      </c>
      <c r="AF642">
        <v>130000</v>
      </c>
      <c r="AG642" t="b">
        <v>0</v>
      </c>
      <c r="AH642">
        <v>21</v>
      </c>
      <c r="AI642" t="s">
        <v>306</v>
      </c>
      <c r="AJ642">
        <v>130</v>
      </c>
      <c r="AK642" t="b">
        <v>0</v>
      </c>
      <c r="AL642" s="1">
        <v>130000</v>
      </c>
      <c r="AM642" t="b">
        <v>0</v>
      </c>
      <c r="AN642">
        <v>0</v>
      </c>
      <c r="AO642" t="b">
        <v>0</v>
      </c>
      <c r="AQ642">
        <v>8153800000</v>
      </c>
      <c r="AR642">
        <v>8153800000</v>
      </c>
      <c r="AS642">
        <v>0</v>
      </c>
      <c r="AT642" t="b">
        <v>0</v>
      </c>
      <c r="AU642" t="b">
        <v>1</v>
      </c>
      <c r="AV642" t="b">
        <v>1</v>
      </c>
      <c r="AW642" t="b">
        <v>1</v>
      </c>
      <c r="BC642" t="str">
        <f t="shared" si="9"/>
        <v>Outlier</v>
      </c>
    </row>
    <row r="643" spans="1:55" x14ac:dyDescent="0.2">
      <c r="A643" t="s">
        <v>39</v>
      </c>
      <c r="B643" t="s">
        <v>40</v>
      </c>
      <c r="C643">
        <v>20230101</v>
      </c>
      <c r="D643">
        <v>2023</v>
      </c>
      <c r="E643">
        <v>52</v>
      </c>
      <c r="F643" t="s">
        <v>354</v>
      </c>
      <c r="G643">
        <v>894</v>
      </c>
      <c r="H643" t="s">
        <v>307</v>
      </c>
      <c r="I643" t="s">
        <v>308</v>
      </c>
      <c r="J643" t="s">
        <v>44</v>
      </c>
      <c r="K643" t="s">
        <v>45</v>
      </c>
      <c r="L643">
        <v>0</v>
      </c>
      <c r="M643" t="s">
        <v>46</v>
      </c>
      <c r="N643" t="s">
        <v>47</v>
      </c>
      <c r="O643">
        <v>0</v>
      </c>
      <c r="P643" t="s">
        <v>46</v>
      </c>
      <c r="Q643" t="s">
        <v>47</v>
      </c>
      <c r="R643" t="s">
        <v>347</v>
      </c>
      <c r="S643" t="s">
        <v>49</v>
      </c>
      <c r="T643" t="b">
        <v>1</v>
      </c>
      <c r="U643" t="s">
        <v>50</v>
      </c>
      <c r="V643" t="s">
        <v>51</v>
      </c>
      <c r="W643">
        <v>4</v>
      </c>
      <c r="X643" t="b">
        <v>0</v>
      </c>
      <c r="Y643" t="s">
        <v>52</v>
      </c>
      <c r="Z643" t="s">
        <v>53</v>
      </c>
      <c r="AA643" t="s">
        <v>54</v>
      </c>
      <c r="AB643">
        <v>0</v>
      </c>
      <c r="AC643" t="s">
        <v>55</v>
      </c>
      <c r="AD643">
        <v>-1</v>
      </c>
      <c r="AE643" t="s">
        <v>64</v>
      </c>
      <c r="AF643">
        <v>0</v>
      </c>
      <c r="AG643" t="b">
        <v>0</v>
      </c>
      <c r="AH643">
        <v>-1</v>
      </c>
      <c r="AI643" t="s">
        <v>64</v>
      </c>
      <c r="AJ643">
        <v>0</v>
      </c>
      <c r="AK643" t="b">
        <v>0</v>
      </c>
      <c r="AM643" t="b">
        <v>0</v>
      </c>
      <c r="AN643">
        <v>0</v>
      </c>
      <c r="AO643" t="b">
        <v>0</v>
      </c>
      <c r="AQ643">
        <v>45879112.572999999</v>
      </c>
      <c r="AR643">
        <v>45879112.572999999</v>
      </c>
      <c r="AS643">
        <v>0</v>
      </c>
      <c r="AT643" t="b">
        <v>0</v>
      </c>
      <c r="AU643" t="b">
        <v>1</v>
      </c>
      <c r="AV643" t="b">
        <v>1</v>
      </c>
      <c r="AW643" t="b">
        <v>1</v>
      </c>
      <c r="BC643" t="str">
        <f t="shared" ref="BC643:BC706" si="10">IF(OR(AL643&lt;$BA$2,AL643&gt;$BB$2),"Outlier","Normal")</f>
        <v>Normal</v>
      </c>
    </row>
    <row r="644" spans="1:55" x14ac:dyDescent="0.2">
      <c r="A644" t="s">
        <v>39</v>
      </c>
      <c r="B644" t="s">
        <v>40</v>
      </c>
      <c r="C644">
        <v>20240101</v>
      </c>
      <c r="D644">
        <v>2024</v>
      </c>
      <c r="E644">
        <v>52</v>
      </c>
      <c r="F644" t="s">
        <v>357</v>
      </c>
      <c r="G644">
        <v>24</v>
      </c>
      <c r="H644" t="s">
        <v>334</v>
      </c>
      <c r="I644" t="s">
        <v>335</v>
      </c>
      <c r="J644" t="s">
        <v>44</v>
      </c>
      <c r="K644" t="s">
        <v>45</v>
      </c>
      <c r="L644">
        <v>0</v>
      </c>
      <c r="M644" t="s">
        <v>46</v>
      </c>
      <c r="N644" t="s">
        <v>47</v>
      </c>
      <c r="O644">
        <v>0</v>
      </c>
      <c r="P644" t="s">
        <v>46</v>
      </c>
      <c r="Q644" t="s">
        <v>47</v>
      </c>
      <c r="R644" t="s">
        <v>347</v>
      </c>
      <c r="S644" t="s">
        <v>49</v>
      </c>
      <c r="T644" t="b">
        <v>1</v>
      </c>
      <c r="U644" t="s">
        <v>50</v>
      </c>
      <c r="V644" t="s">
        <v>51</v>
      </c>
      <c r="W644">
        <v>4</v>
      </c>
      <c r="X644" t="b">
        <v>0</v>
      </c>
      <c r="Y644" t="s">
        <v>52</v>
      </c>
      <c r="Z644" t="s">
        <v>53</v>
      </c>
      <c r="AA644" t="s">
        <v>54</v>
      </c>
      <c r="AB644">
        <v>0</v>
      </c>
      <c r="AC644" t="s">
        <v>55</v>
      </c>
      <c r="AD644">
        <v>-1</v>
      </c>
      <c r="AE644" t="s">
        <v>64</v>
      </c>
      <c r="AF644">
        <v>0</v>
      </c>
      <c r="AG644" t="b">
        <v>0</v>
      </c>
      <c r="AH644">
        <v>-1</v>
      </c>
      <c r="AI644" t="s">
        <v>64</v>
      </c>
      <c r="AJ644">
        <v>0</v>
      </c>
      <c r="AK644" t="b">
        <v>0</v>
      </c>
      <c r="AM644" t="b">
        <v>0</v>
      </c>
      <c r="AN644">
        <v>0</v>
      </c>
      <c r="AO644" t="b">
        <v>0</v>
      </c>
      <c r="AQ644">
        <v>2776441.81</v>
      </c>
      <c r="AR644">
        <v>2776441.81</v>
      </c>
      <c r="AS644">
        <v>0</v>
      </c>
      <c r="AT644" t="b">
        <v>0</v>
      </c>
      <c r="AU644" t="b">
        <v>1</v>
      </c>
      <c r="AV644" t="b">
        <v>1</v>
      </c>
      <c r="AW644" t="b">
        <v>1</v>
      </c>
      <c r="BC644" t="str">
        <f t="shared" si="10"/>
        <v>Normal</v>
      </c>
    </row>
    <row r="645" spans="1:55" x14ac:dyDescent="0.2">
      <c r="A645" t="s">
        <v>39</v>
      </c>
      <c r="B645" t="s">
        <v>40</v>
      </c>
      <c r="C645">
        <v>20240101</v>
      </c>
      <c r="D645">
        <v>2024</v>
      </c>
      <c r="E645">
        <v>52</v>
      </c>
      <c r="F645" t="s">
        <v>357</v>
      </c>
      <c r="G645">
        <v>31</v>
      </c>
      <c r="H645" t="s">
        <v>57</v>
      </c>
      <c r="I645" t="s">
        <v>58</v>
      </c>
      <c r="J645" t="s">
        <v>44</v>
      </c>
      <c r="K645" t="s">
        <v>45</v>
      </c>
      <c r="L645">
        <v>0</v>
      </c>
      <c r="M645" t="s">
        <v>46</v>
      </c>
      <c r="N645" t="s">
        <v>47</v>
      </c>
      <c r="O645">
        <v>0</v>
      </c>
      <c r="P645" t="s">
        <v>46</v>
      </c>
      <c r="Q645" t="s">
        <v>47</v>
      </c>
      <c r="R645" t="s">
        <v>347</v>
      </c>
      <c r="S645" t="s">
        <v>49</v>
      </c>
      <c r="T645" t="b">
        <v>1</v>
      </c>
      <c r="U645" t="s">
        <v>50</v>
      </c>
      <c r="V645" t="s">
        <v>51</v>
      </c>
      <c r="W645">
        <v>4</v>
      </c>
      <c r="X645" t="b">
        <v>0</v>
      </c>
      <c r="Y645" t="s">
        <v>52</v>
      </c>
      <c r="Z645" t="s">
        <v>53</v>
      </c>
      <c r="AA645" t="s">
        <v>54</v>
      </c>
      <c r="AB645">
        <v>0</v>
      </c>
      <c r="AC645" t="s">
        <v>55</v>
      </c>
      <c r="AD645">
        <v>8</v>
      </c>
      <c r="AE645" t="s">
        <v>56</v>
      </c>
      <c r="AF645">
        <v>4272.3900000000003</v>
      </c>
      <c r="AG645" t="b">
        <v>0</v>
      </c>
      <c r="AH645">
        <v>15</v>
      </c>
      <c r="AI645" t="s">
        <v>59</v>
      </c>
      <c r="AJ645">
        <v>4272390</v>
      </c>
      <c r="AK645" t="b">
        <v>0</v>
      </c>
      <c r="AL645">
        <v>4272.3900000000003</v>
      </c>
      <c r="AM645" t="b">
        <v>0</v>
      </c>
      <c r="AN645">
        <v>0</v>
      </c>
      <c r="AO645" t="b">
        <v>0</v>
      </c>
      <c r="AQ645">
        <v>211908629.62</v>
      </c>
      <c r="AR645">
        <v>211908629.62</v>
      </c>
      <c r="AS645">
        <v>0</v>
      </c>
      <c r="AT645" t="b">
        <v>0</v>
      </c>
      <c r="AU645" t="b">
        <v>1</v>
      </c>
      <c r="AV645" t="b">
        <v>1</v>
      </c>
      <c r="AW645" t="b">
        <v>1</v>
      </c>
      <c r="BC645" t="str">
        <f t="shared" si="10"/>
        <v>Normal</v>
      </c>
    </row>
    <row r="646" spans="1:55" x14ac:dyDescent="0.2">
      <c r="A646" t="s">
        <v>39</v>
      </c>
      <c r="B646" t="s">
        <v>40</v>
      </c>
      <c r="C646">
        <v>20240101</v>
      </c>
      <c r="D646">
        <v>2024</v>
      </c>
      <c r="E646">
        <v>52</v>
      </c>
      <c r="F646" t="s">
        <v>357</v>
      </c>
      <c r="G646">
        <v>32</v>
      </c>
      <c r="H646" t="s">
        <v>60</v>
      </c>
      <c r="I646" t="s">
        <v>61</v>
      </c>
      <c r="J646" t="s">
        <v>44</v>
      </c>
      <c r="K646" t="s">
        <v>45</v>
      </c>
      <c r="L646">
        <v>0</v>
      </c>
      <c r="M646" t="s">
        <v>46</v>
      </c>
      <c r="N646" t="s">
        <v>47</v>
      </c>
      <c r="O646">
        <v>0</v>
      </c>
      <c r="P646" t="s">
        <v>46</v>
      </c>
      <c r="Q646" t="s">
        <v>47</v>
      </c>
      <c r="R646" t="s">
        <v>347</v>
      </c>
      <c r="S646" t="s">
        <v>49</v>
      </c>
      <c r="T646" t="b">
        <v>1</v>
      </c>
      <c r="U646" t="s">
        <v>50</v>
      </c>
      <c r="V646" t="s">
        <v>51</v>
      </c>
      <c r="W646">
        <v>4</v>
      </c>
      <c r="X646" t="b">
        <v>0</v>
      </c>
      <c r="Y646" t="s">
        <v>52</v>
      </c>
      <c r="Z646" t="s">
        <v>53</v>
      </c>
      <c r="AA646" t="s">
        <v>54</v>
      </c>
      <c r="AB646">
        <v>0</v>
      </c>
      <c r="AC646" t="s">
        <v>55</v>
      </c>
      <c r="AD646">
        <v>8</v>
      </c>
      <c r="AE646" t="s">
        <v>56</v>
      </c>
      <c r="AF646">
        <v>165757.94</v>
      </c>
      <c r="AG646" t="b">
        <v>0</v>
      </c>
      <c r="AH646">
        <v>8</v>
      </c>
      <c r="AI646" t="s">
        <v>56</v>
      </c>
      <c r="AJ646">
        <v>165757.94</v>
      </c>
      <c r="AK646" t="b">
        <v>0</v>
      </c>
      <c r="AL646" s="1">
        <v>165757.94</v>
      </c>
      <c r="AM646" t="b">
        <v>0</v>
      </c>
      <c r="AN646">
        <v>0</v>
      </c>
      <c r="AO646" t="b">
        <v>0</v>
      </c>
      <c r="AQ646">
        <v>1628280075.6700001</v>
      </c>
      <c r="AR646">
        <v>1628280075.6700001</v>
      </c>
      <c r="AS646">
        <v>0</v>
      </c>
      <c r="AT646" t="b">
        <v>0</v>
      </c>
      <c r="AU646" t="b">
        <v>1</v>
      </c>
      <c r="AV646" t="b">
        <v>1</v>
      </c>
      <c r="AW646" t="b">
        <v>1</v>
      </c>
      <c r="BC646" t="str">
        <f t="shared" si="10"/>
        <v>Outlier</v>
      </c>
    </row>
    <row r="647" spans="1:55" x14ac:dyDescent="0.2">
      <c r="A647" t="s">
        <v>39</v>
      </c>
      <c r="B647" t="s">
        <v>40</v>
      </c>
      <c r="C647">
        <v>20240101</v>
      </c>
      <c r="D647">
        <v>2024</v>
      </c>
      <c r="E647">
        <v>52</v>
      </c>
      <c r="F647" t="s">
        <v>357</v>
      </c>
      <c r="G647">
        <v>36</v>
      </c>
      <c r="H647" t="s">
        <v>62</v>
      </c>
      <c r="I647" t="s">
        <v>63</v>
      </c>
      <c r="J647" t="s">
        <v>44</v>
      </c>
      <c r="K647" t="s">
        <v>45</v>
      </c>
      <c r="L647">
        <v>0</v>
      </c>
      <c r="M647" t="s">
        <v>46</v>
      </c>
      <c r="N647" t="s">
        <v>47</v>
      </c>
      <c r="O647">
        <v>0</v>
      </c>
      <c r="P647" t="s">
        <v>46</v>
      </c>
      <c r="Q647" t="s">
        <v>47</v>
      </c>
      <c r="R647" t="s">
        <v>347</v>
      </c>
      <c r="S647" t="s">
        <v>49</v>
      </c>
      <c r="T647" t="b">
        <v>1</v>
      </c>
      <c r="U647" t="s">
        <v>50</v>
      </c>
      <c r="V647" t="s">
        <v>51</v>
      </c>
      <c r="W647">
        <v>4</v>
      </c>
      <c r="X647" t="b">
        <v>0</v>
      </c>
      <c r="Y647" t="s">
        <v>52</v>
      </c>
      <c r="Z647" t="s">
        <v>53</v>
      </c>
      <c r="AA647" t="s">
        <v>54</v>
      </c>
      <c r="AB647">
        <v>0</v>
      </c>
      <c r="AC647" t="s">
        <v>55</v>
      </c>
      <c r="AD647">
        <v>8</v>
      </c>
      <c r="AE647" t="s">
        <v>56</v>
      </c>
      <c r="AF647">
        <v>320334.93</v>
      </c>
      <c r="AG647" t="b">
        <v>1</v>
      </c>
      <c r="AH647">
        <v>-1</v>
      </c>
      <c r="AI647" t="s">
        <v>64</v>
      </c>
      <c r="AJ647">
        <v>0</v>
      </c>
      <c r="AK647" t="b">
        <v>0</v>
      </c>
      <c r="AL647" s="1">
        <v>320334.93</v>
      </c>
      <c r="AM647" t="b">
        <v>1</v>
      </c>
      <c r="AN647">
        <v>384.23099999999999</v>
      </c>
      <c r="AO647" t="b">
        <v>0</v>
      </c>
      <c r="AQ647">
        <v>23554820702.974998</v>
      </c>
      <c r="AR647">
        <v>23554820702.974998</v>
      </c>
      <c r="AS647">
        <v>6</v>
      </c>
      <c r="AT647" t="b">
        <v>0</v>
      </c>
      <c r="AU647" t="b">
        <v>1</v>
      </c>
      <c r="AV647" t="b">
        <v>1</v>
      </c>
      <c r="AW647" t="b">
        <v>1</v>
      </c>
      <c r="BC647" t="str">
        <f t="shared" si="10"/>
        <v>Outlier</v>
      </c>
    </row>
    <row r="648" spans="1:55" x14ac:dyDescent="0.2">
      <c r="A648" t="s">
        <v>39</v>
      </c>
      <c r="B648" t="s">
        <v>40</v>
      </c>
      <c r="C648">
        <v>20240101</v>
      </c>
      <c r="D648">
        <v>2024</v>
      </c>
      <c r="E648">
        <v>52</v>
      </c>
      <c r="F648" t="s">
        <v>357</v>
      </c>
      <c r="G648">
        <v>40</v>
      </c>
      <c r="H648" t="s">
        <v>65</v>
      </c>
      <c r="I648" t="s">
        <v>66</v>
      </c>
      <c r="J648" t="s">
        <v>44</v>
      </c>
      <c r="K648" t="s">
        <v>45</v>
      </c>
      <c r="L648">
        <v>0</v>
      </c>
      <c r="M648" t="s">
        <v>46</v>
      </c>
      <c r="N648" t="s">
        <v>47</v>
      </c>
      <c r="O648">
        <v>0</v>
      </c>
      <c r="P648" t="s">
        <v>46</v>
      </c>
      <c r="Q648" t="s">
        <v>47</v>
      </c>
      <c r="R648" t="s">
        <v>347</v>
      </c>
      <c r="S648" t="s">
        <v>49</v>
      </c>
      <c r="T648" t="b">
        <v>1</v>
      </c>
      <c r="U648" t="s">
        <v>50</v>
      </c>
      <c r="V648" t="s">
        <v>51</v>
      </c>
      <c r="W648">
        <v>4</v>
      </c>
      <c r="X648" t="b">
        <v>0</v>
      </c>
      <c r="Y648" t="s">
        <v>52</v>
      </c>
      <c r="Z648" t="s">
        <v>53</v>
      </c>
      <c r="AA648" t="s">
        <v>54</v>
      </c>
      <c r="AB648">
        <v>0</v>
      </c>
      <c r="AC648" t="s">
        <v>55</v>
      </c>
      <c r="AD648">
        <v>8</v>
      </c>
      <c r="AE648" t="s">
        <v>56</v>
      </c>
      <c r="AF648">
        <v>27707.931</v>
      </c>
      <c r="AG648" t="b">
        <v>1</v>
      </c>
      <c r="AH648">
        <v>-1</v>
      </c>
      <c r="AI648" t="s">
        <v>64</v>
      </c>
      <c r="AJ648">
        <v>0</v>
      </c>
      <c r="AK648" t="b">
        <v>0</v>
      </c>
      <c r="AL648">
        <v>27707.931</v>
      </c>
      <c r="AM648" t="b">
        <v>1</v>
      </c>
      <c r="AN648">
        <v>0</v>
      </c>
      <c r="AO648" t="b">
        <v>0</v>
      </c>
      <c r="AQ648">
        <v>2066798616.336</v>
      </c>
      <c r="AR648">
        <v>2066798616.336</v>
      </c>
      <c r="AS648">
        <v>6</v>
      </c>
      <c r="AT648" t="b">
        <v>0</v>
      </c>
      <c r="AU648" t="b">
        <v>1</v>
      </c>
      <c r="AV648" t="b">
        <v>1</v>
      </c>
      <c r="AW648" t="b">
        <v>1</v>
      </c>
      <c r="BC648" t="str">
        <f t="shared" si="10"/>
        <v>Normal</v>
      </c>
    </row>
    <row r="649" spans="1:55" x14ac:dyDescent="0.2">
      <c r="A649" t="s">
        <v>39</v>
      </c>
      <c r="B649" t="s">
        <v>40</v>
      </c>
      <c r="C649">
        <v>20240101</v>
      </c>
      <c r="D649">
        <v>2024</v>
      </c>
      <c r="E649">
        <v>52</v>
      </c>
      <c r="F649" t="s">
        <v>357</v>
      </c>
      <c r="G649">
        <v>44</v>
      </c>
      <c r="H649" t="s">
        <v>348</v>
      </c>
      <c r="I649" t="s">
        <v>349</v>
      </c>
      <c r="J649" t="s">
        <v>44</v>
      </c>
      <c r="K649" t="s">
        <v>45</v>
      </c>
      <c r="L649">
        <v>0</v>
      </c>
      <c r="M649" t="s">
        <v>46</v>
      </c>
      <c r="N649" t="s">
        <v>47</v>
      </c>
      <c r="O649">
        <v>0</v>
      </c>
      <c r="P649" t="s">
        <v>46</v>
      </c>
      <c r="Q649" t="s">
        <v>47</v>
      </c>
      <c r="R649" t="s">
        <v>347</v>
      </c>
      <c r="S649" t="s">
        <v>49</v>
      </c>
      <c r="T649" t="b">
        <v>1</v>
      </c>
      <c r="U649" t="s">
        <v>50</v>
      </c>
      <c r="V649" t="s">
        <v>51</v>
      </c>
      <c r="W649">
        <v>4</v>
      </c>
      <c r="X649" t="b">
        <v>0</v>
      </c>
      <c r="Y649" t="s">
        <v>52</v>
      </c>
      <c r="Z649" t="s">
        <v>53</v>
      </c>
      <c r="AA649" t="s">
        <v>54</v>
      </c>
      <c r="AB649">
        <v>0</v>
      </c>
      <c r="AC649" t="s">
        <v>55</v>
      </c>
      <c r="AD649">
        <v>-1</v>
      </c>
      <c r="AE649" t="s">
        <v>64</v>
      </c>
      <c r="AF649">
        <v>0</v>
      </c>
      <c r="AG649" t="b">
        <v>0</v>
      </c>
      <c r="AH649">
        <v>-1</v>
      </c>
      <c r="AI649" t="s">
        <v>64</v>
      </c>
      <c r="AJ649">
        <v>0</v>
      </c>
      <c r="AK649" t="b">
        <v>0</v>
      </c>
      <c r="AM649" t="b">
        <v>0</v>
      </c>
      <c r="AN649">
        <v>0</v>
      </c>
      <c r="AO649" t="b">
        <v>0</v>
      </c>
      <c r="AQ649">
        <v>25164</v>
      </c>
      <c r="AR649">
        <v>25164</v>
      </c>
      <c r="AS649">
        <v>0</v>
      </c>
      <c r="AT649" t="b">
        <v>0</v>
      </c>
      <c r="AU649" t="b">
        <v>1</v>
      </c>
      <c r="AV649" t="b">
        <v>1</v>
      </c>
      <c r="AW649" t="b">
        <v>1</v>
      </c>
      <c r="BC649" t="str">
        <f t="shared" si="10"/>
        <v>Normal</v>
      </c>
    </row>
    <row r="650" spans="1:55" x14ac:dyDescent="0.2">
      <c r="A650" t="s">
        <v>39</v>
      </c>
      <c r="B650" t="s">
        <v>40</v>
      </c>
      <c r="C650">
        <v>20240101</v>
      </c>
      <c r="D650">
        <v>2024</v>
      </c>
      <c r="E650">
        <v>52</v>
      </c>
      <c r="F650" t="s">
        <v>357</v>
      </c>
      <c r="G650">
        <v>48</v>
      </c>
      <c r="H650" t="s">
        <v>67</v>
      </c>
      <c r="I650" t="s">
        <v>68</v>
      </c>
      <c r="J650" t="s">
        <v>44</v>
      </c>
      <c r="K650" t="s">
        <v>45</v>
      </c>
      <c r="L650">
        <v>0</v>
      </c>
      <c r="M650" t="s">
        <v>46</v>
      </c>
      <c r="N650" t="s">
        <v>47</v>
      </c>
      <c r="O650">
        <v>0</v>
      </c>
      <c r="P650" t="s">
        <v>46</v>
      </c>
      <c r="Q650" t="s">
        <v>47</v>
      </c>
      <c r="R650" t="s">
        <v>347</v>
      </c>
      <c r="S650" t="s">
        <v>49</v>
      </c>
      <c r="T650" t="b">
        <v>1</v>
      </c>
      <c r="U650" t="s">
        <v>50</v>
      </c>
      <c r="V650" t="s">
        <v>51</v>
      </c>
      <c r="W650">
        <v>4</v>
      </c>
      <c r="X650" t="b">
        <v>0</v>
      </c>
      <c r="Y650" t="s">
        <v>52</v>
      </c>
      <c r="Z650" t="s">
        <v>53</v>
      </c>
      <c r="AA650" t="s">
        <v>54</v>
      </c>
      <c r="AB650">
        <v>0</v>
      </c>
      <c r="AC650" t="s">
        <v>55</v>
      </c>
      <c r="AD650">
        <v>8</v>
      </c>
      <c r="AE650" t="s">
        <v>56</v>
      </c>
      <c r="AF650">
        <v>2200.5349999999999</v>
      </c>
      <c r="AG650" t="b">
        <v>0</v>
      </c>
      <c r="AH650">
        <v>15</v>
      </c>
      <c r="AI650" t="s">
        <v>59</v>
      </c>
      <c r="AJ650">
        <v>2200534.7489999998</v>
      </c>
      <c r="AK650" t="b">
        <v>0</v>
      </c>
      <c r="AL650">
        <v>2200.223</v>
      </c>
      <c r="AM650" t="b">
        <v>0</v>
      </c>
      <c r="AN650">
        <v>0</v>
      </c>
      <c r="AO650" t="b">
        <v>0</v>
      </c>
      <c r="AQ650">
        <v>160264932.58500001</v>
      </c>
      <c r="AR650">
        <v>160264932.58500001</v>
      </c>
      <c r="AS650">
        <v>0</v>
      </c>
      <c r="AT650" t="b">
        <v>0</v>
      </c>
      <c r="AU650" t="b">
        <v>1</v>
      </c>
      <c r="AV650" t="b">
        <v>1</v>
      </c>
      <c r="AW650" t="b">
        <v>1</v>
      </c>
      <c r="BC650" t="str">
        <f t="shared" si="10"/>
        <v>Normal</v>
      </c>
    </row>
    <row r="651" spans="1:55" x14ac:dyDescent="0.2">
      <c r="A651" t="s">
        <v>39</v>
      </c>
      <c r="B651" t="s">
        <v>40</v>
      </c>
      <c r="C651">
        <v>20240101</v>
      </c>
      <c r="D651">
        <v>2024</v>
      </c>
      <c r="E651">
        <v>52</v>
      </c>
      <c r="F651" t="s">
        <v>357</v>
      </c>
      <c r="G651">
        <v>51</v>
      </c>
      <c r="H651" t="s">
        <v>69</v>
      </c>
      <c r="I651" t="s">
        <v>70</v>
      </c>
      <c r="J651" t="s">
        <v>44</v>
      </c>
      <c r="K651" t="s">
        <v>45</v>
      </c>
      <c r="L651">
        <v>0</v>
      </c>
      <c r="M651" t="s">
        <v>46</v>
      </c>
      <c r="N651" t="s">
        <v>47</v>
      </c>
      <c r="O651">
        <v>0</v>
      </c>
      <c r="P651" t="s">
        <v>46</v>
      </c>
      <c r="Q651" t="s">
        <v>47</v>
      </c>
      <c r="R651" t="s">
        <v>347</v>
      </c>
      <c r="S651" t="s">
        <v>49</v>
      </c>
      <c r="T651" t="b">
        <v>1</v>
      </c>
      <c r="U651" t="s">
        <v>50</v>
      </c>
      <c r="V651" t="s">
        <v>51</v>
      </c>
      <c r="W651">
        <v>4</v>
      </c>
      <c r="X651" t="b">
        <v>0</v>
      </c>
      <c r="Y651" t="s">
        <v>52</v>
      </c>
      <c r="Z651" t="s">
        <v>53</v>
      </c>
      <c r="AA651" t="s">
        <v>54</v>
      </c>
      <c r="AB651">
        <v>0</v>
      </c>
      <c r="AC651" t="s">
        <v>55</v>
      </c>
      <c r="AD651">
        <v>8</v>
      </c>
      <c r="AE651" t="s">
        <v>56</v>
      </c>
      <c r="AF651">
        <v>77566.850999999995</v>
      </c>
      <c r="AG651" t="b">
        <v>0</v>
      </c>
      <c r="AH651">
        <v>8</v>
      </c>
      <c r="AI651" t="s">
        <v>56</v>
      </c>
      <c r="AJ651">
        <v>77566.850999999995</v>
      </c>
      <c r="AK651" t="b">
        <v>0</v>
      </c>
      <c r="AL651" s="1">
        <v>77595.366999999998</v>
      </c>
      <c r="AM651" t="b">
        <v>0</v>
      </c>
      <c r="AN651">
        <v>0</v>
      </c>
      <c r="AO651" t="b">
        <v>0</v>
      </c>
      <c r="AQ651">
        <v>5605279374.8800001</v>
      </c>
      <c r="AR651">
        <v>5605279374.8800001</v>
      </c>
      <c r="AS651">
        <v>0</v>
      </c>
      <c r="AT651" t="b">
        <v>0</v>
      </c>
      <c r="AU651" t="b">
        <v>1</v>
      </c>
      <c r="AV651" t="b">
        <v>1</v>
      </c>
      <c r="AW651" t="b">
        <v>1</v>
      </c>
      <c r="BC651" t="str">
        <f t="shared" si="10"/>
        <v>Outlier</v>
      </c>
    </row>
    <row r="652" spans="1:55" x14ac:dyDescent="0.2">
      <c r="A652" t="s">
        <v>39</v>
      </c>
      <c r="B652" t="s">
        <v>40</v>
      </c>
      <c r="C652">
        <v>20240101</v>
      </c>
      <c r="D652">
        <v>2024</v>
      </c>
      <c r="E652">
        <v>52</v>
      </c>
      <c r="F652" t="s">
        <v>357</v>
      </c>
      <c r="G652">
        <v>52</v>
      </c>
      <c r="H652" t="s">
        <v>71</v>
      </c>
      <c r="I652" t="s">
        <v>72</v>
      </c>
      <c r="J652" t="s">
        <v>44</v>
      </c>
      <c r="K652" t="s">
        <v>45</v>
      </c>
      <c r="L652">
        <v>0</v>
      </c>
      <c r="M652" t="s">
        <v>46</v>
      </c>
      <c r="N652" t="s">
        <v>47</v>
      </c>
      <c r="O652">
        <v>0</v>
      </c>
      <c r="P652" t="s">
        <v>46</v>
      </c>
      <c r="Q652" t="s">
        <v>47</v>
      </c>
      <c r="R652" t="s">
        <v>347</v>
      </c>
      <c r="S652" t="s">
        <v>49</v>
      </c>
      <c r="T652" t="b">
        <v>1</v>
      </c>
      <c r="U652" t="s">
        <v>50</v>
      </c>
      <c r="V652" t="s">
        <v>51</v>
      </c>
      <c r="W652">
        <v>4</v>
      </c>
      <c r="X652" t="b">
        <v>0</v>
      </c>
      <c r="Y652" t="s">
        <v>52</v>
      </c>
      <c r="Z652" t="s">
        <v>53</v>
      </c>
      <c r="AA652" t="s">
        <v>54</v>
      </c>
      <c r="AB652">
        <v>0</v>
      </c>
      <c r="AC652" t="s">
        <v>55</v>
      </c>
      <c r="AD652">
        <v>8</v>
      </c>
      <c r="AE652" t="s">
        <v>56</v>
      </c>
      <c r="AF652">
        <v>10</v>
      </c>
      <c r="AG652" t="b">
        <v>0</v>
      </c>
      <c r="AH652">
        <v>8</v>
      </c>
      <c r="AI652" t="s">
        <v>56</v>
      </c>
      <c r="AJ652">
        <v>10</v>
      </c>
      <c r="AK652" t="b">
        <v>0</v>
      </c>
      <c r="AL652">
        <v>10</v>
      </c>
      <c r="AM652" t="b">
        <v>0</v>
      </c>
      <c r="AN652">
        <v>0</v>
      </c>
      <c r="AO652" t="b">
        <v>0</v>
      </c>
      <c r="AQ652">
        <v>4000</v>
      </c>
      <c r="AR652">
        <v>4000</v>
      </c>
      <c r="AS652">
        <v>0</v>
      </c>
      <c r="AT652" t="b">
        <v>0</v>
      </c>
      <c r="AU652" t="b">
        <v>1</v>
      </c>
      <c r="AV652" t="b">
        <v>1</v>
      </c>
      <c r="AW652" t="b">
        <v>1</v>
      </c>
      <c r="BC652" t="str">
        <f t="shared" si="10"/>
        <v>Normal</v>
      </c>
    </row>
    <row r="653" spans="1:55" x14ac:dyDescent="0.2">
      <c r="A653" t="s">
        <v>39</v>
      </c>
      <c r="B653" t="s">
        <v>40</v>
      </c>
      <c r="C653">
        <v>20240101</v>
      </c>
      <c r="D653">
        <v>2024</v>
      </c>
      <c r="E653">
        <v>52</v>
      </c>
      <c r="F653" t="s">
        <v>357</v>
      </c>
      <c r="G653">
        <v>56</v>
      </c>
      <c r="H653" t="s">
        <v>73</v>
      </c>
      <c r="I653" t="s">
        <v>74</v>
      </c>
      <c r="J653" t="s">
        <v>44</v>
      </c>
      <c r="K653" t="s">
        <v>45</v>
      </c>
      <c r="L653">
        <v>0</v>
      </c>
      <c r="M653" t="s">
        <v>46</v>
      </c>
      <c r="N653" t="s">
        <v>47</v>
      </c>
      <c r="O653">
        <v>0</v>
      </c>
      <c r="P653" t="s">
        <v>46</v>
      </c>
      <c r="Q653" t="s">
        <v>47</v>
      </c>
      <c r="R653" t="s">
        <v>347</v>
      </c>
      <c r="S653" t="s">
        <v>49</v>
      </c>
      <c r="T653" t="b">
        <v>1</v>
      </c>
      <c r="U653" t="s">
        <v>50</v>
      </c>
      <c r="V653" t="s">
        <v>51</v>
      </c>
      <c r="W653">
        <v>4</v>
      </c>
      <c r="X653" t="b">
        <v>0</v>
      </c>
      <c r="Y653" t="s">
        <v>52</v>
      </c>
      <c r="Z653" t="s">
        <v>53</v>
      </c>
      <c r="AA653" t="s">
        <v>54</v>
      </c>
      <c r="AB653">
        <v>0</v>
      </c>
      <c r="AC653" t="s">
        <v>55</v>
      </c>
      <c r="AD653">
        <v>-1</v>
      </c>
      <c r="AE653" t="s">
        <v>64</v>
      </c>
      <c r="AF653">
        <v>0</v>
      </c>
      <c r="AG653" t="b">
        <v>0</v>
      </c>
      <c r="AH653">
        <v>-1</v>
      </c>
      <c r="AI653" t="s">
        <v>64</v>
      </c>
      <c r="AJ653">
        <v>0</v>
      </c>
      <c r="AK653" t="b">
        <v>0</v>
      </c>
      <c r="AM653" t="b">
        <v>0</v>
      </c>
      <c r="AN653">
        <v>0</v>
      </c>
      <c r="AO653" t="b">
        <v>0</v>
      </c>
      <c r="AQ653">
        <v>1121414126.7190001</v>
      </c>
      <c r="AR653">
        <v>1121414126.7190001</v>
      </c>
      <c r="AS653">
        <v>0</v>
      </c>
      <c r="AT653" t="b">
        <v>0</v>
      </c>
      <c r="AU653" t="b">
        <v>1</v>
      </c>
      <c r="AV653" t="b">
        <v>1</v>
      </c>
      <c r="AW653" t="b">
        <v>1</v>
      </c>
      <c r="BC653" t="str">
        <f t="shared" si="10"/>
        <v>Normal</v>
      </c>
    </row>
    <row r="654" spans="1:55" x14ac:dyDescent="0.2">
      <c r="A654" t="s">
        <v>39</v>
      </c>
      <c r="B654" t="s">
        <v>40</v>
      </c>
      <c r="C654">
        <v>20240101</v>
      </c>
      <c r="D654">
        <v>2024</v>
      </c>
      <c r="E654">
        <v>52</v>
      </c>
      <c r="F654" t="s">
        <v>357</v>
      </c>
      <c r="G654">
        <v>68</v>
      </c>
      <c r="H654" t="s">
        <v>75</v>
      </c>
      <c r="I654" t="s">
        <v>76</v>
      </c>
      <c r="J654" t="s">
        <v>44</v>
      </c>
      <c r="K654" t="s">
        <v>45</v>
      </c>
      <c r="L654">
        <v>0</v>
      </c>
      <c r="M654" t="s">
        <v>46</v>
      </c>
      <c r="N654" t="s">
        <v>47</v>
      </c>
      <c r="O654">
        <v>0</v>
      </c>
      <c r="P654" t="s">
        <v>46</v>
      </c>
      <c r="Q654" t="s">
        <v>47</v>
      </c>
      <c r="R654" t="s">
        <v>347</v>
      </c>
      <c r="S654" t="s">
        <v>49</v>
      </c>
      <c r="T654" t="b">
        <v>1</v>
      </c>
      <c r="U654" t="s">
        <v>50</v>
      </c>
      <c r="V654" t="s">
        <v>51</v>
      </c>
      <c r="W654">
        <v>4</v>
      </c>
      <c r="X654" t="b">
        <v>0</v>
      </c>
      <c r="Y654" t="s">
        <v>52</v>
      </c>
      <c r="Z654" t="s">
        <v>53</v>
      </c>
      <c r="AA654" t="s">
        <v>54</v>
      </c>
      <c r="AB654">
        <v>0</v>
      </c>
      <c r="AC654" t="s">
        <v>55</v>
      </c>
      <c r="AD654">
        <v>8</v>
      </c>
      <c r="AE654" t="s">
        <v>56</v>
      </c>
      <c r="AF654">
        <v>9376.7800000000007</v>
      </c>
      <c r="AG654" t="b">
        <v>0</v>
      </c>
      <c r="AH654">
        <v>8</v>
      </c>
      <c r="AI654" t="s">
        <v>56</v>
      </c>
      <c r="AJ654">
        <v>9376.7800000000007</v>
      </c>
      <c r="AK654" t="b">
        <v>0</v>
      </c>
      <c r="AL654">
        <v>9376.7800000000007</v>
      </c>
      <c r="AM654" t="b">
        <v>0</v>
      </c>
      <c r="AN654">
        <v>10985.66</v>
      </c>
      <c r="AO654" t="b">
        <v>0</v>
      </c>
      <c r="AQ654">
        <v>686631195.89999998</v>
      </c>
      <c r="AR654">
        <v>686631195.89999998</v>
      </c>
      <c r="AS654">
        <v>0</v>
      </c>
      <c r="AT654" t="b">
        <v>0</v>
      </c>
      <c r="AU654" t="b">
        <v>1</v>
      </c>
      <c r="AV654" t="b">
        <v>1</v>
      </c>
      <c r="AW654" t="b">
        <v>1</v>
      </c>
      <c r="BC654" t="str">
        <f t="shared" si="10"/>
        <v>Normal</v>
      </c>
    </row>
    <row r="655" spans="1:55" x14ac:dyDescent="0.2">
      <c r="A655" t="s">
        <v>39</v>
      </c>
      <c r="B655" t="s">
        <v>40</v>
      </c>
      <c r="C655">
        <v>20240101</v>
      </c>
      <c r="D655">
        <v>2024</v>
      </c>
      <c r="E655">
        <v>52</v>
      </c>
      <c r="F655" t="s">
        <v>357</v>
      </c>
      <c r="G655">
        <v>70</v>
      </c>
      <c r="H655" t="s">
        <v>77</v>
      </c>
      <c r="I655" t="s">
        <v>78</v>
      </c>
      <c r="J655" t="s">
        <v>44</v>
      </c>
      <c r="K655" t="s">
        <v>45</v>
      </c>
      <c r="L655">
        <v>0</v>
      </c>
      <c r="M655" t="s">
        <v>46</v>
      </c>
      <c r="N655" t="s">
        <v>47</v>
      </c>
      <c r="O655">
        <v>0</v>
      </c>
      <c r="P655" t="s">
        <v>46</v>
      </c>
      <c r="Q655" t="s">
        <v>47</v>
      </c>
      <c r="R655" t="s">
        <v>347</v>
      </c>
      <c r="S655" t="s">
        <v>49</v>
      </c>
      <c r="T655" t="b">
        <v>1</v>
      </c>
      <c r="U655" t="s">
        <v>50</v>
      </c>
      <c r="V655" t="s">
        <v>51</v>
      </c>
      <c r="W655">
        <v>4</v>
      </c>
      <c r="X655" t="b">
        <v>0</v>
      </c>
      <c r="Y655" t="s">
        <v>52</v>
      </c>
      <c r="Z655" t="s">
        <v>53</v>
      </c>
      <c r="AA655" t="s">
        <v>54</v>
      </c>
      <c r="AB655">
        <v>0</v>
      </c>
      <c r="AC655" t="s">
        <v>55</v>
      </c>
      <c r="AD655">
        <v>8</v>
      </c>
      <c r="AE655" t="s">
        <v>56</v>
      </c>
      <c r="AF655">
        <v>18.66</v>
      </c>
      <c r="AG655" t="b">
        <v>0</v>
      </c>
      <c r="AH655">
        <v>8</v>
      </c>
      <c r="AI655" t="s">
        <v>56</v>
      </c>
      <c r="AJ655">
        <v>18.66</v>
      </c>
      <c r="AK655" t="b">
        <v>0</v>
      </c>
      <c r="AL655">
        <v>18.66</v>
      </c>
      <c r="AM655" t="b">
        <v>0</v>
      </c>
      <c r="AN655">
        <v>0</v>
      </c>
      <c r="AO655" t="b">
        <v>0</v>
      </c>
      <c r="AQ655">
        <v>883220.68099999998</v>
      </c>
      <c r="AR655">
        <v>883220.68099999998</v>
      </c>
      <c r="AS655">
        <v>0</v>
      </c>
      <c r="AT655" t="b">
        <v>0</v>
      </c>
      <c r="AU655" t="b">
        <v>1</v>
      </c>
      <c r="AV655" t="b">
        <v>1</v>
      </c>
      <c r="AW655" t="b">
        <v>1</v>
      </c>
      <c r="BC655" t="str">
        <f t="shared" si="10"/>
        <v>Normal</v>
      </c>
    </row>
    <row r="656" spans="1:55" x14ac:dyDescent="0.2">
      <c r="A656" t="s">
        <v>39</v>
      </c>
      <c r="B656" t="s">
        <v>40</v>
      </c>
      <c r="C656">
        <v>20240101</v>
      </c>
      <c r="D656">
        <v>2024</v>
      </c>
      <c r="E656">
        <v>52</v>
      </c>
      <c r="F656" t="s">
        <v>357</v>
      </c>
      <c r="G656">
        <v>76</v>
      </c>
      <c r="H656" t="s">
        <v>81</v>
      </c>
      <c r="I656" t="s">
        <v>82</v>
      </c>
      <c r="J656" t="s">
        <v>44</v>
      </c>
      <c r="K656" t="s">
        <v>45</v>
      </c>
      <c r="L656">
        <v>0</v>
      </c>
      <c r="M656" t="s">
        <v>46</v>
      </c>
      <c r="N656" t="s">
        <v>47</v>
      </c>
      <c r="O656">
        <v>0</v>
      </c>
      <c r="P656" t="s">
        <v>46</v>
      </c>
      <c r="Q656" t="s">
        <v>47</v>
      </c>
      <c r="R656" t="s">
        <v>347</v>
      </c>
      <c r="S656" t="s">
        <v>49</v>
      </c>
      <c r="T656" t="b">
        <v>1</v>
      </c>
      <c r="U656" t="s">
        <v>50</v>
      </c>
      <c r="V656" t="s">
        <v>51</v>
      </c>
      <c r="W656">
        <v>4</v>
      </c>
      <c r="X656" t="b">
        <v>0</v>
      </c>
      <c r="Y656" t="s">
        <v>52</v>
      </c>
      <c r="Z656" t="s">
        <v>53</v>
      </c>
      <c r="AA656" t="s">
        <v>54</v>
      </c>
      <c r="AB656">
        <v>0</v>
      </c>
      <c r="AC656" t="s">
        <v>55</v>
      </c>
      <c r="AD656">
        <v>-1</v>
      </c>
      <c r="AE656" t="s">
        <v>64</v>
      </c>
      <c r="AF656">
        <v>0</v>
      </c>
      <c r="AG656" t="b">
        <v>0</v>
      </c>
      <c r="AH656">
        <v>-1</v>
      </c>
      <c r="AI656" t="s">
        <v>64</v>
      </c>
      <c r="AJ656">
        <v>0</v>
      </c>
      <c r="AK656" t="b">
        <v>0</v>
      </c>
      <c r="AM656" t="b">
        <v>0</v>
      </c>
      <c r="AN656">
        <v>0</v>
      </c>
      <c r="AO656" t="b">
        <v>0</v>
      </c>
      <c r="AQ656">
        <v>3960421422</v>
      </c>
      <c r="AR656">
        <v>3960421422</v>
      </c>
      <c r="AS656">
        <v>0</v>
      </c>
      <c r="AT656" t="b">
        <v>0</v>
      </c>
      <c r="AU656" t="b">
        <v>1</v>
      </c>
      <c r="AV656" t="b">
        <v>1</v>
      </c>
      <c r="AW656" t="b">
        <v>1</v>
      </c>
      <c r="BC656" t="str">
        <f t="shared" si="10"/>
        <v>Normal</v>
      </c>
    </row>
    <row r="657" spans="1:55" x14ac:dyDescent="0.2">
      <c r="A657" t="s">
        <v>39</v>
      </c>
      <c r="B657" t="s">
        <v>40</v>
      </c>
      <c r="C657">
        <v>20240101</v>
      </c>
      <c r="D657">
        <v>2024</v>
      </c>
      <c r="E657">
        <v>52</v>
      </c>
      <c r="F657" t="s">
        <v>357</v>
      </c>
      <c r="G657">
        <v>96</v>
      </c>
      <c r="H657" t="s">
        <v>313</v>
      </c>
      <c r="I657" t="s">
        <v>314</v>
      </c>
      <c r="J657" t="s">
        <v>44</v>
      </c>
      <c r="K657" t="s">
        <v>45</v>
      </c>
      <c r="L657">
        <v>0</v>
      </c>
      <c r="M657" t="s">
        <v>46</v>
      </c>
      <c r="N657" t="s">
        <v>47</v>
      </c>
      <c r="O657">
        <v>0</v>
      </c>
      <c r="P657" t="s">
        <v>46</v>
      </c>
      <c r="Q657" t="s">
        <v>47</v>
      </c>
      <c r="R657" t="s">
        <v>347</v>
      </c>
      <c r="S657" t="s">
        <v>49</v>
      </c>
      <c r="T657" t="b">
        <v>1</v>
      </c>
      <c r="U657" t="s">
        <v>50</v>
      </c>
      <c r="V657" t="s">
        <v>51</v>
      </c>
      <c r="W657">
        <v>4</v>
      </c>
      <c r="X657" t="b">
        <v>0</v>
      </c>
      <c r="Y657" t="s">
        <v>52</v>
      </c>
      <c r="Z657" t="s">
        <v>53</v>
      </c>
      <c r="AA657" t="s">
        <v>54</v>
      </c>
      <c r="AB657">
        <v>0</v>
      </c>
      <c r="AC657" t="s">
        <v>55</v>
      </c>
      <c r="AD657">
        <v>8</v>
      </c>
      <c r="AE657" t="s">
        <v>56</v>
      </c>
      <c r="AF657">
        <v>44</v>
      </c>
      <c r="AG657" t="b">
        <v>0</v>
      </c>
      <c r="AH657">
        <v>8</v>
      </c>
      <c r="AI657" t="s">
        <v>56</v>
      </c>
      <c r="AJ657">
        <v>44</v>
      </c>
      <c r="AK657" t="b">
        <v>0</v>
      </c>
      <c r="AL657">
        <v>44</v>
      </c>
      <c r="AM657" t="b">
        <v>0</v>
      </c>
      <c r="AN657">
        <v>0</v>
      </c>
      <c r="AO657" t="b">
        <v>0</v>
      </c>
      <c r="AQ657">
        <v>1972442.865</v>
      </c>
      <c r="AR657">
        <v>1972442.865</v>
      </c>
      <c r="AS657">
        <v>0</v>
      </c>
      <c r="AT657" t="b">
        <v>0</v>
      </c>
      <c r="AU657" t="b">
        <v>1</v>
      </c>
      <c r="AV657" t="b">
        <v>1</v>
      </c>
      <c r="AW657" t="b">
        <v>1</v>
      </c>
      <c r="BC657" t="str">
        <f t="shared" si="10"/>
        <v>Normal</v>
      </c>
    </row>
    <row r="658" spans="1:55" x14ac:dyDescent="0.2">
      <c r="A658" t="s">
        <v>39</v>
      </c>
      <c r="B658" t="s">
        <v>40</v>
      </c>
      <c r="C658">
        <v>20240101</v>
      </c>
      <c r="D658">
        <v>2024</v>
      </c>
      <c r="E658">
        <v>52</v>
      </c>
      <c r="F658" t="s">
        <v>357</v>
      </c>
      <c r="G658">
        <v>100</v>
      </c>
      <c r="H658" t="s">
        <v>83</v>
      </c>
      <c r="I658" t="s">
        <v>84</v>
      </c>
      <c r="J658" t="s">
        <v>44</v>
      </c>
      <c r="K658" t="s">
        <v>45</v>
      </c>
      <c r="L658">
        <v>0</v>
      </c>
      <c r="M658" t="s">
        <v>46</v>
      </c>
      <c r="N658" t="s">
        <v>47</v>
      </c>
      <c r="O658">
        <v>0</v>
      </c>
      <c r="P658" t="s">
        <v>46</v>
      </c>
      <c r="Q658" t="s">
        <v>47</v>
      </c>
      <c r="R658" t="s">
        <v>347</v>
      </c>
      <c r="S658" t="s">
        <v>49</v>
      </c>
      <c r="T658" t="b">
        <v>1</v>
      </c>
      <c r="U658" t="s">
        <v>50</v>
      </c>
      <c r="V658" t="s">
        <v>51</v>
      </c>
      <c r="W658">
        <v>4</v>
      </c>
      <c r="X658" t="b">
        <v>0</v>
      </c>
      <c r="Y658" t="s">
        <v>52</v>
      </c>
      <c r="Z658" t="s">
        <v>53</v>
      </c>
      <c r="AA658" t="s">
        <v>54</v>
      </c>
      <c r="AB658">
        <v>0</v>
      </c>
      <c r="AC658" t="s">
        <v>55</v>
      </c>
      <c r="AD658">
        <v>8</v>
      </c>
      <c r="AE658" t="s">
        <v>56</v>
      </c>
      <c r="AF658">
        <v>1828.952</v>
      </c>
      <c r="AG658" t="b">
        <v>0</v>
      </c>
      <c r="AH658">
        <v>15</v>
      </c>
      <c r="AI658" t="s">
        <v>59</v>
      </c>
      <c r="AJ658">
        <v>1828952</v>
      </c>
      <c r="AK658" t="b">
        <v>0</v>
      </c>
      <c r="AL658">
        <v>1795.441</v>
      </c>
      <c r="AM658" t="b">
        <v>0</v>
      </c>
      <c r="AN658">
        <v>0</v>
      </c>
      <c r="AO658" t="b">
        <v>0</v>
      </c>
      <c r="AQ658">
        <v>46962731.093000002</v>
      </c>
      <c r="AR658">
        <v>46962731.093000002</v>
      </c>
      <c r="AS658">
        <v>0</v>
      </c>
      <c r="AT658" t="b">
        <v>0</v>
      </c>
      <c r="AU658" t="b">
        <v>1</v>
      </c>
      <c r="AV658" t="b">
        <v>1</v>
      </c>
      <c r="AW658" t="b">
        <v>1</v>
      </c>
      <c r="BC658" t="str">
        <f t="shared" si="10"/>
        <v>Normal</v>
      </c>
    </row>
    <row r="659" spans="1:55" x14ac:dyDescent="0.2">
      <c r="A659" t="s">
        <v>39</v>
      </c>
      <c r="B659" t="s">
        <v>40</v>
      </c>
      <c r="C659">
        <v>20240101</v>
      </c>
      <c r="D659">
        <v>2024</v>
      </c>
      <c r="E659">
        <v>52</v>
      </c>
      <c r="F659" t="s">
        <v>357</v>
      </c>
      <c r="G659">
        <v>116</v>
      </c>
      <c r="H659" t="s">
        <v>87</v>
      </c>
      <c r="I659" t="s">
        <v>88</v>
      </c>
      <c r="J659" t="s">
        <v>44</v>
      </c>
      <c r="K659" t="s">
        <v>45</v>
      </c>
      <c r="L659">
        <v>0</v>
      </c>
      <c r="M659" t="s">
        <v>46</v>
      </c>
      <c r="N659" t="s">
        <v>47</v>
      </c>
      <c r="O659">
        <v>0</v>
      </c>
      <c r="P659" t="s">
        <v>46</v>
      </c>
      <c r="Q659" t="s">
        <v>47</v>
      </c>
      <c r="R659" t="s">
        <v>347</v>
      </c>
      <c r="S659" t="s">
        <v>49</v>
      </c>
      <c r="T659" t="b">
        <v>1</v>
      </c>
      <c r="U659" t="s">
        <v>50</v>
      </c>
      <c r="V659" t="s">
        <v>51</v>
      </c>
      <c r="W659">
        <v>4</v>
      </c>
      <c r="X659" t="b">
        <v>0</v>
      </c>
      <c r="Y659" t="s">
        <v>52</v>
      </c>
      <c r="Z659" t="s">
        <v>53</v>
      </c>
      <c r="AA659" t="s">
        <v>54</v>
      </c>
      <c r="AB659">
        <v>0</v>
      </c>
      <c r="AC659" t="s">
        <v>55</v>
      </c>
      <c r="AD659">
        <v>8</v>
      </c>
      <c r="AE659" t="s">
        <v>56</v>
      </c>
      <c r="AF659">
        <v>6749.84</v>
      </c>
      <c r="AG659" t="b">
        <v>0</v>
      </c>
      <c r="AH659">
        <v>8</v>
      </c>
      <c r="AI659" t="s">
        <v>56</v>
      </c>
      <c r="AJ659">
        <v>6749.84</v>
      </c>
      <c r="AK659" t="b">
        <v>0</v>
      </c>
      <c r="AL659">
        <v>6749.84</v>
      </c>
      <c r="AM659" t="b">
        <v>0</v>
      </c>
      <c r="AN659">
        <v>0</v>
      </c>
      <c r="AO659" t="b">
        <v>0</v>
      </c>
      <c r="AQ659">
        <v>467902199.61000001</v>
      </c>
      <c r="AR659">
        <v>467902199.61000001</v>
      </c>
      <c r="AS659">
        <v>0</v>
      </c>
      <c r="AT659" t="b">
        <v>0</v>
      </c>
      <c r="AU659" t="b">
        <v>1</v>
      </c>
      <c r="AV659" t="b">
        <v>1</v>
      </c>
      <c r="AW659" t="b">
        <v>1</v>
      </c>
      <c r="BC659" t="str">
        <f t="shared" si="10"/>
        <v>Normal</v>
      </c>
    </row>
    <row r="660" spans="1:55" x14ac:dyDescent="0.2">
      <c r="A660" t="s">
        <v>39</v>
      </c>
      <c r="B660" t="s">
        <v>40</v>
      </c>
      <c r="C660">
        <v>20240101</v>
      </c>
      <c r="D660">
        <v>2024</v>
      </c>
      <c r="E660">
        <v>52</v>
      </c>
      <c r="F660" t="s">
        <v>357</v>
      </c>
      <c r="G660">
        <v>124</v>
      </c>
      <c r="H660" t="s">
        <v>91</v>
      </c>
      <c r="I660" t="s">
        <v>92</v>
      </c>
      <c r="J660" t="s">
        <v>44</v>
      </c>
      <c r="K660" t="s">
        <v>45</v>
      </c>
      <c r="L660">
        <v>0</v>
      </c>
      <c r="M660" t="s">
        <v>46</v>
      </c>
      <c r="N660" t="s">
        <v>47</v>
      </c>
      <c r="O660">
        <v>0</v>
      </c>
      <c r="P660" t="s">
        <v>46</v>
      </c>
      <c r="Q660" t="s">
        <v>47</v>
      </c>
      <c r="R660" t="s">
        <v>347</v>
      </c>
      <c r="S660" t="s">
        <v>49</v>
      </c>
      <c r="T660" t="b">
        <v>1</v>
      </c>
      <c r="U660" t="s">
        <v>50</v>
      </c>
      <c r="V660" t="s">
        <v>51</v>
      </c>
      <c r="W660">
        <v>4</v>
      </c>
      <c r="X660" t="b">
        <v>0</v>
      </c>
      <c r="Y660" t="s">
        <v>52</v>
      </c>
      <c r="Z660" t="s">
        <v>53</v>
      </c>
      <c r="AA660" t="s">
        <v>54</v>
      </c>
      <c r="AB660">
        <v>0</v>
      </c>
      <c r="AC660" t="s">
        <v>55</v>
      </c>
      <c r="AD660">
        <v>8</v>
      </c>
      <c r="AE660" t="s">
        <v>56</v>
      </c>
      <c r="AF660">
        <v>374171.42200000002</v>
      </c>
      <c r="AG660" t="b">
        <v>0</v>
      </c>
      <c r="AH660">
        <v>8</v>
      </c>
      <c r="AI660" t="s">
        <v>56</v>
      </c>
      <c r="AJ660">
        <v>374171.42200000002</v>
      </c>
      <c r="AK660" t="b">
        <v>0</v>
      </c>
      <c r="AL660" s="1">
        <v>374171.42200000002</v>
      </c>
      <c r="AM660" t="b">
        <v>0</v>
      </c>
      <c r="AN660">
        <v>0</v>
      </c>
      <c r="AO660" t="b">
        <v>0</v>
      </c>
      <c r="AQ660">
        <v>27284784336.513</v>
      </c>
      <c r="AR660">
        <v>27284784336.513</v>
      </c>
      <c r="AS660">
        <v>0</v>
      </c>
      <c r="AT660" t="b">
        <v>0</v>
      </c>
      <c r="AU660" t="b">
        <v>1</v>
      </c>
      <c r="AV660" t="b">
        <v>1</v>
      </c>
      <c r="AW660" t="b">
        <v>1</v>
      </c>
      <c r="BC660" t="str">
        <f t="shared" si="10"/>
        <v>Outlier</v>
      </c>
    </row>
    <row r="661" spans="1:55" x14ac:dyDescent="0.2">
      <c r="A661" t="s">
        <v>39</v>
      </c>
      <c r="B661" t="s">
        <v>40</v>
      </c>
      <c r="C661">
        <v>20240101</v>
      </c>
      <c r="D661">
        <v>2024</v>
      </c>
      <c r="E661">
        <v>52</v>
      </c>
      <c r="F661" t="s">
        <v>357</v>
      </c>
      <c r="G661">
        <v>140</v>
      </c>
      <c r="H661" t="s">
        <v>93</v>
      </c>
      <c r="I661" t="s">
        <v>94</v>
      </c>
      <c r="J661" t="s">
        <v>44</v>
      </c>
      <c r="K661" t="s">
        <v>45</v>
      </c>
      <c r="L661">
        <v>0</v>
      </c>
      <c r="M661" t="s">
        <v>46</v>
      </c>
      <c r="N661" t="s">
        <v>47</v>
      </c>
      <c r="O661">
        <v>0</v>
      </c>
      <c r="P661" t="s">
        <v>46</v>
      </c>
      <c r="Q661" t="s">
        <v>47</v>
      </c>
      <c r="R661" t="s">
        <v>347</v>
      </c>
      <c r="S661" t="s">
        <v>49</v>
      </c>
      <c r="T661" t="b">
        <v>1</v>
      </c>
      <c r="U661" t="s">
        <v>50</v>
      </c>
      <c r="V661" t="s">
        <v>51</v>
      </c>
      <c r="W661">
        <v>4</v>
      </c>
      <c r="X661" t="b">
        <v>0</v>
      </c>
      <c r="Y661" t="s">
        <v>52</v>
      </c>
      <c r="Z661" t="s">
        <v>53</v>
      </c>
      <c r="AA661" t="s">
        <v>54</v>
      </c>
      <c r="AB661">
        <v>0</v>
      </c>
      <c r="AC661" t="s">
        <v>55</v>
      </c>
      <c r="AD661">
        <v>-1</v>
      </c>
      <c r="AE661" t="s">
        <v>64</v>
      </c>
      <c r="AF661">
        <v>0</v>
      </c>
      <c r="AG661" t="b">
        <v>0</v>
      </c>
      <c r="AH661">
        <v>-1</v>
      </c>
      <c r="AI661" t="s">
        <v>64</v>
      </c>
      <c r="AJ661">
        <v>0</v>
      </c>
      <c r="AK661" t="b">
        <v>0</v>
      </c>
      <c r="AM661" t="b">
        <v>0</v>
      </c>
      <c r="AN661">
        <v>0</v>
      </c>
      <c r="AO661" t="b">
        <v>0</v>
      </c>
      <c r="AQ661">
        <v>32068336.18</v>
      </c>
      <c r="AR661">
        <v>32068336.18</v>
      </c>
      <c r="AS661">
        <v>0</v>
      </c>
      <c r="AT661" t="b">
        <v>0</v>
      </c>
      <c r="AU661" t="b">
        <v>1</v>
      </c>
      <c r="AV661" t="b">
        <v>1</v>
      </c>
      <c r="AW661" t="b">
        <v>1</v>
      </c>
      <c r="BC661" t="str">
        <f t="shared" si="10"/>
        <v>Normal</v>
      </c>
    </row>
    <row r="662" spans="1:55" x14ac:dyDescent="0.2">
      <c r="A662" t="s">
        <v>39</v>
      </c>
      <c r="B662" t="s">
        <v>40</v>
      </c>
      <c r="C662">
        <v>20240101</v>
      </c>
      <c r="D662">
        <v>2024</v>
      </c>
      <c r="E662">
        <v>52</v>
      </c>
      <c r="F662" t="s">
        <v>357</v>
      </c>
      <c r="G662">
        <v>152</v>
      </c>
      <c r="H662" t="s">
        <v>96</v>
      </c>
      <c r="I662" t="s">
        <v>97</v>
      </c>
      <c r="J662" t="s">
        <v>44</v>
      </c>
      <c r="K662" t="s">
        <v>45</v>
      </c>
      <c r="L662">
        <v>0</v>
      </c>
      <c r="M662" t="s">
        <v>46</v>
      </c>
      <c r="N662" t="s">
        <v>47</v>
      </c>
      <c r="O662">
        <v>0</v>
      </c>
      <c r="P662" t="s">
        <v>46</v>
      </c>
      <c r="Q662" t="s">
        <v>47</v>
      </c>
      <c r="R662" t="s">
        <v>347</v>
      </c>
      <c r="S662" t="s">
        <v>49</v>
      </c>
      <c r="T662" t="b">
        <v>1</v>
      </c>
      <c r="U662" t="s">
        <v>50</v>
      </c>
      <c r="V662" t="s">
        <v>51</v>
      </c>
      <c r="W662">
        <v>4</v>
      </c>
      <c r="X662" t="b">
        <v>0</v>
      </c>
      <c r="Y662" t="s">
        <v>52</v>
      </c>
      <c r="Z662" t="s">
        <v>53</v>
      </c>
      <c r="AA662" t="s">
        <v>54</v>
      </c>
      <c r="AB662">
        <v>0</v>
      </c>
      <c r="AC662" t="s">
        <v>55</v>
      </c>
      <c r="AD662">
        <v>8</v>
      </c>
      <c r="AE662" t="s">
        <v>56</v>
      </c>
      <c r="AF662">
        <v>16479.241000000002</v>
      </c>
      <c r="AG662" t="b">
        <v>0</v>
      </c>
      <c r="AH662">
        <v>8</v>
      </c>
      <c r="AI662" t="s">
        <v>56</v>
      </c>
      <c r="AJ662">
        <v>16479.241000000002</v>
      </c>
      <c r="AK662" t="b">
        <v>0</v>
      </c>
      <c r="AL662">
        <v>16479.241000000002</v>
      </c>
      <c r="AM662" t="b">
        <v>0</v>
      </c>
      <c r="AN662">
        <v>0</v>
      </c>
      <c r="AO662" t="b">
        <v>0</v>
      </c>
      <c r="AQ662">
        <v>1202822168.059</v>
      </c>
      <c r="AR662">
        <v>1202822168.059</v>
      </c>
      <c r="AS662">
        <v>0</v>
      </c>
      <c r="AT662" t="b">
        <v>0</v>
      </c>
      <c r="AU662" t="b">
        <v>1</v>
      </c>
      <c r="AV662" t="b">
        <v>1</v>
      </c>
      <c r="AW662" t="b">
        <v>1</v>
      </c>
      <c r="BC662" t="str">
        <f t="shared" si="10"/>
        <v>Normal</v>
      </c>
    </row>
    <row r="663" spans="1:55" x14ac:dyDescent="0.2">
      <c r="A663" t="s">
        <v>39</v>
      </c>
      <c r="B663" t="s">
        <v>40</v>
      </c>
      <c r="C663">
        <v>20240101</v>
      </c>
      <c r="D663">
        <v>2024</v>
      </c>
      <c r="E663">
        <v>52</v>
      </c>
      <c r="F663" t="s">
        <v>357</v>
      </c>
      <c r="G663">
        <v>156</v>
      </c>
      <c r="H663" t="s">
        <v>98</v>
      </c>
      <c r="I663" t="s">
        <v>99</v>
      </c>
      <c r="J663" t="s">
        <v>44</v>
      </c>
      <c r="K663" t="s">
        <v>45</v>
      </c>
      <c r="L663">
        <v>0</v>
      </c>
      <c r="M663" t="s">
        <v>46</v>
      </c>
      <c r="N663" t="s">
        <v>47</v>
      </c>
      <c r="O663">
        <v>0</v>
      </c>
      <c r="P663" t="s">
        <v>46</v>
      </c>
      <c r="Q663" t="s">
        <v>47</v>
      </c>
      <c r="R663" t="s">
        <v>347</v>
      </c>
      <c r="S663" t="s">
        <v>49</v>
      </c>
      <c r="T663" t="b">
        <v>1</v>
      </c>
      <c r="U663" t="s">
        <v>50</v>
      </c>
      <c r="V663" t="s">
        <v>51</v>
      </c>
      <c r="W663">
        <v>4</v>
      </c>
      <c r="X663" t="b">
        <v>0</v>
      </c>
      <c r="Y663" t="s">
        <v>52</v>
      </c>
      <c r="Z663" t="s">
        <v>53</v>
      </c>
      <c r="AA663" t="s">
        <v>54</v>
      </c>
      <c r="AB663">
        <v>0</v>
      </c>
      <c r="AC663" t="s">
        <v>55</v>
      </c>
      <c r="AD663">
        <v>8</v>
      </c>
      <c r="AE663" t="s">
        <v>56</v>
      </c>
      <c r="AF663">
        <v>154156.49600000001</v>
      </c>
      <c r="AG663" t="b">
        <v>0</v>
      </c>
      <c r="AH663">
        <v>15</v>
      </c>
      <c r="AI663" t="s">
        <v>59</v>
      </c>
      <c r="AJ663">
        <v>154156496</v>
      </c>
      <c r="AK663" t="b">
        <v>0</v>
      </c>
      <c r="AL663" s="1">
        <v>154156.49600000001</v>
      </c>
      <c r="AM663" t="b">
        <v>0</v>
      </c>
      <c r="AN663">
        <v>0</v>
      </c>
      <c r="AO663" t="b">
        <v>0</v>
      </c>
      <c r="AQ663">
        <v>12358141473</v>
      </c>
      <c r="AR663">
        <v>12358141473</v>
      </c>
      <c r="AS663">
        <v>0</v>
      </c>
      <c r="AT663" t="b">
        <v>0</v>
      </c>
      <c r="AU663" t="b">
        <v>1</v>
      </c>
      <c r="AV663" t="b">
        <v>1</v>
      </c>
      <c r="AW663" t="b">
        <v>1</v>
      </c>
      <c r="BC663" t="str">
        <f t="shared" si="10"/>
        <v>Outlier</v>
      </c>
    </row>
    <row r="664" spans="1:55" x14ac:dyDescent="0.2">
      <c r="A664" t="s">
        <v>39</v>
      </c>
      <c r="B664" t="s">
        <v>40</v>
      </c>
      <c r="C664">
        <v>20240101</v>
      </c>
      <c r="D664">
        <v>2024</v>
      </c>
      <c r="E664">
        <v>52</v>
      </c>
      <c r="F664" t="s">
        <v>357</v>
      </c>
      <c r="G664">
        <v>170</v>
      </c>
      <c r="H664" t="s">
        <v>100</v>
      </c>
      <c r="I664" t="s">
        <v>101</v>
      </c>
      <c r="J664" t="s">
        <v>44</v>
      </c>
      <c r="K664" t="s">
        <v>45</v>
      </c>
      <c r="L664">
        <v>0</v>
      </c>
      <c r="M664" t="s">
        <v>46</v>
      </c>
      <c r="N664" t="s">
        <v>47</v>
      </c>
      <c r="O664">
        <v>0</v>
      </c>
      <c r="P664" t="s">
        <v>46</v>
      </c>
      <c r="Q664" t="s">
        <v>47</v>
      </c>
      <c r="R664" t="s">
        <v>347</v>
      </c>
      <c r="S664" t="s">
        <v>49</v>
      </c>
      <c r="T664" t="b">
        <v>1</v>
      </c>
      <c r="U664" t="s">
        <v>50</v>
      </c>
      <c r="V664" t="s">
        <v>51</v>
      </c>
      <c r="W664">
        <v>4</v>
      </c>
      <c r="X664" t="b">
        <v>0</v>
      </c>
      <c r="Y664" t="s">
        <v>52</v>
      </c>
      <c r="Z664" t="s">
        <v>53</v>
      </c>
      <c r="AA664" t="s">
        <v>54</v>
      </c>
      <c r="AB664">
        <v>0</v>
      </c>
      <c r="AC664" t="s">
        <v>55</v>
      </c>
      <c r="AD664">
        <v>8</v>
      </c>
      <c r="AE664" t="s">
        <v>56</v>
      </c>
      <c r="AF664">
        <v>69885.77</v>
      </c>
      <c r="AG664" t="b">
        <v>0</v>
      </c>
      <c r="AH664">
        <v>8</v>
      </c>
      <c r="AI664" t="s">
        <v>56</v>
      </c>
      <c r="AJ664">
        <v>69885.77</v>
      </c>
      <c r="AK664" t="b">
        <v>0</v>
      </c>
      <c r="AL664" s="1">
        <v>69885.77</v>
      </c>
      <c r="AM664" t="b">
        <v>0</v>
      </c>
      <c r="AN664">
        <v>0</v>
      </c>
      <c r="AO664" t="b">
        <v>0</v>
      </c>
      <c r="AQ664">
        <v>4103524728.6799998</v>
      </c>
      <c r="AR664">
        <v>4103524728.6799998</v>
      </c>
      <c r="AS664">
        <v>0</v>
      </c>
      <c r="AT664" t="b">
        <v>0</v>
      </c>
      <c r="AU664" t="b">
        <v>1</v>
      </c>
      <c r="AV664" t="b">
        <v>1</v>
      </c>
      <c r="AW664" t="b">
        <v>1</v>
      </c>
      <c r="BC664" t="str">
        <f t="shared" si="10"/>
        <v>Outlier</v>
      </c>
    </row>
    <row r="665" spans="1:55" x14ac:dyDescent="0.2">
      <c r="A665" t="s">
        <v>39</v>
      </c>
      <c r="B665" t="s">
        <v>40</v>
      </c>
      <c r="C665">
        <v>20240101</v>
      </c>
      <c r="D665">
        <v>2024</v>
      </c>
      <c r="E665">
        <v>52</v>
      </c>
      <c r="F665" t="s">
        <v>357</v>
      </c>
      <c r="G665">
        <v>188</v>
      </c>
      <c r="H665" t="s">
        <v>106</v>
      </c>
      <c r="I665" t="s">
        <v>107</v>
      </c>
      <c r="J665" t="s">
        <v>44</v>
      </c>
      <c r="K665" t="s">
        <v>45</v>
      </c>
      <c r="L665">
        <v>0</v>
      </c>
      <c r="M665" t="s">
        <v>46</v>
      </c>
      <c r="N665" t="s">
        <v>47</v>
      </c>
      <c r="O665">
        <v>0</v>
      </c>
      <c r="P665" t="s">
        <v>46</v>
      </c>
      <c r="Q665" t="s">
        <v>47</v>
      </c>
      <c r="R665" t="s">
        <v>347</v>
      </c>
      <c r="S665" t="s">
        <v>49</v>
      </c>
      <c r="T665" t="b">
        <v>1</v>
      </c>
      <c r="U665" t="s">
        <v>50</v>
      </c>
      <c r="V665" t="s">
        <v>51</v>
      </c>
      <c r="W665">
        <v>4</v>
      </c>
      <c r="X665" t="b">
        <v>0</v>
      </c>
      <c r="Y665" t="s">
        <v>52</v>
      </c>
      <c r="Z665" t="s">
        <v>53</v>
      </c>
      <c r="AA665" t="s">
        <v>54</v>
      </c>
      <c r="AB665">
        <v>0</v>
      </c>
      <c r="AC665" t="s">
        <v>55</v>
      </c>
      <c r="AD665">
        <v>8</v>
      </c>
      <c r="AE665" t="s">
        <v>56</v>
      </c>
      <c r="AF665">
        <v>18661.169999999998</v>
      </c>
      <c r="AG665" t="b">
        <v>0</v>
      </c>
      <c r="AH665">
        <v>8</v>
      </c>
      <c r="AI665" t="s">
        <v>56</v>
      </c>
      <c r="AJ665">
        <v>18661.169999999998</v>
      </c>
      <c r="AK665" t="b">
        <v>0</v>
      </c>
      <c r="AL665">
        <v>18661.169999999998</v>
      </c>
      <c r="AM665" t="b">
        <v>0</v>
      </c>
      <c r="AN665">
        <v>0</v>
      </c>
      <c r="AO665" t="b">
        <v>0</v>
      </c>
      <c r="AQ665">
        <v>39605608.829999998</v>
      </c>
      <c r="AR665">
        <v>39605608.829999998</v>
      </c>
      <c r="AS665">
        <v>0</v>
      </c>
      <c r="AT665" t="b">
        <v>0</v>
      </c>
      <c r="AU665" t="b">
        <v>1</v>
      </c>
      <c r="AV665" t="b">
        <v>1</v>
      </c>
      <c r="AW665" t="b">
        <v>1</v>
      </c>
      <c r="BC665" t="str">
        <f t="shared" si="10"/>
        <v>Normal</v>
      </c>
    </row>
    <row r="666" spans="1:55" x14ac:dyDescent="0.2">
      <c r="A666" t="s">
        <v>39</v>
      </c>
      <c r="B666" t="s">
        <v>40</v>
      </c>
      <c r="C666">
        <v>20240101</v>
      </c>
      <c r="D666">
        <v>2024</v>
      </c>
      <c r="E666">
        <v>52</v>
      </c>
      <c r="F666" t="s">
        <v>357</v>
      </c>
      <c r="G666">
        <v>191</v>
      </c>
      <c r="H666" t="s">
        <v>108</v>
      </c>
      <c r="I666" t="s">
        <v>109</v>
      </c>
      <c r="J666" t="s">
        <v>44</v>
      </c>
      <c r="K666" t="s">
        <v>45</v>
      </c>
      <c r="L666">
        <v>0</v>
      </c>
      <c r="M666" t="s">
        <v>46</v>
      </c>
      <c r="N666" t="s">
        <v>47</v>
      </c>
      <c r="O666">
        <v>0</v>
      </c>
      <c r="P666" t="s">
        <v>46</v>
      </c>
      <c r="Q666" t="s">
        <v>47</v>
      </c>
      <c r="R666" t="s">
        <v>347</v>
      </c>
      <c r="S666" t="s">
        <v>49</v>
      </c>
      <c r="T666" t="b">
        <v>1</v>
      </c>
      <c r="U666" t="s">
        <v>50</v>
      </c>
      <c r="V666" t="s">
        <v>51</v>
      </c>
      <c r="W666">
        <v>4</v>
      </c>
      <c r="X666" t="b">
        <v>0</v>
      </c>
      <c r="Y666" t="s">
        <v>52</v>
      </c>
      <c r="Z666" t="s">
        <v>53</v>
      </c>
      <c r="AA666" t="s">
        <v>54</v>
      </c>
      <c r="AB666">
        <v>0</v>
      </c>
      <c r="AC666" t="s">
        <v>55</v>
      </c>
      <c r="AD666">
        <v>8</v>
      </c>
      <c r="AE666" t="s">
        <v>56</v>
      </c>
      <c r="AF666">
        <v>1115.432</v>
      </c>
      <c r="AG666" t="b">
        <v>0</v>
      </c>
      <c r="AH666">
        <v>15</v>
      </c>
      <c r="AI666" t="s">
        <v>59</v>
      </c>
      <c r="AJ666">
        <v>1115432.1200000001</v>
      </c>
      <c r="AK666" t="b">
        <v>0</v>
      </c>
      <c r="AL666">
        <v>1120.7850000000001</v>
      </c>
      <c r="AM666" t="b">
        <v>0</v>
      </c>
      <c r="AN666">
        <v>0</v>
      </c>
      <c r="AO666" t="b">
        <v>0</v>
      </c>
      <c r="AQ666">
        <v>77693830</v>
      </c>
      <c r="AR666">
        <v>77693830</v>
      </c>
      <c r="AS666">
        <v>0</v>
      </c>
      <c r="AT666" t="b">
        <v>0</v>
      </c>
      <c r="AU666" t="b">
        <v>1</v>
      </c>
      <c r="AV666" t="b">
        <v>1</v>
      </c>
      <c r="AW666" t="b">
        <v>1</v>
      </c>
      <c r="BC666" t="str">
        <f t="shared" si="10"/>
        <v>Normal</v>
      </c>
    </row>
    <row r="667" spans="1:55" x14ac:dyDescent="0.2">
      <c r="A667" t="s">
        <v>39</v>
      </c>
      <c r="B667" t="s">
        <v>40</v>
      </c>
      <c r="C667">
        <v>20240101</v>
      </c>
      <c r="D667">
        <v>2024</v>
      </c>
      <c r="E667">
        <v>52</v>
      </c>
      <c r="F667" t="s">
        <v>357</v>
      </c>
      <c r="G667">
        <v>196</v>
      </c>
      <c r="H667" t="s">
        <v>112</v>
      </c>
      <c r="I667" t="s">
        <v>113</v>
      </c>
      <c r="J667" t="s">
        <v>44</v>
      </c>
      <c r="K667" t="s">
        <v>45</v>
      </c>
      <c r="L667">
        <v>0</v>
      </c>
      <c r="M667" t="s">
        <v>46</v>
      </c>
      <c r="N667" t="s">
        <v>47</v>
      </c>
      <c r="O667">
        <v>0</v>
      </c>
      <c r="P667" t="s">
        <v>46</v>
      </c>
      <c r="Q667" t="s">
        <v>47</v>
      </c>
      <c r="R667" t="s">
        <v>347</v>
      </c>
      <c r="S667" t="s">
        <v>49</v>
      </c>
      <c r="T667" t="b">
        <v>1</v>
      </c>
      <c r="U667" t="s">
        <v>50</v>
      </c>
      <c r="V667" t="s">
        <v>51</v>
      </c>
      <c r="W667">
        <v>4</v>
      </c>
      <c r="X667" t="b">
        <v>0</v>
      </c>
      <c r="Y667" t="s">
        <v>52</v>
      </c>
      <c r="Z667" t="s">
        <v>53</v>
      </c>
      <c r="AA667" t="s">
        <v>54</v>
      </c>
      <c r="AB667">
        <v>0</v>
      </c>
      <c r="AC667" t="s">
        <v>55</v>
      </c>
      <c r="AD667">
        <v>8</v>
      </c>
      <c r="AE667" t="s">
        <v>56</v>
      </c>
      <c r="AF667">
        <v>226.255</v>
      </c>
      <c r="AG667" t="b">
        <v>1</v>
      </c>
      <c r="AH667">
        <v>-1</v>
      </c>
      <c r="AI667" t="s">
        <v>64</v>
      </c>
      <c r="AJ667">
        <v>0</v>
      </c>
      <c r="AK667" t="b">
        <v>0</v>
      </c>
      <c r="AL667">
        <v>230.55799999999999</v>
      </c>
      <c r="AM667" t="b">
        <v>1</v>
      </c>
      <c r="AN667">
        <v>0</v>
      </c>
      <c r="AO667" t="b">
        <v>0</v>
      </c>
      <c r="AQ667">
        <v>11993237.673</v>
      </c>
      <c r="AR667">
        <v>11993237.673</v>
      </c>
      <c r="AS667">
        <v>6</v>
      </c>
      <c r="AT667" t="b">
        <v>0</v>
      </c>
      <c r="AU667" t="b">
        <v>1</v>
      </c>
      <c r="AV667" t="b">
        <v>1</v>
      </c>
      <c r="AW667" t="b">
        <v>1</v>
      </c>
      <c r="BC667" t="str">
        <f t="shared" si="10"/>
        <v>Normal</v>
      </c>
    </row>
    <row r="668" spans="1:55" x14ac:dyDescent="0.2">
      <c r="A668" t="s">
        <v>39</v>
      </c>
      <c r="B668" t="s">
        <v>40</v>
      </c>
      <c r="C668">
        <v>20240101</v>
      </c>
      <c r="D668">
        <v>2024</v>
      </c>
      <c r="E668">
        <v>52</v>
      </c>
      <c r="F668" t="s">
        <v>357</v>
      </c>
      <c r="G668">
        <v>203</v>
      </c>
      <c r="H668" t="s">
        <v>114</v>
      </c>
      <c r="I668" t="s">
        <v>115</v>
      </c>
      <c r="J668" t="s">
        <v>44</v>
      </c>
      <c r="K668" t="s">
        <v>45</v>
      </c>
      <c r="L668">
        <v>0</v>
      </c>
      <c r="M668" t="s">
        <v>46</v>
      </c>
      <c r="N668" t="s">
        <v>47</v>
      </c>
      <c r="O668">
        <v>0</v>
      </c>
      <c r="P668" t="s">
        <v>46</v>
      </c>
      <c r="Q668" t="s">
        <v>47</v>
      </c>
      <c r="R668" t="s">
        <v>347</v>
      </c>
      <c r="S668" t="s">
        <v>49</v>
      </c>
      <c r="T668" t="b">
        <v>1</v>
      </c>
      <c r="U668" t="s">
        <v>50</v>
      </c>
      <c r="V668" t="s">
        <v>51</v>
      </c>
      <c r="W668">
        <v>4</v>
      </c>
      <c r="X668" t="b">
        <v>0</v>
      </c>
      <c r="Y668" t="s">
        <v>52</v>
      </c>
      <c r="Z668" t="s">
        <v>53</v>
      </c>
      <c r="AA668" t="s">
        <v>54</v>
      </c>
      <c r="AB668">
        <v>0</v>
      </c>
      <c r="AC668" t="s">
        <v>55</v>
      </c>
      <c r="AD668">
        <v>-1</v>
      </c>
      <c r="AE668" t="s">
        <v>64</v>
      </c>
      <c r="AF668">
        <v>0</v>
      </c>
      <c r="AG668" t="b">
        <v>0</v>
      </c>
      <c r="AH668">
        <v>-1</v>
      </c>
      <c r="AI668" t="s">
        <v>64</v>
      </c>
      <c r="AJ668">
        <v>0</v>
      </c>
      <c r="AK668" t="b">
        <v>0</v>
      </c>
      <c r="AM668" t="b">
        <v>0</v>
      </c>
      <c r="AN668">
        <v>0</v>
      </c>
      <c r="AO668" t="b">
        <v>0</v>
      </c>
      <c r="AQ668">
        <v>108903294</v>
      </c>
      <c r="AR668">
        <v>108903294</v>
      </c>
      <c r="AS668">
        <v>0</v>
      </c>
      <c r="AT668" t="b">
        <v>0</v>
      </c>
      <c r="AU668" t="b">
        <v>1</v>
      </c>
      <c r="AV668" t="b">
        <v>1</v>
      </c>
      <c r="AW668" t="b">
        <v>1</v>
      </c>
      <c r="BC668" t="str">
        <f t="shared" si="10"/>
        <v>Normal</v>
      </c>
    </row>
    <row r="669" spans="1:55" x14ac:dyDescent="0.2">
      <c r="A669" t="s">
        <v>39</v>
      </c>
      <c r="B669" t="s">
        <v>40</v>
      </c>
      <c r="C669">
        <v>20240101</v>
      </c>
      <c r="D669">
        <v>2024</v>
      </c>
      <c r="E669">
        <v>52</v>
      </c>
      <c r="F669" t="s">
        <v>357</v>
      </c>
      <c r="G669">
        <v>204</v>
      </c>
      <c r="H669" t="s">
        <v>116</v>
      </c>
      <c r="I669" t="s">
        <v>117</v>
      </c>
      <c r="J669" t="s">
        <v>44</v>
      </c>
      <c r="K669" t="s">
        <v>45</v>
      </c>
      <c r="L669">
        <v>0</v>
      </c>
      <c r="M669" t="s">
        <v>46</v>
      </c>
      <c r="N669" t="s">
        <v>47</v>
      </c>
      <c r="O669">
        <v>0</v>
      </c>
      <c r="P669" t="s">
        <v>46</v>
      </c>
      <c r="Q669" t="s">
        <v>47</v>
      </c>
      <c r="R669" t="s">
        <v>347</v>
      </c>
      <c r="S669" t="s">
        <v>49</v>
      </c>
      <c r="T669" t="b">
        <v>1</v>
      </c>
      <c r="U669" t="s">
        <v>50</v>
      </c>
      <c r="V669" t="s">
        <v>51</v>
      </c>
      <c r="W669">
        <v>4</v>
      </c>
      <c r="X669" t="b">
        <v>0</v>
      </c>
      <c r="Y669" t="s">
        <v>52</v>
      </c>
      <c r="Z669" t="s">
        <v>53</v>
      </c>
      <c r="AA669" t="s">
        <v>54</v>
      </c>
      <c r="AB669">
        <v>0</v>
      </c>
      <c r="AC669" t="s">
        <v>55</v>
      </c>
      <c r="AD669">
        <v>8</v>
      </c>
      <c r="AE669" t="s">
        <v>56</v>
      </c>
      <c r="AF669">
        <v>6716.75</v>
      </c>
      <c r="AG669" t="b">
        <v>0</v>
      </c>
      <c r="AH669">
        <v>8</v>
      </c>
      <c r="AI669" t="s">
        <v>56</v>
      </c>
      <c r="AJ669">
        <v>6716.75</v>
      </c>
      <c r="AK669" t="b">
        <v>0</v>
      </c>
      <c r="AL669">
        <v>6716.75</v>
      </c>
      <c r="AM669" t="b">
        <v>0</v>
      </c>
      <c r="AN669">
        <v>0</v>
      </c>
      <c r="AO669" t="b">
        <v>0</v>
      </c>
      <c r="AQ669">
        <v>11079838.854</v>
      </c>
      <c r="AR669">
        <v>11079838.854</v>
      </c>
      <c r="AS669">
        <v>0</v>
      </c>
      <c r="AT669" t="b">
        <v>0</v>
      </c>
      <c r="AU669" t="b">
        <v>1</v>
      </c>
      <c r="AV669" t="b">
        <v>1</v>
      </c>
      <c r="AW669" t="b">
        <v>1</v>
      </c>
      <c r="BC669" t="str">
        <f t="shared" si="10"/>
        <v>Normal</v>
      </c>
    </row>
    <row r="670" spans="1:55" x14ac:dyDescent="0.2">
      <c r="A670" t="s">
        <v>39</v>
      </c>
      <c r="B670" t="s">
        <v>40</v>
      </c>
      <c r="C670">
        <v>20240101</v>
      </c>
      <c r="D670">
        <v>2024</v>
      </c>
      <c r="E670">
        <v>52</v>
      </c>
      <c r="F670" t="s">
        <v>357</v>
      </c>
      <c r="G670">
        <v>208</v>
      </c>
      <c r="H670" t="s">
        <v>118</v>
      </c>
      <c r="I670" t="s">
        <v>119</v>
      </c>
      <c r="J670" t="s">
        <v>44</v>
      </c>
      <c r="K670" t="s">
        <v>45</v>
      </c>
      <c r="L670">
        <v>0</v>
      </c>
      <c r="M670" t="s">
        <v>46</v>
      </c>
      <c r="N670" t="s">
        <v>47</v>
      </c>
      <c r="O670">
        <v>0</v>
      </c>
      <c r="P670" t="s">
        <v>46</v>
      </c>
      <c r="Q670" t="s">
        <v>47</v>
      </c>
      <c r="R670" t="s">
        <v>347</v>
      </c>
      <c r="S670" t="s">
        <v>49</v>
      </c>
      <c r="T670" t="b">
        <v>1</v>
      </c>
      <c r="U670" t="s">
        <v>50</v>
      </c>
      <c r="V670" t="s">
        <v>51</v>
      </c>
      <c r="W670">
        <v>4</v>
      </c>
      <c r="X670" t="b">
        <v>0</v>
      </c>
      <c r="Y670" t="s">
        <v>52</v>
      </c>
      <c r="Z670" t="s">
        <v>53</v>
      </c>
      <c r="AA670" t="s">
        <v>54</v>
      </c>
      <c r="AB670">
        <v>0</v>
      </c>
      <c r="AC670" t="s">
        <v>55</v>
      </c>
      <c r="AD670">
        <v>8</v>
      </c>
      <c r="AE670" t="s">
        <v>56</v>
      </c>
      <c r="AF670">
        <v>360.726</v>
      </c>
      <c r="AG670" t="b">
        <v>1</v>
      </c>
      <c r="AH670">
        <v>-1</v>
      </c>
      <c r="AI670" t="s">
        <v>64</v>
      </c>
      <c r="AJ670">
        <v>0</v>
      </c>
      <c r="AK670" t="b">
        <v>0</v>
      </c>
      <c r="AL670">
        <v>662.11099999999999</v>
      </c>
      <c r="AM670" t="b">
        <v>1</v>
      </c>
      <c r="AN670">
        <v>0</v>
      </c>
      <c r="AO670" t="b">
        <v>0</v>
      </c>
      <c r="AQ670">
        <v>20995845.513</v>
      </c>
      <c r="AR670">
        <v>20995845.513</v>
      </c>
      <c r="AS670">
        <v>6</v>
      </c>
      <c r="AT670" t="b">
        <v>0</v>
      </c>
      <c r="AU670" t="b">
        <v>1</v>
      </c>
      <c r="AV670" t="b">
        <v>1</v>
      </c>
      <c r="AW670" t="b">
        <v>1</v>
      </c>
      <c r="BC670" t="str">
        <f t="shared" si="10"/>
        <v>Normal</v>
      </c>
    </row>
    <row r="671" spans="1:55" x14ac:dyDescent="0.2">
      <c r="A671" t="s">
        <v>39</v>
      </c>
      <c r="B671" t="s">
        <v>40</v>
      </c>
      <c r="C671">
        <v>20240101</v>
      </c>
      <c r="D671">
        <v>2024</v>
      </c>
      <c r="E671">
        <v>52</v>
      </c>
      <c r="F671" t="s">
        <v>357</v>
      </c>
      <c r="G671">
        <v>214</v>
      </c>
      <c r="H671" t="s">
        <v>120</v>
      </c>
      <c r="I671" t="s">
        <v>121</v>
      </c>
      <c r="J671" t="s">
        <v>44</v>
      </c>
      <c r="K671" t="s">
        <v>45</v>
      </c>
      <c r="L671">
        <v>0</v>
      </c>
      <c r="M671" t="s">
        <v>46</v>
      </c>
      <c r="N671" t="s">
        <v>47</v>
      </c>
      <c r="O671">
        <v>0</v>
      </c>
      <c r="P671" t="s">
        <v>46</v>
      </c>
      <c r="Q671" t="s">
        <v>47</v>
      </c>
      <c r="R671" t="s">
        <v>347</v>
      </c>
      <c r="S671" t="s">
        <v>49</v>
      </c>
      <c r="T671" t="b">
        <v>1</v>
      </c>
      <c r="U671" t="s">
        <v>50</v>
      </c>
      <c r="V671" t="s">
        <v>51</v>
      </c>
      <c r="W671">
        <v>4</v>
      </c>
      <c r="X671" t="b">
        <v>0</v>
      </c>
      <c r="Y671" t="s">
        <v>52</v>
      </c>
      <c r="Z671" t="s">
        <v>53</v>
      </c>
      <c r="AA671" t="s">
        <v>54</v>
      </c>
      <c r="AB671">
        <v>0</v>
      </c>
      <c r="AC671" t="s">
        <v>55</v>
      </c>
      <c r="AD671">
        <v>-1</v>
      </c>
      <c r="AE671" t="s">
        <v>64</v>
      </c>
      <c r="AF671">
        <v>0</v>
      </c>
      <c r="AG671" t="b">
        <v>0</v>
      </c>
      <c r="AH671">
        <v>-1</v>
      </c>
      <c r="AI671" t="s">
        <v>64</v>
      </c>
      <c r="AJ671">
        <v>0</v>
      </c>
      <c r="AK671" t="b">
        <v>0</v>
      </c>
      <c r="AM671" t="b">
        <v>0</v>
      </c>
      <c r="AN671">
        <v>0</v>
      </c>
      <c r="AO671" t="b">
        <v>0</v>
      </c>
      <c r="AQ671">
        <v>1525290671.405</v>
      </c>
      <c r="AR671">
        <v>1525290671.405</v>
      </c>
      <c r="AS671">
        <v>0</v>
      </c>
      <c r="AT671" t="b">
        <v>0</v>
      </c>
      <c r="AU671" t="b">
        <v>1</v>
      </c>
      <c r="AV671" t="b">
        <v>1</v>
      </c>
      <c r="AW671" t="b">
        <v>1</v>
      </c>
      <c r="BC671" t="str">
        <f t="shared" si="10"/>
        <v>Normal</v>
      </c>
    </row>
    <row r="672" spans="1:55" x14ac:dyDescent="0.2">
      <c r="A672" t="s">
        <v>39</v>
      </c>
      <c r="B672" t="s">
        <v>40</v>
      </c>
      <c r="C672">
        <v>20240101</v>
      </c>
      <c r="D672">
        <v>2024</v>
      </c>
      <c r="E672">
        <v>52</v>
      </c>
      <c r="F672" t="s">
        <v>357</v>
      </c>
      <c r="G672">
        <v>218</v>
      </c>
      <c r="H672" t="s">
        <v>122</v>
      </c>
      <c r="I672" t="s">
        <v>123</v>
      </c>
      <c r="J672" t="s">
        <v>44</v>
      </c>
      <c r="K672" t="s">
        <v>45</v>
      </c>
      <c r="L672">
        <v>0</v>
      </c>
      <c r="M672" t="s">
        <v>46</v>
      </c>
      <c r="N672" t="s">
        <v>47</v>
      </c>
      <c r="O672">
        <v>0</v>
      </c>
      <c r="P672" t="s">
        <v>46</v>
      </c>
      <c r="Q672" t="s">
        <v>47</v>
      </c>
      <c r="R672" t="s">
        <v>347</v>
      </c>
      <c r="S672" t="s">
        <v>49</v>
      </c>
      <c r="T672" t="b">
        <v>1</v>
      </c>
      <c r="U672" t="s">
        <v>50</v>
      </c>
      <c r="V672" t="s">
        <v>51</v>
      </c>
      <c r="W672">
        <v>4</v>
      </c>
      <c r="X672" t="b">
        <v>0</v>
      </c>
      <c r="Y672" t="s">
        <v>52</v>
      </c>
      <c r="Z672" t="s">
        <v>53</v>
      </c>
      <c r="AA672" t="s">
        <v>54</v>
      </c>
      <c r="AB672">
        <v>0</v>
      </c>
      <c r="AC672" t="s">
        <v>55</v>
      </c>
      <c r="AD672">
        <v>8</v>
      </c>
      <c r="AE672" t="s">
        <v>56</v>
      </c>
      <c r="AF672">
        <v>17303.490000000002</v>
      </c>
      <c r="AG672" t="b">
        <v>0</v>
      </c>
      <c r="AH672">
        <v>8</v>
      </c>
      <c r="AI672" t="s">
        <v>56</v>
      </c>
      <c r="AJ672">
        <v>17303.490000000002</v>
      </c>
      <c r="AK672" t="b">
        <v>0</v>
      </c>
      <c r="AL672">
        <v>15453.075000000001</v>
      </c>
      <c r="AM672" t="b">
        <v>0</v>
      </c>
      <c r="AN672">
        <v>0</v>
      </c>
      <c r="AO672" t="b">
        <v>0</v>
      </c>
      <c r="AQ672">
        <v>937632964.59099996</v>
      </c>
      <c r="AR672">
        <v>937632964.59099996</v>
      </c>
      <c r="AS672">
        <v>0</v>
      </c>
      <c r="AT672" t="b">
        <v>0</v>
      </c>
      <c r="AU672" t="b">
        <v>1</v>
      </c>
      <c r="AV672" t="b">
        <v>1</v>
      </c>
      <c r="AW672" t="b">
        <v>1</v>
      </c>
      <c r="BC672" t="str">
        <f t="shared" si="10"/>
        <v>Normal</v>
      </c>
    </row>
    <row r="673" spans="1:55" x14ac:dyDescent="0.2">
      <c r="A673" t="s">
        <v>39</v>
      </c>
      <c r="B673" t="s">
        <v>40</v>
      </c>
      <c r="C673">
        <v>20240101</v>
      </c>
      <c r="D673">
        <v>2024</v>
      </c>
      <c r="E673">
        <v>52</v>
      </c>
      <c r="F673" t="s">
        <v>357</v>
      </c>
      <c r="G673">
        <v>222</v>
      </c>
      <c r="H673" t="s">
        <v>319</v>
      </c>
      <c r="I673" t="s">
        <v>320</v>
      </c>
      <c r="J673" t="s">
        <v>44</v>
      </c>
      <c r="K673" t="s">
        <v>45</v>
      </c>
      <c r="L673">
        <v>0</v>
      </c>
      <c r="M673" t="s">
        <v>46</v>
      </c>
      <c r="N673" t="s">
        <v>47</v>
      </c>
      <c r="O673">
        <v>0</v>
      </c>
      <c r="P673" t="s">
        <v>46</v>
      </c>
      <c r="Q673" t="s">
        <v>47</v>
      </c>
      <c r="R673" t="s">
        <v>347</v>
      </c>
      <c r="S673" t="s">
        <v>49</v>
      </c>
      <c r="T673" t="b">
        <v>1</v>
      </c>
      <c r="U673" t="s">
        <v>50</v>
      </c>
      <c r="V673" t="s">
        <v>51</v>
      </c>
      <c r="W673">
        <v>4</v>
      </c>
      <c r="X673" t="b">
        <v>0</v>
      </c>
      <c r="Y673" t="s">
        <v>52</v>
      </c>
      <c r="Z673" t="s">
        <v>53</v>
      </c>
      <c r="AA673" t="s">
        <v>54</v>
      </c>
      <c r="AB673">
        <v>0</v>
      </c>
      <c r="AC673" t="s">
        <v>55</v>
      </c>
      <c r="AD673">
        <v>-1</v>
      </c>
      <c r="AE673" t="s">
        <v>64</v>
      </c>
      <c r="AF673">
        <v>0</v>
      </c>
      <c r="AG673" t="b">
        <v>0</v>
      </c>
      <c r="AH673">
        <v>-1</v>
      </c>
      <c r="AI673" t="s">
        <v>64</v>
      </c>
      <c r="AJ673">
        <v>0</v>
      </c>
      <c r="AK673" t="b">
        <v>0</v>
      </c>
      <c r="AM673" t="b">
        <v>0</v>
      </c>
      <c r="AN673">
        <v>0</v>
      </c>
      <c r="AO673" t="b">
        <v>0</v>
      </c>
      <c r="AQ673">
        <v>69326.31</v>
      </c>
      <c r="AR673">
        <v>69326.31</v>
      </c>
      <c r="AS673">
        <v>0</v>
      </c>
      <c r="AT673" t="b">
        <v>0</v>
      </c>
      <c r="AU673" t="b">
        <v>1</v>
      </c>
      <c r="AV673" t="b">
        <v>1</v>
      </c>
      <c r="AW673" t="b">
        <v>1</v>
      </c>
      <c r="BC673" t="str">
        <f t="shared" si="10"/>
        <v>Normal</v>
      </c>
    </row>
    <row r="674" spans="1:55" x14ac:dyDescent="0.2">
      <c r="A674" t="s">
        <v>39</v>
      </c>
      <c r="B674" t="s">
        <v>40</v>
      </c>
      <c r="C674">
        <v>20240101</v>
      </c>
      <c r="D674">
        <v>2024</v>
      </c>
      <c r="E674">
        <v>52</v>
      </c>
      <c r="F674" t="s">
        <v>357</v>
      </c>
      <c r="G674">
        <v>233</v>
      </c>
      <c r="H674" t="s">
        <v>124</v>
      </c>
      <c r="I674" t="s">
        <v>125</v>
      </c>
      <c r="J674" t="s">
        <v>44</v>
      </c>
      <c r="K674" t="s">
        <v>45</v>
      </c>
      <c r="L674">
        <v>0</v>
      </c>
      <c r="M674" t="s">
        <v>46</v>
      </c>
      <c r="N674" t="s">
        <v>47</v>
      </c>
      <c r="O674">
        <v>0</v>
      </c>
      <c r="P674" t="s">
        <v>46</v>
      </c>
      <c r="Q674" t="s">
        <v>47</v>
      </c>
      <c r="R674" t="s">
        <v>347</v>
      </c>
      <c r="S674" t="s">
        <v>49</v>
      </c>
      <c r="T674" t="b">
        <v>1</v>
      </c>
      <c r="U674" t="s">
        <v>50</v>
      </c>
      <c r="V674" t="s">
        <v>51</v>
      </c>
      <c r="W674">
        <v>4</v>
      </c>
      <c r="X674" t="b">
        <v>0</v>
      </c>
      <c r="Y674" t="s">
        <v>52</v>
      </c>
      <c r="Z674" t="s">
        <v>53</v>
      </c>
      <c r="AA674" t="s">
        <v>54</v>
      </c>
      <c r="AB674">
        <v>0</v>
      </c>
      <c r="AC674" t="s">
        <v>55</v>
      </c>
      <c r="AD674">
        <v>8</v>
      </c>
      <c r="AE674" t="s">
        <v>56</v>
      </c>
      <c r="AF674">
        <v>2328.893</v>
      </c>
      <c r="AG674" t="b">
        <v>0</v>
      </c>
      <c r="AH674">
        <v>15</v>
      </c>
      <c r="AI674" t="s">
        <v>59</v>
      </c>
      <c r="AJ674">
        <v>2328893.3190000001</v>
      </c>
      <c r="AK674" t="b">
        <v>0</v>
      </c>
      <c r="AL674">
        <v>2328.9</v>
      </c>
      <c r="AM674" t="b">
        <v>0</v>
      </c>
      <c r="AN674">
        <v>0</v>
      </c>
      <c r="AO674" t="b">
        <v>0</v>
      </c>
      <c r="AQ674">
        <v>179593193.11000001</v>
      </c>
      <c r="AR674">
        <v>179593193.11000001</v>
      </c>
      <c r="AS674">
        <v>0</v>
      </c>
      <c r="AT674" t="b">
        <v>0</v>
      </c>
      <c r="AU674" t="b">
        <v>1</v>
      </c>
      <c r="AV674" t="b">
        <v>1</v>
      </c>
      <c r="AW674" t="b">
        <v>1</v>
      </c>
      <c r="BC674" t="str">
        <f t="shared" si="10"/>
        <v>Normal</v>
      </c>
    </row>
    <row r="675" spans="1:55" x14ac:dyDescent="0.2">
      <c r="A675" t="s">
        <v>39</v>
      </c>
      <c r="B675" t="s">
        <v>40</v>
      </c>
      <c r="C675">
        <v>20240101</v>
      </c>
      <c r="D675">
        <v>2024</v>
      </c>
      <c r="E675">
        <v>52</v>
      </c>
      <c r="F675" t="s">
        <v>357</v>
      </c>
      <c r="G675">
        <v>242</v>
      </c>
      <c r="H675" t="s">
        <v>126</v>
      </c>
      <c r="I675" t="s">
        <v>127</v>
      </c>
      <c r="J675" t="s">
        <v>44</v>
      </c>
      <c r="K675" t="s">
        <v>45</v>
      </c>
      <c r="L675">
        <v>0</v>
      </c>
      <c r="M675" t="s">
        <v>46</v>
      </c>
      <c r="N675" t="s">
        <v>47</v>
      </c>
      <c r="O675">
        <v>0</v>
      </c>
      <c r="P675" t="s">
        <v>46</v>
      </c>
      <c r="Q675" t="s">
        <v>47</v>
      </c>
      <c r="R675" t="s">
        <v>347</v>
      </c>
      <c r="S675" t="s">
        <v>49</v>
      </c>
      <c r="T675" t="b">
        <v>1</v>
      </c>
      <c r="U675" t="s">
        <v>50</v>
      </c>
      <c r="V675" t="s">
        <v>51</v>
      </c>
      <c r="W675">
        <v>4</v>
      </c>
      <c r="X675" t="b">
        <v>0</v>
      </c>
      <c r="Y675" t="s">
        <v>52</v>
      </c>
      <c r="Z675" t="s">
        <v>53</v>
      </c>
      <c r="AA675" t="s">
        <v>54</v>
      </c>
      <c r="AB675">
        <v>0</v>
      </c>
      <c r="AC675" t="s">
        <v>55</v>
      </c>
      <c r="AD675">
        <v>-1</v>
      </c>
      <c r="AE675" t="s">
        <v>64</v>
      </c>
      <c r="AF675">
        <v>0</v>
      </c>
      <c r="AG675" t="b">
        <v>0</v>
      </c>
      <c r="AH675">
        <v>-1</v>
      </c>
      <c r="AI675" t="s">
        <v>64</v>
      </c>
      <c r="AJ675">
        <v>0</v>
      </c>
      <c r="AK675" t="b">
        <v>0</v>
      </c>
      <c r="AM675" t="b">
        <v>0</v>
      </c>
      <c r="AN675">
        <v>0</v>
      </c>
      <c r="AO675" t="b">
        <v>0</v>
      </c>
      <c r="AQ675">
        <v>74135716.563999996</v>
      </c>
      <c r="AR675">
        <v>74135716.563999996</v>
      </c>
      <c r="AS675">
        <v>0</v>
      </c>
      <c r="AT675" t="b">
        <v>0</v>
      </c>
      <c r="AU675" t="b">
        <v>1</v>
      </c>
      <c r="AV675" t="b">
        <v>1</v>
      </c>
      <c r="AW675" t="b">
        <v>1</v>
      </c>
      <c r="BC675" t="str">
        <f t="shared" si="10"/>
        <v>Normal</v>
      </c>
    </row>
    <row r="676" spans="1:55" x14ac:dyDescent="0.2">
      <c r="A676" t="s">
        <v>39</v>
      </c>
      <c r="B676" t="s">
        <v>40</v>
      </c>
      <c r="C676">
        <v>20240101</v>
      </c>
      <c r="D676">
        <v>2024</v>
      </c>
      <c r="E676">
        <v>52</v>
      </c>
      <c r="F676" t="s">
        <v>357</v>
      </c>
      <c r="G676">
        <v>246</v>
      </c>
      <c r="H676" t="s">
        <v>128</v>
      </c>
      <c r="I676" t="s">
        <v>129</v>
      </c>
      <c r="J676" t="s">
        <v>44</v>
      </c>
      <c r="K676" t="s">
        <v>45</v>
      </c>
      <c r="L676">
        <v>0</v>
      </c>
      <c r="M676" t="s">
        <v>46</v>
      </c>
      <c r="N676" t="s">
        <v>47</v>
      </c>
      <c r="O676">
        <v>0</v>
      </c>
      <c r="P676" t="s">
        <v>46</v>
      </c>
      <c r="Q676" t="s">
        <v>47</v>
      </c>
      <c r="R676" t="s">
        <v>347</v>
      </c>
      <c r="S676" t="s">
        <v>49</v>
      </c>
      <c r="T676" t="b">
        <v>1</v>
      </c>
      <c r="U676" t="s">
        <v>50</v>
      </c>
      <c r="V676" t="s">
        <v>51</v>
      </c>
      <c r="W676">
        <v>4</v>
      </c>
      <c r="X676" t="b">
        <v>0</v>
      </c>
      <c r="Y676" t="s">
        <v>52</v>
      </c>
      <c r="Z676" t="s">
        <v>53</v>
      </c>
      <c r="AA676" t="s">
        <v>54</v>
      </c>
      <c r="AB676">
        <v>0</v>
      </c>
      <c r="AC676" t="s">
        <v>55</v>
      </c>
      <c r="AD676">
        <v>8</v>
      </c>
      <c r="AE676" t="s">
        <v>56</v>
      </c>
      <c r="AF676">
        <v>197.68199999999999</v>
      </c>
      <c r="AG676" t="b">
        <v>0</v>
      </c>
      <c r="AH676">
        <v>8</v>
      </c>
      <c r="AI676" t="s">
        <v>56</v>
      </c>
      <c r="AJ676">
        <v>197.68199999999999</v>
      </c>
      <c r="AK676" t="b">
        <v>0</v>
      </c>
      <c r="AL676">
        <v>202.75800000000001</v>
      </c>
      <c r="AM676" t="b">
        <v>0</v>
      </c>
      <c r="AN676">
        <v>0</v>
      </c>
      <c r="AO676" t="b">
        <v>0</v>
      </c>
      <c r="AQ676">
        <v>2393366.41</v>
      </c>
      <c r="AR676">
        <v>2393366.41</v>
      </c>
      <c r="AS676">
        <v>0</v>
      </c>
      <c r="AT676" t="b">
        <v>0</v>
      </c>
      <c r="AU676" t="b">
        <v>1</v>
      </c>
      <c r="AV676" t="b">
        <v>1</v>
      </c>
      <c r="AW676" t="b">
        <v>1</v>
      </c>
      <c r="BC676" t="str">
        <f t="shared" si="10"/>
        <v>Normal</v>
      </c>
    </row>
    <row r="677" spans="1:55" x14ac:dyDescent="0.2">
      <c r="A677" t="s">
        <v>39</v>
      </c>
      <c r="B677" t="s">
        <v>40</v>
      </c>
      <c r="C677">
        <v>20240101</v>
      </c>
      <c r="D677">
        <v>2024</v>
      </c>
      <c r="E677">
        <v>52</v>
      </c>
      <c r="F677" t="s">
        <v>357</v>
      </c>
      <c r="G677">
        <v>251</v>
      </c>
      <c r="H677" t="s">
        <v>130</v>
      </c>
      <c r="I677" t="s">
        <v>131</v>
      </c>
      <c r="J677" t="s">
        <v>44</v>
      </c>
      <c r="K677" t="s">
        <v>45</v>
      </c>
      <c r="L677">
        <v>0</v>
      </c>
      <c r="M677" t="s">
        <v>46</v>
      </c>
      <c r="N677" t="s">
        <v>47</v>
      </c>
      <c r="O677">
        <v>0</v>
      </c>
      <c r="P677" t="s">
        <v>46</v>
      </c>
      <c r="Q677" t="s">
        <v>47</v>
      </c>
      <c r="R677" t="s">
        <v>347</v>
      </c>
      <c r="S677" t="s">
        <v>49</v>
      </c>
      <c r="T677" t="b">
        <v>1</v>
      </c>
      <c r="U677" t="s">
        <v>50</v>
      </c>
      <c r="V677" t="s">
        <v>51</v>
      </c>
      <c r="W677">
        <v>4</v>
      </c>
      <c r="X677" t="b">
        <v>0</v>
      </c>
      <c r="Y677" t="s">
        <v>52</v>
      </c>
      <c r="Z677" t="s">
        <v>53</v>
      </c>
      <c r="AA677" t="s">
        <v>54</v>
      </c>
      <c r="AB677">
        <v>0</v>
      </c>
      <c r="AC677" t="s">
        <v>55</v>
      </c>
      <c r="AD677">
        <v>-1</v>
      </c>
      <c r="AE677" t="s">
        <v>64</v>
      </c>
      <c r="AF677">
        <v>0</v>
      </c>
      <c r="AG677" t="b">
        <v>0</v>
      </c>
      <c r="AH677">
        <v>-1</v>
      </c>
      <c r="AI677" t="s">
        <v>64</v>
      </c>
      <c r="AJ677">
        <v>0</v>
      </c>
      <c r="AK677" t="b">
        <v>0</v>
      </c>
      <c r="AM677" t="b">
        <v>0</v>
      </c>
      <c r="AN677">
        <v>0</v>
      </c>
      <c r="AO677" t="b">
        <v>0</v>
      </c>
      <c r="AQ677">
        <v>3547944430.4530001</v>
      </c>
      <c r="AR677">
        <v>3547944430.4530001</v>
      </c>
      <c r="AS677">
        <v>0</v>
      </c>
      <c r="AT677" t="b">
        <v>0</v>
      </c>
      <c r="AU677" t="b">
        <v>1</v>
      </c>
      <c r="AV677" t="b">
        <v>1</v>
      </c>
      <c r="AW677" t="b">
        <v>1</v>
      </c>
      <c r="BC677" t="str">
        <f t="shared" si="10"/>
        <v>Normal</v>
      </c>
    </row>
    <row r="678" spans="1:55" x14ac:dyDescent="0.2">
      <c r="A678" t="s">
        <v>39</v>
      </c>
      <c r="B678" t="s">
        <v>40</v>
      </c>
      <c r="C678">
        <v>20240101</v>
      </c>
      <c r="D678">
        <v>2024</v>
      </c>
      <c r="E678">
        <v>52</v>
      </c>
      <c r="F678" t="s">
        <v>357</v>
      </c>
      <c r="G678">
        <v>258</v>
      </c>
      <c r="H678" t="s">
        <v>132</v>
      </c>
      <c r="I678" t="s">
        <v>133</v>
      </c>
      <c r="J678" t="s">
        <v>44</v>
      </c>
      <c r="K678" t="s">
        <v>45</v>
      </c>
      <c r="L678">
        <v>0</v>
      </c>
      <c r="M678" t="s">
        <v>46</v>
      </c>
      <c r="N678" t="s">
        <v>47</v>
      </c>
      <c r="O678">
        <v>0</v>
      </c>
      <c r="P678" t="s">
        <v>46</v>
      </c>
      <c r="Q678" t="s">
        <v>47</v>
      </c>
      <c r="R678" t="s">
        <v>48</v>
      </c>
      <c r="S678" t="s">
        <v>49</v>
      </c>
      <c r="T678" t="b">
        <v>1</v>
      </c>
      <c r="U678" t="s">
        <v>50</v>
      </c>
      <c r="V678" t="s">
        <v>51</v>
      </c>
      <c r="W678">
        <v>4</v>
      </c>
      <c r="X678" t="b">
        <v>0</v>
      </c>
      <c r="Y678" t="s">
        <v>52</v>
      </c>
      <c r="Z678" t="s">
        <v>53</v>
      </c>
      <c r="AA678" t="s">
        <v>54</v>
      </c>
      <c r="AB678">
        <v>0</v>
      </c>
      <c r="AC678" t="s">
        <v>55</v>
      </c>
      <c r="AD678">
        <v>8</v>
      </c>
      <c r="AE678" t="s">
        <v>56</v>
      </c>
      <c r="AF678">
        <v>12.446</v>
      </c>
      <c r="AG678" t="b">
        <v>0</v>
      </c>
      <c r="AH678">
        <v>8</v>
      </c>
      <c r="AI678" t="s">
        <v>56</v>
      </c>
      <c r="AJ678">
        <v>12.446</v>
      </c>
      <c r="AK678" t="b">
        <v>0</v>
      </c>
      <c r="AL678">
        <v>12.446</v>
      </c>
      <c r="AM678" t="b">
        <v>0</v>
      </c>
      <c r="AN678">
        <v>0</v>
      </c>
      <c r="AO678" t="b">
        <v>0</v>
      </c>
      <c r="AQ678">
        <v>322769.23499999999</v>
      </c>
      <c r="AR678">
        <v>322769.23499999999</v>
      </c>
      <c r="AS678">
        <v>0</v>
      </c>
      <c r="AT678" t="b">
        <v>0</v>
      </c>
      <c r="AU678" t="b">
        <v>1</v>
      </c>
      <c r="AV678" t="b">
        <v>1</v>
      </c>
      <c r="AW678" t="b">
        <v>1</v>
      </c>
      <c r="BC678" t="str">
        <f t="shared" si="10"/>
        <v>Normal</v>
      </c>
    </row>
    <row r="679" spans="1:55" x14ac:dyDescent="0.2">
      <c r="A679" t="s">
        <v>39</v>
      </c>
      <c r="B679" t="s">
        <v>40</v>
      </c>
      <c r="C679">
        <v>20240101</v>
      </c>
      <c r="D679">
        <v>2024</v>
      </c>
      <c r="E679">
        <v>52</v>
      </c>
      <c r="F679" t="s">
        <v>357</v>
      </c>
      <c r="G679">
        <v>268</v>
      </c>
      <c r="H679" t="s">
        <v>137</v>
      </c>
      <c r="I679" t="s">
        <v>138</v>
      </c>
      <c r="J679" t="s">
        <v>44</v>
      </c>
      <c r="K679" t="s">
        <v>45</v>
      </c>
      <c r="L679">
        <v>0</v>
      </c>
      <c r="M679" t="s">
        <v>46</v>
      </c>
      <c r="N679" t="s">
        <v>47</v>
      </c>
      <c r="O679">
        <v>0</v>
      </c>
      <c r="P679" t="s">
        <v>46</v>
      </c>
      <c r="Q679" t="s">
        <v>47</v>
      </c>
      <c r="R679" t="s">
        <v>48</v>
      </c>
      <c r="S679" t="s">
        <v>49</v>
      </c>
      <c r="T679" t="b">
        <v>1</v>
      </c>
      <c r="U679" t="s">
        <v>50</v>
      </c>
      <c r="V679" t="s">
        <v>51</v>
      </c>
      <c r="W679">
        <v>4</v>
      </c>
      <c r="X679" t="b">
        <v>0</v>
      </c>
      <c r="Y679" t="s">
        <v>52</v>
      </c>
      <c r="Z679" t="s">
        <v>53</v>
      </c>
      <c r="AA679" t="s">
        <v>54</v>
      </c>
      <c r="AB679">
        <v>0</v>
      </c>
      <c r="AC679" t="s">
        <v>55</v>
      </c>
      <c r="AD679">
        <v>8</v>
      </c>
      <c r="AE679" t="s">
        <v>56</v>
      </c>
      <c r="AF679">
        <v>2666.0639999999999</v>
      </c>
      <c r="AG679" t="b">
        <v>0</v>
      </c>
      <c r="AH679">
        <v>8</v>
      </c>
      <c r="AI679" t="s">
        <v>56</v>
      </c>
      <c r="AJ679">
        <v>2666.0639999999999</v>
      </c>
      <c r="AK679" t="b">
        <v>0</v>
      </c>
      <c r="AL679">
        <v>2665.9789999999998</v>
      </c>
      <c r="AM679" t="b">
        <v>0</v>
      </c>
      <c r="AN679">
        <v>0</v>
      </c>
      <c r="AO679" t="b">
        <v>0</v>
      </c>
      <c r="AQ679">
        <v>104699396.05500001</v>
      </c>
      <c r="AR679">
        <v>104699396.05500001</v>
      </c>
      <c r="AS679">
        <v>0</v>
      </c>
      <c r="AT679" t="b">
        <v>0</v>
      </c>
      <c r="AU679" t="b">
        <v>1</v>
      </c>
      <c r="AV679" t="b">
        <v>1</v>
      </c>
      <c r="AW679" t="b">
        <v>1</v>
      </c>
      <c r="BC679" t="str">
        <f t="shared" si="10"/>
        <v>Normal</v>
      </c>
    </row>
    <row r="680" spans="1:55" x14ac:dyDescent="0.2">
      <c r="A680" t="s">
        <v>39</v>
      </c>
      <c r="B680" t="s">
        <v>40</v>
      </c>
      <c r="C680">
        <v>20240101</v>
      </c>
      <c r="D680">
        <v>2024</v>
      </c>
      <c r="E680">
        <v>52</v>
      </c>
      <c r="F680" t="s">
        <v>357</v>
      </c>
      <c r="G680">
        <v>276</v>
      </c>
      <c r="H680" t="s">
        <v>139</v>
      </c>
      <c r="I680" t="s">
        <v>140</v>
      </c>
      <c r="J680" t="s">
        <v>44</v>
      </c>
      <c r="K680" t="s">
        <v>45</v>
      </c>
      <c r="L680">
        <v>0</v>
      </c>
      <c r="M680" t="s">
        <v>46</v>
      </c>
      <c r="N680" t="s">
        <v>47</v>
      </c>
      <c r="O680">
        <v>0</v>
      </c>
      <c r="P680" t="s">
        <v>46</v>
      </c>
      <c r="Q680" t="s">
        <v>47</v>
      </c>
      <c r="R680" t="s">
        <v>347</v>
      </c>
      <c r="S680" t="s">
        <v>49</v>
      </c>
      <c r="T680" t="b">
        <v>1</v>
      </c>
      <c r="U680" t="s">
        <v>50</v>
      </c>
      <c r="V680" t="s">
        <v>51</v>
      </c>
      <c r="W680">
        <v>4</v>
      </c>
      <c r="X680" t="b">
        <v>0</v>
      </c>
      <c r="Y680" t="s">
        <v>52</v>
      </c>
      <c r="Z680" t="s">
        <v>53</v>
      </c>
      <c r="AA680" t="s">
        <v>54</v>
      </c>
      <c r="AB680">
        <v>0</v>
      </c>
      <c r="AC680" t="s">
        <v>55</v>
      </c>
      <c r="AD680">
        <v>8</v>
      </c>
      <c r="AE680" t="s">
        <v>56</v>
      </c>
      <c r="AF680">
        <v>219453.75099999999</v>
      </c>
      <c r="AG680" t="b">
        <v>1</v>
      </c>
      <c r="AH680">
        <v>-1</v>
      </c>
      <c r="AI680" t="s">
        <v>64</v>
      </c>
      <c r="AJ680">
        <v>0</v>
      </c>
      <c r="AK680" t="b">
        <v>0</v>
      </c>
      <c r="AL680" s="1">
        <v>219355.55499999999</v>
      </c>
      <c r="AM680" t="b">
        <v>1</v>
      </c>
      <c r="AN680">
        <v>0</v>
      </c>
      <c r="AO680" t="b">
        <v>0</v>
      </c>
      <c r="AQ680">
        <v>14700722392.57</v>
      </c>
      <c r="AR680">
        <v>14700722392.57</v>
      </c>
      <c r="AS680">
        <v>6</v>
      </c>
      <c r="AT680" t="b">
        <v>0</v>
      </c>
      <c r="AU680" t="b">
        <v>1</v>
      </c>
      <c r="AV680" t="b">
        <v>1</v>
      </c>
      <c r="AW680" t="b">
        <v>1</v>
      </c>
      <c r="BC680" t="str">
        <f t="shared" si="10"/>
        <v>Outlier</v>
      </c>
    </row>
    <row r="681" spans="1:55" x14ac:dyDescent="0.2">
      <c r="A681" t="s">
        <v>39</v>
      </c>
      <c r="B681" t="s">
        <v>40</v>
      </c>
      <c r="C681">
        <v>20240101</v>
      </c>
      <c r="D681">
        <v>2024</v>
      </c>
      <c r="E681">
        <v>52</v>
      </c>
      <c r="F681" t="s">
        <v>357</v>
      </c>
      <c r="G681">
        <v>300</v>
      </c>
      <c r="H681" t="s">
        <v>143</v>
      </c>
      <c r="I681" t="s">
        <v>144</v>
      </c>
      <c r="J681" t="s">
        <v>44</v>
      </c>
      <c r="K681" t="s">
        <v>45</v>
      </c>
      <c r="L681">
        <v>0</v>
      </c>
      <c r="M681" t="s">
        <v>46</v>
      </c>
      <c r="N681" t="s">
        <v>47</v>
      </c>
      <c r="O681">
        <v>0</v>
      </c>
      <c r="P681" t="s">
        <v>46</v>
      </c>
      <c r="Q681" t="s">
        <v>47</v>
      </c>
      <c r="R681" t="s">
        <v>347</v>
      </c>
      <c r="S681" t="s">
        <v>49</v>
      </c>
      <c r="T681" t="b">
        <v>1</v>
      </c>
      <c r="U681" t="s">
        <v>50</v>
      </c>
      <c r="V681" t="s">
        <v>51</v>
      </c>
      <c r="W681">
        <v>4</v>
      </c>
      <c r="X681" t="b">
        <v>0</v>
      </c>
      <c r="Y681" t="s">
        <v>52</v>
      </c>
      <c r="Z681" t="s">
        <v>53</v>
      </c>
      <c r="AA681" t="s">
        <v>54</v>
      </c>
      <c r="AB681">
        <v>0</v>
      </c>
      <c r="AC681" t="s">
        <v>55</v>
      </c>
      <c r="AD681">
        <v>-1</v>
      </c>
      <c r="AE681" t="s">
        <v>64</v>
      </c>
      <c r="AF681">
        <v>0</v>
      </c>
      <c r="AG681" t="b">
        <v>0</v>
      </c>
      <c r="AH681">
        <v>-1</v>
      </c>
      <c r="AI681" t="s">
        <v>64</v>
      </c>
      <c r="AJ681">
        <v>0</v>
      </c>
      <c r="AK681" t="b">
        <v>0</v>
      </c>
      <c r="AM681" t="b">
        <v>0</v>
      </c>
      <c r="AN681">
        <v>0</v>
      </c>
      <c r="AO681" t="b">
        <v>0</v>
      </c>
      <c r="AQ681">
        <v>15875640.051000001</v>
      </c>
      <c r="AR681">
        <v>15875640.051000001</v>
      </c>
      <c r="AS681">
        <v>0</v>
      </c>
      <c r="AT681" t="b">
        <v>0</v>
      </c>
      <c r="AU681" t="b">
        <v>1</v>
      </c>
      <c r="AV681" t="b">
        <v>1</v>
      </c>
      <c r="AW681" t="b">
        <v>1</v>
      </c>
      <c r="BC681" t="str">
        <f t="shared" si="10"/>
        <v>Normal</v>
      </c>
    </row>
    <row r="682" spans="1:55" x14ac:dyDescent="0.2">
      <c r="A682" t="s">
        <v>39</v>
      </c>
      <c r="B682" t="s">
        <v>40</v>
      </c>
      <c r="C682">
        <v>20240101</v>
      </c>
      <c r="D682">
        <v>2024</v>
      </c>
      <c r="E682">
        <v>52</v>
      </c>
      <c r="F682" t="s">
        <v>357</v>
      </c>
      <c r="G682">
        <v>328</v>
      </c>
      <c r="H682" t="s">
        <v>145</v>
      </c>
      <c r="I682" t="s">
        <v>146</v>
      </c>
      <c r="J682" t="s">
        <v>44</v>
      </c>
      <c r="K682" t="s">
        <v>45</v>
      </c>
      <c r="L682">
        <v>0</v>
      </c>
      <c r="M682" t="s">
        <v>46</v>
      </c>
      <c r="N682" t="s">
        <v>47</v>
      </c>
      <c r="O682">
        <v>0</v>
      </c>
      <c r="P682" t="s">
        <v>46</v>
      </c>
      <c r="Q682" t="s">
        <v>47</v>
      </c>
      <c r="R682" t="s">
        <v>48</v>
      </c>
      <c r="S682" t="s">
        <v>49</v>
      </c>
      <c r="T682" t="b">
        <v>1</v>
      </c>
      <c r="U682" t="s">
        <v>50</v>
      </c>
      <c r="V682" t="s">
        <v>51</v>
      </c>
      <c r="W682">
        <v>4</v>
      </c>
      <c r="X682" t="b">
        <v>0</v>
      </c>
      <c r="Y682" t="s">
        <v>52</v>
      </c>
      <c r="Z682" t="s">
        <v>53</v>
      </c>
      <c r="AA682" t="s">
        <v>54</v>
      </c>
      <c r="AB682">
        <v>0</v>
      </c>
      <c r="AC682" t="s">
        <v>55</v>
      </c>
      <c r="AD682">
        <v>8</v>
      </c>
      <c r="AE682" t="s">
        <v>56</v>
      </c>
      <c r="AF682">
        <v>13391.46</v>
      </c>
      <c r="AG682" t="b">
        <v>0</v>
      </c>
      <c r="AH682">
        <v>5</v>
      </c>
      <c r="AI682" t="s">
        <v>312</v>
      </c>
      <c r="AJ682">
        <v>430541.74</v>
      </c>
      <c r="AK682" t="b">
        <v>0</v>
      </c>
      <c r="AL682">
        <v>13391.46</v>
      </c>
      <c r="AM682" t="b">
        <v>0</v>
      </c>
      <c r="AN682">
        <v>0</v>
      </c>
      <c r="AO682" t="b">
        <v>0</v>
      </c>
      <c r="AQ682">
        <v>956743659.727</v>
      </c>
      <c r="AR682">
        <v>956743659.727</v>
      </c>
      <c r="AS682">
        <v>0</v>
      </c>
      <c r="AT682" t="b">
        <v>0</v>
      </c>
      <c r="AU682" t="b">
        <v>1</v>
      </c>
      <c r="AV682" t="b">
        <v>1</v>
      </c>
      <c r="AW682" t="b">
        <v>1</v>
      </c>
      <c r="BC682" t="str">
        <f t="shared" si="10"/>
        <v>Normal</v>
      </c>
    </row>
    <row r="683" spans="1:55" x14ac:dyDescent="0.2">
      <c r="A683" t="s">
        <v>39</v>
      </c>
      <c r="B683" t="s">
        <v>40</v>
      </c>
      <c r="C683">
        <v>20240101</v>
      </c>
      <c r="D683">
        <v>2024</v>
      </c>
      <c r="E683">
        <v>52</v>
      </c>
      <c r="F683" t="s">
        <v>357</v>
      </c>
      <c r="G683">
        <v>340</v>
      </c>
      <c r="H683" t="s">
        <v>147</v>
      </c>
      <c r="I683" t="s">
        <v>148</v>
      </c>
      <c r="J683" t="s">
        <v>44</v>
      </c>
      <c r="K683" t="s">
        <v>45</v>
      </c>
      <c r="L683">
        <v>0</v>
      </c>
      <c r="M683" t="s">
        <v>46</v>
      </c>
      <c r="N683" t="s">
        <v>47</v>
      </c>
      <c r="O683">
        <v>0</v>
      </c>
      <c r="P683" t="s">
        <v>46</v>
      </c>
      <c r="Q683" t="s">
        <v>47</v>
      </c>
      <c r="R683" t="s">
        <v>347</v>
      </c>
      <c r="S683" t="s">
        <v>49</v>
      </c>
      <c r="T683" t="b">
        <v>1</v>
      </c>
      <c r="U683" t="s">
        <v>50</v>
      </c>
      <c r="V683" t="s">
        <v>51</v>
      </c>
      <c r="W683">
        <v>4</v>
      </c>
      <c r="X683" t="b">
        <v>0</v>
      </c>
      <c r="Y683" t="s">
        <v>52</v>
      </c>
      <c r="Z683" t="s">
        <v>53</v>
      </c>
      <c r="AA683" t="s">
        <v>54</v>
      </c>
      <c r="AB683">
        <v>0</v>
      </c>
      <c r="AC683" t="s">
        <v>55</v>
      </c>
      <c r="AD683">
        <v>8</v>
      </c>
      <c r="AE683" t="s">
        <v>56</v>
      </c>
      <c r="AF683">
        <v>2514.39</v>
      </c>
      <c r="AG683" t="b">
        <v>0</v>
      </c>
      <c r="AH683">
        <v>8</v>
      </c>
      <c r="AI683" t="s">
        <v>56</v>
      </c>
      <c r="AJ683">
        <v>2514.39</v>
      </c>
      <c r="AK683" t="b">
        <v>0</v>
      </c>
      <c r="AL683">
        <v>2514.39</v>
      </c>
      <c r="AM683" t="b">
        <v>0</v>
      </c>
      <c r="AN683">
        <v>0</v>
      </c>
      <c r="AO683" t="b">
        <v>0</v>
      </c>
      <c r="AQ683">
        <v>193244840.59999999</v>
      </c>
      <c r="AR683">
        <v>193244840.59999999</v>
      </c>
      <c r="AS683">
        <v>0</v>
      </c>
      <c r="AT683" t="b">
        <v>0</v>
      </c>
      <c r="AU683" t="b">
        <v>1</v>
      </c>
      <c r="AV683" t="b">
        <v>1</v>
      </c>
      <c r="AW683" t="b">
        <v>1</v>
      </c>
      <c r="BC683" t="str">
        <f t="shared" si="10"/>
        <v>Normal</v>
      </c>
    </row>
    <row r="684" spans="1:55" x14ac:dyDescent="0.2">
      <c r="A684" t="s">
        <v>39</v>
      </c>
      <c r="B684" t="s">
        <v>40</v>
      </c>
      <c r="C684">
        <v>20240101</v>
      </c>
      <c r="D684">
        <v>2024</v>
      </c>
      <c r="E684">
        <v>52</v>
      </c>
      <c r="F684" t="s">
        <v>357</v>
      </c>
      <c r="G684">
        <v>344</v>
      </c>
      <c r="H684" t="s">
        <v>149</v>
      </c>
      <c r="I684" t="s">
        <v>150</v>
      </c>
      <c r="J684" t="s">
        <v>44</v>
      </c>
      <c r="K684" t="s">
        <v>45</v>
      </c>
      <c r="L684">
        <v>0</v>
      </c>
      <c r="M684" t="s">
        <v>46</v>
      </c>
      <c r="N684" t="s">
        <v>47</v>
      </c>
      <c r="O684">
        <v>0</v>
      </c>
      <c r="P684" t="s">
        <v>46</v>
      </c>
      <c r="Q684" t="s">
        <v>47</v>
      </c>
      <c r="R684" t="s">
        <v>347</v>
      </c>
      <c r="S684" t="s">
        <v>49</v>
      </c>
      <c r="T684" t="b">
        <v>1</v>
      </c>
      <c r="U684" t="s">
        <v>50</v>
      </c>
      <c r="V684" t="s">
        <v>51</v>
      </c>
      <c r="W684">
        <v>4</v>
      </c>
      <c r="X684" t="b">
        <v>0</v>
      </c>
      <c r="Y684" t="s">
        <v>52</v>
      </c>
      <c r="Z684" t="s">
        <v>53</v>
      </c>
      <c r="AA684" t="s">
        <v>54</v>
      </c>
      <c r="AB684">
        <v>0</v>
      </c>
      <c r="AC684" t="s">
        <v>55</v>
      </c>
      <c r="AD684">
        <v>8</v>
      </c>
      <c r="AE684" t="s">
        <v>56</v>
      </c>
      <c r="AF684">
        <v>742483</v>
      </c>
      <c r="AG684" t="b">
        <v>0</v>
      </c>
      <c r="AH684">
        <v>8</v>
      </c>
      <c r="AI684" t="s">
        <v>56</v>
      </c>
      <c r="AJ684">
        <v>742483</v>
      </c>
      <c r="AK684" t="b">
        <v>0</v>
      </c>
      <c r="AL684" s="1">
        <v>742483</v>
      </c>
      <c r="AM684" t="b">
        <v>0</v>
      </c>
      <c r="AN684">
        <v>0</v>
      </c>
      <c r="AO684" t="b">
        <v>0</v>
      </c>
      <c r="AQ684">
        <v>56535082373.244003</v>
      </c>
      <c r="AR684">
        <v>56535082373.244003</v>
      </c>
      <c r="AS684">
        <v>0</v>
      </c>
      <c r="AT684" t="b">
        <v>0</v>
      </c>
      <c r="AU684" t="b">
        <v>1</v>
      </c>
      <c r="AV684" t="b">
        <v>1</v>
      </c>
      <c r="AW684" t="b">
        <v>1</v>
      </c>
      <c r="BC684" t="str">
        <f t="shared" si="10"/>
        <v>Outlier</v>
      </c>
    </row>
    <row r="685" spans="1:55" x14ac:dyDescent="0.2">
      <c r="A685" t="s">
        <v>39</v>
      </c>
      <c r="B685" t="s">
        <v>40</v>
      </c>
      <c r="C685">
        <v>20240101</v>
      </c>
      <c r="D685">
        <v>2024</v>
      </c>
      <c r="E685">
        <v>52</v>
      </c>
      <c r="F685" t="s">
        <v>357</v>
      </c>
      <c r="G685">
        <v>348</v>
      </c>
      <c r="H685" t="s">
        <v>151</v>
      </c>
      <c r="I685" t="s">
        <v>152</v>
      </c>
      <c r="J685" t="s">
        <v>44</v>
      </c>
      <c r="K685" t="s">
        <v>45</v>
      </c>
      <c r="L685">
        <v>0</v>
      </c>
      <c r="M685" t="s">
        <v>46</v>
      </c>
      <c r="N685" t="s">
        <v>47</v>
      </c>
      <c r="O685">
        <v>0</v>
      </c>
      <c r="P685" t="s">
        <v>46</v>
      </c>
      <c r="Q685" t="s">
        <v>47</v>
      </c>
      <c r="R685" t="s">
        <v>347</v>
      </c>
      <c r="S685" t="s">
        <v>49</v>
      </c>
      <c r="T685" t="b">
        <v>1</v>
      </c>
      <c r="U685" t="s">
        <v>50</v>
      </c>
      <c r="V685" t="s">
        <v>51</v>
      </c>
      <c r="W685">
        <v>4</v>
      </c>
      <c r="X685" t="b">
        <v>0</v>
      </c>
      <c r="Y685" t="s">
        <v>52</v>
      </c>
      <c r="Z685" t="s">
        <v>53</v>
      </c>
      <c r="AA685" t="s">
        <v>54</v>
      </c>
      <c r="AB685">
        <v>0</v>
      </c>
      <c r="AC685" t="s">
        <v>55</v>
      </c>
      <c r="AD685">
        <v>-1</v>
      </c>
      <c r="AE685" t="s">
        <v>64</v>
      </c>
      <c r="AF685">
        <v>0</v>
      </c>
      <c r="AG685" t="b">
        <v>0</v>
      </c>
      <c r="AH685">
        <v>-1</v>
      </c>
      <c r="AI685" t="s">
        <v>64</v>
      </c>
      <c r="AJ685">
        <v>0</v>
      </c>
      <c r="AK685" t="b">
        <v>0</v>
      </c>
      <c r="AL685">
        <v>0</v>
      </c>
      <c r="AM685" t="b">
        <v>1</v>
      </c>
      <c r="AN685">
        <v>0</v>
      </c>
      <c r="AO685" t="b">
        <v>0</v>
      </c>
      <c r="AQ685">
        <v>84963783</v>
      </c>
      <c r="AR685">
        <v>84963783</v>
      </c>
      <c r="AS685">
        <v>4</v>
      </c>
      <c r="AT685" t="b">
        <v>0</v>
      </c>
      <c r="AU685" t="b">
        <v>1</v>
      </c>
      <c r="AV685" t="b">
        <v>1</v>
      </c>
      <c r="AW685" t="b">
        <v>1</v>
      </c>
      <c r="BC685" t="str">
        <f t="shared" si="10"/>
        <v>Normal</v>
      </c>
    </row>
    <row r="686" spans="1:55" x14ac:dyDescent="0.2">
      <c r="A686" t="s">
        <v>39</v>
      </c>
      <c r="B686" t="s">
        <v>40</v>
      </c>
      <c r="C686">
        <v>20240101</v>
      </c>
      <c r="D686">
        <v>2024</v>
      </c>
      <c r="E686">
        <v>52</v>
      </c>
      <c r="F686" t="s">
        <v>357</v>
      </c>
      <c r="G686">
        <v>360</v>
      </c>
      <c r="H686" t="s">
        <v>155</v>
      </c>
      <c r="I686" t="s">
        <v>156</v>
      </c>
      <c r="J686" t="s">
        <v>44</v>
      </c>
      <c r="K686" t="s">
        <v>45</v>
      </c>
      <c r="L686">
        <v>0</v>
      </c>
      <c r="M686" t="s">
        <v>46</v>
      </c>
      <c r="N686" t="s">
        <v>47</v>
      </c>
      <c r="O686">
        <v>0</v>
      </c>
      <c r="P686" t="s">
        <v>46</v>
      </c>
      <c r="Q686" t="s">
        <v>47</v>
      </c>
      <c r="R686" t="s">
        <v>347</v>
      </c>
      <c r="S686" t="s">
        <v>49</v>
      </c>
      <c r="T686" t="b">
        <v>1</v>
      </c>
      <c r="U686" t="s">
        <v>50</v>
      </c>
      <c r="V686" t="s">
        <v>51</v>
      </c>
      <c r="W686">
        <v>4</v>
      </c>
      <c r="X686" t="b">
        <v>0</v>
      </c>
      <c r="Y686" t="s">
        <v>52</v>
      </c>
      <c r="Z686" t="s">
        <v>53</v>
      </c>
      <c r="AA686" t="s">
        <v>54</v>
      </c>
      <c r="AB686">
        <v>0</v>
      </c>
      <c r="AC686" t="s">
        <v>55</v>
      </c>
      <c r="AD686">
        <v>8</v>
      </c>
      <c r="AE686" t="s">
        <v>56</v>
      </c>
      <c r="AF686">
        <v>13757.67</v>
      </c>
      <c r="AG686" t="b">
        <v>0</v>
      </c>
      <c r="AH686">
        <v>8</v>
      </c>
      <c r="AI686" t="s">
        <v>56</v>
      </c>
      <c r="AJ686">
        <v>13757.67</v>
      </c>
      <c r="AK686" t="b">
        <v>0</v>
      </c>
      <c r="AL686">
        <v>13757.67</v>
      </c>
      <c r="AM686" t="b">
        <v>0</v>
      </c>
      <c r="AN686">
        <v>0</v>
      </c>
      <c r="AO686" t="b">
        <v>0</v>
      </c>
      <c r="AQ686">
        <v>1062178295.45</v>
      </c>
      <c r="AR686">
        <v>1062178295.45</v>
      </c>
      <c r="AS686">
        <v>0</v>
      </c>
      <c r="AT686" t="b">
        <v>0</v>
      </c>
      <c r="AU686" t="b">
        <v>1</v>
      </c>
      <c r="AV686" t="b">
        <v>1</v>
      </c>
      <c r="AW686" t="b">
        <v>1</v>
      </c>
      <c r="BC686" t="str">
        <f t="shared" si="10"/>
        <v>Normal</v>
      </c>
    </row>
    <row r="687" spans="1:55" x14ac:dyDescent="0.2">
      <c r="A687" t="s">
        <v>39</v>
      </c>
      <c r="B687" t="s">
        <v>40</v>
      </c>
      <c r="C687">
        <v>20240101</v>
      </c>
      <c r="D687">
        <v>2024</v>
      </c>
      <c r="E687">
        <v>52</v>
      </c>
      <c r="F687" t="s">
        <v>357</v>
      </c>
      <c r="G687">
        <v>372</v>
      </c>
      <c r="H687" t="s">
        <v>157</v>
      </c>
      <c r="I687" t="s">
        <v>158</v>
      </c>
      <c r="J687" t="s">
        <v>44</v>
      </c>
      <c r="K687" t="s">
        <v>45</v>
      </c>
      <c r="L687">
        <v>0</v>
      </c>
      <c r="M687" t="s">
        <v>46</v>
      </c>
      <c r="N687" t="s">
        <v>47</v>
      </c>
      <c r="O687">
        <v>0</v>
      </c>
      <c r="P687" t="s">
        <v>46</v>
      </c>
      <c r="Q687" t="s">
        <v>47</v>
      </c>
      <c r="R687" t="s">
        <v>347</v>
      </c>
      <c r="S687" t="s">
        <v>49</v>
      </c>
      <c r="T687" t="b">
        <v>1</v>
      </c>
      <c r="U687" t="s">
        <v>50</v>
      </c>
      <c r="V687" t="s">
        <v>51</v>
      </c>
      <c r="W687">
        <v>4</v>
      </c>
      <c r="X687" t="b">
        <v>0</v>
      </c>
      <c r="Y687" t="s">
        <v>52</v>
      </c>
      <c r="Z687" t="s">
        <v>53</v>
      </c>
      <c r="AA687" t="s">
        <v>54</v>
      </c>
      <c r="AB687">
        <v>0</v>
      </c>
      <c r="AC687" t="s">
        <v>55</v>
      </c>
      <c r="AD687">
        <v>8</v>
      </c>
      <c r="AE687" t="s">
        <v>56</v>
      </c>
      <c r="AF687">
        <v>338.55200000000002</v>
      </c>
      <c r="AG687" t="b">
        <v>0</v>
      </c>
      <c r="AH687">
        <v>15</v>
      </c>
      <c r="AI687" t="s">
        <v>59</v>
      </c>
      <c r="AJ687">
        <v>338552</v>
      </c>
      <c r="AK687" t="b">
        <v>0</v>
      </c>
      <c r="AM687" t="b">
        <v>0</v>
      </c>
      <c r="AN687">
        <v>0</v>
      </c>
      <c r="AO687" t="b">
        <v>0</v>
      </c>
      <c r="AQ687">
        <v>10976782.842</v>
      </c>
      <c r="AR687">
        <v>10976782.842</v>
      </c>
      <c r="AS687">
        <v>0</v>
      </c>
      <c r="AT687" t="b">
        <v>0</v>
      </c>
      <c r="AU687" t="b">
        <v>1</v>
      </c>
      <c r="AV687" t="b">
        <v>1</v>
      </c>
      <c r="AW687" t="b">
        <v>1</v>
      </c>
      <c r="BC687" t="str">
        <f t="shared" si="10"/>
        <v>Normal</v>
      </c>
    </row>
    <row r="688" spans="1:55" x14ac:dyDescent="0.2">
      <c r="A688" t="s">
        <v>39</v>
      </c>
      <c r="B688" t="s">
        <v>40</v>
      </c>
      <c r="C688">
        <v>20240101</v>
      </c>
      <c r="D688">
        <v>2024</v>
      </c>
      <c r="E688">
        <v>52</v>
      </c>
      <c r="F688" t="s">
        <v>357</v>
      </c>
      <c r="G688">
        <v>376</v>
      </c>
      <c r="H688" t="s">
        <v>159</v>
      </c>
      <c r="I688" t="s">
        <v>160</v>
      </c>
      <c r="J688" t="s">
        <v>44</v>
      </c>
      <c r="K688" t="s">
        <v>45</v>
      </c>
      <c r="L688">
        <v>0</v>
      </c>
      <c r="M688" t="s">
        <v>46</v>
      </c>
      <c r="N688" t="s">
        <v>47</v>
      </c>
      <c r="O688">
        <v>0</v>
      </c>
      <c r="P688" t="s">
        <v>46</v>
      </c>
      <c r="Q688" t="s">
        <v>47</v>
      </c>
      <c r="R688" t="s">
        <v>347</v>
      </c>
      <c r="S688" t="s">
        <v>49</v>
      </c>
      <c r="T688" t="b">
        <v>1</v>
      </c>
      <c r="U688" t="s">
        <v>50</v>
      </c>
      <c r="V688" t="s">
        <v>51</v>
      </c>
      <c r="W688">
        <v>4</v>
      </c>
      <c r="X688" t="b">
        <v>0</v>
      </c>
      <c r="Y688" t="s">
        <v>52</v>
      </c>
      <c r="Z688" t="s">
        <v>53</v>
      </c>
      <c r="AA688" t="s">
        <v>54</v>
      </c>
      <c r="AB688">
        <v>0</v>
      </c>
      <c r="AC688" t="s">
        <v>55</v>
      </c>
      <c r="AD688">
        <v>-1</v>
      </c>
      <c r="AE688" t="s">
        <v>64</v>
      </c>
      <c r="AF688">
        <v>0</v>
      </c>
      <c r="AG688" t="b">
        <v>0</v>
      </c>
      <c r="AH688">
        <v>-1</v>
      </c>
      <c r="AI688" t="s">
        <v>64</v>
      </c>
      <c r="AJ688">
        <v>0</v>
      </c>
      <c r="AK688" t="b">
        <v>0</v>
      </c>
      <c r="AM688" t="b">
        <v>0</v>
      </c>
      <c r="AN688">
        <v>0</v>
      </c>
      <c r="AO688" t="b">
        <v>0</v>
      </c>
      <c r="AQ688">
        <v>3132000</v>
      </c>
      <c r="AR688">
        <v>3132000</v>
      </c>
      <c r="AS688">
        <v>0</v>
      </c>
      <c r="AT688" t="b">
        <v>0</v>
      </c>
      <c r="AU688" t="b">
        <v>1</v>
      </c>
      <c r="AV688" t="b">
        <v>1</v>
      </c>
      <c r="AW688" t="b">
        <v>1</v>
      </c>
      <c r="BC688" t="str">
        <f t="shared" si="10"/>
        <v>Normal</v>
      </c>
    </row>
    <row r="689" spans="1:55" x14ac:dyDescent="0.2">
      <c r="A689" t="s">
        <v>39</v>
      </c>
      <c r="B689" t="s">
        <v>40</v>
      </c>
      <c r="C689">
        <v>20240101</v>
      </c>
      <c r="D689">
        <v>2024</v>
      </c>
      <c r="E689">
        <v>52</v>
      </c>
      <c r="F689" t="s">
        <v>357</v>
      </c>
      <c r="G689">
        <v>380</v>
      </c>
      <c r="H689" t="s">
        <v>161</v>
      </c>
      <c r="I689" t="s">
        <v>162</v>
      </c>
      <c r="J689" t="s">
        <v>44</v>
      </c>
      <c r="K689" t="s">
        <v>45</v>
      </c>
      <c r="L689">
        <v>0</v>
      </c>
      <c r="M689" t="s">
        <v>46</v>
      </c>
      <c r="N689" t="s">
        <v>47</v>
      </c>
      <c r="O689">
        <v>0</v>
      </c>
      <c r="P689" t="s">
        <v>46</v>
      </c>
      <c r="Q689" t="s">
        <v>47</v>
      </c>
      <c r="R689" t="s">
        <v>347</v>
      </c>
      <c r="S689" t="s">
        <v>49</v>
      </c>
      <c r="T689" t="b">
        <v>1</v>
      </c>
      <c r="U689" t="s">
        <v>50</v>
      </c>
      <c r="V689" t="s">
        <v>51</v>
      </c>
      <c r="W689">
        <v>4</v>
      </c>
      <c r="X689" t="b">
        <v>0</v>
      </c>
      <c r="Y689" t="s">
        <v>52</v>
      </c>
      <c r="Z689" t="s">
        <v>53</v>
      </c>
      <c r="AA689" t="s">
        <v>54</v>
      </c>
      <c r="AB689">
        <v>0</v>
      </c>
      <c r="AC689" t="s">
        <v>55</v>
      </c>
      <c r="AD689">
        <v>8</v>
      </c>
      <c r="AE689" t="s">
        <v>56</v>
      </c>
      <c r="AF689">
        <v>74784.663</v>
      </c>
      <c r="AG689" t="b">
        <v>1</v>
      </c>
      <c r="AH689">
        <v>-1</v>
      </c>
      <c r="AI689" t="s">
        <v>64</v>
      </c>
      <c r="AJ689">
        <v>0</v>
      </c>
      <c r="AK689" t="b">
        <v>0</v>
      </c>
      <c r="AM689" t="b">
        <v>0</v>
      </c>
      <c r="AN689">
        <v>0</v>
      </c>
      <c r="AO689" t="b">
        <v>0</v>
      </c>
      <c r="AQ689">
        <v>4939553122.4239998</v>
      </c>
      <c r="AR689">
        <v>4939553122.4239998</v>
      </c>
      <c r="AS689">
        <v>2</v>
      </c>
      <c r="AT689" t="b">
        <v>0</v>
      </c>
      <c r="AU689" t="b">
        <v>1</v>
      </c>
      <c r="AV689" t="b">
        <v>1</v>
      </c>
      <c r="AW689" t="b">
        <v>1</v>
      </c>
      <c r="BC689" t="str">
        <f t="shared" si="10"/>
        <v>Normal</v>
      </c>
    </row>
    <row r="690" spans="1:55" x14ac:dyDescent="0.2">
      <c r="A690" t="s">
        <v>39</v>
      </c>
      <c r="B690" t="s">
        <v>40</v>
      </c>
      <c r="C690">
        <v>20240101</v>
      </c>
      <c r="D690">
        <v>2024</v>
      </c>
      <c r="E690">
        <v>52</v>
      </c>
      <c r="F690" t="s">
        <v>357</v>
      </c>
      <c r="G690">
        <v>384</v>
      </c>
      <c r="H690" t="s">
        <v>163</v>
      </c>
      <c r="I690" t="s">
        <v>164</v>
      </c>
      <c r="J690" t="s">
        <v>44</v>
      </c>
      <c r="K690" t="s">
        <v>45</v>
      </c>
      <c r="L690">
        <v>0</v>
      </c>
      <c r="M690" t="s">
        <v>46</v>
      </c>
      <c r="N690" t="s">
        <v>47</v>
      </c>
      <c r="O690">
        <v>0</v>
      </c>
      <c r="P690" t="s">
        <v>46</v>
      </c>
      <c r="Q690" t="s">
        <v>47</v>
      </c>
      <c r="R690" t="s">
        <v>347</v>
      </c>
      <c r="S690" t="s">
        <v>49</v>
      </c>
      <c r="T690" t="b">
        <v>1</v>
      </c>
      <c r="U690" t="s">
        <v>50</v>
      </c>
      <c r="V690" t="s">
        <v>51</v>
      </c>
      <c r="W690">
        <v>4</v>
      </c>
      <c r="X690" t="b">
        <v>0</v>
      </c>
      <c r="Y690" t="s">
        <v>52</v>
      </c>
      <c r="Z690" t="s">
        <v>53</v>
      </c>
      <c r="AA690" t="s">
        <v>54</v>
      </c>
      <c r="AB690">
        <v>0</v>
      </c>
      <c r="AC690" t="s">
        <v>55</v>
      </c>
      <c r="AD690">
        <v>8</v>
      </c>
      <c r="AE690" t="s">
        <v>56</v>
      </c>
      <c r="AF690">
        <v>57106</v>
      </c>
      <c r="AG690" t="b">
        <v>0</v>
      </c>
      <c r="AH690">
        <v>8</v>
      </c>
      <c r="AI690" t="s">
        <v>56</v>
      </c>
      <c r="AJ690">
        <v>57106</v>
      </c>
      <c r="AK690" t="b">
        <v>0</v>
      </c>
      <c r="AL690">
        <v>57106</v>
      </c>
      <c r="AM690" t="b">
        <v>0</v>
      </c>
      <c r="AN690">
        <v>0</v>
      </c>
      <c r="AO690" t="b">
        <v>0</v>
      </c>
      <c r="AQ690">
        <v>3143973443.5929999</v>
      </c>
      <c r="AR690">
        <v>3143973443.5929999</v>
      </c>
      <c r="AS690">
        <v>0</v>
      </c>
      <c r="AT690" t="b">
        <v>0</v>
      </c>
      <c r="AU690" t="b">
        <v>1</v>
      </c>
      <c r="AV690" t="b">
        <v>1</v>
      </c>
      <c r="AW690" t="b">
        <v>1</v>
      </c>
      <c r="BC690" t="str">
        <f t="shared" si="10"/>
        <v>Normal</v>
      </c>
    </row>
    <row r="691" spans="1:55" x14ac:dyDescent="0.2">
      <c r="A691" t="s">
        <v>39</v>
      </c>
      <c r="B691" t="s">
        <v>40</v>
      </c>
      <c r="C691">
        <v>20240101</v>
      </c>
      <c r="D691">
        <v>2024</v>
      </c>
      <c r="E691">
        <v>52</v>
      </c>
      <c r="F691" t="s">
        <v>357</v>
      </c>
      <c r="G691">
        <v>392</v>
      </c>
      <c r="H691" t="s">
        <v>165</v>
      </c>
      <c r="I691" t="s">
        <v>166</v>
      </c>
      <c r="J691" t="s">
        <v>44</v>
      </c>
      <c r="K691" t="s">
        <v>45</v>
      </c>
      <c r="L691">
        <v>0</v>
      </c>
      <c r="M691" t="s">
        <v>46</v>
      </c>
      <c r="N691" t="s">
        <v>47</v>
      </c>
      <c r="O691">
        <v>0</v>
      </c>
      <c r="P691" t="s">
        <v>46</v>
      </c>
      <c r="Q691" t="s">
        <v>47</v>
      </c>
      <c r="R691" t="s">
        <v>347</v>
      </c>
      <c r="S691" t="s">
        <v>49</v>
      </c>
      <c r="T691" t="b">
        <v>1</v>
      </c>
      <c r="U691" t="s">
        <v>50</v>
      </c>
      <c r="V691" t="s">
        <v>51</v>
      </c>
      <c r="W691">
        <v>4</v>
      </c>
      <c r="X691" t="b">
        <v>0</v>
      </c>
      <c r="Y691" t="s">
        <v>52</v>
      </c>
      <c r="Z691" t="s">
        <v>53</v>
      </c>
      <c r="AA691" t="s">
        <v>54</v>
      </c>
      <c r="AB691">
        <v>0</v>
      </c>
      <c r="AC691" t="s">
        <v>55</v>
      </c>
      <c r="AD691">
        <v>8</v>
      </c>
      <c r="AE691" t="s">
        <v>56</v>
      </c>
      <c r="AF691">
        <v>228849.43</v>
      </c>
      <c r="AG691" t="b">
        <v>1</v>
      </c>
      <c r="AH691">
        <v>-1</v>
      </c>
      <c r="AI691" t="s">
        <v>64</v>
      </c>
      <c r="AJ691">
        <v>0</v>
      </c>
      <c r="AK691" t="b">
        <v>0</v>
      </c>
      <c r="AL691" s="1">
        <v>228849.43</v>
      </c>
      <c r="AM691" t="b">
        <v>1</v>
      </c>
      <c r="AN691">
        <v>0</v>
      </c>
      <c r="AO691" t="b">
        <v>0</v>
      </c>
      <c r="AQ691">
        <v>17837697074.404999</v>
      </c>
      <c r="AR691">
        <v>17837697074.404999</v>
      </c>
      <c r="AS691">
        <v>6</v>
      </c>
      <c r="AT691" t="b">
        <v>0</v>
      </c>
      <c r="AU691" t="b">
        <v>1</v>
      </c>
      <c r="AV691" t="b">
        <v>1</v>
      </c>
      <c r="AW691" t="b">
        <v>1</v>
      </c>
      <c r="BC691" t="str">
        <f t="shared" si="10"/>
        <v>Outlier</v>
      </c>
    </row>
    <row r="692" spans="1:55" x14ac:dyDescent="0.2">
      <c r="A692" t="s">
        <v>39</v>
      </c>
      <c r="B692" t="s">
        <v>40</v>
      </c>
      <c r="C692">
        <v>20240101</v>
      </c>
      <c r="D692">
        <v>2024</v>
      </c>
      <c r="E692">
        <v>52</v>
      </c>
      <c r="F692" t="s">
        <v>357</v>
      </c>
      <c r="G692">
        <v>398</v>
      </c>
      <c r="H692" t="s">
        <v>167</v>
      </c>
      <c r="I692" t="s">
        <v>168</v>
      </c>
      <c r="J692" t="s">
        <v>44</v>
      </c>
      <c r="K692" t="s">
        <v>45</v>
      </c>
      <c r="L692">
        <v>0</v>
      </c>
      <c r="M692" t="s">
        <v>46</v>
      </c>
      <c r="N692" t="s">
        <v>47</v>
      </c>
      <c r="O692">
        <v>0</v>
      </c>
      <c r="P692" t="s">
        <v>46</v>
      </c>
      <c r="Q692" t="s">
        <v>47</v>
      </c>
      <c r="R692" t="s">
        <v>347</v>
      </c>
      <c r="S692" t="s">
        <v>49</v>
      </c>
      <c r="T692" t="b">
        <v>1</v>
      </c>
      <c r="U692" t="s">
        <v>50</v>
      </c>
      <c r="V692" t="s">
        <v>51</v>
      </c>
      <c r="W692">
        <v>4</v>
      </c>
      <c r="X692" t="b">
        <v>0</v>
      </c>
      <c r="Y692" t="s">
        <v>52</v>
      </c>
      <c r="Z692" t="s">
        <v>53</v>
      </c>
      <c r="AA692" t="s">
        <v>54</v>
      </c>
      <c r="AB692">
        <v>0</v>
      </c>
      <c r="AC692" t="s">
        <v>55</v>
      </c>
      <c r="AD692">
        <v>-1</v>
      </c>
      <c r="AE692" t="s">
        <v>64</v>
      </c>
      <c r="AF692">
        <v>0</v>
      </c>
      <c r="AG692" t="b">
        <v>0</v>
      </c>
      <c r="AH692">
        <v>-1</v>
      </c>
      <c r="AI692" t="s">
        <v>64</v>
      </c>
      <c r="AJ692">
        <v>0</v>
      </c>
      <c r="AK692" t="b">
        <v>0</v>
      </c>
      <c r="AM692" t="b">
        <v>0</v>
      </c>
      <c r="AN692">
        <v>0</v>
      </c>
      <c r="AO692" t="b">
        <v>0</v>
      </c>
      <c r="AQ692">
        <v>418170272.05000001</v>
      </c>
      <c r="AR692">
        <v>418170272.05000001</v>
      </c>
      <c r="AS692">
        <v>0</v>
      </c>
      <c r="AT692" t="b">
        <v>0</v>
      </c>
      <c r="AU692" t="b">
        <v>1</v>
      </c>
      <c r="AV692" t="b">
        <v>1</v>
      </c>
      <c r="AW692" t="b">
        <v>1</v>
      </c>
      <c r="BC692" t="str">
        <f t="shared" si="10"/>
        <v>Normal</v>
      </c>
    </row>
    <row r="693" spans="1:55" x14ac:dyDescent="0.2">
      <c r="A693" t="s">
        <v>39</v>
      </c>
      <c r="B693" t="s">
        <v>40</v>
      </c>
      <c r="C693">
        <v>20240101</v>
      </c>
      <c r="D693">
        <v>2024</v>
      </c>
      <c r="E693">
        <v>52</v>
      </c>
      <c r="F693" t="s">
        <v>357</v>
      </c>
      <c r="G693">
        <v>404</v>
      </c>
      <c r="H693" t="s">
        <v>171</v>
      </c>
      <c r="I693" t="s">
        <v>172</v>
      </c>
      <c r="J693" t="s">
        <v>44</v>
      </c>
      <c r="K693" t="s">
        <v>45</v>
      </c>
      <c r="L693">
        <v>0</v>
      </c>
      <c r="M693" t="s">
        <v>46</v>
      </c>
      <c r="N693" t="s">
        <v>47</v>
      </c>
      <c r="O693">
        <v>0</v>
      </c>
      <c r="P693" t="s">
        <v>46</v>
      </c>
      <c r="Q693" t="s">
        <v>47</v>
      </c>
      <c r="R693" t="s">
        <v>347</v>
      </c>
      <c r="S693" t="s">
        <v>49</v>
      </c>
      <c r="T693" t="b">
        <v>1</v>
      </c>
      <c r="U693" t="s">
        <v>50</v>
      </c>
      <c r="V693" t="s">
        <v>51</v>
      </c>
      <c r="W693">
        <v>4</v>
      </c>
      <c r="X693" t="b">
        <v>0</v>
      </c>
      <c r="Y693" t="s">
        <v>52</v>
      </c>
      <c r="Z693" t="s">
        <v>53</v>
      </c>
      <c r="AA693" t="s">
        <v>54</v>
      </c>
      <c r="AB693">
        <v>0</v>
      </c>
      <c r="AC693" t="s">
        <v>55</v>
      </c>
      <c r="AD693">
        <v>8</v>
      </c>
      <c r="AE693" t="s">
        <v>56</v>
      </c>
      <c r="AF693">
        <v>32393.535</v>
      </c>
      <c r="AG693" t="b">
        <v>0</v>
      </c>
      <c r="AH693">
        <v>15</v>
      </c>
      <c r="AI693" t="s">
        <v>59</v>
      </c>
      <c r="AJ693">
        <v>32393534.5</v>
      </c>
      <c r="AK693" t="b">
        <v>0</v>
      </c>
      <c r="AL693">
        <v>29509.717000000001</v>
      </c>
      <c r="AM693" t="b">
        <v>0</v>
      </c>
      <c r="AN693">
        <v>0</v>
      </c>
      <c r="AO693" t="b">
        <v>0</v>
      </c>
      <c r="AQ693">
        <v>24065266.362</v>
      </c>
      <c r="AR693">
        <v>24065266.362</v>
      </c>
      <c r="AS693">
        <v>0</v>
      </c>
      <c r="AT693" t="b">
        <v>0</v>
      </c>
      <c r="AU693" t="b">
        <v>1</v>
      </c>
      <c r="AV693" t="b">
        <v>1</v>
      </c>
      <c r="AW693" t="b">
        <v>1</v>
      </c>
      <c r="BC693" t="str">
        <f t="shared" si="10"/>
        <v>Normal</v>
      </c>
    </row>
    <row r="694" spans="1:55" x14ac:dyDescent="0.2">
      <c r="A694" t="s">
        <v>39</v>
      </c>
      <c r="B694" t="s">
        <v>40</v>
      </c>
      <c r="C694">
        <v>20240101</v>
      </c>
      <c r="D694">
        <v>2024</v>
      </c>
      <c r="E694">
        <v>52</v>
      </c>
      <c r="F694" t="s">
        <v>357</v>
      </c>
      <c r="G694">
        <v>410</v>
      </c>
      <c r="H694" t="s">
        <v>173</v>
      </c>
      <c r="I694" t="s">
        <v>174</v>
      </c>
      <c r="J694" t="s">
        <v>44</v>
      </c>
      <c r="K694" t="s">
        <v>45</v>
      </c>
      <c r="L694">
        <v>0</v>
      </c>
      <c r="M694" t="s">
        <v>46</v>
      </c>
      <c r="N694" t="s">
        <v>47</v>
      </c>
      <c r="O694">
        <v>0</v>
      </c>
      <c r="P694" t="s">
        <v>46</v>
      </c>
      <c r="Q694" t="s">
        <v>47</v>
      </c>
      <c r="R694" t="s">
        <v>347</v>
      </c>
      <c r="S694" t="s">
        <v>49</v>
      </c>
      <c r="T694" t="b">
        <v>1</v>
      </c>
      <c r="U694" t="s">
        <v>50</v>
      </c>
      <c r="V694" t="s">
        <v>51</v>
      </c>
      <c r="W694">
        <v>4</v>
      </c>
      <c r="X694" t="b">
        <v>0</v>
      </c>
      <c r="Y694" t="s">
        <v>52</v>
      </c>
      <c r="Z694" t="s">
        <v>53</v>
      </c>
      <c r="AA694" t="s">
        <v>54</v>
      </c>
      <c r="AB694">
        <v>0</v>
      </c>
      <c r="AC694" t="s">
        <v>55</v>
      </c>
      <c r="AD694">
        <v>8</v>
      </c>
      <c r="AE694" t="s">
        <v>56</v>
      </c>
      <c r="AF694">
        <v>21009.324000000001</v>
      </c>
      <c r="AG694" t="b">
        <v>1</v>
      </c>
      <c r="AH694">
        <v>-1</v>
      </c>
      <c r="AI694" t="s">
        <v>64</v>
      </c>
      <c r="AJ694">
        <v>0</v>
      </c>
      <c r="AK694" t="b">
        <v>0</v>
      </c>
      <c r="AL694">
        <v>21009.324000000001</v>
      </c>
      <c r="AM694" t="b">
        <v>1</v>
      </c>
      <c r="AN694">
        <v>0</v>
      </c>
      <c r="AO694" t="b">
        <v>0</v>
      </c>
      <c r="AQ694">
        <v>1220670526</v>
      </c>
      <c r="AR694">
        <v>1220670526</v>
      </c>
      <c r="AS694">
        <v>6</v>
      </c>
      <c r="AT694" t="b">
        <v>0</v>
      </c>
      <c r="AU694" t="b">
        <v>1</v>
      </c>
      <c r="AV694" t="b">
        <v>1</v>
      </c>
      <c r="AW694" t="b">
        <v>1</v>
      </c>
      <c r="BC694" t="str">
        <f t="shared" si="10"/>
        <v>Normal</v>
      </c>
    </row>
    <row r="695" spans="1:55" x14ac:dyDescent="0.2">
      <c r="A695" t="s">
        <v>39</v>
      </c>
      <c r="B695" t="s">
        <v>40</v>
      </c>
      <c r="C695">
        <v>20240101</v>
      </c>
      <c r="D695">
        <v>2024</v>
      </c>
      <c r="E695">
        <v>52</v>
      </c>
      <c r="F695" t="s">
        <v>357</v>
      </c>
      <c r="G695">
        <v>414</v>
      </c>
      <c r="H695" t="s">
        <v>175</v>
      </c>
      <c r="I695" t="s">
        <v>176</v>
      </c>
      <c r="J695" t="s">
        <v>44</v>
      </c>
      <c r="K695" t="s">
        <v>45</v>
      </c>
      <c r="L695">
        <v>0</v>
      </c>
      <c r="M695" t="s">
        <v>46</v>
      </c>
      <c r="N695" t="s">
        <v>47</v>
      </c>
      <c r="O695">
        <v>0</v>
      </c>
      <c r="P695" t="s">
        <v>46</v>
      </c>
      <c r="Q695" t="s">
        <v>47</v>
      </c>
      <c r="R695" t="s">
        <v>347</v>
      </c>
      <c r="S695" t="s">
        <v>49</v>
      </c>
      <c r="T695" t="b">
        <v>1</v>
      </c>
      <c r="U695" t="s">
        <v>50</v>
      </c>
      <c r="V695" t="s">
        <v>51</v>
      </c>
      <c r="W695">
        <v>4</v>
      </c>
      <c r="X695" t="b">
        <v>0</v>
      </c>
      <c r="Y695" t="s">
        <v>52</v>
      </c>
      <c r="Z695" t="s">
        <v>53</v>
      </c>
      <c r="AA695" t="s">
        <v>54</v>
      </c>
      <c r="AB695">
        <v>0</v>
      </c>
      <c r="AC695" t="s">
        <v>55</v>
      </c>
      <c r="AD695">
        <v>8</v>
      </c>
      <c r="AE695" t="s">
        <v>56</v>
      </c>
      <c r="AF695">
        <v>3414.16</v>
      </c>
      <c r="AG695" t="b">
        <v>0</v>
      </c>
      <c r="AH695">
        <v>8</v>
      </c>
      <c r="AI695" t="s">
        <v>56</v>
      </c>
      <c r="AJ695">
        <v>3414.16</v>
      </c>
      <c r="AK695" t="b">
        <v>0</v>
      </c>
      <c r="AL695">
        <v>3414.16</v>
      </c>
      <c r="AM695" t="b">
        <v>0</v>
      </c>
      <c r="AN695">
        <v>0</v>
      </c>
      <c r="AO695" t="b">
        <v>0</v>
      </c>
      <c r="AQ695">
        <v>214103334</v>
      </c>
      <c r="AR695">
        <v>214103334</v>
      </c>
      <c r="AS695">
        <v>0</v>
      </c>
      <c r="AT695" t="b">
        <v>0</v>
      </c>
      <c r="AU695" t="b">
        <v>1</v>
      </c>
      <c r="AV695" t="b">
        <v>1</v>
      </c>
      <c r="AW695" t="b">
        <v>1</v>
      </c>
      <c r="BC695" t="str">
        <f t="shared" si="10"/>
        <v>Normal</v>
      </c>
    </row>
    <row r="696" spans="1:55" x14ac:dyDescent="0.2">
      <c r="A696" t="s">
        <v>39</v>
      </c>
      <c r="B696" t="s">
        <v>40</v>
      </c>
      <c r="C696">
        <v>20240101</v>
      </c>
      <c r="D696">
        <v>2024</v>
      </c>
      <c r="E696">
        <v>52</v>
      </c>
      <c r="F696" t="s">
        <v>357</v>
      </c>
      <c r="G696">
        <v>417</v>
      </c>
      <c r="H696" t="s">
        <v>177</v>
      </c>
      <c r="I696" t="s">
        <v>178</v>
      </c>
      <c r="J696" t="s">
        <v>44</v>
      </c>
      <c r="K696" t="s">
        <v>45</v>
      </c>
      <c r="L696">
        <v>0</v>
      </c>
      <c r="M696" t="s">
        <v>46</v>
      </c>
      <c r="N696" t="s">
        <v>47</v>
      </c>
      <c r="O696">
        <v>0</v>
      </c>
      <c r="P696" t="s">
        <v>46</v>
      </c>
      <c r="Q696" t="s">
        <v>47</v>
      </c>
      <c r="R696" t="s">
        <v>347</v>
      </c>
      <c r="S696" t="s">
        <v>49</v>
      </c>
      <c r="T696" t="b">
        <v>1</v>
      </c>
      <c r="U696" t="s">
        <v>50</v>
      </c>
      <c r="V696" t="s">
        <v>51</v>
      </c>
      <c r="W696">
        <v>4</v>
      </c>
      <c r="X696" t="b">
        <v>0</v>
      </c>
      <c r="Y696" t="s">
        <v>52</v>
      </c>
      <c r="Z696" t="s">
        <v>53</v>
      </c>
      <c r="AA696" t="s">
        <v>54</v>
      </c>
      <c r="AB696">
        <v>0</v>
      </c>
      <c r="AC696" t="s">
        <v>55</v>
      </c>
      <c r="AD696">
        <v>8</v>
      </c>
      <c r="AE696" t="s">
        <v>56</v>
      </c>
      <c r="AF696">
        <v>17148.365000000002</v>
      </c>
      <c r="AG696" t="b">
        <v>0</v>
      </c>
      <c r="AH696">
        <v>8</v>
      </c>
      <c r="AI696" t="s">
        <v>56</v>
      </c>
      <c r="AJ696">
        <v>17148.365000000002</v>
      </c>
      <c r="AK696" t="b">
        <v>0</v>
      </c>
      <c r="AL696">
        <v>17790</v>
      </c>
      <c r="AM696" t="b">
        <v>0</v>
      </c>
      <c r="AN696">
        <v>0</v>
      </c>
      <c r="AO696" t="b">
        <v>0</v>
      </c>
      <c r="AQ696">
        <v>1405979506</v>
      </c>
      <c r="AR696">
        <v>1405979506</v>
      </c>
      <c r="AS696">
        <v>0</v>
      </c>
      <c r="AT696" t="b">
        <v>0</v>
      </c>
      <c r="AU696" t="b">
        <v>1</v>
      </c>
      <c r="AV696" t="b">
        <v>1</v>
      </c>
      <c r="AW696" t="b">
        <v>1</v>
      </c>
      <c r="BC696" t="str">
        <f t="shared" si="10"/>
        <v>Normal</v>
      </c>
    </row>
    <row r="697" spans="1:55" x14ac:dyDescent="0.2">
      <c r="A697" t="s">
        <v>39</v>
      </c>
      <c r="B697" t="s">
        <v>40</v>
      </c>
      <c r="C697">
        <v>20240101</v>
      </c>
      <c r="D697">
        <v>2024</v>
      </c>
      <c r="E697">
        <v>52</v>
      </c>
      <c r="F697" t="s">
        <v>357</v>
      </c>
      <c r="G697">
        <v>422</v>
      </c>
      <c r="H697" t="s">
        <v>181</v>
      </c>
      <c r="I697" t="s">
        <v>182</v>
      </c>
      <c r="J697" t="s">
        <v>44</v>
      </c>
      <c r="K697" t="s">
        <v>45</v>
      </c>
      <c r="L697">
        <v>0</v>
      </c>
      <c r="M697" t="s">
        <v>46</v>
      </c>
      <c r="N697" t="s">
        <v>47</v>
      </c>
      <c r="O697">
        <v>0</v>
      </c>
      <c r="P697" t="s">
        <v>46</v>
      </c>
      <c r="Q697" t="s">
        <v>47</v>
      </c>
      <c r="R697" t="s">
        <v>48</v>
      </c>
      <c r="S697" t="s">
        <v>49</v>
      </c>
      <c r="T697" t="b">
        <v>1</v>
      </c>
      <c r="U697" t="s">
        <v>50</v>
      </c>
      <c r="V697" t="s">
        <v>51</v>
      </c>
      <c r="W697">
        <v>4</v>
      </c>
      <c r="X697" t="b">
        <v>0</v>
      </c>
      <c r="Y697" t="s">
        <v>52</v>
      </c>
      <c r="Z697" t="s">
        <v>53</v>
      </c>
      <c r="AA697" t="s">
        <v>54</v>
      </c>
      <c r="AB697">
        <v>0</v>
      </c>
      <c r="AC697" t="s">
        <v>55</v>
      </c>
      <c r="AD697">
        <v>8</v>
      </c>
      <c r="AE697" t="s">
        <v>56</v>
      </c>
      <c r="AF697">
        <v>3753.674</v>
      </c>
      <c r="AG697" t="b">
        <v>1</v>
      </c>
      <c r="AH697">
        <v>-1</v>
      </c>
      <c r="AI697" t="s">
        <v>64</v>
      </c>
      <c r="AJ697">
        <v>0</v>
      </c>
      <c r="AK697" t="b">
        <v>0</v>
      </c>
      <c r="AL697">
        <v>3753.674</v>
      </c>
      <c r="AM697" t="b">
        <v>1</v>
      </c>
      <c r="AN697">
        <v>0</v>
      </c>
      <c r="AO697" t="b">
        <v>0</v>
      </c>
      <c r="AQ697">
        <v>278098499</v>
      </c>
      <c r="AR697">
        <v>278098499</v>
      </c>
      <c r="AS697">
        <v>6</v>
      </c>
      <c r="AT697" t="b">
        <v>0</v>
      </c>
      <c r="AU697" t="b">
        <v>1</v>
      </c>
      <c r="AV697" t="b">
        <v>1</v>
      </c>
      <c r="AW697" t="b">
        <v>1</v>
      </c>
      <c r="BC697" t="str">
        <f t="shared" si="10"/>
        <v>Normal</v>
      </c>
    </row>
    <row r="698" spans="1:55" x14ac:dyDescent="0.2">
      <c r="A698" t="s">
        <v>39</v>
      </c>
      <c r="B698" t="s">
        <v>40</v>
      </c>
      <c r="C698">
        <v>20240101</v>
      </c>
      <c r="D698">
        <v>2024</v>
      </c>
      <c r="E698">
        <v>52</v>
      </c>
      <c r="F698" t="s">
        <v>357</v>
      </c>
      <c r="G698">
        <v>428</v>
      </c>
      <c r="H698" t="s">
        <v>183</v>
      </c>
      <c r="I698" t="s">
        <v>184</v>
      </c>
      <c r="J698" t="s">
        <v>44</v>
      </c>
      <c r="K698" t="s">
        <v>45</v>
      </c>
      <c r="L698">
        <v>0</v>
      </c>
      <c r="M698" t="s">
        <v>46</v>
      </c>
      <c r="N698" t="s">
        <v>47</v>
      </c>
      <c r="O698">
        <v>0</v>
      </c>
      <c r="P698" t="s">
        <v>46</v>
      </c>
      <c r="Q698" t="s">
        <v>47</v>
      </c>
      <c r="R698" t="s">
        <v>347</v>
      </c>
      <c r="S698" t="s">
        <v>49</v>
      </c>
      <c r="T698" t="b">
        <v>1</v>
      </c>
      <c r="U698" t="s">
        <v>50</v>
      </c>
      <c r="V698" t="s">
        <v>51</v>
      </c>
      <c r="W698">
        <v>4</v>
      </c>
      <c r="X698" t="b">
        <v>0</v>
      </c>
      <c r="Y698" t="s">
        <v>52</v>
      </c>
      <c r="Z698" t="s">
        <v>53</v>
      </c>
      <c r="AA698" t="s">
        <v>54</v>
      </c>
      <c r="AB698">
        <v>0</v>
      </c>
      <c r="AC698" t="s">
        <v>55</v>
      </c>
      <c r="AD698">
        <v>8</v>
      </c>
      <c r="AE698" t="s">
        <v>56</v>
      </c>
      <c r="AF698">
        <v>165.75899999999999</v>
      </c>
      <c r="AG698" t="b">
        <v>0</v>
      </c>
      <c r="AH698">
        <v>8</v>
      </c>
      <c r="AI698" t="s">
        <v>56</v>
      </c>
      <c r="AJ698">
        <v>165.75899999999999</v>
      </c>
      <c r="AK698" t="b">
        <v>0</v>
      </c>
      <c r="AL698">
        <v>170.482</v>
      </c>
      <c r="AM698" t="b">
        <v>0</v>
      </c>
      <c r="AN698">
        <v>0</v>
      </c>
      <c r="AO698" t="b">
        <v>0</v>
      </c>
      <c r="AQ698">
        <v>8747475.0260000005</v>
      </c>
      <c r="AR698">
        <v>8747475.0260000005</v>
      </c>
      <c r="AS698">
        <v>0</v>
      </c>
      <c r="AT698" t="b">
        <v>0</v>
      </c>
      <c r="AU698" t="b">
        <v>1</v>
      </c>
      <c r="AV698" t="b">
        <v>1</v>
      </c>
      <c r="AW698" t="b">
        <v>1</v>
      </c>
      <c r="BC698" t="str">
        <f t="shared" si="10"/>
        <v>Normal</v>
      </c>
    </row>
    <row r="699" spans="1:55" x14ac:dyDescent="0.2">
      <c r="A699" t="s">
        <v>39</v>
      </c>
      <c r="B699" t="s">
        <v>40</v>
      </c>
      <c r="C699">
        <v>20240101</v>
      </c>
      <c r="D699">
        <v>2024</v>
      </c>
      <c r="E699">
        <v>52</v>
      </c>
      <c r="F699" t="s">
        <v>357</v>
      </c>
      <c r="G699">
        <v>440</v>
      </c>
      <c r="H699" t="s">
        <v>189</v>
      </c>
      <c r="I699" t="s">
        <v>190</v>
      </c>
      <c r="J699" t="s">
        <v>44</v>
      </c>
      <c r="K699" t="s">
        <v>45</v>
      </c>
      <c r="L699">
        <v>0</v>
      </c>
      <c r="M699" t="s">
        <v>46</v>
      </c>
      <c r="N699" t="s">
        <v>47</v>
      </c>
      <c r="O699">
        <v>0</v>
      </c>
      <c r="P699" t="s">
        <v>46</v>
      </c>
      <c r="Q699" t="s">
        <v>47</v>
      </c>
      <c r="R699" t="s">
        <v>347</v>
      </c>
      <c r="S699" t="s">
        <v>49</v>
      </c>
      <c r="T699" t="b">
        <v>1</v>
      </c>
      <c r="U699" t="s">
        <v>50</v>
      </c>
      <c r="V699" t="s">
        <v>51</v>
      </c>
      <c r="W699">
        <v>4</v>
      </c>
      <c r="X699" t="b">
        <v>0</v>
      </c>
      <c r="Y699" t="s">
        <v>52</v>
      </c>
      <c r="Z699" t="s">
        <v>53</v>
      </c>
      <c r="AA699" t="s">
        <v>54</v>
      </c>
      <c r="AB699">
        <v>0</v>
      </c>
      <c r="AC699" t="s">
        <v>55</v>
      </c>
      <c r="AD699">
        <v>8</v>
      </c>
      <c r="AE699" t="s">
        <v>56</v>
      </c>
      <c r="AF699">
        <v>40.581000000000003</v>
      </c>
      <c r="AG699" t="b">
        <v>0</v>
      </c>
      <c r="AH699">
        <v>8</v>
      </c>
      <c r="AI699" t="s">
        <v>56</v>
      </c>
      <c r="AJ699">
        <v>40.581000000000003</v>
      </c>
      <c r="AK699" t="b">
        <v>0</v>
      </c>
      <c r="AL699">
        <v>40.896999999999998</v>
      </c>
      <c r="AM699" t="b">
        <v>0</v>
      </c>
      <c r="AN699">
        <v>0</v>
      </c>
      <c r="AO699" t="b">
        <v>0</v>
      </c>
      <c r="AQ699">
        <v>2348359</v>
      </c>
      <c r="AR699">
        <v>2348359</v>
      </c>
      <c r="AS699">
        <v>0</v>
      </c>
      <c r="AT699" t="b">
        <v>0</v>
      </c>
      <c r="AU699" t="b">
        <v>1</v>
      </c>
      <c r="AV699" t="b">
        <v>1</v>
      </c>
      <c r="AW699" t="b">
        <v>1</v>
      </c>
      <c r="BC699" t="str">
        <f t="shared" si="10"/>
        <v>Normal</v>
      </c>
    </row>
    <row r="700" spans="1:55" x14ac:dyDescent="0.2">
      <c r="A700" t="s">
        <v>39</v>
      </c>
      <c r="B700" t="s">
        <v>40</v>
      </c>
      <c r="C700">
        <v>20240101</v>
      </c>
      <c r="D700">
        <v>2024</v>
      </c>
      <c r="E700">
        <v>52</v>
      </c>
      <c r="F700" t="s">
        <v>357</v>
      </c>
      <c r="G700">
        <v>442</v>
      </c>
      <c r="H700" t="s">
        <v>191</v>
      </c>
      <c r="I700" t="s">
        <v>192</v>
      </c>
      <c r="J700" t="s">
        <v>44</v>
      </c>
      <c r="K700" t="s">
        <v>45</v>
      </c>
      <c r="L700">
        <v>0</v>
      </c>
      <c r="M700" t="s">
        <v>46</v>
      </c>
      <c r="N700" t="s">
        <v>47</v>
      </c>
      <c r="O700">
        <v>0</v>
      </c>
      <c r="P700" t="s">
        <v>46</v>
      </c>
      <c r="Q700" t="s">
        <v>47</v>
      </c>
      <c r="R700" t="s">
        <v>347</v>
      </c>
      <c r="S700" t="s">
        <v>49</v>
      </c>
      <c r="T700" t="b">
        <v>1</v>
      </c>
      <c r="U700" t="s">
        <v>50</v>
      </c>
      <c r="V700" t="s">
        <v>51</v>
      </c>
      <c r="W700">
        <v>4</v>
      </c>
      <c r="X700" t="b">
        <v>0</v>
      </c>
      <c r="Y700" t="s">
        <v>52</v>
      </c>
      <c r="Z700" t="s">
        <v>53</v>
      </c>
      <c r="AA700" t="s">
        <v>54</v>
      </c>
      <c r="AB700">
        <v>0</v>
      </c>
      <c r="AC700" t="s">
        <v>55</v>
      </c>
      <c r="AD700">
        <v>-1</v>
      </c>
      <c r="AE700" t="s">
        <v>64</v>
      </c>
      <c r="AF700">
        <v>0</v>
      </c>
      <c r="AG700" t="b">
        <v>0</v>
      </c>
      <c r="AH700">
        <v>15</v>
      </c>
      <c r="AI700" t="s">
        <v>59</v>
      </c>
      <c r="AJ700">
        <v>2106621.6</v>
      </c>
      <c r="AK700" t="b">
        <v>0</v>
      </c>
      <c r="AL700">
        <v>5049.0429999999997</v>
      </c>
      <c r="AM700" t="b">
        <v>0</v>
      </c>
      <c r="AN700">
        <v>0</v>
      </c>
      <c r="AO700" t="b">
        <v>0</v>
      </c>
      <c r="AQ700">
        <v>167398776.69299999</v>
      </c>
      <c r="AR700">
        <v>167398776.69299999</v>
      </c>
      <c r="AS700">
        <v>0</v>
      </c>
      <c r="AT700" t="b">
        <v>0</v>
      </c>
      <c r="AU700" t="b">
        <v>1</v>
      </c>
      <c r="AV700" t="b">
        <v>1</v>
      </c>
      <c r="AW700" t="b">
        <v>1</v>
      </c>
      <c r="BC700" t="str">
        <f t="shared" si="10"/>
        <v>Normal</v>
      </c>
    </row>
    <row r="701" spans="1:55" x14ac:dyDescent="0.2">
      <c r="A701" t="s">
        <v>39</v>
      </c>
      <c r="B701" t="s">
        <v>40</v>
      </c>
      <c r="C701">
        <v>20240101</v>
      </c>
      <c r="D701">
        <v>2024</v>
      </c>
      <c r="E701">
        <v>52</v>
      </c>
      <c r="F701" t="s">
        <v>357</v>
      </c>
      <c r="G701">
        <v>446</v>
      </c>
      <c r="H701" t="s">
        <v>323</v>
      </c>
      <c r="I701" t="s">
        <v>324</v>
      </c>
      <c r="J701" t="s">
        <v>44</v>
      </c>
      <c r="K701" t="s">
        <v>45</v>
      </c>
      <c r="L701">
        <v>0</v>
      </c>
      <c r="M701" t="s">
        <v>46</v>
      </c>
      <c r="N701" t="s">
        <v>47</v>
      </c>
      <c r="O701">
        <v>0</v>
      </c>
      <c r="P701" t="s">
        <v>46</v>
      </c>
      <c r="Q701" t="s">
        <v>47</v>
      </c>
      <c r="R701" t="s">
        <v>347</v>
      </c>
      <c r="S701" t="s">
        <v>49</v>
      </c>
      <c r="T701" t="b">
        <v>1</v>
      </c>
      <c r="U701" t="s">
        <v>50</v>
      </c>
      <c r="V701" t="s">
        <v>51</v>
      </c>
      <c r="W701">
        <v>4</v>
      </c>
      <c r="X701" t="b">
        <v>0</v>
      </c>
      <c r="Y701" t="s">
        <v>52</v>
      </c>
      <c r="Z701" t="s">
        <v>53</v>
      </c>
      <c r="AA701" t="s">
        <v>54</v>
      </c>
      <c r="AB701">
        <v>0</v>
      </c>
      <c r="AC701" t="s">
        <v>55</v>
      </c>
      <c r="AD701">
        <v>8</v>
      </c>
      <c r="AE701" t="s">
        <v>56</v>
      </c>
      <c r="AF701">
        <v>17</v>
      </c>
      <c r="AG701" t="b">
        <v>0</v>
      </c>
      <c r="AH701">
        <v>8</v>
      </c>
      <c r="AI701" t="s">
        <v>56</v>
      </c>
      <c r="AJ701">
        <v>17</v>
      </c>
      <c r="AK701" t="b">
        <v>0</v>
      </c>
      <c r="AL701">
        <v>17</v>
      </c>
      <c r="AM701" t="b">
        <v>0</v>
      </c>
      <c r="AN701">
        <v>0</v>
      </c>
      <c r="AO701" t="b">
        <v>0</v>
      </c>
      <c r="AQ701">
        <v>1155494.4580000001</v>
      </c>
      <c r="AR701">
        <v>1155494.4580000001</v>
      </c>
      <c r="AS701">
        <v>0</v>
      </c>
      <c r="AT701" t="b">
        <v>0</v>
      </c>
      <c r="AU701" t="b">
        <v>1</v>
      </c>
      <c r="AV701" t="b">
        <v>1</v>
      </c>
      <c r="AW701" t="b">
        <v>1</v>
      </c>
      <c r="BC701" t="str">
        <f t="shared" si="10"/>
        <v>Normal</v>
      </c>
    </row>
    <row r="702" spans="1:55" x14ac:dyDescent="0.2">
      <c r="A702" t="s">
        <v>39</v>
      </c>
      <c r="B702" t="s">
        <v>40</v>
      </c>
      <c r="C702">
        <v>20240101</v>
      </c>
      <c r="D702">
        <v>2024</v>
      </c>
      <c r="E702">
        <v>52</v>
      </c>
      <c r="F702" t="s">
        <v>357</v>
      </c>
      <c r="G702">
        <v>450</v>
      </c>
      <c r="H702" t="s">
        <v>193</v>
      </c>
      <c r="I702" t="s">
        <v>194</v>
      </c>
      <c r="J702" t="s">
        <v>44</v>
      </c>
      <c r="K702" t="s">
        <v>45</v>
      </c>
      <c r="L702">
        <v>0</v>
      </c>
      <c r="M702" t="s">
        <v>46</v>
      </c>
      <c r="N702" t="s">
        <v>47</v>
      </c>
      <c r="O702">
        <v>0</v>
      </c>
      <c r="P702" t="s">
        <v>46</v>
      </c>
      <c r="Q702" t="s">
        <v>47</v>
      </c>
      <c r="R702" t="s">
        <v>347</v>
      </c>
      <c r="S702" t="s">
        <v>49</v>
      </c>
      <c r="T702" t="b">
        <v>1</v>
      </c>
      <c r="U702" t="s">
        <v>50</v>
      </c>
      <c r="V702" t="s">
        <v>51</v>
      </c>
      <c r="W702">
        <v>4</v>
      </c>
      <c r="X702" t="b">
        <v>0</v>
      </c>
      <c r="Y702" t="s">
        <v>52</v>
      </c>
      <c r="Z702" t="s">
        <v>53</v>
      </c>
      <c r="AA702" t="s">
        <v>54</v>
      </c>
      <c r="AB702">
        <v>0</v>
      </c>
      <c r="AC702" t="s">
        <v>55</v>
      </c>
      <c r="AD702">
        <v>8</v>
      </c>
      <c r="AE702" t="s">
        <v>56</v>
      </c>
      <c r="AF702">
        <v>10.38</v>
      </c>
      <c r="AG702" t="b">
        <v>0</v>
      </c>
      <c r="AH702">
        <v>8</v>
      </c>
      <c r="AI702" t="s">
        <v>56</v>
      </c>
      <c r="AJ702">
        <v>10.38</v>
      </c>
      <c r="AK702" t="b">
        <v>0</v>
      </c>
      <c r="AL702">
        <v>10.38</v>
      </c>
      <c r="AM702" t="b">
        <v>0</v>
      </c>
      <c r="AN702">
        <v>0</v>
      </c>
      <c r="AO702" t="b">
        <v>0</v>
      </c>
      <c r="AQ702">
        <v>807776.77300000004</v>
      </c>
      <c r="AR702">
        <v>807776.77300000004</v>
      </c>
      <c r="AS702">
        <v>0</v>
      </c>
      <c r="AT702" t="b">
        <v>0</v>
      </c>
      <c r="AU702" t="b">
        <v>1</v>
      </c>
      <c r="AV702" t="b">
        <v>1</v>
      </c>
      <c r="AW702" t="b">
        <v>1</v>
      </c>
      <c r="BC702" t="str">
        <f t="shared" si="10"/>
        <v>Normal</v>
      </c>
    </row>
    <row r="703" spans="1:55" x14ac:dyDescent="0.2">
      <c r="A703" t="s">
        <v>39</v>
      </c>
      <c r="B703" t="s">
        <v>40</v>
      </c>
      <c r="C703">
        <v>20240101</v>
      </c>
      <c r="D703">
        <v>2024</v>
      </c>
      <c r="E703">
        <v>52</v>
      </c>
      <c r="F703" t="s">
        <v>357</v>
      </c>
      <c r="G703">
        <v>458</v>
      </c>
      <c r="H703" t="s">
        <v>195</v>
      </c>
      <c r="I703" t="s">
        <v>196</v>
      </c>
      <c r="J703" t="s">
        <v>44</v>
      </c>
      <c r="K703" t="s">
        <v>45</v>
      </c>
      <c r="L703">
        <v>0</v>
      </c>
      <c r="M703" t="s">
        <v>46</v>
      </c>
      <c r="N703" t="s">
        <v>47</v>
      </c>
      <c r="O703">
        <v>0</v>
      </c>
      <c r="P703" t="s">
        <v>46</v>
      </c>
      <c r="Q703" t="s">
        <v>47</v>
      </c>
      <c r="R703" t="s">
        <v>347</v>
      </c>
      <c r="S703" t="s">
        <v>49</v>
      </c>
      <c r="T703" t="b">
        <v>1</v>
      </c>
      <c r="U703" t="s">
        <v>50</v>
      </c>
      <c r="V703" t="s">
        <v>51</v>
      </c>
      <c r="W703">
        <v>4</v>
      </c>
      <c r="X703" t="b">
        <v>0</v>
      </c>
      <c r="Y703" t="s">
        <v>52</v>
      </c>
      <c r="Z703" t="s">
        <v>53</v>
      </c>
      <c r="AA703" t="s">
        <v>54</v>
      </c>
      <c r="AB703">
        <v>0</v>
      </c>
      <c r="AC703" t="s">
        <v>55</v>
      </c>
      <c r="AD703">
        <v>-1</v>
      </c>
      <c r="AE703" t="s">
        <v>64</v>
      </c>
      <c r="AF703">
        <v>0</v>
      </c>
      <c r="AG703" t="b">
        <v>0</v>
      </c>
      <c r="AH703">
        <v>-1</v>
      </c>
      <c r="AI703" t="s">
        <v>64</v>
      </c>
      <c r="AJ703">
        <v>0</v>
      </c>
      <c r="AK703" t="b">
        <v>0</v>
      </c>
      <c r="AM703" t="b">
        <v>0</v>
      </c>
      <c r="AN703">
        <v>0</v>
      </c>
      <c r="AO703" t="b">
        <v>0</v>
      </c>
      <c r="AQ703">
        <v>965212575.90699995</v>
      </c>
      <c r="AR703">
        <v>965212575.90699995</v>
      </c>
      <c r="AS703">
        <v>0</v>
      </c>
      <c r="AT703" t="b">
        <v>0</v>
      </c>
      <c r="AU703" t="b">
        <v>1</v>
      </c>
      <c r="AV703" t="b">
        <v>1</v>
      </c>
      <c r="AW703" t="b">
        <v>1</v>
      </c>
      <c r="BC703" t="str">
        <f t="shared" si="10"/>
        <v>Normal</v>
      </c>
    </row>
    <row r="704" spans="1:55" x14ac:dyDescent="0.2">
      <c r="A704" t="s">
        <v>39</v>
      </c>
      <c r="B704" t="s">
        <v>40</v>
      </c>
      <c r="C704">
        <v>20240101</v>
      </c>
      <c r="D704">
        <v>2024</v>
      </c>
      <c r="E704">
        <v>52</v>
      </c>
      <c r="F704" t="s">
        <v>357</v>
      </c>
      <c r="G704">
        <v>470</v>
      </c>
      <c r="H704" t="s">
        <v>199</v>
      </c>
      <c r="I704" t="s">
        <v>200</v>
      </c>
      <c r="J704" t="s">
        <v>44</v>
      </c>
      <c r="K704" t="s">
        <v>45</v>
      </c>
      <c r="L704">
        <v>0</v>
      </c>
      <c r="M704" t="s">
        <v>46</v>
      </c>
      <c r="N704" t="s">
        <v>47</v>
      </c>
      <c r="O704">
        <v>0</v>
      </c>
      <c r="P704" t="s">
        <v>46</v>
      </c>
      <c r="Q704" t="s">
        <v>47</v>
      </c>
      <c r="R704" t="s">
        <v>347</v>
      </c>
      <c r="S704" t="s">
        <v>49</v>
      </c>
      <c r="T704" t="b">
        <v>1</v>
      </c>
      <c r="U704" t="s">
        <v>50</v>
      </c>
      <c r="V704" t="s">
        <v>51</v>
      </c>
      <c r="W704">
        <v>4</v>
      </c>
      <c r="X704" t="b">
        <v>0</v>
      </c>
      <c r="Y704" t="s">
        <v>52</v>
      </c>
      <c r="Z704" t="s">
        <v>53</v>
      </c>
      <c r="AA704" t="s">
        <v>54</v>
      </c>
      <c r="AB704">
        <v>0</v>
      </c>
      <c r="AC704" t="s">
        <v>55</v>
      </c>
      <c r="AD704">
        <v>8</v>
      </c>
      <c r="AE704" t="s">
        <v>56</v>
      </c>
      <c r="AF704">
        <v>777.28499999999997</v>
      </c>
      <c r="AG704" t="b">
        <v>0</v>
      </c>
      <c r="AH704">
        <v>15</v>
      </c>
      <c r="AI704" t="s">
        <v>59</v>
      </c>
      <c r="AJ704">
        <v>777285</v>
      </c>
      <c r="AK704" t="b">
        <v>0</v>
      </c>
      <c r="AL704">
        <v>775</v>
      </c>
      <c r="AM704" t="b">
        <v>0</v>
      </c>
      <c r="AN704">
        <v>0</v>
      </c>
      <c r="AO704" t="b">
        <v>0</v>
      </c>
      <c r="AQ704">
        <v>60760081.961999997</v>
      </c>
      <c r="AR704">
        <v>60760081.961999997</v>
      </c>
      <c r="AS704">
        <v>0</v>
      </c>
      <c r="AT704" t="b">
        <v>0</v>
      </c>
      <c r="AU704" t="b">
        <v>1</v>
      </c>
      <c r="AV704" t="b">
        <v>1</v>
      </c>
      <c r="AW704" t="b">
        <v>1</v>
      </c>
      <c r="BC704" t="str">
        <f t="shared" si="10"/>
        <v>Normal</v>
      </c>
    </row>
    <row r="705" spans="1:55" x14ac:dyDescent="0.2">
      <c r="A705" t="s">
        <v>39</v>
      </c>
      <c r="B705" t="s">
        <v>40</v>
      </c>
      <c r="C705">
        <v>20240101</v>
      </c>
      <c r="D705">
        <v>2024</v>
      </c>
      <c r="E705">
        <v>52</v>
      </c>
      <c r="F705" t="s">
        <v>357</v>
      </c>
      <c r="G705">
        <v>478</v>
      </c>
      <c r="H705" t="s">
        <v>325</v>
      </c>
      <c r="I705" t="s">
        <v>326</v>
      </c>
      <c r="J705" t="s">
        <v>44</v>
      </c>
      <c r="K705" t="s">
        <v>45</v>
      </c>
      <c r="L705">
        <v>0</v>
      </c>
      <c r="M705" t="s">
        <v>46</v>
      </c>
      <c r="N705" t="s">
        <v>47</v>
      </c>
      <c r="O705">
        <v>0</v>
      </c>
      <c r="P705" t="s">
        <v>46</v>
      </c>
      <c r="Q705" t="s">
        <v>47</v>
      </c>
      <c r="R705" t="s">
        <v>347</v>
      </c>
      <c r="S705" t="s">
        <v>49</v>
      </c>
      <c r="T705" t="b">
        <v>1</v>
      </c>
      <c r="U705" t="s">
        <v>50</v>
      </c>
      <c r="V705" t="s">
        <v>51</v>
      </c>
      <c r="W705">
        <v>4</v>
      </c>
      <c r="X705" t="b">
        <v>0</v>
      </c>
      <c r="Y705" t="s">
        <v>52</v>
      </c>
      <c r="Z705" t="s">
        <v>53</v>
      </c>
      <c r="AA705" t="s">
        <v>54</v>
      </c>
      <c r="AB705">
        <v>0</v>
      </c>
      <c r="AC705" t="s">
        <v>55</v>
      </c>
      <c r="AD705">
        <v>8</v>
      </c>
      <c r="AE705" t="s">
        <v>56</v>
      </c>
      <c r="AF705">
        <v>23549.759999999998</v>
      </c>
      <c r="AG705" t="b">
        <v>0</v>
      </c>
      <c r="AH705">
        <v>8</v>
      </c>
      <c r="AI705" t="s">
        <v>56</v>
      </c>
      <c r="AJ705">
        <v>23549.759999999998</v>
      </c>
      <c r="AK705" t="b">
        <v>0</v>
      </c>
      <c r="AL705">
        <v>23549.759999999998</v>
      </c>
      <c r="AM705" t="b">
        <v>0</v>
      </c>
      <c r="AN705">
        <v>0</v>
      </c>
      <c r="AO705" t="b">
        <v>0</v>
      </c>
      <c r="AQ705">
        <v>1637579088.161</v>
      </c>
      <c r="AR705">
        <v>1637579088.161</v>
      </c>
      <c r="AS705">
        <v>0</v>
      </c>
      <c r="AT705" t="b">
        <v>0</v>
      </c>
      <c r="AU705" t="b">
        <v>1</v>
      </c>
      <c r="AV705" t="b">
        <v>1</v>
      </c>
      <c r="AW705" t="b">
        <v>1</v>
      </c>
      <c r="BC705" t="str">
        <f t="shared" si="10"/>
        <v>Normal</v>
      </c>
    </row>
    <row r="706" spans="1:55" x14ac:dyDescent="0.2">
      <c r="A706" t="s">
        <v>39</v>
      </c>
      <c r="B706" t="s">
        <v>40</v>
      </c>
      <c r="C706">
        <v>20240101</v>
      </c>
      <c r="D706">
        <v>2024</v>
      </c>
      <c r="E706">
        <v>52</v>
      </c>
      <c r="F706" t="s">
        <v>357</v>
      </c>
      <c r="G706">
        <v>480</v>
      </c>
      <c r="H706" t="s">
        <v>201</v>
      </c>
      <c r="I706" t="s">
        <v>202</v>
      </c>
      <c r="J706" t="s">
        <v>44</v>
      </c>
      <c r="K706" t="s">
        <v>45</v>
      </c>
      <c r="L706">
        <v>0</v>
      </c>
      <c r="M706" t="s">
        <v>46</v>
      </c>
      <c r="N706" t="s">
        <v>47</v>
      </c>
      <c r="O706">
        <v>0</v>
      </c>
      <c r="P706" t="s">
        <v>46</v>
      </c>
      <c r="Q706" t="s">
        <v>47</v>
      </c>
      <c r="R706" t="s">
        <v>347</v>
      </c>
      <c r="S706" t="s">
        <v>49</v>
      </c>
      <c r="T706" t="b">
        <v>1</v>
      </c>
      <c r="U706" t="s">
        <v>50</v>
      </c>
      <c r="V706" t="s">
        <v>51</v>
      </c>
      <c r="W706">
        <v>4</v>
      </c>
      <c r="X706" t="b">
        <v>0</v>
      </c>
      <c r="Y706" t="s">
        <v>52</v>
      </c>
      <c r="Z706" t="s">
        <v>53</v>
      </c>
      <c r="AA706" t="s">
        <v>54</v>
      </c>
      <c r="AB706">
        <v>0</v>
      </c>
      <c r="AC706" t="s">
        <v>55</v>
      </c>
      <c r="AD706">
        <v>8</v>
      </c>
      <c r="AE706" t="s">
        <v>56</v>
      </c>
      <c r="AF706">
        <v>33</v>
      </c>
      <c r="AG706" t="b">
        <v>0</v>
      </c>
      <c r="AH706">
        <v>8</v>
      </c>
      <c r="AI706" t="s">
        <v>56</v>
      </c>
      <c r="AJ706">
        <v>33</v>
      </c>
      <c r="AK706" t="b">
        <v>0</v>
      </c>
      <c r="AL706">
        <v>39</v>
      </c>
      <c r="AM706" t="b">
        <v>0</v>
      </c>
      <c r="AN706">
        <v>0</v>
      </c>
      <c r="AO706" t="b">
        <v>0</v>
      </c>
      <c r="AQ706">
        <v>1882064.8489999999</v>
      </c>
      <c r="AR706">
        <v>1882064.8489999999</v>
      </c>
      <c r="AS706">
        <v>0</v>
      </c>
      <c r="AT706" t="b">
        <v>0</v>
      </c>
      <c r="AU706" t="b">
        <v>1</v>
      </c>
      <c r="AV706" t="b">
        <v>1</v>
      </c>
      <c r="AW706" t="b">
        <v>1</v>
      </c>
      <c r="BC706" t="str">
        <f t="shared" si="10"/>
        <v>Normal</v>
      </c>
    </row>
    <row r="707" spans="1:55" x14ac:dyDescent="0.2">
      <c r="A707" t="s">
        <v>39</v>
      </c>
      <c r="B707" t="s">
        <v>40</v>
      </c>
      <c r="C707">
        <v>20240101</v>
      </c>
      <c r="D707">
        <v>2024</v>
      </c>
      <c r="E707">
        <v>52</v>
      </c>
      <c r="F707" t="s">
        <v>357</v>
      </c>
      <c r="G707">
        <v>484</v>
      </c>
      <c r="H707" t="s">
        <v>203</v>
      </c>
      <c r="I707" t="s">
        <v>204</v>
      </c>
      <c r="J707" t="s">
        <v>44</v>
      </c>
      <c r="K707" t="s">
        <v>45</v>
      </c>
      <c r="L707">
        <v>0</v>
      </c>
      <c r="M707" t="s">
        <v>46</v>
      </c>
      <c r="N707" t="s">
        <v>47</v>
      </c>
      <c r="O707">
        <v>0</v>
      </c>
      <c r="P707" t="s">
        <v>46</v>
      </c>
      <c r="Q707" t="s">
        <v>47</v>
      </c>
      <c r="R707" t="s">
        <v>347</v>
      </c>
      <c r="S707" t="s">
        <v>49</v>
      </c>
      <c r="T707" t="b">
        <v>1</v>
      </c>
      <c r="U707" t="s">
        <v>50</v>
      </c>
      <c r="V707" t="s">
        <v>51</v>
      </c>
      <c r="W707">
        <v>4</v>
      </c>
      <c r="X707" t="b">
        <v>0</v>
      </c>
      <c r="Y707" t="s">
        <v>52</v>
      </c>
      <c r="Z707" t="s">
        <v>53</v>
      </c>
      <c r="AA707" t="s">
        <v>54</v>
      </c>
      <c r="AB707">
        <v>0</v>
      </c>
      <c r="AC707" t="s">
        <v>55</v>
      </c>
      <c r="AD707">
        <v>-1</v>
      </c>
      <c r="AE707" t="s">
        <v>64</v>
      </c>
      <c r="AF707">
        <v>0</v>
      </c>
      <c r="AG707" t="b">
        <v>0</v>
      </c>
      <c r="AH707">
        <v>-1</v>
      </c>
      <c r="AI707" t="s">
        <v>64</v>
      </c>
      <c r="AJ707">
        <v>0</v>
      </c>
      <c r="AK707" t="b">
        <v>0</v>
      </c>
      <c r="AL707">
        <v>0</v>
      </c>
      <c r="AM707" t="b">
        <v>0</v>
      </c>
      <c r="AN707">
        <v>0</v>
      </c>
      <c r="AO707" t="b">
        <v>0</v>
      </c>
      <c r="AQ707">
        <v>3677031558</v>
      </c>
      <c r="AR707">
        <v>3677031558</v>
      </c>
      <c r="AS707">
        <v>0</v>
      </c>
      <c r="AT707" t="b">
        <v>0</v>
      </c>
      <c r="AU707" t="b">
        <v>1</v>
      </c>
      <c r="AV707" t="b">
        <v>1</v>
      </c>
      <c r="AW707" t="b">
        <v>1</v>
      </c>
      <c r="BC707" t="str">
        <f t="shared" ref="BC707:BC752" si="11">IF(OR(AL707&lt;$BA$2,AL707&gt;$BB$2),"Outlier","Normal")</f>
        <v>Normal</v>
      </c>
    </row>
    <row r="708" spans="1:55" x14ac:dyDescent="0.2">
      <c r="A708" t="s">
        <v>39</v>
      </c>
      <c r="B708" t="s">
        <v>40</v>
      </c>
      <c r="C708">
        <v>20240101</v>
      </c>
      <c r="D708">
        <v>2024</v>
      </c>
      <c r="E708">
        <v>52</v>
      </c>
      <c r="F708" t="s">
        <v>357</v>
      </c>
      <c r="G708">
        <v>490</v>
      </c>
      <c r="H708" t="s">
        <v>205</v>
      </c>
      <c r="I708" t="s">
        <v>206</v>
      </c>
      <c r="J708" t="s">
        <v>44</v>
      </c>
      <c r="K708" t="s">
        <v>45</v>
      </c>
      <c r="L708">
        <v>0</v>
      </c>
      <c r="M708" t="s">
        <v>46</v>
      </c>
      <c r="N708" t="s">
        <v>47</v>
      </c>
      <c r="O708">
        <v>0</v>
      </c>
      <c r="P708" t="s">
        <v>46</v>
      </c>
      <c r="Q708" t="s">
        <v>47</v>
      </c>
      <c r="R708" t="s">
        <v>347</v>
      </c>
      <c r="S708" t="s">
        <v>49</v>
      </c>
      <c r="T708" t="b">
        <v>1</v>
      </c>
      <c r="U708" t="s">
        <v>50</v>
      </c>
      <c r="V708" t="s">
        <v>51</v>
      </c>
      <c r="W708">
        <v>4</v>
      </c>
      <c r="X708" t="b">
        <v>0</v>
      </c>
      <c r="Y708" t="s">
        <v>52</v>
      </c>
      <c r="Z708" t="s">
        <v>53</v>
      </c>
      <c r="AA708" t="s">
        <v>54</v>
      </c>
      <c r="AB708">
        <v>0</v>
      </c>
      <c r="AC708" t="s">
        <v>55</v>
      </c>
      <c r="AD708">
        <v>8</v>
      </c>
      <c r="AE708" t="s">
        <v>56</v>
      </c>
      <c r="AF708">
        <v>17379.499</v>
      </c>
      <c r="AG708" t="b">
        <v>1</v>
      </c>
      <c r="AH708">
        <v>-1</v>
      </c>
      <c r="AI708" t="s">
        <v>64</v>
      </c>
      <c r="AJ708">
        <v>0</v>
      </c>
      <c r="AK708" t="b">
        <v>0</v>
      </c>
      <c r="AL708">
        <v>17379.499</v>
      </c>
      <c r="AM708" t="b">
        <v>1</v>
      </c>
      <c r="AN708">
        <v>0</v>
      </c>
      <c r="AO708" t="b">
        <v>0</v>
      </c>
      <c r="AQ708">
        <v>1178597827.5650001</v>
      </c>
      <c r="AR708">
        <v>1178597827.5650001</v>
      </c>
      <c r="AS708">
        <v>6</v>
      </c>
      <c r="AT708" t="b">
        <v>0</v>
      </c>
      <c r="AU708" t="b">
        <v>1</v>
      </c>
      <c r="AV708" t="b">
        <v>1</v>
      </c>
      <c r="AW708" t="b">
        <v>1</v>
      </c>
      <c r="BC708" t="str">
        <f t="shared" si="11"/>
        <v>Normal</v>
      </c>
    </row>
    <row r="709" spans="1:55" x14ac:dyDescent="0.2">
      <c r="A709" t="s">
        <v>39</v>
      </c>
      <c r="B709" t="s">
        <v>40</v>
      </c>
      <c r="C709">
        <v>20240101</v>
      </c>
      <c r="D709">
        <v>2024</v>
      </c>
      <c r="E709">
        <v>52</v>
      </c>
      <c r="F709" t="s">
        <v>357</v>
      </c>
      <c r="G709">
        <v>498</v>
      </c>
      <c r="H709" t="s">
        <v>209</v>
      </c>
      <c r="I709" t="s">
        <v>210</v>
      </c>
      <c r="J709" t="s">
        <v>44</v>
      </c>
      <c r="K709" t="s">
        <v>45</v>
      </c>
      <c r="L709">
        <v>0</v>
      </c>
      <c r="M709" t="s">
        <v>46</v>
      </c>
      <c r="N709" t="s">
        <v>47</v>
      </c>
      <c r="O709">
        <v>0</v>
      </c>
      <c r="P709" t="s">
        <v>46</v>
      </c>
      <c r="Q709" t="s">
        <v>47</v>
      </c>
      <c r="R709" t="s">
        <v>347</v>
      </c>
      <c r="S709" t="s">
        <v>49</v>
      </c>
      <c r="T709" t="b">
        <v>1</v>
      </c>
      <c r="U709" t="s">
        <v>50</v>
      </c>
      <c r="V709" t="s">
        <v>51</v>
      </c>
      <c r="W709">
        <v>4</v>
      </c>
      <c r="X709" t="b">
        <v>0</v>
      </c>
      <c r="Y709" t="s">
        <v>52</v>
      </c>
      <c r="Z709" t="s">
        <v>53</v>
      </c>
      <c r="AA709" t="s">
        <v>54</v>
      </c>
      <c r="AB709">
        <v>0</v>
      </c>
      <c r="AC709" t="s">
        <v>55</v>
      </c>
      <c r="AD709">
        <v>8</v>
      </c>
      <c r="AE709" t="s">
        <v>56</v>
      </c>
      <c r="AF709">
        <v>37.575000000000003</v>
      </c>
      <c r="AG709" t="b">
        <v>0</v>
      </c>
      <c r="AH709">
        <v>8</v>
      </c>
      <c r="AI709" t="s">
        <v>56</v>
      </c>
      <c r="AJ709">
        <v>37.575000000000003</v>
      </c>
      <c r="AK709" t="b">
        <v>0</v>
      </c>
      <c r="AL709">
        <v>36</v>
      </c>
      <c r="AM709" t="b">
        <v>0</v>
      </c>
      <c r="AN709">
        <v>0</v>
      </c>
      <c r="AO709" t="b">
        <v>0</v>
      </c>
      <c r="AQ709">
        <v>1534269</v>
      </c>
      <c r="AR709">
        <v>1534269</v>
      </c>
      <c r="AS709">
        <v>0</v>
      </c>
      <c r="AT709" t="b">
        <v>0</v>
      </c>
      <c r="AU709" t="b">
        <v>1</v>
      </c>
      <c r="AV709" t="b">
        <v>1</v>
      </c>
      <c r="AW709" t="b">
        <v>1</v>
      </c>
      <c r="BC709" t="str">
        <f t="shared" si="11"/>
        <v>Normal</v>
      </c>
    </row>
    <row r="710" spans="1:55" x14ac:dyDescent="0.2">
      <c r="A710" t="s">
        <v>39</v>
      </c>
      <c r="B710" t="s">
        <v>40</v>
      </c>
      <c r="C710">
        <v>20240101</v>
      </c>
      <c r="D710">
        <v>2024</v>
      </c>
      <c r="E710">
        <v>52</v>
      </c>
      <c r="F710" t="s">
        <v>357</v>
      </c>
      <c r="G710">
        <v>504</v>
      </c>
      <c r="H710" t="s">
        <v>211</v>
      </c>
      <c r="I710" t="s">
        <v>212</v>
      </c>
      <c r="J710" t="s">
        <v>44</v>
      </c>
      <c r="K710" t="s">
        <v>45</v>
      </c>
      <c r="L710">
        <v>0</v>
      </c>
      <c r="M710" t="s">
        <v>46</v>
      </c>
      <c r="N710" t="s">
        <v>47</v>
      </c>
      <c r="O710">
        <v>0</v>
      </c>
      <c r="P710" t="s">
        <v>46</v>
      </c>
      <c r="Q710" t="s">
        <v>47</v>
      </c>
      <c r="R710" t="s">
        <v>347</v>
      </c>
      <c r="S710" t="s">
        <v>49</v>
      </c>
      <c r="T710" t="b">
        <v>1</v>
      </c>
      <c r="U710" t="s">
        <v>50</v>
      </c>
      <c r="V710" t="s">
        <v>51</v>
      </c>
      <c r="W710">
        <v>4</v>
      </c>
      <c r="X710" t="b">
        <v>0</v>
      </c>
      <c r="Y710" t="s">
        <v>52</v>
      </c>
      <c r="Z710" t="s">
        <v>53</v>
      </c>
      <c r="AA710" t="s">
        <v>54</v>
      </c>
      <c r="AB710">
        <v>0</v>
      </c>
      <c r="AC710" t="s">
        <v>55</v>
      </c>
      <c r="AD710">
        <v>-1</v>
      </c>
      <c r="AE710" t="s">
        <v>64</v>
      </c>
      <c r="AF710">
        <v>0</v>
      </c>
      <c r="AG710" t="b">
        <v>0</v>
      </c>
      <c r="AH710">
        <v>15</v>
      </c>
      <c r="AI710" t="s">
        <v>59</v>
      </c>
      <c r="AJ710">
        <v>223686.69</v>
      </c>
      <c r="AK710" t="b">
        <v>0</v>
      </c>
      <c r="AL710">
        <v>459.47</v>
      </c>
      <c r="AM710" t="b">
        <v>0</v>
      </c>
      <c r="AN710">
        <v>0</v>
      </c>
      <c r="AO710" t="b">
        <v>0</v>
      </c>
      <c r="AQ710">
        <v>33867896.821000002</v>
      </c>
      <c r="AR710">
        <v>33867896.821000002</v>
      </c>
      <c r="AS710">
        <v>0</v>
      </c>
      <c r="AT710" t="b">
        <v>0</v>
      </c>
      <c r="AU710" t="b">
        <v>1</v>
      </c>
      <c r="AV710" t="b">
        <v>1</v>
      </c>
      <c r="AW710" t="b">
        <v>1</v>
      </c>
      <c r="BC710" t="str">
        <f t="shared" si="11"/>
        <v>Normal</v>
      </c>
    </row>
    <row r="711" spans="1:55" x14ac:dyDescent="0.2">
      <c r="A711" t="s">
        <v>39</v>
      </c>
      <c r="B711" t="s">
        <v>40</v>
      </c>
      <c r="C711">
        <v>20240101</v>
      </c>
      <c r="D711">
        <v>2024</v>
      </c>
      <c r="E711">
        <v>52</v>
      </c>
      <c r="F711" t="s">
        <v>357</v>
      </c>
      <c r="G711">
        <v>508</v>
      </c>
      <c r="H711" t="s">
        <v>213</v>
      </c>
      <c r="I711" t="s">
        <v>214</v>
      </c>
      <c r="J711" t="s">
        <v>44</v>
      </c>
      <c r="K711" t="s">
        <v>45</v>
      </c>
      <c r="L711">
        <v>0</v>
      </c>
      <c r="M711" t="s">
        <v>46</v>
      </c>
      <c r="N711" t="s">
        <v>47</v>
      </c>
      <c r="O711">
        <v>0</v>
      </c>
      <c r="P711" t="s">
        <v>46</v>
      </c>
      <c r="Q711" t="s">
        <v>47</v>
      </c>
      <c r="R711" t="s">
        <v>347</v>
      </c>
      <c r="S711" t="s">
        <v>49</v>
      </c>
      <c r="T711" t="b">
        <v>1</v>
      </c>
      <c r="U711" t="s">
        <v>50</v>
      </c>
      <c r="V711" t="s">
        <v>51</v>
      </c>
      <c r="W711">
        <v>4</v>
      </c>
      <c r="X711" t="b">
        <v>0</v>
      </c>
      <c r="Y711" t="s">
        <v>52</v>
      </c>
      <c r="Z711" t="s">
        <v>53</v>
      </c>
      <c r="AA711" t="s">
        <v>54</v>
      </c>
      <c r="AB711">
        <v>0</v>
      </c>
      <c r="AC711" t="s">
        <v>55</v>
      </c>
      <c r="AD711">
        <v>8</v>
      </c>
      <c r="AE711" t="s">
        <v>56</v>
      </c>
      <c r="AF711">
        <v>474.00400000000002</v>
      </c>
      <c r="AG711" t="b">
        <v>0</v>
      </c>
      <c r="AH711">
        <v>15</v>
      </c>
      <c r="AI711" t="s">
        <v>59</v>
      </c>
      <c r="AJ711">
        <v>474004</v>
      </c>
      <c r="AK711" t="b">
        <v>0</v>
      </c>
      <c r="AL711">
        <v>474.00400000000002</v>
      </c>
      <c r="AM711" t="b">
        <v>0</v>
      </c>
      <c r="AN711">
        <v>0</v>
      </c>
      <c r="AO711" t="b">
        <v>0</v>
      </c>
      <c r="AQ711">
        <v>27216774</v>
      </c>
      <c r="AR711">
        <v>27216774</v>
      </c>
      <c r="AS711">
        <v>0</v>
      </c>
      <c r="AT711" t="b">
        <v>0</v>
      </c>
      <c r="AU711" t="b">
        <v>1</v>
      </c>
      <c r="AV711" t="b">
        <v>1</v>
      </c>
      <c r="AW711" t="b">
        <v>1</v>
      </c>
      <c r="BC711" t="str">
        <f t="shared" si="11"/>
        <v>Normal</v>
      </c>
    </row>
    <row r="712" spans="1:55" x14ac:dyDescent="0.2">
      <c r="A712" t="s">
        <v>39</v>
      </c>
      <c r="B712" t="s">
        <v>40</v>
      </c>
      <c r="C712">
        <v>20240101</v>
      </c>
      <c r="D712">
        <v>2024</v>
      </c>
      <c r="E712">
        <v>52</v>
      </c>
      <c r="F712" t="s">
        <v>357</v>
      </c>
      <c r="G712">
        <v>516</v>
      </c>
      <c r="H712" t="s">
        <v>217</v>
      </c>
      <c r="I712" t="s">
        <v>218</v>
      </c>
      <c r="J712" t="s">
        <v>44</v>
      </c>
      <c r="K712" t="s">
        <v>45</v>
      </c>
      <c r="L712">
        <v>0</v>
      </c>
      <c r="M712" t="s">
        <v>46</v>
      </c>
      <c r="N712" t="s">
        <v>47</v>
      </c>
      <c r="O712">
        <v>0</v>
      </c>
      <c r="P712" t="s">
        <v>46</v>
      </c>
      <c r="Q712" t="s">
        <v>47</v>
      </c>
      <c r="R712" t="s">
        <v>347</v>
      </c>
      <c r="S712" t="s">
        <v>49</v>
      </c>
      <c r="T712" t="b">
        <v>1</v>
      </c>
      <c r="U712" t="s">
        <v>50</v>
      </c>
      <c r="V712" t="s">
        <v>51</v>
      </c>
      <c r="W712">
        <v>4</v>
      </c>
      <c r="X712" t="b">
        <v>0</v>
      </c>
      <c r="Y712" t="s">
        <v>52</v>
      </c>
      <c r="Z712" t="s">
        <v>53</v>
      </c>
      <c r="AA712" t="s">
        <v>54</v>
      </c>
      <c r="AB712">
        <v>0</v>
      </c>
      <c r="AC712" t="s">
        <v>55</v>
      </c>
      <c r="AD712">
        <v>8</v>
      </c>
      <c r="AE712" t="s">
        <v>56</v>
      </c>
      <c r="AF712">
        <v>11185.87</v>
      </c>
      <c r="AG712" t="b">
        <v>0</v>
      </c>
      <c r="AH712">
        <v>8</v>
      </c>
      <c r="AI712" t="s">
        <v>56</v>
      </c>
      <c r="AJ712">
        <v>11185.87</v>
      </c>
      <c r="AK712" t="b">
        <v>0</v>
      </c>
      <c r="AL712">
        <v>11185.87</v>
      </c>
      <c r="AM712" t="b">
        <v>0</v>
      </c>
      <c r="AN712">
        <v>0</v>
      </c>
      <c r="AO712" t="b">
        <v>0</v>
      </c>
      <c r="AP712">
        <v>786732250.028</v>
      </c>
      <c r="AQ712">
        <v>786732250.028</v>
      </c>
      <c r="AR712">
        <v>786732250.028</v>
      </c>
      <c r="AS712">
        <v>0</v>
      </c>
      <c r="AT712" t="b">
        <v>0</v>
      </c>
      <c r="AU712" t="b">
        <v>1</v>
      </c>
      <c r="AV712" t="b">
        <v>1</v>
      </c>
      <c r="AW712" t="b">
        <v>1</v>
      </c>
      <c r="BC712" t="str">
        <f t="shared" si="11"/>
        <v>Normal</v>
      </c>
    </row>
    <row r="713" spans="1:55" x14ac:dyDescent="0.2">
      <c r="A713" t="s">
        <v>39</v>
      </c>
      <c r="B713" t="s">
        <v>40</v>
      </c>
      <c r="C713">
        <v>20240101</v>
      </c>
      <c r="D713">
        <v>2024</v>
      </c>
      <c r="E713">
        <v>52</v>
      </c>
      <c r="F713" t="s">
        <v>357</v>
      </c>
      <c r="G713">
        <v>528</v>
      </c>
      <c r="H713" t="s">
        <v>219</v>
      </c>
      <c r="I713" t="s">
        <v>220</v>
      </c>
      <c r="J713" t="s">
        <v>44</v>
      </c>
      <c r="K713" t="s">
        <v>45</v>
      </c>
      <c r="L713">
        <v>0</v>
      </c>
      <c r="M713" t="s">
        <v>46</v>
      </c>
      <c r="N713" t="s">
        <v>47</v>
      </c>
      <c r="O713">
        <v>0</v>
      </c>
      <c r="P713" t="s">
        <v>46</v>
      </c>
      <c r="Q713" t="s">
        <v>47</v>
      </c>
      <c r="R713" t="s">
        <v>347</v>
      </c>
      <c r="S713" t="s">
        <v>49</v>
      </c>
      <c r="T713" t="b">
        <v>1</v>
      </c>
      <c r="U713" t="s">
        <v>50</v>
      </c>
      <c r="V713" t="s">
        <v>51</v>
      </c>
      <c r="W713">
        <v>4</v>
      </c>
      <c r="X713" t="b">
        <v>0</v>
      </c>
      <c r="Y713" t="s">
        <v>52</v>
      </c>
      <c r="Z713" t="s">
        <v>53</v>
      </c>
      <c r="AA713" t="s">
        <v>54</v>
      </c>
      <c r="AB713">
        <v>0</v>
      </c>
      <c r="AC713" t="s">
        <v>55</v>
      </c>
      <c r="AD713">
        <v>-1</v>
      </c>
      <c r="AE713" t="s">
        <v>64</v>
      </c>
      <c r="AF713">
        <v>0</v>
      </c>
      <c r="AG713" t="b">
        <v>0</v>
      </c>
      <c r="AH713">
        <v>-1</v>
      </c>
      <c r="AI713" t="s">
        <v>64</v>
      </c>
      <c r="AJ713">
        <v>0</v>
      </c>
      <c r="AK713" t="b">
        <v>0</v>
      </c>
      <c r="AM713" t="b">
        <v>0</v>
      </c>
      <c r="AN713">
        <v>0</v>
      </c>
      <c r="AO713" t="b">
        <v>0</v>
      </c>
      <c r="AQ713">
        <v>448689523.97100002</v>
      </c>
      <c r="AR713">
        <v>448689523.97100002</v>
      </c>
      <c r="AS713">
        <v>0</v>
      </c>
      <c r="AT713" t="b">
        <v>0</v>
      </c>
      <c r="AU713" t="b">
        <v>1</v>
      </c>
      <c r="AV713" t="b">
        <v>1</v>
      </c>
      <c r="AW713" t="b">
        <v>1</v>
      </c>
      <c r="BC713" t="str">
        <f t="shared" si="11"/>
        <v>Normal</v>
      </c>
    </row>
    <row r="714" spans="1:55" x14ac:dyDescent="0.2">
      <c r="A714" t="s">
        <v>39</v>
      </c>
      <c r="B714" t="s">
        <v>40</v>
      </c>
      <c r="C714">
        <v>20240101</v>
      </c>
      <c r="D714">
        <v>2024</v>
      </c>
      <c r="E714">
        <v>52</v>
      </c>
      <c r="F714" t="s">
        <v>357</v>
      </c>
      <c r="G714">
        <v>554</v>
      </c>
      <c r="H714" t="s">
        <v>223</v>
      </c>
      <c r="I714" t="s">
        <v>224</v>
      </c>
      <c r="J714" t="s">
        <v>44</v>
      </c>
      <c r="K714" t="s">
        <v>45</v>
      </c>
      <c r="L714">
        <v>0</v>
      </c>
      <c r="M714" t="s">
        <v>46</v>
      </c>
      <c r="N714" t="s">
        <v>47</v>
      </c>
      <c r="O714">
        <v>0</v>
      </c>
      <c r="P714" t="s">
        <v>46</v>
      </c>
      <c r="Q714" t="s">
        <v>47</v>
      </c>
      <c r="R714" t="s">
        <v>347</v>
      </c>
      <c r="S714" t="s">
        <v>49</v>
      </c>
      <c r="T714" t="b">
        <v>1</v>
      </c>
      <c r="U714" t="s">
        <v>50</v>
      </c>
      <c r="V714" t="s">
        <v>51</v>
      </c>
      <c r="W714">
        <v>4</v>
      </c>
      <c r="X714" t="b">
        <v>0</v>
      </c>
      <c r="Y714" t="s">
        <v>52</v>
      </c>
      <c r="Z714" t="s">
        <v>53</v>
      </c>
      <c r="AA714" t="s">
        <v>54</v>
      </c>
      <c r="AB714">
        <v>0</v>
      </c>
      <c r="AC714" t="s">
        <v>55</v>
      </c>
      <c r="AD714">
        <v>8</v>
      </c>
      <c r="AE714" t="s">
        <v>56</v>
      </c>
      <c r="AF714">
        <v>14888.239</v>
      </c>
      <c r="AG714" t="b">
        <v>0</v>
      </c>
      <c r="AH714">
        <v>15</v>
      </c>
      <c r="AI714" t="s">
        <v>59</v>
      </c>
      <c r="AJ714">
        <v>14888239</v>
      </c>
      <c r="AK714" t="b">
        <v>0</v>
      </c>
      <c r="AL714">
        <v>14888.239</v>
      </c>
      <c r="AM714" t="b">
        <v>0</v>
      </c>
      <c r="AN714">
        <v>15647</v>
      </c>
      <c r="AO714" t="b">
        <v>0</v>
      </c>
      <c r="AQ714">
        <v>607633425.09099996</v>
      </c>
      <c r="AR714">
        <v>607633425.09099996</v>
      </c>
      <c r="AS714">
        <v>0</v>
      </c>
      <c r="AT714" t="b">
        <v>0</v>
      </c>
      <c r="AU714" t="b">
        <v>1</v>
      </c>
      <c r="AV714" t="b">
        <v>1</v>
      </c>
      <c r="AW714" t="b">
        <v>1</v>
      </c>
      <c r="BC714" t="str">
        <f t="shared" si="11"/>
        <v>Normal</v>
      </c>
    </row>
    <row r="715" spans="1:55" x14ac:dyDescent="0.2">
      <c r="A715" t="s">
        <v>39</v>
      </c>
      <c r="B715" t="s">
        <v>40</v>
      </c>
      <c r="C715">
        <v>20240101</v>
      </c>
      <c r="D715">
        <v>2024</v>
      </c>
      <c r="E715">
        <v>52</v>
      </c>
      <c r="F715" t="s">
        <v>357</v>
      </c>
      <c r="G715">
        <v>558</v>
      </c>
      <c r="H715" t="s">
        <v>225</v>
      </c>
      <c r="I715" t="s">
        <v>226</v>
      </c>
      <c r="J715" t="s">
        <v>44</v>
      </c>
      <c r="K715" t="s">
        <v>45</v>
      </c>
      <c r="L715">
        <v>0</v>
      </c>
      <c r="M715" t="s">
        <v>46</v>
      </c>
      <c r="N715" t="s">
        <v>47</v>
      </c>
      <c r="O715">
        <v>0</v>
      </c>
      <c r="P715" t="s">
        <v>46</v>
      </c>
      <c r="Q715" t="s">
        <v>47</v>
      </c>
      <c r="R715" t="s">
        <v>347</v>
      </c>
      <c r="S715" t="s">
        <v>49</v>
      </c>
      <c r="T715" t="b">
        <v>1</v>
      </c>
      <c r="U715" t="s">
        <v>50</v>
      </c>
      <c r="V715" t="s">
        <v>51</v>
      </c>
      <c r="W715">
        <v>4</v>
      </c>
      <c r="X715" t="b">
        <v>0</v>
      </c>
      <c r="Y715" t="s">
        <v>52</v>
      </c>
      <c r="Z715" t="s">
        <v>53</v>
      </c>
      <c r="AA715" t="s">
        <v>54</v>
      </c>
      <c r="AB715">
        <v>0</v>
      </c>
      <c r="AC715" t="s">
        <v>55</v>
      </c>
      <c r="AD715">
        <v>8</v>
      </c>
      <c r="AE715" t="s">
        <v>56</v>
      </c>
      <c r="AF715">
        <v>19516.599999999999</v>
      </c>
      <c r="AG715" t="b">
        <v>0</v>
      </c>
      <c r="AH715">
        <v>8</v>
      </c>
      <c r="AI715" t="s">
        <v>56</v>
      </c>
      <c r="AJ715">
        <v>19516.599999999999</v>
      </c>
      <c r="AK715" t="b">
        <v>0</v>
      </c>
      <c r="AL715">
        <v>19516.599999999999</v>
      </c>
      <c r="AM715" t="b">
        <v>0</v>
      </c>
      <c r="AN715">
        <v>0</v>
      </c>
      <c r="AO715" t="b">
        <v>0</v>
      </c>
      <c r="AQ715">
        <v>1353943516.4000001</v>
      </c>
      <c r="AR715">
        <v>1353943516.4000001</v>
      </c>
      <c r="AS715">
        <v>0</v>
      </c>
      <c r="AT715" t="b">
        <v>0</v>
      </c>
      <c r="AU715" t="b">
        <v>1</v>
      </c>
      <c r="AV715" t="b">
        <v>1</v>
      </c>
      <c r="AW715" t="b">
        <v>1</v>
      </c>
      <c r="BC715" t="str">
        <f t="shared" si="11"/>
        <v>Normal</v>
      </c>
    </row>
    <row r="716" spans="1:55" x14ac:dyDescent="0.2">
      <c r="A716" t="s">
        <v>39</v>
      </c>
      <c r="B716" t="s">
        <v>40</v>
      </c>
      <c r="C716">
        <v>20240101</v>
      </c>
      <c r="D716">
        <v>2024</v>
      </c>
      <c r="E716">
        <v>52</v>
      </c>
      <c r="F716" t="s">
        <v>357</v>
      </c>
      <c r="G716">
        <v>562</v>
      </c>
      <c r="H716" t="s">
        <v>227</v>
      </c>
      <c r="I716" t="s">
        <v>228</v>
      </c>
      <c r="J716" t="s">
        <v>44</v>
      </c>
      <c r="K716" t="s">
        <v>45</v>
      </c>
      <c r="L716">
        <v>0</v>
      </c>
      <c r="M716" t="s">
        <v>46</v>
      </c>
      <c r="N716" t="s">
        <v>47</v>
      </c>
      <c r="O716">
        <v>0</v>
      </c>
      <c r="P716" t="s">
        <v>46</v>
      </c>
      <c r="Q716" t="s">
        <v>47</v>
      </c>
      <c r="R716" t="s">
        <v>347</v>
      </c>
      <c r="S716" t="s">
        <v>49</v>
      </c>
      <c r="T716" t="b">
        <v>1</v>
      </c>
      <c r="U716" t="s">
        <v>50</v>
      </c>
      <c r="V716" t="s">
        <v>51</v>
      </c>
      <c r="W716">
        <v>4</v>
      </c>
      <c r="X716" t="b">
        <v>0</v>
      </c>
      <c r="Y716" t="s">
        <v>52</v>
      </c>
      <c r="Z716" t="s">
        <v>53</v>
      </c>
      <c r="AA716" t="s">
        <v>54</v>
      </c>
      <c r="AB716">
        <v>0</v>
      </c>
      <c r="AC716" t="s">
        <v>55</v>
      </c>
      <c r="AD716">
        <v>8</v>
      </c>
      <c r="AE716" t="s">
        <v>56</v>
      </c>
      <c r="AF716">
        <v>50</v>
      </c>
      <c r="AG716" t="b">
        <v>0</v>
      </c>
      <c r="AH716">
        <v>8</v>
      </c>
      <c r="AI716" t="s">
        <v>56</v>
      </c>
      <c r="AJ716">
        <v>50</v>
      </c>
      <c r="AK716" t="b">
        <v>0</v>
      </c>
      <c r="AL716">
        <v>50</v>
      </c>
      <c r="AM716" t="b">
        <v>0</v>
      </c>
      <c r="AN716">
        <v>0</v>
      </c>
      <c r="AO716" t="b">
        <v>0</v>
      </c>
      <c r="AQ716">
        <v>4161063.1770000001</v>
      </c>
      <c r="AR716">
        <v>4161063.1770000001</v>
      </c>
      <c r="AS716">
        <v>0</v>
      </c>
      <c r="AT716" t="b">
        <v>0</v>
      </c>
      <c r="AU716" t="b">
        <v>1</v>
      </c>
      <c r="AV716" t="b">
        <v>1</v>
      </c>
      <c r="AW716" t="b">
        <v>1</v>
      </c>
      <c r="BC716" t="str">
        <f t="shared" si="11"/>
        <v>Normal</v>
      </c>
    </row>
    <row r="717" spans="1:55" x14ac:dyDescent="0.2">
      <c r="A717" t="s">
        <v>39</v>
      </c>
      <c r="B717" t="s">
        <v>40</v>
      </c>
      <c r="C717">
        <v>20240101</v>
      </c>
      <c r="D717">
        <v>2024</v>
      </c>
      <c r="E717">
        <v>52</v>
      </c>
      <c r="F717" t="s">
        <v>357</v>
      </c>
      <c r="G717">
        <v>566</v>
      </c>
      <c r="H717" t="s">
        <v>329</v>
      </c>
      <c r="I717" t="s">
        <v>330</v>
      </c>
      <c r="J717" t="s">
        <v>44</v>
      </c>
      <c r="K717" t="s">
        <v>45</v>
      </c>
      <c r="L717">
        <v>0</v>
      </c>
      <c r="M717" t="s">
        <v>46</v>
      </c>
      <c r="N717" t="s">
        <v>47</v>
      </c>
      <c r="O717">
        <v>0</v>
      </c>
      <c r="P717" t="s">
        <v>46</v>
      </c>
      <c r="Q717" t="s">
        <v>47</v>
      </c>
      <c r="R717" t="s">
        <v>347</v>
      </c>
      <c r="S717" t="s">
        <v>49</v>
      </c>
      <c r="T717" t="b">
        <v>1</v>
      </c>
      <c r="U717" t="s">
        <v>50</v>
      </c>
      <c r="V717" t="s">
        <v>51</v>
      </c>
      <c r="W717">
        <v>4</v>
      </c>
      <c r="X717" t="b">
        <v>0</v>
      </c>
      <c r="Y717" t="s">
        <v>52</v>
      </c>
      <c r="Z717" t="s">
        <v>53</v>
      </c>
      <c r="AA717" t="s">
        <v>54</v>
      </c>
      <c r="AB717">
        <v>0</v>
      </c>
      <c r="AC717" t="s">
        <v>55</v>
      </c>
      <c r="AD717">
        <v>-1</v>
      </c>
      <c r="AE717" t="s">
        <v>64</v>
      </c>
      <c r="AF717">
        <v>0</v>
      </c>
      <c r="AG717" t="b">
        <v>0</v>
      </c>
      <c r="AH717">
        <v>-1</v>
      </c>
      <c r="AI717" t="s">
        <v>64</v>
      </c>
      <c r="AJ717">
        <v>0</v>
      </c>
      <c r="AK717" t="b">
        <v>0</v>
      </c>
      <c r="AM717" t="b">
        <v>0</v>
      </c>
      <c r="AN717">
        <v>0</v>
      </c>
      <c r="AO717" t="b">
        <v>0</v>
      </c>
      <c r="AQ717">
        <v>147323805.18599999</v>
      </c>
      <c r="AR717">
        <v>147323805.18599999</v>
      </c>
      <c r="AS717">
        <v>0</v>
      </c>
      <c r="AT717" t="b">
        <v>0</v>
      </c>
      <c r="AU717" t="b">
        <v>1</v>
      </c>
      <c r="AV717" t="b">
        <v>1</v>
      </c>
      <c r="AW717" t="b">
        <v>1</v>
      </c>
      <c r="BC717" t="str">
        <f t="shared" si="11"/>
        <v>Normal</v>
      </c>
    </row>
    <row r="718" spans="1:55" x14ac:dyDescent="0.2">
      <c r="A718" t="s">
        <v>39</v>
      </c>
      <c r="B718" t="s">
        <v>40</v>
      </c>
      <c r="C718">
        <v>20240101</v>
      </c>
      <c r="D718">
        <v>2024</v>
      </c>
      <c r="E718">
        <v>52</v>
      </c>
      <c r="F718" t="s">
        <v>357</v>
      </c>
      <c r="G718">
        <v>579</v>
      </c>
      <c r="H718" t="s">
        <v>229</v>
      </c>
      <c r="I718" t="s">
        <v>230</v>
      </c>
      <c r="J718" t="s">
        <v>44</v>
      </c>
      <c r="K718" t="s">
        <v>45</v>
      </c>
      <c r="L718">
        <v>0</v>
      </c>
      <c r="M718" t="s">
        <v>46</v>
      </c>
      <c r="N718" t="s">
        <v>47</v>
      </c>
      <c r="O718">
        <v>0</v>
      </c>
      <c r="P718" t="s">
        <v>46</v>
      </c>
      <c r="Q718" t="s">
        <v>47</v>
      </c>
      <c r="R718" t="s">
        <v>347</v>
      </c>
      <c r="S718" t="s">
        <v>49</v>
      </c>
      <c r="T718" t="b">
        <v>1</v>
      </c>
      <c r="U718" t="s">
        <v>50</v>
      </c>
      <c r="V718" t="s">
        <v>51</v>
      </c>
      <c r="W718">
        <v>4</v>
      </c>
      <c r="X718" t="b">
        <v>0</v>
      </c>
      <c r="Y718" t="s">
        <v>52</v>
      </c>
      <c r="Z718" t="s">
        <v>53</v>
      </c>
      <c r="AA718" t="s">
        <v>54</v>
      </c>
      <c r="AB718">
        <v>0</v>
      </c>
      <c r="AC718" t="s">
        <v>55</v>
      </c>
      <c r="AD718">
        <v>8</v>
      </c>
      <c r="AE718" t="s">
        <v>56</v>
      </c>
      <c r="AF718">
        <v>2961</v>
      </c>
      <c r="AG718" t="b">
        <v>0</v>
      </c>
      <c r="AH718">
        <v>8</v>
      </c>
      <c r="AI718" t="s">
        <v>56</v>
      </c>
      <c r="AJ718">
        <v>2961</v>
      </c>
      <c r="AK718" t="b">
        <v>0</v>
      </c>
      <c r="AL718">
        <v>2961</v>
      </c>
      <c r="AM718" t="b">
        <v>0</v>
      </c>
      <c r="AN718">
        <v>0</v>
      </c>
      <c r="AO718" t="b">
        <v>0</v>
      </c>
      <c r="AQ718">
        <v>212055466.435</v>
      </c>
      <c r="AR718">
        <v>212055466.435</v>
      </c>
      <c r="AS718">
        <v>0</v>
      </c>
      <c r="AT718" t="b">
        <v>0</v>
      </c>
      <c r="AU718" t="b">
        <v>1</v>
      </c>
      <c r="AV718" t="b">
        <v>1</v>
      </c>
      <c r="AW718" t="b">
        <v>1</v>
      </c>
      <c r="BC718" t="str">
        <f t="shared" si="11"/>
        <v>Normal</v>
      </c>
    </row>
    <row r="719" spans="1:55" x14ac:dyDescent="0.2">
      <c r="A719" t="s">
        <v>39</v>
      </c>
      <c r="B719" t="s">
        <v>40</v>
      </c>
      <c r="C719">
        <v>20240101</v>
      </c>
      <c r="D719">
        <v>2024</v>
      </c>
      <c r="E719">
        <v>52</v>
      </c>
      <c r="F719" t="s">
        <v>357</v>
      </c>
      <c r="G719">
        <v>591</v>
      </c>
      <c r="H719" t="s">
        <v>231</v>
      </c>
      <c r="I719" t="s">
        <v>232</v>
      </c>
      <c r="J719" t="s">
        <v>44</v>
      </c>
      <c r="K719" t="s">
        <v>45</v>
      </c>
      <c r="L719">
        <v>0</v>
      </c>
      <c r="M719" t="s">
        <v>46</v>
      </c>
      <c r="N719" t="s">
        <v>47</v>
      </c>
      <c r="O719">
        <v>0</v>
      </c>
      <c r="P719" t="s">
        <v>46</v>
      </c>
      <c r="Q719" t="s">
        <v>47</v>
      </c>
      <c r="R719" t="s">
        <v>347</v>
      </c>
      <c r="S719" t="s">
        <v>49</v>
      </c>
      <c r="T719" t="b">
        <v>1</v>
      </c>
      <c r="U719" t="s">
        <v>50</v>
      </c>
      <c r="V719" t="s">
        <v>51</v>
      </c>
      <c r="W719">
        <v>4</v>
      </c>
      <c r="X719" t="b">
        <v>0</v>
      </c>
      <c r="Y719" t="s">
        <v>52</v>
      </c>
      <c r="Z719" t="s">
        <v>53</v>
      </c>
      <c r="AA719" t="s">
        <v>54</v>
      </c>
      <c r="AB719">
        <v>0</v>
      </c>
      <c r="AC719" t="s">
        <v>55</v>
      </c>
      <c r="AD719">
        <v>8</v>
      </c>
      <c r="AE719" t="s">
        <v>56</v>
      </c>
      <c r="AF719">
        <v>1099</v>
      </c>
      <c r="AG719" t="b">
        <v>0</v>
      </c>
      <c r="AH719">
        <v>8</v>
      </c>
      <c r="AI719" t="s">
        <v>56</v>
      </c>
      <c r="AJ719">
        <v>1099</v>
      </c>
      <c r="AK719" t="b">
        <v>0</v>
      </c>
      <c r="AL719">
        <v>1099</v>
      </c>
      <c r="AM719" t="b">
        <v>0</v>
      </c>
      <c r="AN719">
        <v>1099</v>
      </c>
      <c r="AO719" t="b">
        <v>0</v>
      </c>
      <c r="AQ719">
        <v>34468970</v>
      </c>
      <c r="AR719">
        <v>34468970</v>
      </c>
      <c r="AS719">
        <v>0</v>
      </c>
      <c r="AT719" t="b">
        <v>0</v>
      </c>
      <c r="AU719" t="b">
        <v>1</v>
      </c>
      <c r="AV719" t="b">
        <v>1</v>
      </c>
      <c r="AW719" t="b">
        <v>1</v>
      </c>
      <c r="BC719" t="str">
        <f t="shared" si="11"/>
        <v>Normal</v>
      </c>
    </row>
    <row r="720" spans="1:55" x14ac:dyDescent="0.2">
      <c r="A720" t="s">
        <v>39</v>
      </c>
      <c r="B720" t="s">
        <v>40</v>
      </c>
      <c r="C720">
        <v>20240101</v>
      </c>
      <c r="D720">
        <v>2024</v>
      </c>
      <c r="E720">
        <v>52</v>
      </c>
      <c r="F720" t="s">
        <v>357</v>
      </c>
      <c r="G720">
        <v>600</v>
      </c>
      <c r="H720" t="s">
        <v>233</v>
      </c>
      <c r="I720" t="s">
        <v>234</v>
      </c>
      <c r="J720" t="s">
        <v>44</v>
      </c>
      <c r="K720" t="s">
        <v>45</v>
      </c>
      <c r="L720">
        <v>0</v>
      </c>
      <c r="M720" t="s">
        <v>46</v>
      </c>
      <c r="N720" t="s">
        <v>47</v>
      </c>
      <c r="O720">
        <v>0</v>
      </c>
      <c r="P720" t="s">
        <v>46</v>
      </c>
      <c r="Q720" t="s">
        <v>47</v>
      </c>
      <c r="R720" t="s">
        <v>347</v>
      </c>
      <c r="S720" t="s">
        <v>49</v>
      </c>
      <c r="T720" t="b">
        <v>1</v>
      </c>
      <c r="U720" t="s">
        <v>50</v>
      </c>
      <c r="V720" t="s">
        <v>51</v>
      </c>
      <c r="W720">
        <v>4</v>
      </c>
      <c r="X720" t="b">
        <v>0</v>
      </c>
      <c r="Y720" t="s">
        <v>52</v>
      </c>
      <c r="Z720" t="s">
        <v>53</v>
      </c>
      <c r="AA720" t="s">
        <v>54</v>
      </c>
      <c r="AB720">
        <v>0</v>
      </c>
      <c r="AC720" t="s">
        <v>55</v>
      </c>
      <c r="AD720">
        <v>8</v>
      </c>
      <c r="AE720" t="s">
        <v>56</v>
      </c>
      <c r="AF720">
        <v>587.20000000000005</v>
      </c>
      <c r="AG720" t="b">
        <v>0</v>
      </c>
      <c r="AH720">
        <v>8</v>
      </c>
      <c r="AI720" t="s">
        <v>56</v>
      </c>
      <c r="AJ720">
        <v>587.20000000000005</v>
      </c>
      <c r="AK720" t="b">
        <v>0</v>
      </c>
      <c r="AL720">
        <v>587.20000000000005</v>
      </c>
      <c r="AM720" t="b">
        <v>0</v>
      </c>
      <c r="AN720">
        <v>0</v>
      </c>
      <c r="AO720" t="b">
        <v>0</v>
      </c>
      <c r="AQ720">
        <v>38617395.880000003</v>
      </c>
      <c r="AR720">
        <v>38617395.880000003</v>
      </c>
      <c r="AS720">
        <v>0</v>
      </c>
      <c r="AT720" t="b">
        <v>0</v>
      </c>
      <c r="AU720" t="b">
        <v>1</v>
      </c>
      <c r="AV720" t="b">
        <v>1</v>
      </c>
      <c r="AW720" t="b">
        <v>1</v>
      </c>
      <c r="BC720" t="str">
        <f t="shared" si="11"/>
        <v>Normal</v>
      </c>
    </row>
    <row r="721" spans="1:55" x14ac:dyDescent="0.2">
      <c r="A721" t="s">
        <v>39</v>
      </c>
      <c r="B721" t="s">
        <v>40</v>
      </c>
      <c r="C721">
        <v>20240101</v>
      </c>
      <c r="D721">
        <v>2024</v>
      </c>
      <c r="E721">
        <v>52</v>
      </c>
      <c r="F721" t="s">
        <v>357</v>
      </c>
      <c r="G721">
        <v>604</v>
      </c>
      <c r="H721" t="s">
        <v>235</v>
      </c>
      <c r="I721" t="s">
        <v>236</v>
      </c>
      <c r="J721" t="s">
        <v>44</v>
      </c>
      <c r="K721" t="s">
        <v>45</v>
      </c>
      <c r="L721">
        <v>0</v>
      </c>
      <c r="M721" t="s">
        <v>46</v>
      </c>
      <c r="N721" t="s">
        <v>47</v>
      </c>
      <c r="O721">
        <v>0</v>
      </c>
      <c r="P721" t="s">
        <v>46</v>
      </c>
      <c r="Q721" t="s">
        <v>47</v>
      </c>
      <c r="R721" t="s">
        <v>347</v>
      </c>
      <c r="S721" t="s">
        <v>49</v>
      </c>
      <c r="T721" t="b">
        <v>1</v>
      </c>
      <c r="U721" t="s">
        <v>50</v>
      </c>
      <c r="V721" t="s">
        <v>51</v>
      </c>
      <c r="W721">
        <v>4</v>
      </c>
      <c r="X721" t="b">
        <v>0</v>
      </c>
      <c r="Y721" t="s">
        <v>52</v>
      </c>
      <c r="Z721" t="s">
        <v>53</v>
      </c>
      <c r="AA721" t="s">
        <v>54</v>
      </c>
      <c r="AB721">
        <v>0</v>
      </c>
      <c r="AC721" t="s">
        <v>55</v>
      </c>
      <c r="AD721">
        <v>-1</v>
      </c>
      <c r="AE721" t="s">
        <v>64</v>
      </c>
      <c r="AF721">
        <v>0</v>
      </c>
      <c r="AG721" t="b">
        <v>0</v>
      </c>
      <c r="AH721">
        <v>-1</v>
      </c>
      <c r="AI721" t="s">
        <v>64</v>
      </c>
      <c r="AJ721">
        <v>0</v>
      </c>
      <c r="AK721" t="b">
        <v>0</v>
      </c>
      <c r="AM721" t="b">
        <v>0</v>
      </c>
      <c r="AN721">
        <v>0</v>
      </c>
      <c r="AO721" t="b">
        <v>0</v>
      </c>
      <c r="AQ721">
        <v>12756325694.357</v>
      </c>
      <c r="AR721">
        <v>12756325694.357</v>
      </c>
      <c r="AS721">
        <v>0</v>
      </c>
      <c r="AT721" t="b">
        <v>0</v>
      </c>
      <c r="AU721" t="b">
        <v>1</v>
      </c>
      <c r="AV721" t="b">
        <v>1</v>
      </c>
      <c r="AW721" t="b">
        <v>1</v>
      </c>
      <c r="BC721" t="str">
        <f t="shared" si="11"/>
        <v>Normal</v>
      </c>
    </row>
    <row r="722" spans="1:55" x14ac:dyDescent="0.2">
      <c r="A722" t="s">
        <v>39</v>
      </c>
      <c r="B722" t="s">
        <v>40</v>
      </c>
      <c r="C722">
        <v>20240101</v>
      </c>
      <c r="D722">
        <v>2024</v>
      </c>
      <c r="E722">
        <v>52</v>
      </c>
      <c r="F722" t="s">
        <v>357</v>
      </c>
      <c r="G722">
        <v>608</v>
      </c>
      <c r="H722" t="s">
        <v>237</v>
      </c>
      <c r="I722" t="s">
        <v>238</v>
      </c>
      <c r="J722" t="s">
        <v>44</v>
      </c>
      <c r="K722" t="s">
        <v>45</v>
      </c>
      <c r="L722">
        <v>0</v>
      </c>
      <c r="M722" t="s">
        <v>46</v>
      </c>
      <c r="N722" t="s">
        <v>47</v>
      </c>
      <c r="O722">
        <v>0</v>
      </c>
      <c r="P722" t="s">
        <v>46</v>
      </c>
      <c r="Q722" t="s">
        <v>47</v>
      </c>
      <c r="R722" t="s">
        <v>347</v>
      </c>
      <c r="S722" t="s">
        <v>49</v>
      </c>
      <c r="T722" t="b">
        <v>1</v>
      </c>
      <c r="U722" t="s">
        <v>50</v>
      </c>
      <c r="V722" t="s">
        <v>51</v>
      </c>
      <c r="W722">
        <v>4</v>
      </c>
      <c r="X722" t="b">
        <v>0</v>
      </c>
      <c r="Y722" t="s">
        <v>52</v>
      </c>
      <c r="Z722" t="s">
        <v>53</v>
      </c>
      <c r="AA722" t="s">
        <v>54</v>
      </c>
      <c r="AB722">
        <v>0</v>
      </c>
      <c r="AC722" t="s">
        <v>55</v>
      </c>
      <c r="AD722">
        <v>-1</v>
      </c>
      <c r="AE722" t="s">
        <v>64</v>
      </c>
      <c r="AF722">
        <v>0</v>
      </c>
      <c r="AG722" t="b">
        <v>0</v>
      </c>
      <c r="AH722">
        <v>-1</v>
      </c>
      <c r="AI722" t="s">
        <v>64</v>
      </c>
      <c r="AJ722">
        <v>0</v>
      </c>
      <c r="AK722" t="b">
        <v>0</v>
      </c>
      <c r="AM722" t="b">
        <v>0</v>
      </c>
      <c r="AN722">
        <v>82410.37</v>
      </c>
      <c r="AO722" t="b">
        <v>0</v>
      </c>
      <c r="AQ722">
        <v>1370854471</v>
      </c>
      <c r="AR722">
        <v>1370854471</v>
      </c>
      <c r="AS722">
        <v>0</v>
      </c>
      <c r="AT722" t="b">
        <v>0</v>
      </c>
      <c r="AU722" t="b">
        <v>1</v>
      </c>
      <c r="AV722" t="b">
        <v>1</v>
      </c>
      <c r="AW722" t="b">
        <v>1</v>
      </c>
      <c r="BC722" t="str">
        <f t="shared" si="11"/>
        <v>Normal</v>
      </c>
    </row>
    <row r="723" spans="1:55" x14ac:dyDescent="0.2">
      <c r="A723" t="s">
        <v>39</v>
      </c>
      <c r="B723" t="s">
        <v>40</v>
      </c>
      <c r="C723">
        <v>20240101</v>
      </c>
      <c r="D723">
        <v>2024</v>
      </c>
      <c r="E723">
        <v>52</v>
      </c>
      <c r="F723" t="s">
        <v>357</v>
      </c>
      <c r="G723">
        <v>616</v>
      </c>
      <c r="H723" t="s">
        <v>239</v>
      </c>
      <c r="I723" t="s">
        <v>240</v>
      </c>
      <c r="J723" t="s">
        <v>44</v>
      </c>
      <c r="K723" t="s">
        <v>45</v>
      </c>
      <c r="L723">
        <v>0</v>
      </c>
      <c r="M723" t="s">
        <v>46</v>
      </c>
      <c r="N723" t="s">
        <v>47</v>
      </c>
      <c r="O723">
        <v>0</v>
      </c>
      <c r="P723" t="s">
        <v>46</v>
      </c>
      <c r="Q723" t="s">
        <v>47</v>
      </c>
      <c r="R723" t="s">
        <v>347</v>
      </c>
      <c r="S723" t="s">
        <v>49</v>
      </c>
      <c r="T723" t="b">
        <v>1</v>
      </c>
      <c r="U723" t="s">
        <v>50</v>
      </c>
      <c r="V723" t="s">
        <v>51</v>
      </c>
      <c r="W723">
        <v>4</v>
      </c>
      <c r="X723" t="b">
        <v>0</v>
      </c>
      <c r="Y723" t="s">
        <v>52</v>
      </c>
      <c r="Z723" t="s">
        <v>53</v>
      </c>
      <c r="AA723" t="s">
        <v>54</v>
      </c>
      <c r="AB723">
        <v>0</v>
      </c>
      <c r="AC723" t="s">
        <v>55</v>
      </c>
      <c r="AD723">
        <v>8</v>
      </c>
      <c r="AE723" t="s">
        <v>56</v>
      </c>
      <c r="AF723">
        <v>3055.346</v>
      </c>
      <c r="AG723" t="b">
        <v>1</v>
      </c>
      <c r="AH723">
        <v>-1</v>
      </c>
      <c r="AI723" t="s">
        <v>64</v>
      </c>
      <c r="AJ723">
        <v>0</v>
      </c>
      <c r="AK723" t="b">
        <v>0</v>
      </c>
      <c r="AL723">
        <v>3644.212</v>
      </c>
      <c r="AM723" t="b">
        <v>1</v>
      </c>
      <c r="AN723">
        <v>0</v>
      </c>
      <c r="AO723" t="b">
        <v>0</v>
      </c>
      <c r="AQ723">
        <v>222673142</v>
      </c>
      <c r="AR723">
        <v>222673142</v>
      </c>
      <c r="AS723">
        <v>6</v>
      </c>
      <c r="AT723" t="b">
        <v>0</v>
      </c>
      <c r="AU723" t="b">
        <v>1</v>
      </c>
      <c r="AV723" t="b">
        <v>1</v>
      </c>
      <c r="AW723" t="b">
        <v>1</v>
      </c>
      <c r="BC723" t="str">
        <f t="shared" si="11"/>
        <v>Normal</v>
      </c>
    </row>
    <row r="724" spans="1:55" x14ac:dyDescent="0.2">
      <c r="A724" t="s">
        <v>39</v>
      </c>
      <c r="B724" t="s">
        <v>40</v>
      </c>
      <c r="C724">
        <v>20240101</v>
      </c>
      <c r="D724">
        <v>2024</v>
      </c>
      <c r="E724">
        <v>52</v>
      </c>
      <c r="F724" t="s">
        <v>357</v>
      </c>
      <c r="G724">
        <v>620</v>
      </c>
      <c r="H724" t="s">
        <v>241</v>
      </c>
      <c r="I724" t="s">
        <v>242</v>
      </c>
      <c r="J724" t="s">
        <v>44</v>
      </c>
      <c r="K724" t="s">
        <v>45</v>
      </c>
      <c r="L724">
        <v>0</v>
      </c>
      <c r="M724" t="s">
        <v>46</v>
      </c>
      <c r="N724" t="s">
        <v>47</v>
      </c>
      <c r="O724">
        <v>0</v>
      </c>
      <c r="P724" t="s">
        <v>46</v>
      </c>
      <c r="Q724" t="s">
        <v>47</v>
      </c>
      <c r="R724" t="s">
        <v>347</v>
      </c>
      <c r="S724" t="s">
        <v>49</v>
      </c>
      <c r="T724" t="b">
        <v>1</v>
      </c>
      <c r="U724" t="s">
        <v>50</v>
      </c>
      <c r="V724" t="s">
        <v>51</v>
      </c>
      <c r="W724">
        <v>4</v>
      </c>
      <c r="X724" t="b">
        <v>0</v>
      </c>
      <c r="Y724" t="s">
        <v>52</v>
      </c>
      <c r="Z724" t="s">
        <v>53</v>
      </c>
      <c r="AA724" t="s">
        <v>54</v>
      </c>
      <c r="AB724">
        <v>0</v>
      </c>
      <c r="AC724" t="s">
        <v>55</v>
      </c>
      <c r="AD724">
        <v>8</v>
      </c>
      <c r="AE724" t="s">
        <v>56</v>
      </c>
      <c r="AF724">
        <v>3021.587</v>
      </c>
      <c r="AG724" t="b">
        <v>0</v>
      </c>
      <c r="AH724">
        <v>8</v>
      </c>
      <c r="AI724" t="s">
        <v>56</v>
      </c>
      <c r="AJ724">
        <v>3021.587</v>
      </c>
      <c r="AK724" t="b">
        <v>0</v>
      </c>
      <c r="AL724">
        <v>3018.1790000000001</v>
      </c>
      <c r="AM724" t="b">
        <v>0</v>
      </c>
      <c r="AN724">
        <v>0</v>
      </c>
      <c r="AO724" t="b">
        <v>0</v>
      </c>
      <c r="AQ724">
        <v>210865152.083</v>
      </c>
      <c r="AR724">
        <v>210865152.083</v>
      </c>
      <c r="AS724">
        <v>0</v>
      </c>
      <c r="AT724" t="b">
        <v>0</v>
      </c>
      <c r="AU724" t="b">
        <v>1</v>
      </c>
      <c r="AV724" t="b">
        <v>1</v>
      </c>
      <c r="AW724" t="b">
        <v>1</v>
      </c>
      <c r="BC724" t="str">
        <f t="shared" si="11"/>
        <v>Normal</v>
      </c>
    </row>
    <row r="725" spans="1:55" x14ac:dyDescent="0.2">
      <c r="A725" t="s">
        <v>39</v>
      </c>
      <c r="B725" t="s">
        <v>40</v>
      </c>
      <c r="C725">
        <v>20240101</v>
      </c>
      <c r="D725">
        <v>2024</v>
      </c>
      <c r="E725">
        <v>52</v>
      </c>
      <c r="F725" t="s">
        <v>357</v>
      </c>
      <c r="G725">
        <v>634</v>
      </c>
      <c r="H725" t="s">
        <v>243</v>
      </c>
      <c r="I725" t="s">
        <v>244</v>
      </c>
      <c r="J725" t="s">
        <v>44</v>
      </c>
      <c r="K725" t="s">
        <v>45</v>
      </c>
      <c r="L725">
        <v>0</v>
      </c>
      <c r="M725" t="s">
        <v>46</v>
      </c>
      <c r="N725" t="s">
        <v>47</v>
      </c>
      <c r="O725">
        <v>0</v>
      </c>
      <c r="P725" t="s">
        <v>46</v>
      </c>
      <c r="Q725" t="s">
        <v>47</v>
      </c>
      <c r="R725" t="s">
        <v>347</v>
      </c>
      <c r="S725" t="s">
        <v>49</v>
      </c>
      <c r="T725" t="b">
        <v>1</v>
      </c>
      <c r="U725" t="s">
        <v>50</v>
      </c>
      <c r="V725" t="s">
        <v>51</v>
      </c>
      <c r="W725">
        <v>4</v>
      </c>
      <c r="X725" t="b">
        <v>0</v>
      </c>
      <c r="Y725" t="s">
        <v>52</v>
      </c>
      <c r="Z725" t="s">
        <v>53</v>
      </c>
      <c r="AA725" t="s">
        <v>54</v>
      </c>
      <c r="AB725">
        <v>0</v>
      </c>
      <c r="AC725" t="s">
        <v>55</v>
      </c>
      <c r="AD725">
        <v>-1</v>
      </c>
      <c r="AE725" t="s">
        <v>64</v>
      </c>
      <c r="AF725">
        <v>0</v>
      </c>
      <c r="AG725" t="b">
        <v>0</v>
      </c>
      <c r="AH725">
        <v>-1</v>
      </c>
      <c r="AI725" t="s">
        <v>64</v>
      </c>
      <c r="AJ725">
        <v>0</v>
      </c>
      <c r="AK725" t="b">
        <v>0</v>
      </c>
      <c r="AL725">
        <v>0</v>
      </c>
      <c r="AM725" t="b">
        <v>0</v>
      </c>
      <c r="AN725">
        <v>0</v>
      </c>
      <c r="AO725" t="b">
        <v>0</v>
      </c>
      <c r="AQ725">
        <v>2656980.449</v>
      </c>
      <c r="AR725">
        <v>2656980.449</v>
      </c>
      <c r="AS725">
        <v>0</v>
      </c>
      <c r="AT725" t="b">
        <v>0</v>
      </c>
      <c r="AU725" t="b">
        <v>1</v>
      </c>
      <c r="AV725" t="b">
        <v>1</v>
      </c>
      <c r="AW725" t="b">
        <v>1</v>
      </c>
      <c r="BC725" t="str">
        <f t="shared" si="11"/>
        <v>Normal</v>
      </c>
    </row>
    <row r="726" spans="1:55" x14ac:dyDescent="0.2">
      <c r="A726" t="s">
        <v>39</v>
      </c>
      <c r="B726" t="s">
        <v>40</v>
      </c>
      <c r="C726">
        <v>20240101</v>
      </c>
      <c r="D726">
        <v>2024</v>
      </c>
      <c r="E726">
        <v>52</v>
      </c>
      <c r="F726" t="s">
        <v>357</v>
      </c>
      <c r="G726">
        <v>642</v>
      </c>
      <c r="H726" t="s">
        <v>358</v>
      </c>
      <c r="I726" t="s">
        <v>359</v>
      </c>
      <c r="J726" t="s">
        <v>44</v>
      </c>
      <c r="K726" t="s">
        <v>45</v>
      </c>
      <c r="L726">
        <v>0</v>
      </c>
      <c r="M726" t="s">
        <v>46</v>
      </c>
      <c r="N726" t="s">
        <v>47</v>
      </c>
      <c r="O726">
        <v>0</v>
      </c>
      <c r="P726" t="s">
        <v>46</v>
      </c>
      <c r="Q726" t="s">
        <v>47</v>
      </c>
      <c r="R726" t="s">
        <v>347</v>
      </c>
      <c r="S726" t="s">
        <v>49</v>
      </c>
      <c r="T726" t="b">
        <v>1</v>
      </c>
      <c r="U726" t="s">
        <v>50</v>
      </c>
      <c r="V726" t="s">
        <v>51</v>
      </c>
      <c r="W726">
        <v>4</v>
      </c>
      <c r="X726" t="b">
        <v>0</v>
      </c>
      <c r="Y726" t="s">
        <v>52</v>
      </c>
      <c r="Z726" t="s">
        <v>53</v>
      </c>
      <c r="AA726" t="s">
        <v>54</v>
      </c>
      <c r="AB726">
        <v>0</v>
      </c>
      <c r="AC726" t="s">
        <v>55</v>
      </c>
      <c r="AD726">
        <v>8</v>
      </c>
      <c r="AE726" t="s">
        <v>56</v>
      </c>
      <c r="AF726">
        <v>4735.8980000000001</v>
      </c>
      <c r="AG726" t="b">
        <v>1</v>
      </c>
      <c r="AH726">
        <v>-1</v>
      </c>
      <c r="AI726" t="s">
        <v>64</v>
      </c>
      <c r="AJ726">
        <v>0</v>
      </c>
      <c r="AK726" t="b">
        <v>0</v>
      </c>
      <c r="AL726">
        <v>4745.5079999999998</v>
      </c>
      <c r="AM726" t="b">
        <v>1</v>
      </c>
      <c r="AN726">
        <v>0</v>
      </c>
      <c r="AO726" t="b">
        <v>0</v>
      </c>
      <c r="AQ726">
        <v>239627122.78999999</v>
      </c>
      <c r="AR726">
        <v>239627122.78999999</v>
      </c>
      <c r="AS726">
        <v>6</v>
      </c>
      <c r="AT726" t="b">
        <v>0</v>
      </c>
      <c r="AU726" t="b">
        <v>1</v>
      </c>
      <c r="AV726" t="b">
        <v>1</v>
      </c>
      <c r="AW726" t="b">
        <v>1</v>
      </c>
      <c r="BC726" t="str">
        <f t="shared" si="11"/>
        <v>Normal</v>
      </c>
    </row>
    <row r="727" spans="1:55" x14ac:dyDescent="0.2">
      <c r="A727" t="s">
        <v>39</v>
      </c>
      <c r="B727" t="s">
        <v>40</v>
      </c>
      <c r="C727">
        <v>20240101</v>
      </c>
      <c r="D727">
        <v>2024</v>
      </c>
      <c r="E727">
        <v>52</v>
      </c>
      <c r="F727" t="s">
        <v>357</v>
      </c>
      <c r="G727">
        <v>682</v>
      </c>
      <c r="H727" t="s">
        <v>249</v>
      </c>
      <c r="I727" t="s">
        <v>250</v>
      </c>
      <c r="J727" t="s">
        <v>44</v>
      </c>
      <c r="K727" t="s">
        <v>45</v>
      </c>
      <c r="L727">
        <v>0</v>
      </c>
      <c r="M727" t="s">
        <v>46</v>
      </c>
      <c r="N727" t="s">
        <v>47</v>
      </c>
      <c r="O727">
        <v>0</v>
      </c>
      <c r="P727" t="s">
        <v>46</v>
      </c>
      <c r="Q727" t="s">
        <v>47</v>
      </c>
      <c r="R727" t="s">
        <v>347</v>
      </c>
      <c r="S727" t="s">
        <v>49</v>
      </c>
      <c r="T727" t="b">
        <v>1</v>
      </c>
      <c r="U727" t="s">
        <v>50</v>
      </c>
      <c r="V727" t="s">
        <v>51</v>
      </c>
      <c r="W727">
        <v>4</v>
      </c>
      <c r="X727" t="b">
        <v>0</v>
      </c>
      <c r="Y727" t="s">
        <v>52</v>
      </c>
      <c r="Z727" t="s">
        <v>53</v>
      </c>
      <c r="AA727" t="s">
        <v>54</v>
      </c>
      <c r="AB727">
        <v>0</v>
      </c>
      <c r="AC727" t="s">
        <v>55</v>
      </c>
      <c r="AD727">
        <v>8</v>
      </c>
      <c r="AE727" t="s">
        <v>56</v>
      </c>
      <c r="AF727">
        <v>23448</v>
      </c>
      <c r="AG727" t="b">
        <v>0</v>
      </c>
      <c r="AH727">
        <v>8</v>
      </c>
      <c r="AI727" t="s">
        <v>56</v>
      </c>
      <c r="AJ727">
        <v>23448</v>
      </c>
      <c r="AK727" t="b">
        <v>0</v>
      </c>
      <c r="AL727">
        <v>23448</v>
      </c>
      <c r="AM727" t="b">
        <v>0</v>
      </c>
      <c r="AN727">
        <v>0</v>
      </c>
      <c r="AO727" t="b">
        <v>0</v>
      </c>
      <c r="AQ727">
        <v>1774921463.6270001</v>
      </c>
      <c r="AR727">
        <v>1774921463.6270001</v>
      </c>
      <c r="AS727">
        <v>0</v>
      </c>
      <c r="AT727" t="b">
        <v>0</v>
      </c>
      <c r="AU727" t="b">
        <v>1</v>
      </c>
      <c r="AV727" t="b">
        <v>1</v>
      </c>
      <c r="AW727" t="b">
        <v>1</v>
      </c>
      <c r="BC727" t="str">
        <f t="shared" si="11"/>
        <v>Normal</v>
      </c>
    </row>
    <row r="728" spans="1:55" x14ac:dyDescent="0.2">
      <c r="A728" t="s">
        <v>39</v>
      </c>
      <c r="B728" t="s">
        <v>40</v>
      </c>
      <c r="C728">
        <v>20240101</v>
      </c>
      <c r="D728">
        <v>2024</v>
      </c>
      <c r="E728">
        <v>52</v>
      </c>
      <c r="F728" t="s">
        <v>357</v>
      </c>
      <c r="G728">
        <v>686</v>
      </c>
      <c r="H728" t="s">
        <v>251</v>
      </c>
      <c r="I728" t="s">
        <v>252</v>
      </c>
      <c r="J728" t="s">
        <v>44</v>
      </c>
      <c r="K728" t="s">
        <v>45</v>
      </c>
      <c r="L728">
        <v>0</v>
      </c>
      <c r="M728" t="s">
        <v>46</v>
      </c>
      <c r="N728" t="s">
        <v>47</v>
      </c>
      <c r="O728">
        <v>0</v>
      </c>
      <c r="P728" t="s">
        <v>46</v>
      </c>
      <c r="Q728" t="s">
        <v>47</v>
      </c>
      <c r="R728" t="s">
        <v>347</v>
      </c>
      <c r="S728" t="s">
        <v>49</v>
      </c>
      <c r="T728" t="b">
        <v>1</v>
      </c>
      <c r="U728" t="s">
        <v>50</v>
      </c>
      <c r="V728" t="s">
        <v>51</v>
      </c>
      <c r="W728">
        <v>4</v>
      </c>
      <c r="X728" t="b">
        <v>0</v>
      </c>
      <c r="Y728" t="s">
        <v>52</v>
      </c>
      <c r="Z728" t="s">
        <v>53</v>
      </c>
      <c r="AA728" t="s">
        <v>54</v>
      </c>
      <c r="AB728">
        <v>0</v>
      </c>
      <c r="AC728" t="s">
        <v>55</v>
      </c>
      <c r="AD728">
        <v>8</v>
      </c>
      <c r="AE728" t="s">
        <v>56</v>
      </c>
      <c r="AF728">
        <v>14597</v>
      </c>
      <c r="AG728" t="b">
        <v>0</v>
      </c>
      <c r="AH728">
        <v>8</v>
      </c>
      <c r="AI728" t="s">
        <v>56</v>
      </c>
      <c r="AJ728">
        <v>14597</v>
      </c>
      <c r="AK728" t="b">
        <v>0</v>
      </c>
      <c r="AL728">
        <v>14597</v>
      </c>
      <c r="AM728" t="b">
        <v>0</v>
      </c>
      <c r="AN728">
        <v>0</v>
      </c>
      <c r="AO728" t="b">
        <v>0</v>
      </c>
      <c r="AQ728">
        <v>930217713.69799995</v>
      </c>
      <c r="AR728">
        <v>930217713.69799995</v>
      </c>
      <c r="AS728">
        <v>0</v>
      </c>
      <c r="AT728" t="b">
        <v>0</v>
      </c>
      <c r="AU728" t="b">
        <v>1</v>
      </c>
      <c r="AV728" t="b">
        <v>1</v>
      </c>
      <c r="AW728" t="b">
        <v>1</v>
      </c>
      <c r="BC728" t="str">
        <f t="shared" si="11"/>
        <v>Normal</v>
      </c>
    </row>
    <row r="729" spans="1:55" x14ac:dyDescent="0.2">
      <c r="A729" t="s">
        <v>39</v>
      </c>
      <c r="B729" t="s">
        <v>40</v>
      </c>
      <c r="C729">
        <v>20240101</v>
      </c>
      <c r="D729">
        <v>2024</v>
      </c>
      <c r="E729">
        <v>52</v>
      </c>
      <c r="F729" t="s">
        <v>357</v>
      </c>
      <c r="G729">
        <v>688</v>
      </c>
      <c r="H729" t="s">
        <v>253</v>
      </c>
      <c r="I729" t="s">
        <v>254</v>
      </c>
      <c r="J729" t="s">
        <v>44</v>
      </c>
      <c r="K729" t="s">
        <v>45</v>
      </c>
      <c r="L729">
        <v>0</v>
      </c>
      <c r="M729" t="s">
        <v>46</v>
      </c>
      <c r="N729" t="s">
        <v>47</v>
      </c>
      <c r="O729">
        <v>0</v>
      </c>
      <c r="P729" t="s">
        <v>46</v>
      </c>
      <c r="Q729" t="s">
        <v>47</v>
      </c>
      <c r="R729" t="s">
        <v>347</v>
      </c>
      <c r="S729" t="s">
        <v>49</v>
      </c>
      <c r="T729" t="b">
        <v>1</v>
      </c>
      <c r="U729" t="s">
        <v>50</v>
      </c>
      <c r="V729" t="s">
        <v>51</v>
      </c>
      <c r="W729">
        <v>4</v>
      </c>
      <c r="X729" t="b">
        <v>0</v>
      </c>
      <c r="Y729" t="s">
        <v>52</v>
      </c>
      <c r="Z729" t="s">
        <v>53</v>
      </c>
      <c r="AA729" t="s">
        <v>54</v>
      </c>
      <c r="AB729">
        <v>0</v>
      </c>
      <c r="AC729" t="s">
        <v>55</v>
      </c>
      <c r="AD729">
        <v>8</v>
      </c>
      <c r="AE729" t="s">
        <v>56</v>
      </c>
      <c r="AF729">
        <v>376.81</v>
      </c>
      <c r="AG729" t="b">
        <v>0</v>
      </c>
      <c r="AH729">
        <v>8</v>
      </c>
      <c r="AI729" t="s">
        <v>56</v>
      </c>
      <c r="AJ729">
        <v>376.81</v>
      </c>
      <c r="AK729" t="b">
        <v>0</v>
      </c>
      <c r="AL729">
        <v>376.63</v>
      </c>
      <c r="AM729" t="b">
        <v>0</v>
      </c>
      <c r="AN729">
        <v>0</v>
      </c>
      <c r="AO729" t="b">
        <v>0</v>
      </c>
      <c r="AQ729">
        <v>18631277</v>
      </c>
      <c r="AR729">
        <v>18631277</v>
      </c>
      <c r="AS729">
        <v>0</v>
      </c>
      <c r="AT729" t="b">
        <v>0</v>
      </c>
      <c r="AU729" t="b">
        <v>1</v>
      </c>
      <c r="AV729" t="b">
        <v>1</v>
      </c>
      <c r="AW729" t="b">
        <v>1</v>
      </c>
      <c r="BC729" t="str">
        <f t="shared" si="11"/>
        <v>Normal</v>
      </c>
    </row>
    <row r="730" spans="1:55" x14ac:dyDescent="0.2">
      <c r="A730" t="s">
        <v>39</v>
      </c>
      <c r="B730" t="s">
        <v>40</v>
      </c>
      <c r="C730">
        <v>20240101</v>
      </c>
      <c r="D730">
        <v>2024</v>
      </c>
      <c r="E730">
        <v>52</v>
      </c>
      <c r="F730" t="s">
        <v>357</v>
      </c>
      <c r="G730">
        <v>699</v>
      </c>
      <c r="H730" t="s">
        <v>255</v>
      </c>
      <c r="I730" t="s">
        <v>256</v>
      </c>
      <c r="J730" t="s">
        <v>44</v>
      </c>
      <c r="K730" t="s">
        <v>45</v>
      </c>
      <c r="L730">
        <v>0</v>
      </c>
      <c r="M730" t="s">
        <v>46</v>
      </c>
      <c r="N730" t="s">
        <v>47</v>
      </c>
      <c r="O730">
        <v>0</v>
      </c>
      <c r="P730" t="s">
        <v>46</v>
      </c>
      <c r="Q730" t="s">
        <v>47</v>
      </c>
      <c r="R730" t="s">
        <v>347</v>
      </c>
      <c r="S730" t="s">
        <v>49</v>
      </c>
      <c r="T730" t="b">
        <v>1</v>
      </c>
      <c r="U730" t="s">
        <v>50</v>
      </c>
      <c r="V730" t="s">
        <v>51</v>
      </c>
      <c r="W730">
        <v>4</v>
      </c>
      <c r="X730" t="b">
        <v>0</v>
      </c>
      <c r="Y730" t="s">
        <v>52</v>
      </c>
      <c r="Z730" t="s">
        <v>53</v>
      </c>
      <c r="AA730" t="s">
        <v>54</v>
      </c>
      <c r="AB730">
        <v>0</v>
      </c>
      <c r="AC730" t="s">
        <v>55</v>
      </c>
      <c r="AD730">
        <v>8</v>
      </c>
      <c r="AE730" t="s">
        <v>56</v>
      </c>
      <c r="AF730">
        <v>5069.5739999999996</v>
      </c>
      <c r="AG730" t="b">
        <v>1</v>
      </c>
      <c r="AH730">
        <v>-1</v>
      </c>
      <c r="AI730" t="s">
        <v>64</v>
      </c>
      <c r="AJ730">
        <v>0</v>
      </c>
      <c r="AK730" t="b">
        <v>0</v>
      </c>
      <c r="AL730">
        <v>5069.5739999999996</v>
      </c>
      <c r="AM730" t="b">
        <v>1</v>
      </c>
      <c r="AN730">
        <v>0</v>
      </c>
      <c r="AO730" t="b">
        <v>0</v>
      </c>
      <c r="AQ730">
        <v>347236208.792</v>
      </c>
      <c r="AR730">
        <v>347236208.792</v>
      </c>
      <c r="AS730">
        <v>6</v>
      </c>
      <c r="AT730" t="b">
        <v>0</v>
      </c>
      <c r="AU730" t="b">
        <v>1</v>
      </c>
      <c r="AV730" t="b">
        <v>1</v>
      </c>
      <c r="AW730" t="b">
        <v>1</v>
      </c>
      <c r="BC730" t="str">
        <f t="shared" si="11"/>
        <v>Normal</v>
      </c>
    </row>
    <row r="731" spans="1:55" x14ac:dyDescent="0.2">
      <c r="A731" t="s">
        <v>39</v>
      </c>
      <c r="B731" t="s">
        <v>40</v>
      </c>
      <c r="C731">
        <v>20240101</v>
      </c>
      <c r="D731">
        <v>2024</v>
      </c>
      <c r="E731">
        <v>52</v>
      </c>
      <c r="F731" t="s">
        <v>357</v>
      </c>
      <c r="G731">
        <v>702</v>
      </c>
      <c r="H731" t="s">
        <v>257</v>
      </c>
      <c r="I731" t="s">
        <v>258</v>
      </c>
      <c r="J731" t="s">
        <v>44</v>
      </c>
      <c r="K731" t="s">
        <v>45</v>
      </c>
      <c r="L731">
        <v>0</v>
      </c>
      <c r="M731" t="s">
        <v>46</v>
      </c>
      <c r="N731" t="s">
        <v>47</v>
      </c>
      <c r="O731">
        <v>0</v>
      </c>
      <c r="P731" t="s">
        <v>46</v>
      </c>
      <c r="Q731" t="s">
        <v>47</v>
      </c>
      <c r="R731" t="s">
        <v>347</v>
      </c>
      <c r="S731" t="s">
        <v>49</v>
      </c>
      <c r="T731" t="b">
        <v>1</v>
      </c>
      <c r="U731" t="s">
        <v>50</v>
      </c>
      <c r="V731" t="s">
        <v>51</v>
      </c>
      <c r="W731">
        <v>4</v>
      </c>
      <c r="X731" t="b">
        <v>0</v>
      </c>
      <c r="Y731" t="s">
        <v>52</v>
      </c>
      <c r="Z731" t="s">
        <v>53</v>
      </c>
      <c r="AA731" t="s">
        <v>54</v>
      </c>
      <c r="AB731">
        <v>0</v>
      </c>
      <c r="AC731" t="s">
        <v>55</v>
      </c>
      <c r="AD731">
        <v>8</v>
      </c>
      <c r="AE731" t="s">
        <v>56</v>
      </c>
      <c r="AF731">
        <v>238025.989</v>
      </c>
      <c r="AG731" t="b">
        <v>1</v>
      </c>
      <c r="AH731">
        <v>-1</v>
      </c>
      <c r="AI731" t="s">
        <v>64</v>
      </c>
      <c r="AJ731">
        <v>0</v>
      </c>
      <c r="AK731" t="b">
        <v>0</v>
      </c>
      <c r="AL731" s="1">
        <v>238025.989</v>
      </c>
      <c r="AM731" t="b">
        <v>1</v>
      </c>
      <c r="AN731">
        <v>0</v>
      </c>
      <c r="AO731" t="b">
        <v>0</v>
      </c>
      <c r="AQ731">
        <v>17383273715.165001</v>
      </c>
      <c r="AR731">
        <v>17383273715.165001</v>
      </c>
      <c r="AS731">
        <v>6</v>
      </c>
      <c r="AT731" t="b">
        <v>0</v>
      </c>
      <c r="AU731" t="b">
        <v>1</v>
      </c>
      <c r="AV731" t="b">
        <v>1</v>
      </c>
      <c r="AW731" t="b">
        <v>1</v>
      </c>
      <c r="BC731" t="str">
        <f t="shared" si="11"/>
        <v>Outlier</v>
      </c>
    </row>
    <row r="732" spans="1:55" x14ac:dyDescent="0.2">
      <c r="A732" t="s">
        <v>39</v>
      </c>
      <c r="B732" t="s">
        <v>40</v>
      </c>
      <c r="C732">
        <v>20240101</v>
      </c>
      <c r="D732">
        <v>2024</v>
      </c>
      <c r="E732">
        <v>52</v>
      </c>
      <c r="F732" t="s">
        <v>357</v>
      </c>
      <c r="G732">
        <v>703</v>
      </c>
      <c r="H732" t="s">
        <v>259</v>
      </c>
      <c r="I732" t="s">
        <v>260</v>
      </c>
      <c r="J732" t="s">
        <v>44</v>
      </c>
      <c r="K732" t="s">
        <v>45</v>
      </c>
      <c r="L732">
        <v>0</v>
      </c>
      <c r="M732" t="s">
        <v>46</v>
      </c>
      <c r="N732" t="s">
        <v>47</v>
      </c>
      <c r="O732">
        <v>0</v>
      </c>
      <c r="P732" t="s">
        <v>46</v>
      </c>
      <c r="Q732" t="s">
        <v>47</v>
      </c>
      <c r="R732" t="s">
        <v>347</v>
      </c>
      <c r="S732" t="s">
        <v>49</v>
      </c>
      <c r="T732" t="b">
        <v>1</v>
      </c>
      <c r="U732" t="s">
        <v>50</v>
      </c>
      <c r="V732" t="s">
        <v>51</v>
      </c>
      <c r="W732">
        <v>4</v>
      </c>
      <c r="X732" t="b">
        <v>0</v>
      </c>
      <c r="Y732" t="s">
        <v>52</v>
      </c>
      <c r="Z732" t="s">
        <v>53</v>
      </c>
      <c r="AA732" t="s">
        <v>54</v>
      </c>
      <c r="AB732">
        <v>0</v>
      </c>
      <c r="AC732" t="s">
        <v>55</v>
      </c>
      <c r="AD732">
        <v>8</v>
      </c>
      <c r="AE732" t="s">
        <v>56</v>
      </c>
      <c r="AF732">
        <v>826.77700000000004</v>
      </c>
      <c r="AG732" t="b">
        <v>0</v>
      </c>
      <c r="AH732">
        <v>15</v>
      </c>
      <c r="AI732" t="s">
        <v>59</v>
      </c>
      <c r="AJ732">
        <v>826777</v>
      </c>
      <c r="AK732" t="b">
        <v>0</v>
      </c>
      <c r="AM732" t="b">
        <v>0</v>
      </c>
      <c r="AN732">
        <v>0</v>
      </c>
      <c r="AO732" t="b">
        <v>0</v>
      </c>
      <c r="AQ732">
        <v>32392244.164000001</v>
      </c>
      <c r="AR732">
        <v>32392244.164000001</v>
      </c>
      <c r="AS732">
        <v>0</v>
      </c>
      <c r="AT732" t="b">
        <v>0</v>
      </c>
      <c r="AU732" t="b">
        <v>1</v>
      </c>
      <c r="AV732" t="b">
        <v>1</v>
      </c>
      <c r="AW732" t="b">
        <v>1</v>
      </c>
      <c r="BC732" t="str">
        <f t="shared" si="11"/>
        <v>Normal</v>
      </c>
    </row>
    <row r="733" spans="1:55" x14ac:dyDescent="0.2">
      <c r="A733" t="s">
        <v>39</v>
      </c>
      <c r="B733" t="s">
        <v>40</v>
      </c>
      <c r="C733">
        <v>20240101</v>
      </c>
      <c r="D733">
        <v>2024</v>
      </c>
      <c r="E733">
        <v>52</v>
      </c>
      <c r="F733" t="s">
        <v>357</v>
      </c>
      <c r="G733">
        <v>705</v>
      </c>
      <c r="H733" t="s">
        <v>263</v>
      </c>
      <c r="I733" t="s">
        <v>264</v>
      </c>
      <c r="J733" t="s">
        <v>44</v>
      </c>
      <c r="K733" t="s">
        <v>45</v>
      </c>
      <c r="L733">
        <v>0</v>
      </c>
      <c r="M733" t="s">
        <v>46</v>
      </c>
      <c r="N733" t="s">
        <v>47</v>
      </c>
      <c r="O733">
        <v>0</v>
      </c>
      <c r="P733" t="s">
        <v>46</v>
      </c>
      <c r="Q733" t="s">
        <v>47</v>
      </c>
      <c r="R733" t="s">
        <v>347</v>
      </c>
      <c r="S733" t="s">
        <v>49</v>
      </c>
      <c r="T733" t="b">
        <v>1</v>
      </c>
      <c r="U733" t="s">
        <v>50</v>
      </c>
      <c r="V733" t="s">
        <v>51</v>
      </c>
      <c r="W733">
        <v>4</v>
      </c>
      <c r="X733" t="b">
        <v>0</v>
      </c>
      <c r="Y733" t="s">
        <v>52</v>
      </c>
      <c r="Z733" t="s">
        <v>53</v>
      </c>
      <c r="AA733" t="s">
        <v>54</v>
      </c>
      <c r="AB733">
        <v>0</v>
      </c>
      <c r="AC733" t="s">
        <v>55</v>
      </c>
      <c r="AD733">
        <v>8</v>
      </c>
      <c r="AE733" t="s">
        <v>56</v>
      </c>
      <c r="AF733">
        <v>457.05500000000001</v>
      </c>
      <c r="AG733" t="b">
        <v>0</v>
      </c>
      <c r="AH733">
        <v>15</v>
      </c>
      <c r="AI733" t="s">
        <v>59</v>
      </c>
      <c r="AJ733">
        <v>457054.62</v>
      </c>
      <c r="AK733" t="b">
        <v>0</v>
      </c>
      <c r="AL733">
        <v>464.43099999999998</v>
      </c>
      <c r="AM733" t="b">
        <v>0</v>
      </c>
      <c r="AN733">
        <v>0</v>
      </c>
      <c r="AO733" t="b">
        <v>0</v>
      </c>
      <c r="AQ733">
        <v>35816286.375</v>
      </c>
      <c r="AR733">
        <v>35816286.375</v>
      </c>
      <c r="AS733">
        <v>0</v>
      </c>
      <c r="AT733" t="b">
        <v>0</v>
      </c>
      <c r="AU733" t="b">
        <v>1</v>
      </c>
      <c r="AV733" t="b">
        <v>1</v>
      </c>
      <c r="AW733" t="b">
        <v>1</v>
      </c>
      <c r="BC733" t="str">
        <f t="shared" si="11"/>
        <v>Normal</v>
      </c>
    </row>
    <row r="734" spans="1:55" x14ac:dyDescent="0.2">
      <c r="A734" t="s">
        <v>39</v>
      </c>
      <c r="B734" t="s">
        <v>40</v>
      </c>
      <c r="C734">
        <v>20240101</v>
      </c>
      <c r="D734">
        <v>2024</v>
      </c>
      <c r="E734">
        <v>52</v>
      </c>
      <c r="F734" t="s">
        <v>357</v>
      </c>
      <c r="G734">
        <v>710</v>
      </c>
      <c r="H734" t="s">
        <v>265</v>
      </c>
      <c r="I734" t="s">
        <v>266</v>
      </c>
      <c r="J734" t="s">
        <v>44</v>
      </c>
      <c r="K734" t="s">
        <v>45</v>
      </c>
      <c r="L734">
        <v>0</v>
      </c>
      <c r="M734" t="s">
        <v>46</v>
      </c>
      <c r="N734" t="s">
        <v>47</v>
      </c>
      <c r="O734">
        <v>0</v>
      </c>
      <c r="P734" t="s">
        <v>46</v>
      </c>
      <c r="Q734" t="s">
        <v>47</v>
      </c>
      <c r="R734" t="s">
        <v>347</v>
      </c>
      <c r="S734" t="s">
        <v>49</v>
      </c>
      <c r="T734" t="b">
        <v>1</v>
      </c>
      <c r="U734" t="s">
        <v>50</v>
      </c>
      <c r="V734" t="s">
        <v>51</v>
      </c>
      <c r="W734">
        <v>4</v>
      </c>
      <c r="X734" t="b">
        <v>0</v>
      </c>
      <c r="Y734" t="s">
        <v>52</v>
      </c>
      <c r="Z734" t="s">
        <v>53</v>
      </c>
      <c r="AA734" t="s">
        <v>54</v>
      </c>
      <c r="AB734">
        <v>0</v>
      </c>
      <c r="AC734" t="s">
        <v>55</v>
      </c>
      <c r="AD734">
        <v>-1</v>
      </c>
      <c r="AE734" t="s">
        <v>64</v>
      </c>
      <c r="AF734">
        <v>0</v>
      </c>
      <c r="AG734" t="b">
        <v>0</v>
      </c>
      <c r="AH734">
        <v>-1</v>
      </c>
      <c r="AI734" t="s">
        <v>64</v>
      </c>
      <c r="AJ734">
        <v>0</v>
      </c>
      <c r="AK734" t="b">
        <v>0</v>
      </c>
      <c r="AM734" t="b">
        <v>0</v>
      </c>
      <c r="AN734">
        <v>0</v>
      </c>
      <c r="AO734" t="b">
        <v>0</v>
      </c>
      <c r="AQ734">
        <v>8169098823.7819996</v>
      </c>
      <c r="AR734">
        <v>8169098823.7819996</v>
      </c>
      <c r="AS734">
        <v>0</v>
      </c>
      <c r="AT734" t="b">
        <v>0</v>
      </c>
      <c r="AU734" t="b">
        <v>1</v>
      </c>
      <c r="AV734" t="b">
        <v>1</v>
      </c>
      <c r="AW734" t="b">
        <v>1</v>
      </c>
      <c r="BC734" t="str">
        <f t="shared" si="11"/>
        <v>Normal</v>
      </c>
    </row>
    <row r="735" spans="1:55" x14ac:dyDescent="0.2">
      <c r="A735" t="s">
        <v>39</v>
      </c>
      <c r="B735" t="s">
        <v>40</v>
      </c>
      <c r="C735">
        <v>20240101</v>
      </c>
      <c r="D735">
        <v>2024</v>
      </c>
      <c r="E735">
        <v>52</v>
      </c>
      <c r="F735" t="s">
        <v>357</v>
      </c>
      <c r="G735">
        <v>716</v>
      </c>
      <c r="H735" t="s">
        <v>267</v>
      </c>
      <c r="I735" t="s">
        <v>268</v>
      </c>
      <c r="J735" t="s">
        <v>44</v>
      </c>
      <c r="K735" t="s">
        <v>45</v>
      </c>
      <c r="L735">
        <v>0</v>
      </c>
      <c r="M735" t="s">
        <v>46</v>
      </c>
      <c r="N735" t="s">
        <v>47</v>
      </c>
      <c r="O735">
        <v>0</v>
      </c>
      <c r="P735" t="s">
        <v>46</v>
      </c>
      <c r="Q735" t="s">
        <v>47</v>
      </c>
      <c r="R735" t="s">
        <v>347</v>
      </c>
      <c r="S735" t="s">
        <v>49</v>
      </c>
      <c r="T735" t="b">
        <v>1</v>
      </c>
      <c r="U735" t="s">
        <v>50</v>
      </c>
      <c r="V735" t="s">
        <v>51</v>
      </c>
      <c r="W735">
        <v>4</v>
      </c>
      <c r="X735" t="b">
        <v>0</v>
      </c>
      <c r="Y735" t="s">
        <v>52</v>
      </c>
      <c r="Z735" t="s">
        <v>53</v>
      </c>
      <c r="AA735" t="s">
        <v>54</v>
      </c>
      <c r="AB735">
        <v>0</v>
      </c>
      <c r="AC735" t="s">
        <v>55</v>
      </c>
      <c r="AD735">
        <v>8</v>
      </c>
      <c r="AE735" t="s">
        <v>56</v>
      </c>
      <c r="AF735">
        <v>33582.701999999997</v>
      </c>
      <c r="AG735" t="b">
        <v>1</v>
      </c>
      <c r="AH735">
        <v>-1</v>
      </c>
      <c r="AI735" t="s">
        <v>64</v>
      </c>
      <c r="AJ735">
        <v>0</v>
      </c>
      <c r="AK735" t="b">
        <v>0</v>
      </c>
      <c r="AL735">
        <v>34145.462</v>
      </c>
      <c r="AM735" t="b">
        <v>1</v>
      </c>
      <c r="AN735">
        <v>0</v>
      </c>
      <c r="AO735" t="b">
        <v>0</v>
      </c>
      <c r="AQ735">
        <v>2524753692.335</v>
      </c>
      <c r="AR735">
        <v>2524753692.335</v>
      </c>
      <c r="AS735">
        <v>6</v>
      </c>
      <c r="AT735" t="b">
        <v>0</v>
      </c>
      <c r="AU735" t="b">
        <v>1</v>
      </c>
      <c r="AV735" t="b">
        <v>1</v>
      </c>
      <c r="AW735" t="b">
        <v>1</v>
      </c>
      <c r="BC735" t="str">
        <f t="shared" si="11"/>
        <v>Normal</v>
      </c>
    </row>
    <row r="736" spans="1:55" x14ac:dyDescent="0.2">
      <c r="A736" t="s">
        <v>39</v>
      </c>
      <c r="B736" t="s">
        <v>40</v>
      </c>
      <c r="C736">
        <v>20240101</v>
      </c>
      <c r="D736">
        <v>2024</v>
      </c>
      <c r="E736">
        <v>52</v>
      </c>
      <c r="F736" t="s">
        <v>357</v>
      </c>
      <c r="G736">
        <v>724</v>
      </c>
      <c r="H736" t="s">
        <v>269</v>
      </c>
      <c r="I736" t="s">
        <v>270</v>
      </c>
      <c r="J736" t="s">
        <v>44</v>
      </c>
      <c r="K736" t="s">
        <v>45</v>
      </c>
      <c r="L736">
        <v>0</v>
      </c>
      <c r="M736" t="s">
        <v>46</v>
      </c>
      <c r="N736" t="s">
        <v>47</v>
      </c>
      <c r="O736">
        <v>0</v>
      </c>
      <c r="P736" t="s">
        <v>46</v>
      </c>
      <c r="Q736" t="s">
        <v>47</v>
      </c>
      <c r="R736" t="s">
        <v>347</v>
      </c>
      <c r="S736" t="s">
        <v>49</v>
      </c>
      <c r="T736" t="b">
        <v>1</v>
      </c>
      <c r="U736" t="s">
        <v>50</v>
      </c>
      <c r="V736" t="s">
        <v>51</v>
      </c>
      <c r="W736">
        <v>4</v>
      </c>
      <c r="X736" t="b">
        <v>0</v>
      </c>
      <c r="Y736" t="s">
        <v>52</v>
      </c>
      <c r="Z736" t="s">
        <v>53</v>
      </c>
      <c r="AA736" t="s">
        <v>54</v>
      </c>
      <c r="AB736">
        <v>0</v>
      </c>
      <c r="AC736" t="s">
        <v>55</v>
      </c>
      <c r="AD736">
        <v>-1</v>
      </c>
      <c r="AE736" t="s">
        <v>64</v>
      </c>
      <c r="AF736">
        <v>0</v>
      </c>
      <c r="AG736" t="b">
        <v>0</v>
      </c>
      <c r="AH736">
        <v>-1</v>
      </c>
      <c r="AI736" t="s">
        <v>64</v>
      </c>
      <c r="AJ736">
        <v>0</v>
      </c>
      <c r="AK736" t="b">
        <v>0</v>
      </c>
      <c r="AM736" t="b">
        <v>0</v>
      </c>
      <c r="AN736">
        <v>0</v>
      </c>
      <c r="AO736" t="b">
        <v>0</v>
      </c>
      <c r="AQ736">
        <v>3190433828.2329998</v>
      </c>
      <c r="AR736">
        <v>3190433828.2329998</v>
      </c>
      <c r="AS736">
        <v>0</v>
      </c>
      <c r="AT736" t="b">
        <v>0</v>
      </c>
      <c r="AU736" t="b">
        <v>1</v>
      </c>
      <c r="AV736" t="b">
        <v>1</v>
      </c>
      <c r="AW736" t="b">
        <v>1</v>
      </c>
      <c r="BC736" t="str">
        <f t="shared" si="11"/>
        <v>Normal</v>
      </c>
    </row>
    <row r="737" spans="1:55" x14ac:dyDescent="0.2">
      <c r="A737" t="s">
        <v>39</v>
      </c>
      <c r="B737" t="s">
        <v>40</v>
      </c>
      <c r="C737">
        <v>20240101</v>
      </c>
      <c r="D737">
        <v>2024</v>
      </c>
      <c r="E737">
        <v>52</v>
      </c>
      <c r="F737" t="s">
        <v>357</v>
      </c>
      <c r="G737">
        <v>740</v>
      </c>
      <c r="H737" t="s">
        <v>271</v>
      </c>
      <c r="I737" t="s">
        <v>272</v>
      </c>
      <c r="J737" t="s">
        <v>44</v>
      </c>
      <c r="K737" t="s">
        <v>45</v>
      </c>
      <c r="L737">
        <v>0</v>
      </c>
      <c r="M737" t="s">
        <v>46</v>
      </c>
      <c r="N737" t="s">
        <v>47</v>
      </c>
      <c r="O737">
        <v>0</v>
      </c>
      <c r="P737" t="s">
        <v>46</v>
      </c>
      <c r="Q737" t="s">
        <v>47</v>
      </c>
      <c r="R737" t="s">
        <v>136</v>
      </c>
      <c r="S737" t="s">
        <v>49</v>
      </c>
      <c r="T737" t="b">
        <v>1</v>
      </c>
      <c r="U737" t="s">
        <v>50</v>
      </c>
      <c r="V737" t="s">
        <v>51</v>
      </c>
      <c r="W737">
        <v>4</v>
      </c>
      <c r="X737" t="b">
        <v>0</v>
      </c>
      <c r="Y737" t="s">
        <v>52</v>
      </c>
      <c r="Z737" t="s">
        <v>53</v>
      </c>
      <c r="AA737" t="s">
        <v>54</v>
      </c>
      <c r="AB737">
        <v>0</v>
      </c>
      <c r="AC737" t="s">
        <v>55</v>
      </c>
      <c r="AD737">
        <v>8</v>
      </c>
      <c r="AE737" t="s">
        <v>56</v>
      </c>
      <c r="AF737">
        <v>10088.896000000001</v>
      </c>
      <c r="AG737" t="b">
        <v>0</v>
      </c>
      <c r="AH737">
        <v>-1</v>
      </c>
      <c r="AI737" t="s">
        <v>64</v>
      </c>
      <c r="AJ737">
        <v>0</v>
      </c>
      <c r="AK737" t="b">
        <v>0</v>
      </c>
      <c r="AL737">
        <v>14311.32</v>
      </c>
      <c r="AM737" t="b">
        <v>0</v>
      </c>
      <c r="AN737">
        <v>15275.58</v>
      </c>
      <c r="AO737" t="b">
        <v>0</v>
      </c>
      <c r="AQ737">
        <v>1006039075.406</v>
      </c>
      <c r="AR737">
        <v>1006039075.406</v>
      </c>
      <c r="AS737">
        <v>0</v>
      </c>
      <c r="AT737" t="b">
        <v>0</v>
      </c>
      <c r="AU737" t="b">
        <v>1</v>
      </c>
      <c r="AV737" t="b">
        <v>1</v>
      </c>
      <c r="AW737" t="b">
        <v>1</v>
      </c>
      <c r="BC737" t="str">
        <f t="shared" si="11"/>
        <v>Normal</v>
      </c>
    </row>
    <row r="738" spans="1:55" x14ac:dyDescent="0.2">
      <c r="A738" t="s">
        <v>39</v>
      </c>
      <c r="B738" t="s">
        <v>40</v>
      </c>
      <c r="C738">
        <v>20240101</v>
      </c>
      <c r="D738">
        <v>2024</v>
      </c>
      <c r="E738">
        <v>52</v>
      </c>
      <c r="F738" t="s">
        <v>357</v>
      </c>
      <c r="G738">
        <v>752</v>
      </c>
      <c r="H738" t="s">
        <v>275</v>
      </c>
      <c r="I738" t="s">
        <v>276</v>
      </c>
      <c r="J738" t="s">
        <v>44</v>
      </c>
      <c r="K738" t="s">
        <v>45</v>
      </c>
      <c r="L738">
        <v>0</v>
      </c>
      <c r="M738" t="s">
        <v>46</v>
      </c>
      <c r="N738" t="s">
        <v>47</v>
      </c>
      <c r="O738">
        <v>0</v>
      </c>
      <c r="P738" t="s">
        <v>46</v>
      </c>
      <c r="Q738" t="s">
        <v>47</v>
      </c>
      <c r="R738" t="s">
        <v>347</v>
      </c>
      <c r="S738" t="s">
        <v>49</v>
      </c>
      <c r="T738" t="b">
        <v>1</v>
      </c>
      <c r="U738" t="s">
        <v>50</v>
      </c>
      <c r="V738" t="s">
        <v>51</v>
      </c>
      <c r="W738">
        <v>4</v>
      </c>
      <c r="X738" t="b">
        <v>0</v>
      </c>
      <c r="Y738" t="s">
        <v>52</v>
      </c>
      <c r="Z738" t="s">
        <v>53</v>
      </c>
      <c r="AA738" t="s">
        <v>54</v>
      </c>
      <c r="AB738">
        <v>0</v>
      </c>
      <c r="AC738" t="s">
        <v>55</v>
      </c>
      <c r="AD738">
        <v>8</v>
      </c>
      <c r="AE738" t="s">
        <v>56</v>
      </c>
      <c r="AF738">
        <v>9420.8050000000003</v>
      </c>
      <c r="AG738" t="b">
        <v>1</v>
      </c>
      <c r="AH738">
        <v>-1</v>
      </c>
      <c r="AI738" t="s">
        <v>64</v>
      </c>
      <c r="AJ738">
        <v>0</v>
      </c>
      <c r="AK738" t="b">
        <v>0</v>
      </c>
      <c r="AL738">
        <v>10557.072</v>
      </c>
      <c r="AM738" t="b">
        <v>1</v>
      </c>
      <c r="AN738">
        <v>0</v>
      </c>
      <c r="AO738" t="b">
        <v>0</v>
      </c>
      <c r="AQ738">
        <v>764704317.097</v>
      </c>
      <c r="AR738">
        <v>764704317.097</v>
      </c>
      <c r="AS738">
        <v>6</v>
      </c>
      <c r="AT738" t="b">
        <v>0</v>
      </c>
      <c r="AU738" t="b">
        <v>1</v>
      </c>
      <c r="AV738" t="b">
        <v>1</v>
      </c>
      <c r="AW738" t="b">
        <v>1</v>
      </c>
      <c r="BC738" t="str">
        <f t="shared" si="11"/>
        <v>Normal</v>
      </c>
    </row>
    <row r="739" spans="1:55" x14ac:dyDescent="0.2">
      <c r="A739" t="s">
        <v>39</v>
      </c>
      <c r="B739" t="s">
        <v>40</v>
      </c>
      <c r="C739">
        <v>20240101</v>
      </c>
      <c r="D739">
        <v>2024</v>
      </c>
      <c r="E739">
        <v>52</v>
      </c>
      <c r="F739" t="s">
        <v>357</v>
      </c>
      <c r="G739">
        <v>757</v>
      </c>
      <c r="H739" t="s">
        <v>277</v>
      </c>
      <c r="I739" t="s">
        <v>278</v>
      </c>
      <c r="J739" t="s">
        <v>44</v>
      </c>
      <c r="K739" t="s">
        <v>45</v>
      </c>
      <c r="L739">
        <v>0</v>
      </c>
      <c r="M739" t="s">
        <v>46</v>
      </c>
      <c r="N739" t="s">
        <v>47</v>
      </c>
      <c r="O739">
        <v>0</v>
      </c>
      <c r="P739" t="s">
        <v>46</v>
      </c>
      <c r="Q739" t="s">
        <v>47</v>
      </c>
      <c r="R739" t="s">
        <v>347</v>
      </c>
      <c r="S739" t="s">
        <v>49</v>
      </c>
      <c r="T739" t="b">
        <v>1</v>
      </c>
      <c r="U739" t="s">
        <v>50</v>
      </c>
      <c r="V739" t="s">
        <v>51</v>
      </c>
      <c r="W739">
        <v>4</v>
      </c>
      <c r="X739" t="b">
        <v>0</v>
      </c>
      <c r="Y739" t="s">
        <v>52</v>
      </c>
      <c r="Z739" t="s">
        <v>53</v>
      </c>
      <c r="AA739" t="s">
        <v>54</v>
      </c>
      <c r="AB739">
        <v>0</v>
      </c>
      <c r="AC739" t="s">
        <v>55</v>
      </c>
      <c r="AD739">
        <v>8</v>
      </c>
      <c r="AE739" t="s">
        <v>56</v>
      </c>
      <c r="AF739">
        <v>1563791.4140000001</v>
      </c>
      <c r="AG739" t="b">
        <v>1</v>
      </c>
      <c r="AH739">
        <v>-1</v>
      </c>
      <c r="AI739" t="s">
        <v>64</v>
      </c>
      <c r="AJ739">
        <v>0</v>
      </c>
      <c r="AK739" t="b">
        <v>0</v>
      </c>
      <c r="AL739" s="1">
        <v>1563791.4140000001</v>
      </c>
      <c r="AM739" t="b">
        <v>1</v>
      </c>
      <c r="AN739">
        <v>0</v>
      </c>
      <c r="AO739" t="b">
        <v>0</v>
      </c>
      <c r="AQ739">
        <v>116817692386.54601</v>
      </c>
      <c r="AR739">
        <v>116817692386.54601</v>
      </c>
      <c r="AS739">
        <v>6</v>
      </c>
      <c r="AT739" t="b">
        <v>0</v>
      </c>
      <c r="AU739" t="b">
        <v>1</v>
      </c>
      <c r="AV739" t="b">
        <v>1</v>
      </c>
      <c r="AW739" t="b">
        <v>1</v>
      </c>
      <c r="BC739" t="str">
        <f t="shared" si="11"/>
        <v>Outlier</v>
      </c>
    </row>
    <row r="740" spans="1:55" x14ac:dyDescent="0.2">
      <c r="A740" t="s">
        <v>39</v>
      </c>
      <c r="B740" t="s">
        <v>40</v>
      </c>
      <c r="C740">
        <v>20240101</v>
      </c>
      <c r="D740">
        <v>2024</v>
      </c>
      <c r="E740">
        <v>52</v>
      </c>
      <c r="F740" t="s">
        <v>357</v>
      </c>
      <c r="G740">
        <v>764</v>
      </c>
      <c r="H740" t="s">
        <v>279</v>
      </c>
      <c r="I740" t="s">
        <v>280</v>
      </c>
      <c r="J740" t="s">
        <v>44</v>
      </c>
      <c r="K740" t="s">
        <v>45</v>
      </c>
      <c r="L740">
        <v>0</v>
      </c>
      <c r="M740" t="s">
        <v>46</v>
      </c>
      <c r="N740" t="s">
        <v>47</v>
      </c>
      <c r="O740">
        <v>0</v>
      </c>
      <c r="P740" t="s">
        <v>46</v>
      </c>
      <c r="Q740" t="s">
        <v>47</v>
      </c>
      <c r="R740" t="s">
        <v>347</v>
      </c>
      <c r="S740" t="s">
        <v>49</v>
      </c>
      <c r="T740" t="b">
        <v>1</v>
      </c>
      <c r="U740" t="s">
        <v>50</v>
      </c>
      <c r="V740" t="s">
        <v>51</v>
      </c>
      <c r="W740">
        <v>4</v>
      </c>
      <c r="X740" t="b">
        <v>0</v>
      </c>
      <c r="Y740" t="s">
        <v>52</v>
      </c>
      <c r="Z740" t="s">
        <v>53</v>
      </c>
      <c r="AA740" t="s">
        <v>54</v>
      </c>
      <c r="AB740">
        <v>0</v>
      </c>
      <c r="AC740" t="s">
        <v>55</v>
      </c>
      <c r="AD740">
        <v>-1</v>
      </c>
      <c r="AE740" t="s">
        <v>64</v>
      </c>
      <c r="AF740">
        <v>0</v>
      </c>
      <c r="AG740" t="b">
        <v>0</v>
      </c>
      <c r="AH740">
        <v>-1</v>
      </c>
      <c r="AI740" t="s">
        <v>64</v>
      </c>
      <c r="AJ740">
        <v>0</v>
      </c>
      <c r="AK740" t="b">
        <v>0</v>
      </c>
      <c r="AM740" t="b">
        <v>0</v>
      </c>
      <c r="AN740">
        <v>0</v>
      </c>
      <c r="AO740" t="b">
        <v>0</v>
      </c>
      <c r="AQ740">
        <v>8758037368.1700001</v>
      </c>
      <c r="AR740">
        <v>8758037368.1700001</v>
      </c>
      <c r="AS740">
        <v>0</v>
      </c>
      <c r="AT740" t="b">
        <v>0</v>
      </c>
      <c r="AU740" t="b">
        <v>1</v>
      </c>
      <c r="AV740" t="b">
        <v>1</v>
      </c>
      <c r="AW740" t="b">
        <v>1</v>
      </c>
      <c r="BC740" t="str">
        <f t="shared" si="11"/>
        <v>Normal</v>
      </c>
    </row>
    <row r="741" spans="1:55" x14ac:dyDescent="0.2">
      <c r="A741" t="s">
        <v>39</v>
      </c>
      <c r="B741" t="s">
        <v>40</v>
      </c>
      <c r="C741">
        <v>20240101</v>
      </c>
      <c r="D741">
        <v>2024</v>
      </c>
      <c r="E741">
        <v>52</v>
      </c>
      <c r="F741" t="s">
        <v>357</v>
      </c>
      <c r="G741">
        <v>768</v>
      </c>
      <c r="H741" t="s">
        <v>281</v>
      </c>
      <c r="I741" t="s">
        <v>282</v>
      </c>
      <c r="J741" t="s">
        <v>44</v>
      </c>
      <c r="K741" t="s">
        <v>45</v>
      </c>
      <c r="L741">
        <v>0</v>
      </c>
      <c r="M741" t="s">
        <v>46</v>
      </c>
      <c r="N741" t="s">
        <v>47</v>
      </c>
      <c r="O741">
        <v>0</v>
      </c>
      <c r="P741" t="s">
        <v>46</v>
      </c>
      <c r="Q741" t="s">
        <v>47</v>
      </c>
      <c r="R741" t="s">
        <v>48</v>
      </c>
      <c r="S741" t="s">
        <v>49</v>
      </c>
      <c r="T741" t="b">
        <v>1</v>
      </c>
      <c r="U741" t="s">
        <v>50</v>
      </c>
      <c r="V741" t="s">
        <v>51</v>
      </c>
      <c r="W741">
        <v>4</v>
      </c>
      <c r="X741" t="b">
        <v>0</v>
      </c>
      <c r="Y741" t="s">
        <v>52</v>
      </c>
      <c r="Z741" t="s">
        <v>53</v>
      </c>
      <c r="AA741" t="s">
        <v>54</v>
      </c>
      <c r="AB741">
        <v>0</v>
      </c>
      <c r="AC741" t="s">
        <v>55</v>
      </c>
      <c r="AD741">
        <v>8</v>
      </c>
      <c r="AE741" t="s">
        <v>56</v>
      </c>
      <c r="AF741">
        <v>1</v>
      </c>
      <c r="AG741" t="b">
        <v>0</v>
      </c>
      <c r="AH741">
        <v>8</v>
      </c>
      <c r="AI741" t="s">
        <v>56</v>
      </c>
      <c r="AJ741">
        <v>1</v>
      </c>
      <c r="AK741" t="b">
        <v>0</v>
      </c>
      <c r="AL741">
        <v>1</v>
      </c>
      <c r="AM741" t="b">
        <v>0</v>
      </c>
      <c r="AN741">
        <v>0</v>
      </c>
      <c r="AO741" t="b">
        <v>0</v>
      </c>
      <c r="AQ741">
        <v>339.22300000000001</v>
      </c>
      <c r="AR741">
        <v>339.22300000000001</v>
      </c>
      <c r="AS741">
        <v>0</v>
      </c>
      <c r="AT741" t="b">
        <v>0</v>
      </c>
      <c r="AU741" t="b">
        <v>1</v>
      </c>
      <c r="AV741" t="b">
        <v>1</v>
      </c>
      <c r="AW741" t="b">
        <v>1</v>
      </c>
      <c r="BC741" t="str">
        <f t="shared" si="11"/>
        <v>Normal</v>
      </c>
    </row>
    <row r="742" spans="1:55" x14ac:dyDescent="0.2">
      <c r="A742" t="s">
        <v>39</v>
      </c>
      <c r="B742" t="s">
        <v>40</v>
      </c>
      <c r="C742">
        <v>20240101</v>
      </c>
      <c r="D742">
        <v>2024</v>
      </c>
      <c r="E742">
        <v>52</v>
      </c>
      <c r="F742" t="s">
        <v>357</v>
      </c>
      <c r="G742">
        <v>792</v>
      </c>
      <c r="H742" t="s">
        <v>287</v>
      </c>
      <c r="I742" t="s">
        <v>288</v>
      </c>
      <c r="J742" t="s">
        <v>44</v>
      </c>
      <c r="K742" t="s">
        <v>45</v>
      </c>
      <c r="L742">
        <v>0</v>
      </c>
      <c r="M742" t="s">
        <v>46</v>
      </c>
      <c r="N742" t="s">
        <v>47</v>
      </c>
      <c r="O742">
        <v>0</v>
      </c>
      <c r="P742" t="s">
        <v>46</v>
      </c>
      <c r="Q742" t="s">
        <v>47</v>
      </c>
      <c r="R742" t="s">
        <v>347</v>
      </c>
      <c r="S742" t="s">
        <v>49</v>
      </c>
      <c r="T742" t="b">
        <v>1</v>
      </c>
      <c r="U742" t="s">
        <v>50</v>
      </c>
      <c r="V742" t="s">
        <v>51</v>
      </c>
      <c r="W742">
        <v>4</v>
      </c>
      <c r="X742" t="b">
        <v>0</v>
      </c>
      <c r="Y742" t="s">
        <v>52</v>
      </c>
      <c r="Z742" t="s">
        <v>53</v>
      </c>
      <c r="AA742" t="s">
        <v>54</v>
      </c>
      <c r="AB742">
        <v>0</v>
      </c>
      <c r="AC742" t="s">
        <v>55</v>
      </c>
      <c r="AD742">
        <v>8</v>
      </c>
      <c r="AE742" t="s">
        <v>56</v>
      </c>
      <c r="AF742">
        <v>45207.493999999999</v>
      </c>
      <c r="AG742" t="b">
        <v>0</v>
      </c>
      <c r="AH742">
        <v>15</v>
      </c>
      <c r="AI742" t="s">
        <v>59</v>
      </c>
      <c r="AJ742">
        <v>45207494</v>
      </c>
      <c r="AK742" t="b">
        <v>0</v>
      </c>
      <c r="AM742" t="b">
        <v>0</v>
      </c>
      <c r="AN742">
        <v>0</v>
      </c>
      <c r="AO742" t="b">
        <v>0</v>
      </c>
      <c r="AQ742">
        <v>3481781178</v>
      </c>
      <c r="AR742">
        <v>3481781178</v>
      </c>
      <c r="AS742">
        <v>0</v>
      </c>
      <c r="AT742" t="b">
        <v>0</v>
      </c>
      <c r="AU742" t="b">
        <v>1</v>
      </c>
      <c r="AV742" t="b">
        <v>1</v>
      </c>
      <c r="AW742" t="b">
        <v>1</v>
      </c>
      <c r="BC742" t="str">
        <f t="shared" si="11"/>
        <v>Normal</v>
      </c>
    </row>
    <row r="743" spans="1:55" x14ac:dyDescent="0.2">
      <c r="A743" t="s">
        <v>39</v>
      </c>
      <c r="B743" t="s">
        <v>40</v>
      </c>
      <c r="C743">
        <v>20240101</v>
      </c>
      <c r="D743">
        <v>2024</v>
      </c>
      <c r="E743">
        <v>52</v>
      </c>
      <c r="F743" t="s">
        <v>357</v>
      </c>
      <c r="G743">
        <v>800</v>
      </c>
      <c r="H743" t="s">
        <v>289</v>
      </c>
      <c r="I743" t="s">
        <v>290</v>
      </c>
      <c r="J743" t="s">
        <v>44</v>
      </c>
      <c r="K743" t="s">
        <v>45</v>
      </c>
      <c r="L743">
        <v>0</v>
      </c>
      <c r="M743" t="s">
        <v>46</v>
      </c>
      <c r="N743" t="s">
        <v>47</v>
      </c>
      <c r="O743">
        <v>0</v>
      </c>
      <c r="P743" t="s">
        <v>46</v>
      </c>
      <c r="Q743" t="s">
        <v>47</v>
      </c>
      <c r="R743" t="s">
        <v>347</v>
      </c>
      <c r="S743" t="s">
        <v>49</v>
      </c>
      <c r="T743" t="b">
        <v>1</v>
      </c>
      <c r="U743" t="s">
        <v>50</v>
      </c>
      <c r="V743" t="s">
        <v>51</v>
      </c>
      <c r="W743">
        <v>4</v>
      </c>
      <c r="X743" t="b">
        <v>0</v>
      </c>
      <c r="Y743" t="s">
        <v>52</v>
      </c>
      <c r="Z743" t="s">
        <v>53</v>
      </c>
      <c r="AA743" t="s">
        <v>54</v>
      </c>
      <c r="AB743">
        <v>0</v>
      </c>
      <c r="AC743" t="s">
        <v>55</v>
      </c>
      <c r="AD743">
        <v>8</v>
      </c>
      <c r="AE743" t="s">
        <v>56</v>
      </c>
      <c r="AF743">
        <v>46313.866999999998</v>
      </c>
      <c r="AG743" t="b">
        <v>0</v>
      </c>
      <c r="AH743">
        <v>15</v>
      </c>
      <c r="AI743" t="s">
        <v>59</v>
      </c>
      <c r="AJ743">
        <v>46313867.189999998</v>
      </c>
      <c r="AK743" t="b">
        <v>0</v>
      </c>
      <c r="AM743" t="b">
        <v>0</v>
      </c>
      <c r="AN743">
        <v>0</v>
      </c>
      <c r="AO743" t="b">
        <v>0</v>
      </c>
      <c r="AQ743">
        <v>3377412844.0599999</v>
      </c>
      <c r="AR743">
        <v>3377412844.0599999</v>
      </c>
      <c r="AS743">
        <v>0</v>
      </c>
      <c r="AT743" t="b">
        <v>0</v>
      </c>
      <c r="AU743" t="b">
        <v>1</v>
      </c>
      <c r="AV743" t="b">
        <v>1</v>
      </c>
      <c r="AW743" t="b">
        <v>1</v>
      </c>
      <c r="BC743" t="str">
        <f t="shared" si="11"/>
        <v>Normal</v>
      </c>
    </row>
    <row r="744" spans="1:55" x14ac:dyDescent="0.2">
      <c r="A744" t="s">
        <v>39</v>
      </c>
      <c r="B744" t="s">
        <v>40</v>
      </c>
      <c r="C744">
        <v>20240101</v>
      </c>
      <c r="D744">
        <v>2024</v>
      </c>
      <c r="E744">
        <v>52</v>
      </c>
      <c r="F744" t="s">
        <v>357</v>
      </c>
      <c r="G744">
        <v>804</v>
      </c>
      <c r="H744" t="s">
        <v>291</v>
      </c>
      <c r="I744" t="s">
        <v>292</v>
      </c>
      <c r="J744" t="s">
        <v>44</v>
      </c>
      <c r="K744" t="s">
        <v>45</v>
      </c>
      <c r="L744">
        <v>0</v>
      </c>
      <c r="M744" t="s">
        <v>46</v>
      </c>
      <c r="N744" t="s">
        <v>47</v>
      </c>
      <c r="O744">
        <v>0</v>
      </c>
      <c r="P744" t="s">
        <v>46</v>
      </c>
      <c r="Q744" t="s">
        <v>47</v>
      </c>
      <c r="R744" t="s">
        <v>347</v>
      </c>
      <c r="S744" t="s">
        <v>49</v>
      </c>
      <c r="T744" t="b">
        <v>1</v>
      </c>
      <c r="U744" t="s">
        <v>50</v>
      </c>
      <c r="V744" t="s">
        <v>51</v>
      </c>
      <c r="W744">
        <v>4</v>
      </c>
      <c r="X744" t="b">
        <v>0</v>
      </c>
      <c r="Y744" t="s">
        <v>52</v>
      </c>
      <c r="Z744" t="s">
        <v>53</v>
      </c>
      <c r="AA744" t="s">
        <v>54</v>
      </c>
      <c r="AB744">
        <v>0</v>
      </c>
      <c r="AC744" t="s">
        <v>55</v>
      </c>
      <c r="AD744">
        <v>8</v>
      </c>
      <c r="AE744" t="s">
        <v>56</v>
      </c>
      <c r="AF744">
        <v>33.581000000000003</v>
      </c>
      <c r="AG744" t="b">
        <v>0</v>
      </c>
      <c r="AH744">
        <v>8</v>
      </c>
      <c r="AI744" t="s">
        <v>56</v>
      </c>
      <c r="AJ744">
        <v>33.581000000000003</v>
      </c>
      <c r="AK744" t="b">
        <v>0</v>
      </c>
      <c r="AL744">
        <v>33.581000000000003</v>
      </c>
      <c r="AM744" t="b">
        <v>0</v>
      </c>
      <c r="AN744">
        <v>0</v>
      </c>
      <c r="AO744" t="b">
        <v>0</v>
      </c>
      <c r="AQ744">
        <v>1959197.42</v>
      </c>
      <c r="AR744">
        <v>1959197.42</v>
      </c>
      <c r="AS744">
        <v>0</v>
      </c>
      <c r="AT744" t="b">
        <v>0</v>
      </c>
      <c r="AU744" t="b">
        <v>1</v>
      </c>
      <c r="AV744" t="b">
        <v>1</v>
      </c>
      <c r="AW744" t="b">
        <v>1</v>
      </c>
      <c r="BC744" t="str">
        <f t="shared" si="11"/>
        <v>Normal</v>
      </c>
    </row>
    <row r="745" spans="1:55" x14ac:dyDescent="0.2">
      <c r="A745" t="s">
        <v>39</v>
      </c>
      <c r="B745" t="s">
        <v>40</v>
      </c>
      <c r="C745">
        <v>20240101</v>
      </c>
      <c r="D745">
        <v>2024</v>
      </c>
      <c r="E745">
        <v>52</v>
      </c>
      <c r="F745" t="s">
        <v>357</v>
      </c>
      <c r="G745">
        <v>818</v>
      </c>
      <c r="H745" t="s">
        <v>293</v>
      </c>
      <c r="I745" t="s">
        <v>294</v>
      </c>
      <c r="J745" t="s">
        <v>44</v>
      </c>
      <c r="K745" t="s">
        <v>45</v>
      </c>
      <c r="L745">
        <v>0</v>
      </c>
      <c r="M745" t="s">
        <v>46</v>
      </c>
      <c r="N745" t="s">
        <v>47</v>
      </c>
      <c r="O745">
        <v>0</v>
      </c>
      <c r="P745" t="s">
        <v>46</v>
      </c>
      <c r="Q745" t="s">
        <v>47</v>
      </c>
      <c r="R745" t="s">
        <v>347</v>
      </c>
      <c r="S745" t="s">
        <v>49</v>
      </c>
      <c r="T745" t="b">
        <v>1</v>
      </c>
      <c r="U745" t="s">
        <v>50</v>
      </c>
      <c r="V745" t="s">
        <v>51</v>
      </c>
      <c r="W745">
        <v>4</v>
      </c>
      <c r="X745" t="b">
        <v>0</v>
      </c>
      <c r="Y745" t="s">
        <v>52</v>
      </c>
      <c r="Z745" t="s">
        <v>53</v>
      </c>
      <c r="AA745" t="s">
        <v>54</v>
      </c>
      <c r="AB745">
        <v>0</v>
      </c>
      <c r="AC745" t="s">
        <v>55</v>
      </c>
      <c r="AD745">
        <v>8</v>
      </c>
      <c r="AE745" t="s">
        <v>56</v>
      </c>
      <c r="AF745">
        <v>48660.783000000003</v>
      </c>
      <c r="AG745" t="b">
        <v>1</v>
      </c>
      <c r="AH745">
        <v>-1</v>
      </c>
      <c r="AI745" t="s">
        <v>64</v>
      </c>
      <c r="AJ745">
        <v>0</v>
      </c>
      <c r="AK745" t="b">
        <v>0</v>
      </c>
      <c r="AL745">
        <v>48660.783000000003</v>
      </c>
      <c r="AM745" t="b">
        <v>1</v>
      </c>
      <c r="AN745">
        <v>0</v>
      </c>
      <c r="AO745" t="b">
        <v>0</v>
      </c>
      <c r="AQ745">
        <v>3245127056.7399998</v>
      </c>
      <c r="AR745">
        <v>3245127056.7399998</v>
      </c>
      <c r="AS745">
        <v>6</v>
      </c>
      <c r="AT745" t="b">
        <v>0</v>
      </c>
      <c r="AU745" t="b">
        <v>1</v>
      </c>
      <c r="AV745" t="b">
        <v>1</v>
      </c>
      <c r="AW745" t="b">
        <v>1</v>
      </c>
      <c r="BC745" t="str">
        <f t="shared" si="11"/>
        <v>Normal</v>
      </c>
    </row>
    <row r="746" spans="1:55" x14ac:dyDescent="0.2">
      <c r="A746" t="s">
        <v>39</v>
      </c>
      <c r="B746" t="s">
        <v>40</v>
      </c>
      <c r="C746">
        <v>20240101</v>
      </c>
      <c r="D746">
        <v>2024</v>
      </c>
      <c r="E746">
        <v>52</v>
      </c>
      <c r="F746" t="s">
        <v>357</v>
      </c>
      <c r="G746">
        <v>826</v>
      </c>
      <c r="H746" t="s">
        <v>295</v>
      </c>
      <c r="I746" t="s">
        <v>296</v>
      </c>
      <c r="J746" t="s">
        <v>44</v>
      </c>
      <c r="K746" t="s">
        <v>45</v>
      </c>
      <c r="L746">
        <v>0</v>
      </c>
      <c r="M746" t="s">
        <v>46</v>
      </c>
      <c r="N746" t="s">
        <v>47</v>
      </c>
      <c r="O746">
        <v>0</v>
      </c>
      <c r="P746" t="s">
        <v>46</v>
      </c>
      <c r="Q746" t="s">
        <v>47</v>
      </c>
      <c r="R746" t="s">
        <v>347</v>
      </c>
      <c r="S746" t="s">
        <v>49</v>
      </c>
      <c r="T746" t="b">
        <v>1</v>
      </c>
      <c r="U746" t="s">
        <v>50</v>
      </c>
      <c r="V746" t="s">
        <v>51</v>
      </c>
      <c r="W746">
        <v>4</v>
      </c>
      <c r="X746" t="b">
        <v>0</v>
      </c>
      <c r="Y746" t="s">
        <v>52</v>
      </c>
      <c r="Z746" t="s">
        <v>53</v>
      </c>
      <c r="AA746" t="s">
        <v>54</v>
      </c>
      <c r="AB746">
        <v>0</v>
      </c>
      <c r="AC746" t="s">
        <v>55</v>
      </c>
      <c r="AD746">
        <v>8</v>
      </c>
      <c r="AE746" t="s">
        <v>56</v>
      </c>
      <c r="AF746">
        <v>867333.98</v>
      </c>
      <c r="AG746" t="b">
        <v>0</v>
      </c>
      <c r="AH746">
        <v>8</v>
      </c>
      <c r="AI746" t="s">
        <v>56</v>
      </c>
      <c r="AJ746">
        <v>867333.98</v>
      </c>
      <c r="AK746" t="b">
        <v>0</v>
      </c>
      <c r="AL746" s="1">
        <v>867029.73</v>
      </c>
      <c r="AM746" t="b">
        <v>0</v>
      </c>
      <c r="AN746">
        <v>0</v>
      </c>
      <c r="AO746" t="b">
        <v>0</v>
      </c>
      <c r="AQ746">
        <v>65415144477.959999</v>
      </c>
      <c r="AR746">
        <v>65415144477.959999</v>
      </c>
      <c r="AS746">
        <v>0</v>
      </c>
      <c r="AT746" t="b">
        <v>0</v>
      </c>
      <c r="AU746" t="b">
        <v>1</v>
      </c>
      <c r="AV746" t="b">
        <v>1</v>
      </c>
      <c r="AW746" t="b">
        <v>1</v>
      </c>
      <c r="BC746" t="str">
        <f t="shared" si="11"/>
        <v>Outlier</v>
      </c>
    </row>
    <row r="747" spans="1:55" x14ac:dyDescent="0.2">
      <c r="A747" t="s">
        <v>39</v>
      </c>
      <c r="B747" t="s">
        <v>40</v>
      </c>
      <c r="C747">
        <v>20240101</v>
      </c>
      <c r="D747">
        <v>2024</v>
      </c>
      <c r="E747">
        <v>52</v>
      </c>
      <c r="F747" t="s">
        <v>357</v>
      </c>
      <c r="G747">
        <v>834</v>
      </c>
      <c r="H747" t="s">
        <v>297</v>
      </c>
      <c r="I747" t="s">
        <v>298</v>
      </c>
      <c r="J747" t="s">
        <v>44</v>
      </c>
      <c r="K747" t="s">
        <v>45</v>
      </c>
      <c r="L747">
        <v>0</v>
      </c>
      <c r="M747" t="s">
        <v>46</v>
      </c>
      <c r="N747" t="s">
        <v>47</v>
      </c>
      <c r="O747">
        <v>0</v>
      </c>
      <c r="P747" t="s">
        <v>46</v>
      </c>
      <c r="Q747" t="s">
        <v>47</v>
      </c>
      <c r="R747" t="s">
        <v>347</v>
      </c>
      <c r="S747" t="s">
        <v>49</v>
      </c>
      <c r="T747" t="b">
        <v>1</v>
      </c>
      <c r="U747" t="s">
        <v>50</v>
      </c>
      <c r="V747" t="s">
        <v>51</v>
      </c>
      <c r="W747">
        <v>4</v>
      </c>
      <c r="X747" t="b">
        <v>0</v>
      </c>
      <c r="Y747" t="s">
        <v>52</v>
      </c>
      <c r="Z747" t="s">
        <v>53</v>
      </c>
      <c r="AA747" t="s">
        <v>54</v>
      </c>
      <c r="AB747">
        <v>0</v>
      </c>
      <c r="AC747" t="s">
        <v>55</v>
      </c>
      <c r="AD747">
        <v>-1</v>
      </c>
      <c r="AE747" t="s">
        <v>64</v>
      </c>
      <c r="AF747">
        <v>0</v>
      </c>
      <c r="AG747" t="b">
        <v>0</v>
      </c>
      <c r="AH747">
        <v>15</v>
      </c>
      <c r="AI747" t="s">
        <v>59</v>
      </c>
      <c r="AJ747">
        <v>57594.093999999997</v>
      </c>
      <c r="AK747" t="b">
        <v>0</v>
      </c>
      <c r="AM747" t="b">
        <v>0</v>
      </c>
      <c r="AN747">
        <v>0</v>
      </c>
      <c r="AO747" t="b">
        <v>0</v>
      </c>
      <c r="AQ747">
        <v>3419643899.724</v>
      </c>
      <c r="AR747">
        <v>3419643899.724</v>
      </c>
      <c r="AS747">
        <v>0</v>
      </c>
      <c r="AT747" t="b">
        <v>0</v>
      </c>
      <c r="AU747" t="b">
        <v>1</v>
      </c>
      <c r="AV747" t="b">
        <v>1</v>
      </c>
      <c r="AW747" t="b">
        <v>1</v>
      </c>
      <c r="BC747" t="str">
        <f t="shared" si="11"/>
        <v>Normal</v>
      </c>
    </row>
    <row r="748" spans="1:55" x14ac:dyDescent="0.2">
      <c r="A748" t="s">
        <v>39</v>
      </c>
      <c r="B748" t="s">
        <v>40</v>
      </c>
      <c r="C748">
        <v>20240101</v>
      </c>
      <c r="D748">
        <v>2024</v>
      </c>
      <c r="E748">
        <v>52</v>
      </c>
      <c r="F748" t="s">
        <v>357</v>
      </c>
      <c r="G748">
        <v>842</v>
      </c>
      <c r="H748" t="s">
        <v>299</v>
      </c>
      <c r="I748" t="s">
        <v>299</v>
      </c>
      <c r="J748" t="s">
        <v>44</v>
      </c>
      <c r="K748" t="s">
        <v>45</v>
      </c>
      <c r="L748">
        <v>0</v>
      </c>
      <c r="M748" t="s">
        <v>46</v>
      </c>
      <c r="N748" t="s">
        <v>47</v>
      </c>
      <c r="O748">
        <v>0</v>
      </c>
      <c r="P748" t="s">
        <v>46</v>
      </c>
      <c r="Q748" t="s">
        <v>47</v>
      </c>
      <c r="R748" t="s">
        <v>347</v>
      </c>
      <c r="S748" t="s">
        <v>49</v>
      </c>
      <c r="T748" t="b">
        <v>1</v>
      </c>
      <c r="U748" t="s">
        <v>50</v>
      </c>
      <c r="V748" t="s">
        <v>51</v>
      </c>
      <c r="W748">
        <v>4</v>
      </c>
      <c r="X748" t="b">
        <v>0</v>
      </c>
      <c r="Y748" t="s">
        <v>52</v>
      </c>
      <c r="Z748" t="s">
        <v>53</v>
      </c>
      <c r="AA748" t="s">
        <v>54</v>
      </c>
      <c r="AB748">
        <v>0</v>
      </c>
      <c r="AC748" t="s">
        <v>55</v>
      </c>
      <c r="AD748">
        <v>8</v>
      </c>
      <c r="AE748" t="s">
        <v>56</v>
      </c>
      <c r="AF748">
        <v>397850.788</v>
      </c>
      <c r="AG748" t="b">
        <v>1</v>
      </c>
      <c r="AH748">
        <v>-1</v>
      </c>
      <c r="AI748" t="s">
        <v>64</v>
      </c>
      <c r="AJ748">
        <v>0</v>
      </c>
      <c r="AK748" t="b">
        <v>0</v>
      </c>
      <c r="AL748" s="1">
        <v>397850.788</v>
      </c>
      <c r="AM748" t="b">
        <v>1</v>
      </c>
      <c r="AN748">
        <v>0</v>
      </c>
      <c r="AO748" t="b">
        <v>0</v>
      </c>
      <c r="AQ748">
        <v>29678941764</v>
      </c>
      <c r="AR748">
        <v>29678941764</v>
      </c>
      <c r="AS748">
        <v>6</v>
      </c>
      <c r="AT748" t="b">
        <v>0</v>
      </c>
      <c r="AU748" t="b">
        <v>1</v>
      </c>
      <c r="AV748" t="b">
        <v>1</v>
      </c>
      <c r="AW748" t="b">
        <v>1</v>
      </c>
      <c r="BC748" t="str">
        <f t="shared" si="11"/>
        <v>Outlier</v>
      </c>
    </row>
    <row r="749" spans="1:55" x14ac:dyDescent="0.2">
      <c r="A749" t="s">
        <v>39</v>
      </c>
      <c r="B749" t="s">
        <v>40</v>
      </c>
      <c r="C749">
        <v>20240101</v>
      </c>
      <c r="D749">
        <v>2024</v>
      </c>
      <c r="E749">
        <v>52</v>
      </c>
      <c r="F749" t="s">
        <v>357</v>
      </c>
      <c r="G749">
        <v>854</v>
      </c>
      <c r="H749" t="s">
        <v>300</v>
      </c>
      <c r="I749" t="s">
        <v>301</v>
      </c>
      <c r="J749" t="s">
        <v>44</v>
      </c>
      <c r="K749" t="s">
        <v>45</v>
      </c>
      <c r="L749">
        <v>0</v>
      </c>
      <c r="M749" t="s">
        <v>46</v>
      </c>
      <c r="N749" t="s">
        <v>47</v>
      </c>
      <c r="O749">
        <v>0</v>
      </c>
      <c r="P749" t="s">
        <v>46</v>
      </c>
      <c r="Q749" t="s">
        <v>47</v>
      </c>
      <c r="R749" t="s">
        <v>347</v>
      </c>
      <c r="S749" t="s">
        <v>49</v>
      </c>
      <c r="T749" t="b">
        <v>1</v>
      </c>
      <c r="U749" t="s">
        <v>50</v>
      </c>
      <c r="V749" t="s">
        <v>51</v>
      </c>
      <c r="W749">
        <v>4</v>
      </c>
      <c r="X749" t="b">
        <v>0</v>
      </c>
      <c r="Y749" t="s">
        <v>52</v>
      </c>
      <c r="Z749" t="s">
        <v>53</v>
      </c>
      <c r="AA749" t="s">
        <v>54</v>
      </c>
      <c r="AB749">
        <v>0</v>
      </c>
      <c r="AC749" t="s">
        <v>55</v>
      </c>
      <c r="AD749">
        <v>8</v>
      </c>
      <c r="AE749" t="s">
        <v>56</v>
      </c>
      <c r="AF749">
        <v>64674</v>
      </c>
      <c r="AG749" t="b">
        <v>0</v>
      </c>
      <c r="AH749">
        <v>8</v>
      </c>
      <c r="AI749" t="s">
        <v>56</v>
      </c>
      <c r="AJ749">
        <v>64674</v>
      </c>
      <c r="AK749" t="b">
        <v>0</v>
      </c>
      <c r="AL749">
        <v>64674</v>
      </c>
      <c r="AM749" t="b">
        <v>0</v>
      </c>
      <c r="AN749">
        <v>0</v>
      </c>
      <c r="AO749" t="b">
        <v>0</v>
      </c>
      <c r="AQ749">
        <v>4642549078.6549997</v>
      </c>
      <c r="AR749">
        <v>4642549078.6549997</v>
      </c>
      <c r="AS749">
        <v>0</v>
      </c>
      <c r="AT749" t="b">
        <v>0</v>
      </c>
      <c r="AU749" t="b">
        <v>1</v>
      </c>
      <c r="AV749" t="b">
        <v>1</v>
      </c>
      <c r="AW749" t="b">
        <v>1</v>
      </c>
      <c r="BC749" t="str">
        <f t="shared" si="11"/>
        <v>Normal</v>
      </c>
    </row>
    <row r="750" spans="1:55" x14ac:dyDescent="0.2">
      <c r="A750" t="s">
        <v>39</v>
      </c>
      <c r="B750" t="s">
        <v>40</v>
      </c>
      <c r="C750">
        <v>20240101</v>
      </c>
      <c r="D750">
        <v>2024</v>
      </c>
      <c r="E750">
        <v>52</v>
      </c>
      <c r="F750" t="s">
        <v>357</v>
      </c>
      <c r="G750">
        <v>858</v>
      </c>
      <c r="H750" t="s">
        <v>302</v>
      </c>
      <c r="I750" t="s">
        <v>303</v>
      </c>
      <c r="J750" t="s">
        <v>44</v>
      </c>
      <c r="K750" t="s">
        <v>45</v>
      </c>
      <c r="L750">
        <v>0</v>
      </c>
      <c r="M750" t="s">
        <v>46</v>
      </c>
      <c r="N750" t="s">
        <v>47</v>
      </c>
      <c r="O750">
        <v>0</v>
      </c>
      <c r="P750" t="s">
        <v>46</v>
      </c>
      <c r="Q750" t="s">
        <v>47</v>
      </c>
      <c r="R750" t="s">
        <v>347</v>
      </c>
      <c r="S750" t="s">
        <v>49</v>
      </c>
      <c r="T750" t="b">
        <v>1</v>
      </c>
      <c r="U750" t="s">
        <v>50</v>
      </c>
      <c r="V750" t="s">
        <v>51</v>
      </c>
      <c r="W750">
        <v>4</v>
      </c>
      <c r="X750" t="b">
        <v>0</v>
      </c>
      <c r="Y750" t="s">
        <v>52</v>
      </c>
      <c r="Z750" t="s">
        <v>53</v>
      </c>
      <c r="AA750" t="s">
        <v>54</v>
      </c>
      <c r="AB750">
        <v>0</v>
      </c>
      <c r="AC750" t="s">
        <v>55</v>
      </c>
      <c r="AD750">
        <v>8</v>
      </c>
      <c r="AE750" t="s">
        <v>56</v>
      </c>
      <c r="AF750">
        <v>63</v>
      </c>
      <c r="AG750" t="b">
        <v>0</v>
      </c>
      <c r="AH750">
        <v>8</v>
      </c>
      <c r="AI750" t="s">
        <v>56</v>
      </c>
      <c r="AJ750">
        <v>63</v>
      </c>
      <c r="AK750" t="b">
        <v>0</v>
      </c>
      <c r="AL750">
        <v>63</v>
      </c>
      <c r="AM750" t="b">
        <v>0</v>
      </c>
      <c r="AN750">
        <v>0</v>
      </c>
      <c r="AO750" t="b">
        <v>0</v>
      </c>
      <c r="AQ750">
        <v>5029317</v>
      </c>
      <c r="AR750">
        <v>5029317</v>
      </c>
      <c r="AS750">
        <v>0</v>
      </c>
      <c r="AT750" t="b">
        <v>0</v>
      </c>
      <c r="AU750" t="b">
        <v>1</v>
      </c>
      <c r="AV750" t="b">
        <v>1</v>
      </c>
      <c r="AW750" t="b">
        <v>1</v>
      </c>
      <c r="BC750" t="str">
        <f t="shared" si="11"/>
        <v>Normal</v>
      </c>
    </row>
    <row r="751" spans="1:55" x14ac:dyDescent="0.2">
      <c r="A751" t="s">
        <v>39</v>
      </c>
      <c r="B751" t="s">
        <v>40</v>
      </c>
      <c r="C751">
        <v>20240101</v>
      </c>
      <c r="D751">
        <v>2024</v>
      </c>
      <c r="E751">
        <v>52</v>
      </c>
      <c r="F751" t="s">
        <v>357</v>
      </c>
      <c r="G751">
        <v>860</v>
      </c>
      <c r="H751" t="s">
        <v>304</v>
      </c>
      <c r="I751" t="s">
        <v>305</v>
      </c>
      <c r="J751" t="s">
        <v>44</v>
      </c>
      <c r="K751" t="s">
        <v>45</v>
      </c>
      <c r="L751">
        <v>0</v>
      </c>
      <c r="M751" t="s">
        <v>46</v>
      </c>
      <c r="N751" t="s">
        <v>47</v>
      </c>
      <c r="O751">
        <v>0</v>
      </c>
      <c r="P751" t="s">
        <v>46</v>
      </c>
      <c r="Q751" t="s">
        <v>47</v>
      </c>
      <c r="R751" t="s">
        <v>347</v>
      </c>
      <c r="S751" t="s">
        <v>49</v>
      </c>
      <c r="T751" t="b">
        <v>1</v>
      </c>
      <c r="U751" t="s">
        <v>50</v>
      </c>
      <c r="V751" t="s">
        <v>51</v>
      </c>
      <c r="W751">
        <v>4</v>
      </c>
      <c r="X751" t="b">
        <v>0</v>
      </c>
      <c r="Y751" t="s">
        <v>52</v>
      </c>
      <c r="Z751" t="s">
        <v>53</v>
      </c>
      <c r="AA751" t="s">
        <v>54</v>
      </c>
      <c r="AB751">
        <v>0</v>
      </c>
      <c r="AC751" t="s">
        <v>55</v>
      </c>
      <c r="AD751">
        <v>8</v>
      </c>
      <c r="AE751" t="s">
        <v>56</v>
      </c>
      <c r="AF751">
        <v>100000</v>
      </c>
      <c r="AG751" t="b">
        <v>0</v>
      </c>
      <c r="AH751">
        <v>8</v>
      </c>
      <c r="AI751" t="s">
        <v>56</v>
      </c>
      <c r="AJ751">
        <v>100000</v>
      </c>
      <c r="AK751" t="b">
        <v>0</v>
      </c>
      <c r="AL751" s="1">
        <v>100000</v>
      </c>
      <c r="AM751" t="b">
        <v>0</v>
      </c>
      <c r="AN751">
        <v>0</v>
      </c>
      <c r="AO751" t="b">
        <v>0</v>
      </c>
      <c r="AQ751">
        <v>7480600000</v>
      </c>
      <c r="AR751">
        <v>7480600000</v>
      </c>
      <c r="AS751">
        <v>0</v>
      </c>
      <c r="AT751" t="b">
        <v>0</v>
      </c>
      <c r="AU751" t="b">
        <v>1</v>
      </c>
      <c r="AV751" t="b">
        <v>1</v>
      </c>
      <c r="AW751" t="b">
        <v>1</v>
      </c>
      <c r="BC751" t="str">
        <f t="shared" si="11"/>
        <v>Outlier</v>
      </c>
    </row>
    <row r="752" spans="1:55" x14ac:dyDescent="0.2">
      <c r="A752" t="s">
        <v>39</v>
      </c>
      <c r="B752" t="s">
        <v>40</v>
      </c>
      <c r="C752">
        <v>20240101</v>
      </c>
      <c r="D752">
        <v>2024</v>
      </c>
      <c r="E752">
        <v>52</v>
      </c>
      <c r="F752" t="s">
        <v>357</v>
      </c>
      <c r="G752">
        <v>894</v>
      </c>
      <c r="H752" t="s">
        <v>307</v>
      </c>
      <c r="I752" t="s">
        <v>308</v>
      </c>
      <c r="J752" t="s">
        <v>44</v>
      </c>
      <c r="K752" t="s">
        <v>45</v>
      </c>
      <c r="L752">
        <v>0</v>
      </c>
      <c r="M752" t="s">
        <v>46</v>
      </c>
      <c r="N752" t="s">
        <v>47</v>
      </c>
      <c r="O752">
        <v>0</v>
      </c>
      <c r="P752" t="s">
        <v>46</v>
      </c>
      <c r="Q752" t="s">
        <v>47</v>
      </c>
      <c r="R752" t="s">
        <v>347</v>
      </c>
      <c r="S752" t="s">
        <v>49</v>
      </c>
      <c r="T752" t="b">
        <v>1</v>
      </c>
      <c r="U752" t="s">
        <v>50</v>
      </c>
      <c r="V752" t="s">
        <v>51</v>
      </c>
      <c r="W752">
        <v>4</v>
      </c>
      <c r="X752" t="b">
        <v>0</v>
      </c>
      <c r="Y752" t="s">
        <v>52</v>
      </c>
      <c r="Z752" t="s">
        <v>53</v>
      </c>
      <c r="AA752" t="s">
        <v>54</v>
      </c>
      <c r="AB752">
        <v>0</v>
      </c>
      <c r="AC752" t="s">
        <v>55</v>
      </c>
      <c r="AD752">
        <v>8</v>
      </c>
      <c r="AE752" t="s">
        <v>56</v>
      </c>
      <c r="AF752">
        <v>1490.55</v>
      </c>
      <c r="AG752" t="b">
        <v>0</v>
      </c>
      <c r="AH752">
        <v>8</v>
      </c>
      <c r="AI752" t="s">
        <v>56</v>
      </c>
      <c r="AJ752">
        <v>1490.55</v>
      </c>
      <c r="AK752" t="b">
        <v>0</v>
      </c>
      <c r="AL752">
        <v>1490.55</v>
      </c>
      <c r="AM752" t="b">
        <v>0</v>
      </c>
      <c r="AN752">
        <v>0</v>
      </c>
      <c r="AO752" t="b">
        <v>0</v>
      </c>
      <c r="AQ752">
        <v>111735173.26100001</v>
      </c>
      <c r="AR752">
        <v>111735173.26100001</v>
      </c>
      <c r="AS752">
        <v>0</v>
      </c>
      <c r="AT752" t="b">
        <v>0</v>
      </c>
      <c r="AU752" t="b">
        <v>1</v>
      </c>
      <c r="AV752" t="b">
        <v>1</v>
      </c>
      <c r="AW752" t="b">
        <v>1</v>
      </c>
      <c r="BC752" t="str">
        <f t="shared" si="11"/>
        <v>Normal</v>
      </c>
    </row>
  </sheetData>
  <autoFilter ref="A1:BC752" xr:uid="{00000000-0001-0000-0000-000000000000}"/>
  <pageMargins left="0.7" right="0.7" top="0.75" bottom="0.75" header="0.3" footer="0.3"/>
  <ignoredErrors>
    <ignoredError sqref="A3:AU14 A1 C1 E1 J1:AK1 AN1:AP1 AR1:AU1 A16:AU752 A15:G15 I15:AU15 A2:Q2 S2:U2 W2:A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55"/>
  <sheetViews>
    <sheetView workbookViewId="0">
      <selection activeCell="D7" sqref="D7"/>
    </sheetView>
  </sheetViews>
  <sheetFormatPr baseColWidth="10" defaultRowHeight="16" x14ac:dyDescent="0.2"/>
  <sheetData>
    <row r="1" spans="1:55" x14ac:dyDescent="0.2">
      <c r="A1" t="s">
        <v>0</v>
      </c>
      <c r="B1" t="s">
        <v>1</v>
      </c>
      <c r="C1" t="s">
        <v>2</v>
      </c>
      <c r="D1" t="s">
        <v>360</v>
      </c>
      <c r="E1" t="s">
        <v>3</v>
      </c>
      <c r="F1" t="s">
        <v>361</v>
      </c>
      <c r="G1" t="s">
        <v>363</v>
      </c>
      <c r="H1" t="s">
        <v>362</v>
      </c>
      <c r="I1" t="s">
        <v>364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365</v>
      </c>
      <c r="AM1" t="s">
        <v>367</v>
      </c>
      <c r="AN1" t="s">
        <v>32</v>
      </c>
      <c r="AO1" t="s">
        <v>33</v>
      </c>
      <c r="AP1" t="s">
        <v>34</v>
      </c>
      <c r="AQ1" t="s">
        <v>366</v>
      </c>
      <c r="AR1" t="s">
        <v>35</v>
      </c>
      <c r="AS1" t="s">
        <v>36</v>
      </c>
      <c r="AT1" t="s">
        <v>37</v>
      </c>
      <c r="AU1" t="s">
        <v>38</v>
      </c>
      <c r="AX1" t="s">
        <v>368</v>
      </c>
      <c r="AY1" t="s">
        <v>369</v>
      </c>
      <c r="AZ1" t="s">
        <v>370</v>
      </c>
      <c r="BA1" t="s">
        <v>371</v>
      </c>
      <c r="BB1" t="s">
        <v>372</v>
      </c>
      <c r="BC1" t="s">
        <v>373</v>
      </c>
    </row>
    <row r="2" spans="1:55" x14ac:dyDescent="0.2">
      <c r="A2" t="s">
        <v>39</v>
      </c>
      <c r="B2" t="s">
        <v>40</v>
      </c>
      <c r="C2">
        <v>20190101</v>
      </c>
      <c r="D2">
        <v>2019</v>
      </c>
      <c r="E2">
        <v>52</v>
      </c>
      <c r="F2" t="s">
        <v>41</v>
      </c>
      <c r="G2">
        <v>20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 t="s">
        <v>46</v>
      </c>
      <c r="N2" t="s">
        <v>47</v>
      </c>
      <c r="O2">
        <v>0</v>
      </c>
      <c r="P2" t="s">
        <v>46</v>
      </c>
      <c r="Q2" t="s">
        <v>47</v>
      </c>
      <c r="R2" t="s">
        <v>48</v>
      </c>
      <c r="S2" t="s">
        <v>49</v>
      </c>
      <c r="T2" t="b">
        <v>1</v>
      </c>
      <c r="U2" t="s">
        <v>50</v>
      </c>
      <c r="V2" t="s">
        <v>51</v>
      </c>
      <c r="W2">
        <v>4</v>
      </c>
      <c r="X2" t="b">
        <v>0</v>
      </c>
      <c r="Y2" t="s">
        <v>52</v>
      </c>
      <c r="Z2" t="s">
        <v>53</v>
      </c>
      <c r="AA2" t="s">
        <v>54</v>
      </c>
      <c r="AB2">
        <v>0</v>
      </c>
      <c r="AC2" t="s">
        <v>55</v>
      </c>
      <c r="AD2">
        <v>8</v>
      </c>
      <c r="AE2" t="s">
        <v>56</v>
      </c>
      <c r="AF2">
        <v>63.548999999999999</v>
      </c>
      <c r="AG2" t="b">
        <v>0</v>
      </c>
      <c r="AH2">
        <v>8</v>
      </c>
      <c r="AI2" t="s">
        <v>56</v>
      </c>
      <c r="AJ2">
        <v>63.548999999999999</v>
      </c>
      <c r="AK2" t="b">
        <v>0</v>
      </c>
      <c r="AL2">
        <v>63.548999999999999</v>
      </c>
      <c r="AM2" t="b">
        <v>0</v>
      </c>
      <c r="AN2">
        <v>0</v>
      </c>
      <c r="AO2" t="b">
        <v>0</v>
      </c>
      <c r="AQ2">
        <v>2580330.0499999998</v>
      </c>
      <c r="AR2">
        <v>2580330.0499999998</v>
      </c>
      <c r="AS2">
        <v>0</v>
      </c>
      <c r="AT2" t="b">
        <v>0</v>
      </c>
      <c r="AU2" t="b">
        <v>1</v>
      </c>
      <c r="AV2" t="b">
        <v>1</v>
      </c>
      <c r="AW2" t="b">
        <v>1</v>
      </c>
      <c r="AX2">
        <v>69.404250000000005</v>
      </c>
      <c r="AY2">
        <v>26445.034250000001</v>
      </c>
      <c r="AZ2">
        <v>26375.63</v>
      </c>
      <c r="BA2">
        <v>-39494.04075</v>
      </c>
      <c r="BB2">
        <v>66008.479250000004</v>
      </c>
      <c r="BC2" t="s">
        <v>374</v>
      </c>
    </row>
    <row r="3" spans="1:55" x14ac:dyDescent="0.2">
      <c r="A3" t="s">
        <v>39</v>
      </c>
      <c r="B3" t="s">
        <v>40</v>
      </c>
      <c r="C3">
        <v>20190101</v>
      </c>
      <c r="D3">
        <v>2019</v>
      </c>
      <c r="E3">
        <v>52</v>
      </c>
      <c r="F3" t="s">
        <v>41</v>
      </c>
      <c r="G3">
        <v>31</v>
      </c>
      <c r="H3" t="s">
        <v>57</v>
      </c>
      <c r="I3" t="s">
        <v>58</v>
      </c>
      <c r="J3" t="s">
        <v>44</v>
      </c>
      <c r="K3" t="s">
        <v>45</v>
      </c>
      <c r="L3">
        <v>0</v>
      </c>
      <c r="M3" t="s">
        <v>46</v>
      </c>
      <c r="N3" t="s">
        <v>47</v>
      </c>
      <c r="O3">
        <v>0</v>
      </c>
      <c r="P3" t="s">
        <v>46</v>
      </c>
      <c r="Q3" t="s">
        <v>47</v>
      </c>
      <c r="R3" t="s">
        <v>48</v>
      </c>
      <c r="S3" t="s">
        <v>49</v>
      </c>
      <c r="T3" t="b">
        <v>1</v>
      </c>
      <c r="U3" t="s">
        <v>50</v>
      </c>
      <c r="V3" t="s">
        <v>51</v>
      </c>
      <c r="W3">
        <v>4</v>
      </c>
      <c r="X3" t="b">
        <v>0</v>
      </c>
      <c r="Y3" t="s">
        <v>52</v>
      </c>
      <c r="Z3" t="s">
        <v>53</v>
      </c>
      <c r="AA3" t="s">
        <v>54</v>
      </c>
      <c r="AB3">
        <v>0</v>
      </c>
      <c r="AC3" t="s">
        <v>55</v>
      </c>
      <c r="AD3">
        <v>8</v>
      </c>
      <c r="AE3" t="s">
        <v>56</v>
      </c>
      <c r="AF3">
        <v>4799.78</v>
      </c>
      <c r="AG3" t="b">
        <v>0</v>
      </c>
      <c r="AH3">
        <v>15</v>
      </c>
      <c r="AI3" t="s">
        <v>59</v>
      </c>
      <c r="AJ3">
        <v>4799780</v>
      </c>
      <c r="AK3" t="b">
        <v>0</v>
      </c>
      <c r="AL3">
        <v>4799.78</v>
      </c>
      <c r="AM3" t="b">
        <v>0</v>
      </c>
      <c r="AN3">
        <v>0</v>
      </c>
      <c r="AO3" t="b">
        <v>0</v>
      </c>
      <c r="AQ3">
        <v>172337989.52000001</v>
      </c>
      <c r="AR3">
        <v>172337989.52000001</v>
      </c>
      <c r="AS3">
        <v>0</v>
      </c>
      <c r="AT3" t="b">
        <v>0</v>
      </c>
      <c r="AU3" t="b">
        <v>1</v>
      </c>
      <c r="AV3" t="b">
        <v>1</v>
      </c>
      <c r="AW3" t="b">
        <v>1</v>
      </c>
      <c r="BC3" t="s">
        <v>374</v>
      </c>
    </row>
    <row r="4" spans="1:55" x14ac:dyDescent="0.2">
      <c r="A4" t="s">
        <v>39</v>
      </c>
      <c r="B4" t="s">
        <v>40</v>
      </c>
      <c r="C4">
        <v>20190101</v>
      </c>
      <c r="D4">
        <v>2019</v>
      </c>
      <c r="E4">
        <v>52</v>
      </c>
      <c r="F4" t="s">
        <v>41</v>
      </c>
      <c r="G4">
        <v>40</v>
      </c>
      <c r="H4" t="s">
        <v>65</v>
      </c>
      <c r="I4" t="s">
        <v>66</v>
      </c>
      <c r="J4" t="s">
        <v>44</v>
      </c>
      <c r="K4" t="s">
        <v>45</v>
      </c>
      <c r="L4">
        <v>0</v>
      </c>
      <c r="M4" t="s">
        <v>46</v>
      </c>
      <c r="N4" t="s">
        <v>47</v>
      </c>
      <c r="O4">
        <v>0</v>
      </c>
      <c r="P4" t="s">
        <v>46</v>
      </c>
      <c r="Q4" t="s">
        <v>47</v>
      </c>
      <c r="R4" t="s">
        <v>48</v>
      </c>
      <c r="S4" t="s">
        <v>49</v>
      </c>
      <c r="T4" t="b">
        <v>1</v>
      </c>
      <c r="U4" t="s">
        <v>50</v>
      </c>
      <c r="V4" t="s">
        <v>51</v>
      </c>
      <c r="W4">
        <v>4</v>
      </c>
      <c r="X4" t="b">
        <v>0</v>
      </c>
      <c r="Y4" t="s">
        <v>52</v>
      </c>
      <c r="Z4" t="s">
        <v>53</v>
      </c>
      <c r="AA4" t="s">
        <v>54</v>
      </c>
      <c r="AB4">
        <v>0</v>
      </c>
      <c r="AC4" t="s">
        <v>55</v>
      </c>
      <c r="AD4">
        <v>8</v>
      </c>
      <c r="AE4" t="s">
        <v>56</v>
      </c>
      <c r="AF4">
        <v>16418.492999999999</v>
      </c>
      <c r="AG4" t="b">
        <v>1</v>
      </c>
      <c r="AH4">
        <v>-1</v>
      </c>
      <c r="AI4" t="s">
        <v>64</v>
      </c>
      <c r="AJ4">
        <v>0</v>
      </c>
      <c r="AK4" t="b">
        <v>0</v>
      </c>
      <c r="AL4">
        <v>16418.492999999999</v>
      </c>
      <c r="AM4" t="b">
        <v>1</v>
      </c>
      <c r="AN4">
        <v>0</v>
      </c>
      <c r="AO4" t="b">
        <v>0</v>
      </c>
      <c r="AQ4">
        <v>789282791.89400005</v>
      </c>
      <c r="AR4">
        <v>789282791.89400005</v>
      </c>
      <c r="AS4">
        <v>6</v>
      </c>
      <c r="AT4" t="b">
        <v>0</v>
      </c>
      <c r="AU4" t="b">
        <v>1</v>
      </c>
      <c r="AV4" t="b">
        <v>1</v>
      </c>
      <c r="AW4" t="b">
        <v>1</v>
      </c>
      <c r="BC4" t="s">
        <v>374</v>
      </c>
    </row>
    <row r="5" spans="1:55" x14ac:dyDescent="0.2">
      <c r="A5" t="s">
        <v>39</v>
      </c>
      <c r="B5" t="s">
        <v>40</v>
      </c>
      <c r="C5">
        <v>20190101</v>
      </c>
      <c r="D5">
        <v>2019</v>
      </c>
      <c r="E5">
        <v>52</v>
      </c>
      <c r="F5" t="s">
        <v>41</v>
      </c>
      <c r="G5">
        <v>48</v>
      </c>
      <c r="H5" t="s">
        <v>67</v>
      </c>
      <c r="I5" t="s">
        <v>68</v>
      </c>
      <c r="J5" t="s">
        <v>44</v>
      </c>
      <c r="K5" t="s">
        <v>45</v>
      </c>
      <c r="L5">
        <v>0</v>
      </c>
      <c r="M5" t="s">
        <v>46</v>
      </c>
      <c r="N5" t="s">
        <v>47</v>
      </c>
      <c r="O5">
        <v>0</v>
      </c>
      <c r="P5" t="s">
        <v>46</v>
      </c>
      <c r="Q5" t="s">
        <v>47</v>
      </c>
      <c r="R5" t="s">
        <v>48</v>
      </c>
      <c r="S5" t="s">
        <v>49</v>
      </c>
      <c r="T5" t="b">
        <v>1</v>
      </c>
      <c r="U5" t="s">
        <v>50</v>
      </c>
      <c r="V5" t="s">
        <v>51</v>
      </c>
      <c r="W5">
        <v>4</v>
      </c>
      <c r="X5" t="b">
        <v>0</v>
      </c>
      <c r="Y5" t="s">
        <v>52</v>
      </c>
      <c r="Z5" t="s">
        <v>53</v>
      </c>
      <c r="AA5" t="s">
        <v>54</v>
      </c>
      <c r="AB5">
        <v>0</v>
      </c>
      <c r="AC5" t="s">
        <v>55</v>
      </c>
      <c r="AD5">
        <v>8</v>
      </c>
      <c r="AE5" t="s">
        <v>56</v>
      </c>
      <c r="AF5">
        <v>7950.79</v>
      </c>
      <c r="AG5" t="b">
        <v>0</v>
      </c>
      <c r="AH5">
        <v>15</v>
      </c>
      <c r="AI5" t="s">
        <v>59</v>
      </c>
      <c r="AJ5">
        <v>7950790.1200000001</v>
      </c>
      <c r="AK5" t="b">
        <v>0</v>
      </c>
      <c r="AL5">
        <v>7997.5820000000003</v>
      </c>
      <c r="AM5" t="b">
        <v>0</v>
      </c>
      <c r="AN5">
        <v>0</v>
      </c>
      <c r="AO5" t="b">
        <v>0</v>
      </c>
      <c r="AP5">
        <v>0</v>
      </c>
      <c r="AQ5">
        <v>356702506.63999999</v>
      </c>
      <c r="AR5">
        <v>356702506.63999999</v>
      </c>
      <c r="AS5">
        <v>0</v>
      </c>
      <c r="AT5" t="b">
        <v>0</v>
      </c>
      <c r="AU5" t="b">
        <v>1</v>
      </c>
      <c r="AV5" t="b">
        <v>1</v>
      </c>
      <c r="AW5" t="b">
        <v>1</v>
      </c>
      <c r="BC5" t="s">
        <v>374</v>
      </c>
    </row>
    <row r="6" spans="1:55" x14ac:dyDescent="0.2">
      <c r="A6" t="s">
        <v>39</v>
      </c>
      <c r="B6" t="s">
        <v>40</v>
      </c>
      <c r="C6">
        <v>20190101</v>
      </c>
      <c r="D6">
        <v>2019</v>
      </c>
      <c r="E6">
        <v>52</v>
      </c>
      <c r="F6" t="s">
        <v>41</v>
      </c>
      <c r="G6">
        <v>51</v>
      </c>
      <c r="H6" t="s">
        <v>69</v>
      </c>
      <c r="I6" t="s">
        <v>70</v>
      </c>
      <c r="J6" t="s">
        <v>44</v>
      </c>
      <c r="K6" t="s">
        <v>45</v>
      </c>
      <c r="L6">
        <v>0</v>
      </c>
      <c r="M6" t="s">
        <v>46</v>
      </c>
      <c r="N6" t="s">
        <v>47</v>
      </c>
      <c r="O6">
        <v>0</v>
      </c>
      <c r="P6" t="s">
        <v>46</v>
      </c>
      <c r="Q6" t="s">
        <v>47</v>
      </c>
      <c r="R6" t="s">
        <v>48</v>
      </c>
      <c r="S6" t="s">
        <v>49</v>
      </c>
      <c r="T6" t="b">
        <v>1</v>
      </c>
      <c r="U6" t="s">
        <v>50</v>
      </c>
      <c r="V6" t="s">
        <v>51</v>
      </c>
      <c r="W6">
        <v>4</v>
      </c>
      <c r="X6" t="b">
        <v>0</v>
      </c>
      <c r="Y6" t="s">
        <v>52</v>
      </c>
      <c r="Z6" t="s">
        <v>53</v>
      </c>
      <c r="AA6" t="s">
        <v>54</v>
      </c>
      <c r="AB6">
        <v>0</v>
      </c>
      <c r="AC6" t="s">
        <v>55</v>
      </c>
      <c r="AD6">
        <v>8</v>
      </c>
      <c r="AE6" t="s">
        <v>56</v>
      </c>
      <c r="AF6">
        <v>5829.54</v>
      </c>
      <c r="AG6" t="b">
        <v>0</v>
      </c>
      <c r="AH6">
        <v>15</v>
      </c>
      <c r="AI6" t="s">
        <v>59</v>
      </c>
      <c r="AJ6">
        <v>5829539.6699999999</v>
      </c>
      <c r="AK6" t="b">
        <v>0</v>
      </c>
      <c r="AL6">
        <v>5829.55</v>
      </c>
      <c r="AM6" t="b">
        <v>0</v>
      </c>
      <c r="AN6">
        <v>0</v>
      </c>
      <c r="AO6" t="b">
        <v>0</v>
      </c>
      <c r="AP6">
        <v>0</v>
      </c>
      <c r="AQ6">
        <v>223947773.06</v>
      </c>
      <c r="AR6">
        <v>223947773.06</v>
      </c>
      <c r="AS6">
        <v>0</v>
      </c>
      <c r="AT6" t="b">
        <v>0</v>
      </c>
      <c r="AU6" t="b">
        <v>1</v>
      </c>
      <c r="AV6" t="b">
        <v>1</v>
      </c>
      <c r="AW6" t="b">
        <v>1</v>
      </c>
      <c r="BC6" t="s">
        <v>374</v>
      </c>
    </row>
    <row r="7" spans="1:55" x14ac:dyDescent="0.2">
      <c r="A7" t="s">
        <v>39</v>
      </c>
      <c r="B7" t="s">
        <v>40</v>
      </c>
      <c r="C7">
        <v>20190101</v>
      </c>
      <c r="D7">
        <v>2019</v>
      </c>
      <c r="E7">
        <v>52</v>
      </c>
      <c r="F7" t="s">
        <v>41</v>
      </c>
      <c r="G7">
        <v>52</v>
      </c>
      <c r="H7" t="s">
        <v>71</v>
      </c>
      <c r="I7" t="s">
        <v>72</v>
      </c>
      <c r="J7" t="s">
        <v>44</v>
      </c>
      <c r="K7" t="s">
        <v>45</v>
      </c>
      <c r="L7">
        <v>0</v>
      </c>
      <c r="M7" t="s">
        <v>46</v>
      </c>
      <c r="N7" t="s">
        <v>47</v>
      </c>
      <c r="O7">
        <v>0</v>
      </c>
      <c r="P7" t="s">
        <v>46</v>
      </c>
      <c r="Q7" t="s">
        <v>47</v>
      </c>
      <c r="R7" t="s">
        <v>48</v>
      </c>
      <c r="S7" t="s">
        <v>49</v>
      </c>
      <c r="T7" t="b">
        <v>1</v>
      </c>
      <c r="U7" t="s">
        <v>50</v>
      </c>
      <c r="V7" t="s">
        <v>51</v>
      </c>
      <c r="W7">
        <v>4</v>
      </c>
      <c r="X7" t="b">
        <v>0</v>
      </c>
      <c r="Y7" t="s">
        <v>52</v>
      </c>
      <c r="Z7" t="s">
        <v>53</v>
      </c>
      <c r="AA7" t="s">
        <v>54</v>
      </c>
      <c r="AB7">
        <v>0</v>
      </c>
      <c r="AC7" t="s">
        <v>55</v>
      </c>
      <c r="AD7">
        <v>8</v>
      </c>
      <c r="AE7" t="s">
        <v>56</v>
      </c>
      <c r="AF7">
        <v>63</v>
      </c>
      <c r="AG7" t="b">
        <v>0</v>
      </c>
      <c r="AH7">
        <v>8</v>
      </c>
      <c r="AI7" t="s">
        <v>56</v>
      </c>
      <c r="AJ7">
        <v>63</v>
      </c>
      <c r="AK7" t="b">
        <v>0</v>
      </c>
      <c r="AL7">
        <v>63</v>
      </c>
      <c r="AM7" t="b">
        <v>0</v>
      </c>
      <c r="AN7">
        <v>0</v>
      </c>
      <c r="AO7" t="b">
        <v>0</v>
      </c>
      <c r="AQ7">
        <v>963009</v>
      </c>
      <c r="AR7">
        <v>963009</v>
      </c>
      <c r="AS7">
        <v>0</v>
      </c>
      <c r="AT7" t="b">
        <v>0</v>
      </c>
      <c r="AU7" t="b">
        <v>1</v>
      </c>
      <c r="AV7" t="b">
        <v>1</v>
      </c>
      <c r="AW7" t="b">
        <v>1</v>
      </c>
      <c r="BC7" t="s">
        <v>374</v>
      </c>
    </row>
    <row r="8" spans="1:55" x14ac:dyDescent="0.2">
      <c r="A8" t="s">
        <v>39</v>
      </c>
      <c r="B8" t="s">
        <v>40</v>
      </c>
      <c r="C8">
        <v>20190101</v>
      </c>
      <c r="D8">
        <v>2019</v>
      </c>
      <c r="E8">
        <v>52</v>
      </c>
      <c r="F8" t="s">
        <v>41</v>
      </c>
      <c r="G8">
        <v>56</v>
      </c>
      <c r="H8" t="s">
        <v>73</v>
      </c>
      <c r="I8" t="s">
        <v>74</v>
      </c>
      <c r="J8" t="s">
        <v>44</v>
      </c>
      <c r="K8" t="s">
        <v>45</v>
      </c>
      <c r="L8">
        <v>0</v>
      </c>
      <c r="M8" t="s">
        <v>46</v>
      </c>
      <c r="N8" t="s">
        <v>47</v>
      </c>
      <c r="O8">
        <v>0</v>
      </c>
      <c r="P8" t="s">
        <v>46</v>
      </c>
      <c r="Q8" t="s">
        <v>47</v>
      </c>
      <c r="R8" t="s">
        <v>48</v>
      </c>
      <c r="S8" t="s">
        <v>49</v>
      </c>
      <c r="T8" t="b">
        <v>1</v>
      </c>
      <c r="U8" t="s">
        <v>50</v>
      </c>
      <c r="V8" t="s">
        <v>51</v>
      </c>
      <c r="W8">
        <v>4</v>
      </c>
      <c r="X8" t="b">
        <v>0</v>
      </c>
      <c r="Y8" t="s">
        <v>52</v>
      </c>
      <c r="Z8" t="s">
        <v>53</v>
      </c>
      <c r="AA8" t="s">
        <v>54</v>
      </c>
      <c r="AB8">
        <v>0</v>
      </c>
      <c r="AC8" t="s">
        <v>55</v>
      </c>
      <c r="AD8">
        <v>-1</v>
      </c>
      <c r="AE8" t="s">
        <v>64</v>
      </c>
      <c r="AF8">
        <v>0</v>
      </c>
      <c r="AG8" t="b">
        <v>0</v>
      </c>
      <c r="AH8">
        <v>-1</v>
      </c>
      <c r="AI8" t="s">
        <v>64</v>
      </c>
      <c r="AJ8">
        <v>0</v>
      </c>
      <c r="AK8" t="b">
        <v>0</v>
      </c>
      <c r="AL8">
        <v>0</v>
      </c>
      <c r="AM8" t="b">
        <v>0</v>
      </c>
      <c r="AN8">
        <v>0</v>
      </c>
      <c r="AO8" t="b">
        <v>0</v>
      </c>
      <c r="AP8">
        <v>0</v>
      </c>
      <c r="AQ8">
        <v>1802171559.0550001</v>
      </c>
      <c r="AR8">
        <v>1802171559.0550001</v>
      </c>
      <c r="AS8">
        <v>0</v>
      </c>
      <c r="AT8" t="b">
        <v>0</v>
      </c>
      <c r="AU8" t="b">
        <v>1</v>
      </c>
      <c r="AV8" t="b">
        <v>1</v>
      </c>
      <c r="AW8" t="b">
        <v>1</v>
      </c>
      <c r="BC8" t="s">
        <v>374</v>
      </c>
    </row>
    <row r="9" spans="1:55" x14ac:dyDescent="0.2">
      <c r="A9" t="s">
        <v>39</v>
      </c>
      <c r="B9" t="s">
        <v>40</v>
      </c>
      <c r="C9">
        <v>20190101</v>
      </c>
      <c r="D9">
        <v>2019</v>
      </c>
      <c r="E9">
        <v>52</v>
      </c>
      <c r="F9" t="s">
        <v>41</v>
      </c>
      <c r="G9">
        <v>68</v>
      </c>
      <c r="H9" t="s">
        <v>75</v>
      </c>
      <c r="I9" t="s">
        <v>76</v>
      </c>
      <c r="J9" t="s">
        <v>44</v>
      </c>
      <c r="K9" t="s">
        <v>45</v>
      </c>
      <c r="L9">
        <v>0</v>
      </c>
      <c r="M9" t="s">
        <v>46</v>
      </c>
      <c r="N9" t="s">
        <v>47</v>
      </c>
      <c r="O9">
        <v>0</v>
      </c>
      <c r="P9" t="s">
        <v>46</v>
      </c>
      <c r="Q9" t="s">
        <v>47</v>
      </c>
      <c r="R9" t="s">
        <v>48</v>
      </c>
      <c r="S9" t="s">
        <v>49</v>
      </c>
      <c r="T9" t="b">
        <v>1</v>
      </c>
      <c r="U9" t="s">
        <v>50</v>
      </c>
      <c r="V9" t="s">
        <v>51</v>
      </c>
      <c r="W9">
        <v>4</v>
      </c>
      <c r="X9" t="b">
        <v>0</v>
      </c>
      <c r="Y9" t="s">
        <v>52</v>
      </c>
      <c r="Z9" t="s">
        <v>53</v>
      </c>
      <c r="AA9" t="s">
        <v>54</v>
      </c>
      <c r="AB9">
        <v>0</v>
      </c>
      <c r="AC9" t="s">
        <v>55</v>
      </c>
      <c r="AD9">
        <v>8</v>
      </c>
      <c r="AE9" t="s">
        <v>56</v>
      </c>
      <c r="AF9">
        <v>41758.660000000003</v>
      </c>
      <c r="AG9" t="b">
        <v>0</v>
      </c>
      <c r="AH9">
        <v>8</v>
      </c>
      <c r="AI9" t="s">
        <v>56</v>
      </c>
      <c r="AJ9">
        <v>41758.660000000003</v>
      </c>
      <c r="AK9" t="b">
        <v>0</v>
      </c>
      <c r="AL9">
        <v>38982.03</v>
      </c>
      <c r="AM9" t="b">
        <v>0</v>
      </c>
      <c r="AN9">
        <v>0</v>
      </c>
      <c r="AO9" t="b">
        <v>0</v>
      </c>
      <c r="AP9">
        <v>0</v>
      </c>
      <c r="AQ9">
        <v>1739032410.52</v>
      </c>
      <c r="AR9">
        <v>1739032410.52</v>
      </c>
      <c r="AS9">
        <v>0</v>
      </c>
      <c r="AT9" t="b">
        <v>0</v>
      </c>
      <c r="AU9" t="b">
        <v>1</v>
      </c>
      <c r="AV9" t="b">
        <v>1</v>
      </c>
      <c r="AW9" t="b">
        <v>1</v>
      </c>
      <c r="BC9" t="s">
        <v>374</v>
      </c>
    </row>
    <row r="10" spans="1:55" x14ac:dyDescent="0.2">
      <c r="A10" t="s">
        <v>39</v>
      </c>
      <c r="B10" t="s">
        <v>40</v>
      </c>
      <c r="C10">
        <v>20190101</v>
      </c>
      <c r="D10">
        <v>2019</v>
      </c>
      <c r="E10">
        <v>52</v>
      </c>
      <c r="F10" t="s">
        <v>41</v>
      </c>
      <c r="G10">
        <v>70</v>
      </c>
      <c r="H10" t="s">
        <v>77</v>
      </c>
      <c r="I10" t="s">
        <v>78</v>
      </c>
      <c r="J10" t="s">
        <v>44</v>
      </c>
      <c r="K10" t="s">
        <v>45</v>
      </c>
      <c r="L10">
        <v>0</v>
      </c>
      <c r="M10" t="s">
        <v>46</v>
      </c>
      <c r="N10" t="s">
        <v>47</v>
      </c>
      <c r="O10">
        <v>0</v>
      </c>
      <c r="P10" t="s">
        <v>46</v>
      </c>
      <c r="Q10" t="s">
        <v>47</v>
      </c>
      <c r="R10" t="s">
        <v>48</v>
      </c>
      <c r="S10" t="s">
        <v>49</v>
      </c>
      <c r="T10" t="b">
        <v>1</v>
      </c>
      <c r="U10" t="s">
        <v>50</v>
      </c>
      <c r="V10" t="s">
        <v>51</v>
      </c>
      <c r="W10">
        <v>4</v>
      </c>
      <c r="X10" t="b">
        <v>0</v>
      </c>
      <c r="Y10" t="s">
        <v>52</v>
      </c>
      <c r="Z10" t="s">
        <v>53</v>
      </c>
      <c r="AA10" t="s">
        <v>54</v>
      </c>
      <c r="AB10">
        <v>0</v>
      </c>
      <c r="AC10" t="s">
        <v>55</v>
      </c>
      <c r="AD10">
        <v>8</v>
      </c>
      <c r="AE10" t="s">
        <v>56</v>
      </c>
      <c r="AF10">
        <v>22.84</v>
      </c>
      <c r="AG10" t="b">
        <v>0</v>
      </c>
      <c r="AH10">
        <v>8</v>
      </c>
      <c r="AI10" t="s">
        <v>56</v>
      </c>
      <c r="AJ10">
        <v>22.84</v>
      </c>
      <c r="AK10" t="b">
        <v>0</v>
      </c>
      <c r="AL10">
        <v>22.84</v>
      </c>
      <c r="AM10" t="b">
        <v>0</v>
      </c>
      <c r="AN10">
        <v>0</v>
      </c>
      <c r="AO10" t="b">
        <v>0</v>
      </c>
      <c r="AQ10">
        <v>578865.38</v>
      </c>
      <c r="AR10">
        <v>578865.38</v>
      </c>
      <c r="AS10">
        <v>0</v>
      </c>
      <c r="AT10" t="b">
        <v>0</v>
      </c>
      <c r="AU10" t="b">
        <v>1</v>
      </c>
      <c r="AV10" t="b">
        <v>1</v>
      </c>
      <c r="AW10" t="b">
        <v>1</v>
      </c>
      <c r="BC10" t="s">
        <v>374</v>
      </c>
    </row>
    <row r="11" spans="1:55" x14ac:dyDescent="0.2">
      <c r="A11" t="s">
        <v>39</v>
      </c>
      <c r="B11" t="s">
        <v>40</v>
      </c>
      <c r="C11">
        <v>20190101</v>
      </c>
      <c r="D11">
        <v>2019</v>
      </c>
      <c r="E11">
        <v>52</v>
      </c>
      <c r="F11" t="s">
        <v>41</v>
      </c>
      <c r="G11">
        <v>72</v>
      </c>
      <c r="H11" t="s">
        <v>79</v>
      </c>
      <c r="I11" t="s">
        <v>80</v>
      </c>
      <c r="J11" t="s">
        <v>44</v>
      </c>
      <c r="K11" t="s">
        <v>45</v>
      </c>
      <c r="L11">
        <v>0</v>
      </c>
      <c r="M11" t="s">
        <v>46</v>
      </c>
      <c r="N11" t="s">
        <v>47</v>
      </c>
      <c r="O11">
        <v>0</v>
      </c>
      <c r="P11" t="s">
        <v>46</v>
      </c>
      <c r="Q11" t="s">
        <v>47</v>
      </c>
      <c r="R11" t="s">
        <v>48</v>
      </c>
      <c r="S11" t="s">
        <v>49</v>
      </c>
      <c r="T11" t="b">
        <v>1</v>
      </c>
      <c r="U11" t="s">
        <v>50</v>
      </c>
      <c r="V11" t="s">
        <v>51</v>
      </c>
      <c r="W11">
        <v>4</v>
      </c>
      <c r="X11" t="b">
        <v>0</v>
      </c>
      <c r="Y11" t="s">
        <v>52</v>
      </c>
      <c r="Z11" t="s">
        <v>53</v>
      </c>
      <c r="AA11" t="s">
        <v>54</v>
      </c>
      <c r="AB11">
        <v>0</v>
      </c>
      <c r="AC11" t="s">
        <v>55</v>
      </c>
      <c r="AD11">
        <v>8</v>
      </c>
      <c r="AE11" t="s">
        <v>56</v>
      </c>
      <c r="AF11">
        <v>1139.4490000000001</v>
      </c>
      <c r="AG11" t="b">
        <v>0</v>
      </c>
      <c r="AH11">
        <v>8</v>
      </c>
      <c r="AI11" t="s">
        <v>56</v>
      </c>
      <c r="AJ11">
        <v>1139.4490000000001</v>
      </c>
      <c r="AK11" t="b">
        <v>0</v>
      </c>
      <c r="AL11">
        <v>915.01700000000005</v>
      </c>
      <c r="AM11" t="b">
        <v>0</v>
      </c>
      <c r="AN11">
        <v>0</v>
      </c>
      <c r="AO11" t="b">
        <v>0</v>
      </c>
      <c r="AQ11">
        <v>41150815.990000002</v>
      </c>
      <c r="AR11">
        <v>41150815.990000002</v>
      </c>
      <c r="AS11">
        <v>0</v>
      </c>
      <c r="AT11" t="b">
        <v>0</v>
      </c>
      <c r="AU11" t="b">
        <v>1</v>
      </c>
      <c r="AV11" t="b">
        <v>1</v>
      </c>
      <c r="AW11" t="b">
        <v>1</v>
      </c>
      <c r="BC11" t="s">
        <v>374</v>
      </c>
    </row>
    <row r="12" spans="1:55" x14ac:dyDescent="0.2">
      <c r="A12" t="s">
        <v>39</v>
      </c>
      <c r="B12" t="s">
        <v>40</v>
      </c>
      <c r="C12">
        <v>20190101</v>
      </c>
      <c r="D12">
        <v>2019</v>
      </c>
      <c r="E12">
        <v>52</v>
      </c>
      <c r="F12" t="s">
        <v>41</v>
      </c>
      <c r="G12">
        <v>76</v>
      </c>
      <c r="H12" t="s">
        <v>81</v>
      </c>
      <c r="I12" t="s">
        <v>82</v>
      </c>
      <c r="J12" t="s">
        <v>44</v>
      </c>
      <c r="K12" t="s">
        <v>45</v>
      </c>
      <c r="L12">
        <v>0</v>
      </c>
      <c r="M12" t="s">
        <v>46</v>
      </c>
      <c r="N12" t="s">
        <v>47</v>
      </c>
      <c r="O12">
        <v>0</v>
      </c>
      <c r="P12" t="s">
        <v>46</v>
      </c>
      <c r="Q12" t="s">
        <v>47</v>
      </c>
      <c r="R12" t="s">
        <v>48</v>
      </c>
      <c r="S12" t="s">
        <v>49</v>
      </c>
      <c r="T12" t="b">
        <v>1</v>
      </c>
      <c r="U12" t="s">
        <v>50</v>
      </c>
      <c r="V12" t="s">
        <v>51</v>
      </c>
      <c r="W12">
        <v>4</v>
      </c>
      <c r="X12" t="b">
        <v>0</v>
      </c>
      <c r="Y12" t="s">
        <v>52</v>
      </c>
      <c r="Z12" t="s">
        <v>53</v>
      </c>
      <c r="AA12" t="s">
        <v>54</v>
      </c>
      <c r="AB12">
        <v>0</v>
      </c>
      <c r="AC12" t="s">
        <v>55</v>
      </c>
      <c r="AD12">
        <v>-1</v>
      </c>
      <c r="AE12" t="s">
        <v>64</v>
      </c>
      <c r="AF12">
        <v>0</v>
      </c>
      <c r="AG12" t="b">
        <v>0</v>
      </c>
      <c r="AH12">
        <v>-1</v>
      </c>
      <c r="AI12" t="s">
        <v>64</v>
      </c>
      <c r="AJ12">
        <v>0</v>
      </c>
      <c r="AK12" t="b">
        <v>0</v>
      </c>
      <c r="AM12" t="b">
        <v>0</v>
      </c>
      <c r="AN12">
        <v>0</v>
      </c>
      <c r="AO12" t="b">
        <v>0</v>
      </c>
      <c r="AQ12">
        <v>3658465023</v>
      </c>
      <c r="AR12">
        <v>3658465023</v>
      </c>
      <c r="AS12">
        <v>0</v>
      </c>
      <c r="AT12" t="b">
        <v>0</v>
      </c>
      <c r="AU12" t="b">
        <v>1</v>
      </c>
      <c r="AV12" t="b">
        <v>1</v>
      </c>
      <c r="AW12" t="b">
        <v>1</v>
      </c>
      <c r="BC12" t="s">
        <v>374</v>
      </c>
    </row>
    <row r="13" spans="1:55" x14ac:dyDescent="0.2">
      <c r="A13" t="s">
        <v>39</v>
      </c>
      <c r="B13" t="s">
        <v>40</v>
      </c>
      <c r="C13">
        <v>20190101</v>
      </c>
      <c r="D13">
        <v>2019</v>
      </c>
      <c r="E13">
        <v>52</v>
      </c>
      <c r="F13" t="s">
        <v>41</v>
      </c>
      <c r="G13">
        <v>100</v>
      </c>
      <c r="H13" t="s">
        <v>83</v>
      </c>
      <c r="I13" t="s">
        <v>84</v>
      </c>
      <c r="J13" t="s">
        <v>44</v>
      </c>
      <c r="K13" t="s">
        <v>45</v>
      </c>
      <c r="L13">
        <v>0</v>
      </c>
      <c r="M13" t="s">
        <v>46</v>
      </c>
      <c r="N13" t="s">
        <v>47</v>
      </c>
      <c r="O13">
        <v>0</v>
      </c>
      <c r="P13" t="s">
        <v>46</v>
      </c>
      <c r="Q13" t="s">
        <v>47</v>
      </c>
      <c r="R13" t="s">
        <v>48</v>
      </c>
      <c r="S13" t="s">
        <v>49</v>
      </c>
      <c r="T13" t="b">
        <v>1</v>
      </c>
      <c r="U13" t="s">
        <v>50</v>
      </c>
      <c r="V13" t="s">
        <v>51</v>
      </c>
      <c r="W13">
        <v>4</v>
      </c>
      <c r="X13" t="b">
        <v>0</v>
      </c>
      <c r="Y13" t="s">
        <v>52</v>
      </c>
      <c r="Z13" t="s">
        <v>53</v>
      </c>
      <c r="AA13" t="s">
        <v>54</v>
      </c>
      <c r="AB13">
        <v>0</v>
      </c>
      <c r="AC13" t="s">
        <v>55</v>
      </c>
      <c r="AD13">
        <v>8</v>
      </c>
      <c r="AE13" t="s">
        <v>56</v>
      </c>
      <c r="AF13">
        <v>2149.6219999999998</v>
      </c>
      <c r="AG13" t="b">
        <v>0</v>
      </c>
      <c r="AH13">
        <v>15</v>
      </c>
      <c r="AI13" t="s">
        <v>59</v>
      </c>
      <c r="AJ13">
        <v>2149622</v>
      </c>
      <c r="AK13" t="b">
        <v>0</v>
      </c>
      <c r="AL13">
        <v>2183.1109999999999</v>
      </c>
      <c r="AM13" t="b">
        <v>0</v>
      </c>
      <c r="AN13">
        <v>0</v>
      </c>
      <c r="AO13" t="b">
        <v>0</v>
      </c>
      <c r="AQ13">
        <v>29509409.210000001</v>
      </c>
      <c r="AR13">
        <v>29509409.210000001</v>
      </c>
      <c r="AS13">
        <v>0</v>
      </c>
      <c r="AT13" t="b">
        <v>0</v>
      </c>
      <c r="AU13" t="b">
        <v>1</v>
      </c>
      <c r="AV13" t="b">
        <v>1</v>
      </c>
      <c r="AW13" t="b">
        <v>1</v>
      </c>
      <c r="BC13" t="s">
        <v>374</v>
      </c>
    </row>
    <row r="14" spans="1:55" x14ac:dyDescent="0.2">
      <c r="A14" t="s">
        <v>39</v>
      </c>
      <c r="B14" t="s">
        <v>40</v>
      </c>
      <c r="C14">
        <v>20190101</v>
      </c>
      <c r="D14">
        <v>2019</v>
      </c>
      <c r="E14">
        <v>52</v>
      </c>
      <c r="F14" t="s">
        <v>41</v>
      </c>
      <c r="G14">
        <v>108</v>
      </c>
      <c r="H14" t="s">
        <v>85</v>
      </c>
      <c r="I14" t="s">
        <v>86</v>
      </c>
      <c r="J14" t="s">
        <v>44</v>
      </c>
      <c r="K14" t="s">
        <v>45</v>
      </c>
      <c r="L14">
        <v>0</v>
      </c>
      <c r="M14" t="s">
        <v>46</v>
      </c>
      <c r="N14" t="s">
        <v>47</v>
      </c>
      <c r="O14">
        <v>0</v>
      </c>
      <c r="P14" t="s">
        <v>46</v>
      </c>
      <c r="Q14" t="s">
        <v>47</v>
      </c>
      <c r="R14" t="s">
        <v>48</v>
      </c>
      <c r="S14" t="s">
        <v>49</v>
      </c>
      <c r="T14" t="b">
        <v>1</v>
      </c>
      <c r="U14" t="s">
        <v>50</v>
      </c>
      <c r="V14" t="s">
        <v>51</v>
      </c>
      <c r="W14">
        <v>4</v>
      </c>
      <c r="X14" t="b">
        <v>0</v>
      </c>
      <c r="Y14" t="s">
        <v>52</v>
      </c>
      <c r="Z14" t="s">
        <v>53</v>
      </c>
      <c r="AA14" t="s">
        <v>54</v>
      </c>
      <c r="AB14">
        <v>0</v>
      </c>
      <c r="AC14" t="s">
        <v>55</v>
      </c>
      <c r="AD14">
        <v>8</v>
      </c>
      <c r="AE14" t="s">
        <v>56</v>
      </c>
      <c r="AF14">
        <v>1487.3219999999999</v>
      </c>
      <c r="AG14" t="b">
        <v>0</v>
      </c>
      <c r="AH14">
        <v>8</v>
      </c>
      <c r="AI14" t="s">
        <v>56</v>
      </c>
      <c r="AJ14">
        <v>682304.32200000004</v>
      </c>
      <c r="AK14" t="b">
        <v>0</v>
      </c>
      <c r="AL14">
        <v>1598.6220000000001</v>
      </c>
      <c r="AM14" t="b">
        <v>0</v>
      </c>
      <c r="AN14">
        <v>0</v>
      </c>
      <c r="AO14" t="b">
        <v>0</v>
      </c>
      <c r="AQ14">
        <v>66876038.244000003</v>
      </c>
      <c r="AR14">
        <v>66876038.244000003</v>
      </c>
      <c r="AS14">
        <v>0</v>
      </c>
      <c r="AT14" t="b">
        <v>0</v>
      </c>
      <c r="AU14" t="b">
        <v>1</v>
      </c>
      <c r="AV14" t="b">
        <v>1</v>
      </c>
      <c r="AW14" t="b">
        <v>1</v>
      </c>
      <c r="BC14" t="s">
        <v>374</v>
      </c>
    </row>
    <row r="15" spans="1:55" x14ac:dyDescent="0.2">
      <c r="A15" t="s">
        <v>39</v>
      </c>
      <c r="B15" t="s">
        <v>40</v>
      </c>
      <c r="C15">
        <v>20190101</v>
      </c>
      <c r="D15">
        <v>2019</v>
      </c>
      <c r="E15">
        <v>52</v>
      </c>
      <c r="F15" t="s">
        <v>41</v>
      </c>
      <c r="G15">
        <v>116</v>
      </c>
      <c r="H15" t="s">
        <v>87</v>
      </c>
      <c r="I15" t="s">
        <v>88</v>
      </c>
      <c r="J15" t="s">
        <v>44</v>
      </c>
      <c r="K15" t="s">
        <v>45</v>
      </c>
      <c r="L15">
        <v>0</v>
      </c>
      <c r="M15" t="s">
        <v>46</v>
      </c>
      <c r="N15" t="s">
        <v>47</v>
      </c>
      <c r="O15">
        <v>0</v>
      </c>
      <c r="P15" t="s">
        <v>46</v>
      </c>
      <c r="Q15" t="s">
        <v>47</v>
      </c>
      <c r="R15" t="s">
        <v>48</v>
      </c>
      <c r="S15" t="s">
        <v>49</v>
      </c>
      <c r="T15" t="b">
        <v>1</v>
      </c>
      <c r="U15" t="s">
        <v>50</v>
      </c>
      <c r="V15" t="s">
        <v>51</v>
      </c>
      <c r="W15">
        <v>4</v>
      </c>
      <c r="X15" t="b">
        <v>0</v>
      </c>
      <c r="Y15" t="s">
        <v>52</v>
      </c>
      <c r="Z15" t="s">
        <v>53</v>
      </c>
      <c r="AA15" t="s">
        <v>54</v>
      </c>
      <c r="AB15">
        <v>0</v>
      </c>
      <c r="AC15" t="s">
        <v>55</v>
      </c>
      <c r="AD15">
        <v>8</v>
      </c>
      <c r="AE15" t="s">
        <v>56</v>
      </c>
      <c r="AF15">
        <v>8744</v>
      </c>
      <c r="AG15" t="b">
        <v>0</v>
      </c>
      <c r="AH15">
        <v>8</v>
      </c>
      <c r="AI15" t="s">
        <v>56</v>
      </c>
      <c r="AJ15">
        <v>8744</v>
      </c>
      <c r="AK15" t="b">
        <v>0</v>
      </c>
      <c r="AL15">
        <v>8744</v>
      </c>
      <c r="AM15" t="b">
        <v>0</v>
      </c>
      <c r="AN15">
        <v>0</v>
      </c>
      <c r="AO15" t="b">
        <v>0</v>
      </c>
      <c r="AQ15">
        <v>388492059.85000002</v>
      </c>
      <c r="AR15">
        <v>388492059.85000002</v>
      </c>
      <c r="AS15">
        <v>0</v>
      </c>
      <c r="AT15" t="b">
        <v>0</v>
      </c>
      <c r="AU15" t="b">
        <v>1</v>
      </c>
      <c r="AV15" t="b">
        <v>1</v>
      </c>
      <c r="AW15" t="b">
        <v>1</v>
      </c>
      <c r="BC15" t="s">
        <v>374</v>
      </c>
    </row>
    <row r="16" spans="1:55" x14ac:dyDescent="0.2">
      <c r="A16" t="s">
        <v>39</v>
      </c>
      <c r="B16" t="s">
        <v>40</v>
      </c>
      <c r="C16">
        <v>20190101</v>
      </c>
      <c r="D16">
        <v>2019</v>
      </c>
      <c r="E16">
        <v>52</v>
      </c>
      <c r="F16" t="s">
        <v>41</v>
      </c>
      <c r="G16">
        <v>120</v>
      </c>
      <c r="H16" t="s">
        <v>89</v>
      </c>
      <c r="I16" t="s">
        <v>90</v>
      </c>
      <c r="J16" t="s">
        <v>44</v>
      </c>
      <c r="K16" t="s">
        <v>45</v>
      </c>
      <c r="L16">
        <v>0</v>
      </c>
      <c r="M16" t="s">
        <v>46</v>
      </c>
      <c r="N16" t="s">
        <v>47</v>
      </c>
      <c r="O16">
        <v>0</v>
      </c>
      <c r="P16" t="s">
        <v>46</v>
      </c>
      <c r="Q16" t="s">
        <v>47</v>
      </c>
      <c r="R16" t="s">
        <v>48</v>
      </c>
      <c r="S16" t="s">
        <v>49</v>
      </c>
      <c r="T16" t="b">
        <v>1</v>
      </c>
      <c r="U16" t="s">
        <v>50</v>
      </c>
      <c r="V16" t="s">
        <v>51</v>
      </c>
      <c r="W16">
        <v>4</v>
      </c>
      <c r="X16" t="b">
        <v>0</v>
      </c>
      <c r="Y16" t="s">
        <v>52</v>
      </c>
      <c r="Z16" t="s">
        <v>53</v>
      </c>
      <c r="AA16" t="s">
        <v>54</v>
      </c>
      <c r="AB16">
        <v>0</v>
      </c>
      <c r="AC16" t="s">
        <v>55</v>
      </c>
      <c r="AD16">
        <v>8</v>
      </c>
      <c r="AE16" t="s">
        <v>56</v>
      </c>
      <c r="AF16">
        <v>82.408000000000001</v>
      </c>
      <c r="AG16" t="b">
        <v>1</v>
      </c>
      <c r="AH16">
        <v>-1</v>
      </c>
      <c r="AI16" t="s">
        <v>64</v>
      </c>
      <c r="AJ16">
        <v>0</v>
      </c>
      <c r="AK16" t="b">
        <v>0</v>
      </c>
      <c r="AL16">
        <v>82.408000000000001</v>
      </c>
      <c r="AM16" t="b">
        <v>1</v>
      </c>
      <c r="AN16">
        <v>0</v>
      </c>
      <c r="AO16" t="b">
        <v>0</v>
      </c>
      <c r="AQ16">
        <v>2708881.5</v>
      </c>
      <c r="AR16">
        <v>2708881.5</v>
      </c>
      <c r="AS16">
        <v>6</v>
      </c>
      <c r="AT16" t="b">
        <v>0</v>
      </c>
      <c r="AU16" t="b">
        <v>1</v>
      </c>
      <c r="AV16" t="b">
        <v>1</v>
      </c>
      <c r="AW16" t="b">
        <v>1</v>
      </c>
      <c r="BC16" t="s">
        <v>374</v>
      </c>
    </row>
    <row r="17" spans="1:55" x14ac:dyDescent="0.2">
      <c r="A17" t="s">
        <v>39</v>
      </c>
      <c r="B17" t="s">
        <v>40</v>
      </c>
      <c r="C17">
        <v>20190101</v>
      </c>
      <c r="D17">
        <v>2019</v>
      </c>
      <c r="E17">
        <v>52</v>
      </c>
      <c r="F17" t="s">
        <v>41</v>
      </c>
      <c r="G17">
        <v>124</v>
      </c>
      <c r="H17" t="s">
        <v>91</v>
      </c>
      <c r="I17" t="s">
        <v>92</v>
      </c>
      <c r="J17" t="s">
        <v>44</v>
      </c>
      <c r="K17" t="s">
        <v>45</v>
      </c>
      <c r="L17">
        <v>0</v>
      </c>
      <c r="M17" t="s">
        <v>46</v>
      </c>
      <c r="N17" t="s">
        <v>47</v>
      </c>
      <c r="O17">
        <v>0</v>
      </c>
      <c r="P17" t="s">
        <v>46</v>
      </c>
      <c r="Q17" t="s">
        <v>47</v>
      </c>
      <c r="R17" t="s">
        <v>48</v>
      </c>
      <c r="S17" t="s">
        <v>49</v>
      </c>
      <c r="T17" t="b">
        <v>1</v>
      </c>
      <c r="U17" t="s">
        <v>50</v>
      </c>
      <c r="V17" t="s">
        <v>51</v>
      </c>
      <c r="W17">
        <v>4</v>
      </c>
      <c r="X17" t="b">
        <v>0</v>
      </c>
      <c r="Y17" t="s">
        <v>52</v>
      </c>
      <c r="Z17" t="s">
        <v>53</v>
      </c>
      <c r="AA17" t="s">
        <v>54</v>
      </c>
      <c r="AB17">
        <v>0</v>
      </c>
      <c r="AC17" t="s">
        <v>55</v>
      </c>
      <c r="AD17">
        <v>-1</v>
      </c>
      <c r="AE17" t="s">
        <v>64</v>
      </c>
      <c r="AF17">
        <v>0</v>
      </c>
      <c r="AG17" t="b">
        <v>0</v>
      </c>
      <c r="AH17">
        <v>-1</v>
      </c>
      <c r="AI17" t="s">
        <v>64</v>
      </c>
      <c r="AJ17">
        <v>0</v>
      </c>
      <c r="AK17" t="b">
        <v>0</v>
      </c>
      <c r="AM17" t="b">
        <v>0</v>
      </c>
      <c r="AN17">
        <v>0</v>
      </c>
      <c r="AO17" t="b">
        <v>0</v>
      </c>
      <c r="AQ17">
        <v>15717076804.549999</v>
      </c>
      <c r="AR17">
        <v>15717076804.549999</v>
      </c>
      <c r="AS17">
        <v>0</v>
      </c>
      <c r="AT17" t="b">
        <v>0</v>
      </c>
      <c r="AU17" t="b">
        <v>1</v>
      </c>
      <c r="AV17" t="b">
        <v>1</v>
      </c>
      <c r="AW17" t="b">
        <v>1</v>
      </c>
      <c r="BC17" t="s">
        <v>374</v>
      </c>
    </row>
    <row r="18" spans="1:55" x14ac:dyDescent="0.2">
      <c r="A18" t="s">
        <v>39</v>
      </c>
      <c r="B18" t="s">
        <v>40</v>
      </c>
      <c r="C18">
        <v>20190101</v>
      </c>
      <c r="D18">
        <v>2019</v>
      </c>
      <c r="E18">
        <v>52</v>
      </c>
      <c r="F18" t="s">
        <v>41</v>
      </c>
      <c r="G18">
        <v>140</v>
      </c>
      <c r="H18" t="s">
        <v>93</v>
      </c>
      <c r="I18" t="s">
        <v>94</v>
      </c>
      <c r="J18" t="s">
        <v>44</v>
      </c>
      <c r="K18" t="s">
        <v>45</v>
      </c>
      <c r="L18">
        <v>0</v>
      </c>
      <c r="M18" t="s">
        <v>46</v>
      </c>
      <c r="N18" t="s">
        <v>47</v>
      </c>
      <c r="O18">
        <v>0</v>
      </c>
      <c r="P18" t="s">
        <v>46</v>
      </c>
      <c r="Q18" t="s">
        <v>47</v>
      </c>
      <c r="R18" t="s">
        <v>95</v>
      </c>
      <c r="S18" t="s">
        <v>49</v>
      </c>
      <c r="T18" t="b">
        <v>1</v>
      </c>
      <c r="U18" t="s">
        <v>50</v>
      </c>
      <c r="V18" t="s">
        <v>51</v>
      </c>
      <c r="W18">
        <v>4</v>
      </c>
      <c r="X18" t="b">
        <v>0</v>
      </c>
      <c r="Y18" t="s">
        <v>52</v>
      </c>
      <c r="Z18" t="s">
        <v>53</v>
      </c>
      <c r="AA18" t="s">
        <v>54</v>
      </c>
      <c r="AB18">
        <v>0</v>
      </c>
      <c r="AC18" t="s">
        <v>55</v>
      </c>
      <c r="AD18">
        <v>-1</v>
      </c>
      <c r="AE18" t="s">
        <v>64</v>
      </c>
      <c r="AF18">
        <v>0</v>
      </c>
      <c r="AG18" t="b">
        <v>0</v>
      </c>
      <c r="AH18">
        <v>-1</v>
      </c>
      <c r="AI18" t="s">
        <v>64</v>
      </c>
      <c r="AJ18">
        <v>0</v>
      </c>
      <c r="AK18" t="b">
        <v>0</v>
      </c>
      <c r="AL18">
        <v>0</v>
      </c>
      <c r="AM18" t="b">
        <v>0</v>
      </c>
      <c r="AN18">
        <v>0</v>
      </c>
      <c r="AO18" t="b">
        <v>0</v>
      </c>
      <c r="AP18">
        <v>0</v>
      </c>
      <c r="AQ18">
        <v>9169712.8550000004</v>
      </c>
      <c r="AR18">
        <v>9169712.8550000004</v>
      </c>
      <c r="AS18">
        <v>0</v>
      </c>
      <c r="AT18" t="b">
        <v>0</v>
      </c>
      <c r="AU18" t="b">
        <v>1</v>
      </c>
      <c r="AV18" t="b">
        <v>1</v>
      </c>
      <c r="AW18" t="b">
        <v>1</v>
      </c>
      <c r="BC18" t="s">
        <v>374</v>
      </c>
    </row>
    <row r="19" spans="1:55" x14ac:dyDescent="0.2">
      <c r="A19" t="s">
        <v>39</v>
      </c>
      <c r="B19" t="s">
        <v>40</v>
      </c>
      <c r="C19">
        <v>20190101</v>
      </c>
      <c r="D19">
        <v>2019</v>
      </c>
      <c r="E19">
        <v>52</v>
      </c>
      <c r="F19" t="s">
        <v>41</v>
      </c>
      <c r="G19">
        <v>152</v>
      </c>
      <c r="H19" t="s">
        <v>96</v>
      </c>
      <c r="I19" t="s">
        <v>97</v>
      </c>
      <c r="J19" t="s">
        <v>44</v>
      </c>
      <c r="K19" t="s">
        <v>45</v>
      </c>
      <c r="L19">
        <v>0</v>
      </c>
      <c r="M19" t="s">
        <v>46</v>
      </c>
      <c r="N19" t="s">
        <v>47</v>
      </c>
      <c r="O19">
        <v>0</v>
      </c>
      <c r="P19" t="s">
        <v>46</v>
      </c>
      <c r="Q19" t="s">
        <v>47</v>
      </c>
      <c r="R19" t="s">
        <v>48</v>
      </c>
      <c r="S19" t="s">
        <v>49</v>
      </c>
      <c r="T19" t="b">
        <v>1</v>
      </c>
      <c r="U19" t="s">
        <v>50</v>
      </c>
      <c r="V19" t="s">
        <v>51</v>
      </c>
      <c r="W19">
        <v>4</v>
      </c>
      <c r="X19" t="b">
        <v>0</v>
      </c>
      <c r="Y19" t="s">
        <v>52</v>
      </c>
      <c r="Z19" t="s">
        <v>53</v>
      </c>
      <c r="AA19" t="s">
        <v>54</v>
      </c>
      <c r="AB19">
        <v>0</v>
      </c>
      <c r="AC19" t="s">
        <v>55</v>
      </c>
      <c r="AD19">
        <v>8</v>
      </c>
      <c r="AE19" t="s">
        <v>56</v>
      </c>
      <c r="AF19">
        <v>16357.877</v>
      </c>
      <c r="AG19" t="b">
        <v>0</v>
      </c>
      <c r="AH19">
        <v>8</v>
      </c>
      <c r="AI19" t="s">
        <v>56</v>
      </c>
      <c r="AJ19">
        <v>16357.877</v>
      </c>
      <c r="AK19" t="b">
        <v>0</v>
      </c>
      <c r="AL19">
        <v>16357.877</v>
      </c>
      <c r="AM19" t="b">
        <v>0</v>
      </c>
      <c r="AN19">
        <v>0</v>
      </c>
      <c r="AO19" t="b">
        <v>0</v>
      </c>
      <c r="AP19">
        <v>0</v>
      </c>
      <c r="AQ19">
        <v>707432163.08899999</v>
      </c>
      <c r="AR19">
        <v>707432163.08899999</v>
      </c>
      <c r="AS19">
        <v>0</v>
      </c>
      <c r="AT19" t="b">
        <v>0</v>
      </c>
      <c r="AU19" t="b">
        <v>1</v>
      </c>
      <c r="AV19" t="b">
        <v>1</v>
      </c>
      <c r="AW19" t="b">
        <v>1</v>
      </c>
      <c r="BC19" t="s">
        <v>374</v>
      </c>
    </row>
    <row r="20" spans="1:55" x14ac:dyDescent="0.2">
      <c r="A20" t="s">
        <v>39</v>
      </c>
      <c r="B20" t="s">
        <v>40</v>
      </c>
      <c r="C20">
        <v>20190101</v>
      </c>
      <c r="D20">
        <v>2019</v>
      </c>
      <c r="E20">
        <v>52</v>
      </c>
      <c r="F20" t="s">
        <v>41</v>
      </c>
      <c r="G20">
        <v>156</v>
      </c>
      <c r="H20" t="s">
        <v>98</v>
      </c>
      <c r="I20" t="s">
        <v>99</v>
      </c>
      <c r="J20" t="s">
        <v>44</v>
      </c>
      <c r="K20" t="s">
        <v>45</v>
      </c>
      <c r="L20">
        <v>0</v>
      </c>
      <c r="M20" t="s">
        <v>46</v>
      </c>
      <c r="N20" t="s">
        <v>47</v>
      </c>
      <c r="O20">
        <v>0</v>
      </c>
      <c r="P20" t="s">
        <v>46</v>
      </c>
      <c r="Q20" t="s">
        <v>47</v>
      </c>
      <c r="R20" t="s">
        <v>48</v>
      </c>
      <c r="S20" t="s">
        <v>49</v>
      </c>
      <c r="T20" t="b">
        <v>1</v>
      </c>
      <c r="U20" t="s">
        <v>50</v>
      </c>
      <c r="V20" t="s">
        <v>51</v>
      </c>
      <c r="W20">
        <v>4</v>
      </c>
      <c r="X20" t="b">
        <v>0</v>
      </c>
      <c r="Y20" t="s">
        <v>52</v>
      </c>
      <c r="Z20" t="s">
        <v>53</v>
      </c>
      <c r="AA20" t="s">
        <v>54</v>
      </c>
      <c r="AB20">
        <v>0</v>
      </c>
      <c r="AC20" t="s">
        <v>55</v>
      </c>
      <c r="AD20">
        <v>8</v>
      </c>
      <c r="AE20" t="s">
        <v>56</v>
      </c>
      <c r="AF20">
        <v>21764.573</v>
      </c>
      <c r="AG20" t="b">
        <v>0</v>
      </c>
      <c r="AH20">
        <v>15</v>
      </c>
      <c r="AI20" t="s">
        <v>59</v>
      </c>
      <c r="AJ20">
        <v>21764573</v>
      </c>
      <c r="AK20" t="b">
        <v>0</v>
      </c>
      <c r="AL20">
        <v>21764.573</v>
      </c>
      <c r="AM20" t="b">
        <v>0</v>
      </c>
      <c r="AN20">
        <v>0</v>
      </c>
      <c r="AO20" t="b">
        <v>0</v>
      </c>
      <c r="AP20">
        <v>0</v>
      </c>
      <c r="AQ20">
        <v>982326331</v>
      </c>
      <c r="AR20">
        <v>982326331</v>
      </c>
      <c r="AS20">
        <v>0</v>
      </c>
      <c r="AT20" t="b">
        <v>0</v>
      </c>
      <c r="AU20" t="b">
        <v>1</v>
      </c>
      <c r="AV20" t="b">
        <v>1</v>
      </c>
      <c r="AW20" t="b">
        <v>1</v>
      </c>
      <c r="BC20" t="s">
        <v>374</v>
      </c>
    </row>
    <row r="21" spans="1:55" x14ac:dyDescent="0.2">
      <c r="A21" t="s">
        <v>39</v>
      </c>
      <c r="B21" t="s">
        <v>40</v>
      </c>
      <c r="C21">
        <v>20190101</v>
      </c>
      <c r="D21">
        <v>2019</v>
      </c>
      <c r="E21">
        <v>52</v>
      </c>
      <c r="F21" t="s">
        <v>41</v>
      </c>
      <c r="G21">
        <v>170</v>
      </c>
      <c r="H21" t="s">
        <v>100</v>
      </c>
      <c r="I21" t="s">
        <v>101</v>
      </c>
      <c r="J21" t="s">
        <v>44</v>
      </c>
      <c r="K21" t="s">
        <v>45</v>
      </c>
      <c r="L21">
        <v>0</v>
      </c>
      <c r="M21" t="s">
        <v>46</v>
      </c>
      <c r="N21" t="s">
        <v>47</v>
      </c>
      <c r="O21">
        <v>0</v>
      </c>
      <c r="P21" t="s">
        <v>46</v>
      </c>
      <c r="Q21" t="s">
        <v>47</v>
      </c>
      <c r="R21" t="s">
        <v>48</v>
      </c>
      <c r="S21" t="s">
        <v>49</v>
      </c>
      <c r="T21" t="b">
        <v>1</v>
      </c>
      <c r="U21" t="s">
        <v>50</v>
      </c>
      <c r="V21" t="s">
        <v>51</v>
      </c>
      <c r="W21">
        <v>4</v>
      </c>
      <c r="X21" t="b">
        <v>0</v>
      </c>
      <c r="Y21" t="s">
        <v>52</v>
      </c>
      <c r="Z21" t="s">
        <v>53</v>
      </c>
      <c r="AA21" t="s">
        <v>54</v>
      </c>
      <c r="AB21">
        <v>0</v>
      </c>
      <c r="AC21" t="s">
        <v>55</v>
      </c>
      <c r="AD21">
        <v>8</v>
      </c>
      <c r="AE21" t="s">
        <v>56</v>
      </c>
      <c r="AF21">
        <v>52199.55</v>
      </c>
      <c r="AG21" t="b">
        <v>0</v>
      </c>
      <c r="AH21">
        <v>8</v>
      </c>
      <c r="AI21" t="s">
        <v>56</v>
      </c>
      <c r="AJ21">
        <v>52199.55</v>
      </c>
      <c r="AK21" t="b">
        <v>0</v>
      </c>
      <c r="AL21">
        <v>52199.55</v>
      </c>
      <c r="AM21" t="b">
        <v>0</v>
      </c>
      <c r="AN21">
        <v>0</v>
      </c>
      <c r="AO21" t="b">
        <v>0</v>
      </c>
      <c r="AQ21">
        <v>1746835077.9000001</v>
      </c>
      <c r="AR21">
        <v>1746835077.9000001</v>
      </c>
      <c r="AS21">
        <v>0</v>
      </c>
      <c r="AT21" t="b">
        <v>0</v>
      </c>
      <c r="AU21" t="b">
        <v>1</v>
      </c>
      <c r="AV21" t="b">
        <v>1</v>
      </c>
      <c r="AW21" t="b">
        <v>1</v>
      </c>
      <c r="BC21" t="s">
        <v>374</v>
      </c>
    </row>
    <row r="22" spans="1:55" x14ac:dyDescent="0.2">
      <c r="A22" t="s">
        <v>39</v>
      </c>
      <c r="B22" t="s">
        <v>40</v>
      </c>
      <c r="C22">
        <v>20190101</v>
      </c>
      <c r="D22">
        <v>2019</v>
      </c>
      <c r="E22">
        <v>52</v>
      </c>
      <c r="F22" t="s">
        <v>41</v>
      </c>
      <c r="G22">
        <v>178</v>
      </c>
      <c r="H22" t="s">
        <v>102</v>
      </c>
      <c r="I22" t="s">
        <v>103</v>
      </c>
      <c r="J22" t="s">
        <v>44</v>
      </c>
      <c r="K22" t="s">
        <v>45</v>
      </c>
      <c r="L22">
        <v>0</v>
      </c>
      <c r="M22" t="s">
        <v>46</v>
      </c>
      <c r="N22" t="s">
        <v>47</v>
      </c>
      <c r="O22">
        <v>0</v>
      </c>
      <c r="P22" t="s">
        <v>46</v>
      </c>
      <c r="Q22" t="s">
        <v>47</v>
      </c>
      <c r="R22" t="s">
        <v>48</v>
      </c>
      <c r="S22" t="s">
        <v>49</v>
      </c>
      <c r="T22" t="b">
        <v>1</v>
      </c>
      <c r="U22" t="s">
        <v>50</v>
      </c>
      <c r="V22" t="s">
        <v>51</v>
      </c>
      <c r="W22">
        <v>4</v>
      </c>
      <c r="X22" t="b">
        <v>0</v>
      </c>
      <c r="Y22" t="s">
        <v>52</v>
      </c>
      <c r="Z22" t="s">
        <v>53</v>
      </c>
      <c r="AA22" t="s">
        <v>54</v>
      </c>
      <c r="AB22">
        <v>0</v>
      </c>
      <c r="AC22" t="s">
        <v>55</v>
      </c>
      <c r="AD22">
        <v>8</v>
      </c>
      <c r="AE22" t="s">
        <v>56</v>
      </c>
      <c r="AF22">
        <v>5.859</v>
      </c>
      <c r="AG22" t="b">
        <v>1</v>
      </c>
      <c r="AH22">
        <v>-1</v>
      </c>
      <c r="AI22" t="s">
        <v>64</v>
      </c>
      <c r="AJ22">
        <v>0</v>
      </c>
      <c r="AK22" t="b">
        <v>0</v>
      </c>
      <c r="AM22" t="b">
        <v>1</v>
      </c>
      <c r="AN22">
        <v>0</v>
      </c>
      <c r="AO22" t="b">
        <v>0</v>
      </c>
      <c r="AQ22">
        <v>149118.72700000001</v>
      </c>
      <c r="AR22">
        <v>149118.72700000001</v>
      </c>
      <c r="AS22">
        <v>6</v>
      </c>
      <c r="AT22" t="b">
        <v>0</v>
      </c>
      <c r="AU22" t="b">
        <v>1</v>
      </c>
      <c r="AV22" t="b">
        <v>1</v>
      </c>
      <c r="AW22" t="b">
        <v>1</v>
      </c>
      <c r="BC22" t="s">
        <v>374</v>
      </c>
    </row>
    <row r="23" spans="1:55" x14ac:dyDescent="0.2">
      <c r="A23" t="s">
        <v>39</v>
      </c>
      <c r="B23" t="s">
        <v>40</v>
      </c>
      <c r="C23">
        <v>20190101</v>
      </c>
      <c r="D23">
        <v>2019</v>
      </c>
      <c r="E23">
        <v>52</v>
      </c>
      <c r="F23" t="s">
        <v>41</v>
      </c>
      <c r="G23">
        <v>180</v>
      </c>
      <c r="H23" t="s">
        <v>104</v>
      </c>
      <c r="I23" t="s">
        <v>105</v>
      </c>
      <c r="J23" t="s">
        <v>44</v>
      </c>
      <c r="K23" t="s">
        <v>45</v>
      </c>
      <c r="L23">
        <v>0</v>
      </c>
      <c r="M23" t="s">
        <v>46</v>
      </c>
      <c r="N23" t="s">
        <v>47</v>
      </c>
      <c r="O23">
        <v>0</v>
      </c>
      <c r="P23" t="s">
        <v>46</v>
      </c>
      <c r="Q23" t="s">
        <v>47</v>
      </c>
      <c r="R23" t="s">
        <v>95</v>
      </c>
      <c r="S23" t="s">
        <v>49</v>
      </c>
      <c r="T23" t="b">
        <v>1</v>
      </c>
      <c r="U23" t="s">
        <v>50</v>
      </c>
      <c r="V23" t="s">
        <v>51</v>
      </c>
      <c r="W23">
        <v>4</v>
      </c>
      <c r="X23" t="b">
        <v>0</v>
      </c>
      <c r="Y23" t="s">
        <v>52</v>
      </c>
      <c r="Z23" t="s">
        <v>53</v>
      </c>
      <c r="AA23" t="s">
        <v>54</v>
      </c>
      <c r="AB23">
        <v>0</v>
      </c>
      <c r="AC23" t="s">
        <v>55</v>
      </c>
      <c r="AD23">
        <v>8</v>
      </c>
      <c r="AE23" t="s">
        <v>56</v>
      </c>
      <c r="AF23">
        <v>1855.902</v>
      </c>
      <c r="AG23" t="b">
        <v>1</v>
      </c>
      <c r="AH23">
        <v>-1</v>
      </c>
      <c r="AI23" t="s">
        <v>64</v>
      </c>
      <c r="AJ23">
        <v>0</v>
      </c>
      <c r="AK23" t="b">
        <v>0</v>
      </c>
      <c r="AL23">
        <v>1855.902</v>
      </c>
      <c r="AM23" t="b">
        <v>1</v>
      </c>
      <c r="AN23">
        <v>0</v>
      </c>
      <c r="AO23" t="b">
        <v>0</v>
      </c>
      <c r="AP23">
        <v>0</v>
      </c>
      <c r="AQ23">
        <v>67908210.697999999</v>
      </c>
      <c r="AR23">
        <v>67908210.697999999</v>
      </c>
      <c r="AS23">
        <v>6</v>
      </c>
      <c r="AT23" t="b">
        <v>0</v>
      </c>
      <c r="AU23" t="b">
        <v>1</v>
      </c>
      <c r="AV23" t="b">
        <v>1</v>
      </c>
      <c r="AW23" t="b">
        <v>1</v>
      </c>
      <c r="BC23" t="s">
        <v>374</v>
      </c>
    </row>
    <row r="24" spans="1:55" x14ac:dyDescent="0.2">
      <c r="A24" t="s">
        <v>39</v>
      </c>
      <c r="B24" t="s">
        <v>40</v>
      </c>
      <c r="C24">
        <v>20190101</v>
      </c>
      <c r="D24">
        <v>2019</v>
      </c>
      <c r="E24">
        <v>52</v>
      </c>
      <c r="F24" t="s">
        <v>41</v>
      </c>
      <c r="G24">
        <v>188</v>
      </c>
      <c r="H24" t="s">
        <v>106</v>
      </c>
      <c r="I24" t="s">
        <v>107</v>
      </c>
      <c r="J24" t="s">
        <v>44</v>
      </c>
      <c r="K24" t="s">
        <v>45</v>
      </c>
      <c r="L24">
        <v>0</v>
      </c>
      <c r="M24" t="s">
        <v>46</v>
      </c>
      <c r="N24" t="s">
        <v>47</v>
      </c>
      <c r="O24">
        <v>0</v>
      </c>
      <c r="P24" t="s">
        <v>46</v>
      </c>
      <c r="Q24" t="s">
        <v>47</v>
      </c>
      <c r="R24" t="s">
        <v>48</v>
      </c>
      <c r="S24" t="s">
        <v>49</v>
      </c>
      <c r="T24" t="b">
        <v>1</v>
      </c>
      <c r="U24" t="s">
        <v>50</v>
      </c>
      <c r="V24" t="s">
        <v>51</v>
      </c>
      <c r="W24">
        <v>4</v>
      </c>
      <c r="X24" t="b">
        <v>0</v>
      </c>
      <c r="Y24" t="s">
        <v>52</v>
      </c>
      <c r="Z24" t="s">
        <v>53</v>
      </c>
      <c r="AA24" t="s">
        <v>54</v>
      </c>
      <c r="AB24">
        <v>0</v>
      </c>
      <c r="AC24" t="s">
        <v>55</v>
      </c>
      <c r="AD24">
        <v>8</v>
      </c>
      <c r="AE24" t="s">
        <v>56</v>
      </c>
      <c r="AF24">
        <v>1029.3979999999999</v>
      </c>
      <c r="AG24" t="b">
        <v>1</v>
      </c>
      <c r="AH24">
        <v>-1</v>
      </c>
      <c r="AI24" t="s">
        <v>64</v>
      </c>
      <c r="AJ24">
        <v>0</v>
      </c>
      <c r="AK24" t="b">
        <v>0</v>
      </c>
      <c r="AL24">
        <v>1029.3979999999999</v>
      </c>
      <c r="AM24" t="b">
        <v>1</v>
      </c>
      <c r="AN24">
        <v>0</v>
      </c>
      <c r="AO24" t="b">
        <v>0</v>
      </c>
      <c r="AQ24">
        <v>30226796.109999999</v>
      </c>
      <c r="AR24">
        <v>30226796.109999999</v>
      </c>
      <c r="AS24">
        <v>6</v>
      </c>
      <c r="AT24" t="b">
        <v>0</v>
      </c>
      <c r="AU24" t="b">
        <v>1</v>
      </c>
      <c r="AV24" t="b">
        <v>1</v>
      </c>
      <c r="AW24" t="b">
        <v>1</v>
      </c>
      <c r="BC24" t="s">
        <v>374</v>
      </c>
    </row>
    <row r="25" spans="1:55" x14ac:dyDescent="0.2">
      <c r="A25" t="s">
        <v>39</v>
      </c>
      <c r="B25" t="s">
        <v>40</v>
      </c>
      <c r="C25">
        <v>20190101</v>
      </c>
      <c r="D25">
        <v>2019</v>
      </c>
      <c r="E25">
        <v>52</v>
      </c>
      <c r="F25" t="s">
        <v>41</v>
      </c>
      <c r="G25">
        <v>191</v>
      </c>
      <c r="H25" t="s">
        <v>108</v>
      </c>
      <c r="I25" t="s">
        <v>109</v>
      </c>
      <c r="J25" t="s">
        <v>44</v>
      </c>
      <c r="K25" t="s">
        <v>45</v>
      </c>
      <c r="L25">
        <v>0</v>
      </c>
      <c r="M25" t="s">
        <v>46</v>
      </c>
      <c r="N25" t="s">
        <v>47</v>
      </c>
      <c r="O25">
        <v>0</v>
      </c>
      <c r="P25" t="s">
        <v>46</v>
      </c>
      <c r="Q25" t="s">
        <v>47</v>
      </c>
      <c r="R25" t="s">
        <v>48</v>
      </c>
      <c r="S25" t="s">
        <v>49</v>
      </c>
      <c r="T25" t="b">
        <v>1</v>
      </c>
      <c r="U25" t="s">
        <v>50</v>
      </c>
      <c r="V25" t="s">
        <v>51</v>
      </c>
      <c r="W25">
        <v>4</v>
      </c>
      <c r="X25" t="b">
        <v>0</v>
      </c>
      <c r="Y25" t="s">
        <v>52</v>
      </c>
      <c r="Z25" t="s">
        <v>53</v>
      </c>
      <c r="AA25" t="s">
        <v>54</v>
      </c>
      <c r="AB25">
        <v>0</v>
      </c>
      <c r="AC25" t="s">
        <v>55</v>
      </c>
      <c r="AD25">
        <v>8</v>
      </c>
      <c r="AE25" t="s">
        <v>56</v>
      </c>
      <c r="AF25">
        <v>987.81</v>
      </c>
      <c r="AG25" t="b">
        <v>0</v>
      </c>
      <c r="AH25">
        <v>15</v>
      </c>
      <c r="AI25" t="s">
        <v>59</v>
      </c>
      <c r="AJ25">
        <v>979008.65</v>
      </c>
      <c r="AK25" t="b">
        <v>0</v>
      </c>
      <c r="AL25">
        <v>987.81</v>
      </c>
      <c r="AM25" t="b">
        <v>0</v>
      </c>
      <c r="AN25">
        <v>0</v>
      </c>
      <c r="AO25" t="b">
        <v>0</v>
      </c>
      <c r="AQ25">
        <v>41040177</v>
      </c>
      <c r="AR25">
        <v>41040177</v>
      </c>
      <c r="AS25">
        <v>0</v>
      </c>
      <c r="AT25" t="b">
        <v>0</v>
      </c>
      <c r="AU25" t="b">
        <v>1</v>
      </c>
      <c r="AV25" t="b">
        <v>1</v>
      </c>
      <c r="AW25" t="b">
        <v>1</v>
      </c>
      <c r="BC25" t="s">
        <v>374</v>
      </c>
    </row>
    <row r="26" spans="1:55" x14ac:dyDescent="0.2">
      <c r="A26" t="s">
        <v>39</v>
      </c>
      <c r="B26" t="s">
        <v>40</v>
      </c>
      <c r="C26">
        <v>20190101</v>
      </c>
      <c r="D26">
        <v>2019</v>
      </c>
      <c r="E26">
        <v>52</v>
      </c>
      <c r="F26" t="s">
        <v>41</v>
      </c>
      <c r="G26">
        <v>192</v>
      </c>
      <c r="H26" t="s">
        <v>110</v>
      </c>
      <c r="I26" t="s">
        <v>111</v>
      </c>
      <c r="J26" t="s">
        <v>44</v>
      </c>
      <c r="K26" t="s">
        <v>45</v>
      </c>
      <c r="L26">
        <v>0</v>
      </c>
      <c r="M26" t="s">
        <v>46</v>
      </c>
      <c r="N26" t="s">
        <v>47</v>
      </c>
      <c r="O26">
        <v>0</v>
      </c>
      <c r="P26" t="s">
        <v>46</v>
      </c>
      <c r="Q26" t="s">
        <v>47</v>
      </c>
      <c r="R26" t="s">
        <v>48</v>
      </c>
      <c r="S26" t="s">
        <v>49</v>
      </c>
      <c r="T26" t="b">
        <v>1</v>
      </c>
      <c r="U26" t="s">
        <v>50</v>
      </c>
      <c r="V26" t="s">
        <v>51</v>
      </c>
      <c r="W26">
        <v>4</v>
      </c>
      <c r="X26" t="b">
        <v>0</v>
      </c>
      <c r="Y26" t="s">
        <v>52</v>
      </c>
      <c r="Z26" t="s">
        <v>53</v>
      </c>
      <c r="AA26" t="s">
        <v>54</v>
      </c>
      <c r="AB26">
        <v>0</v>
      </c>
      <c r="AC26" t="s">
        <v>55</v>
      </c>
      <c r="AD26">
        <v>-1</v>
      </c>
      <c r="AE26" t="s">
        <v>64</v>
      </c>
      <c r="AF26">
        <v>0</v>
      </c>
      <c r="AG26" t="b">
        <v>0</v>
      </c>
      <c r="AH26">
        <v>15</v>
      </c>
      <c r="AI26" t="s">
        <v>59</v>
      </c>
      <c r="AJ26">
        <v>15.843</v>
      </c>
      <c r="AK26" t="b">
        <v>0</v>
      </c>
      <c r="AL26">
        <v>22.004999999999999</v>
      </c>
      <c r="AM26" t="b">
        <v>0</v>
      </c>
      <c r="AN26">
        <v>0</v>
      </c>
      <c r="AO26" t="b">
        <v>0</v>
      </c>
      <c r="AQ26">
        <v>298753.65000000002</v>
      </c>
      <c r="AR26">
        <v>298753.65000000002</v>
      </c>
      <c r="AS26">
        <v>0</v>
      </c>
      <c r="AT26" t="b">
        <v>0</v>
      </c>
      <c r="AU26" t="b">
        <v>1</v>
      </c>
      <c r="AV26" t="b">
        <v>1</v>
      </c>
      <c r="AW26" t="b">
        <v>1</v>
      </c>
      <c r="BC26" t="s">
        <v>374</v>
      </c>
    </row>
    <row r="27" spans="1:55" x14ac:dyDescent="0.2">
      <c r="A27" t="s">
        <v>39</v>
      </c>
      <c r="B27" t="s">
        <v>40</v>
      </c>
      <c r="C27">
        <v>20190101</v>
      </c>
      <c r="D27">
        <v>2019</v>
      </c>
      <c r="E27">
        <v>52</v>
      </c>
      <c r="F27" t="s">
        <v>41</v>
      </c>
      <c r="G27">
        <v>196</v>
      </c>
      <c r="H27" t="s">
        <v>112</v>
      </c>
      <c r="I27" t="s">
        <v>113</v>
      </c>
      <c r="J27" t="s">
        <v>44</v>
      </c>
      <c r="K27" t="s">
        <v>45</v>
      </c>
      <c r="L27">
        <v>0</v>
      </c>
      <c r="M27" t="s">
        <v>46</v>
      </c>
      <c r="N27" t="s">
        <v>47</v>
      </c>
      <c r="O27">
        <v>0</v>
      </c>
      <c r="P27" t="s">
        <v>46</v>
      </c>
      <c r="Q27" t="s">
        <v>47</v>
      </c>
      <c r="R27" t="s">
        <v>48</v>
      </c>
      <c r="S27" t="s">
        <v>49</v>
      </c>
      <c r="T27" t="b">
        <v>1</v>
      </c>
      <c r="U27" t="s">
        <v>50</v>
      </c>
      <c r="V27" t="s">
        <v>51</v>
      </c>
      <c r="W27">
        <v>4</v>
      </c>
      <c r="X27" t="b">
        <v>0</v>
      </c>
      <c r="Y27" t="s">
        <v>52</v>
      </c>
      <c r="Z27" t="s">
        <v>53</v>
      </c>
      <c r="AA27" t="s">
        <v>54</v>
      </c>
      <c r="AB27">
        <v>0</v>
      </c>
      <c r="AC27" t="s">
        <v>55</v>
      </c>
      <c r="AD27">
        <v>8</v>
      </c>
      <c r="AE27" t="s">
        <v>56</v>
      </c>
      <c r="AF27">
        <v>703.27499999999998</v>
      </c>
      <c r="AG27" t="b">
        <v>0</v>
      </c>
      <c r="AH27">
        <v>15</v>
      </c>
      <c r="AI27" t="s">
        <v>59</v>
      </c>
      <c r="AJ27">
        <v>585323</v>
      </c>
      <c r="AK27" t="b">
        <v>0</v>
      </c>
      <c r="AL27">
        <v>793</v>
      </c>
      <c r="AM27" t="b">
        <v>0</v>
      </c>
      <c r="AN27">
        <v>0</v>
      </c>
      <c r="AO27" t="b">
        <v>0</v>
      </c>
      <c r="AP27">
        <v>0</v>
      </c>
      <c r="AQ27">
        <v>22677553.397999998</v>
      </c>
      <c r="AR27">
        <v>22677553.397999998</v>
      </c>
      <c r="AS27">
        <v>0</v>
      </c>
      <c r="AT27" t="b">
        <v>0</v>
      </c>
      <c r="AU27" t="b">
        <v>1</v>
      </c>
      <c r="AV27" t="b">
        <v>1</v>
      </c>
      <c r="AW27" t="b">
        <v>1</v>
      </c>
      <c r="BC27" t="s">
        <v>374</v>
      </c>
    </row>
    <row r="28" spans="1:55" x14ac:dyDescent="0.2">
      <c r="A28" t="s">
        <v>39</v>
      </c>
      <c r="B28" t="s">
        <v>40</v>
      </c>
      <c r="C28">
        <v>20190101</v>
      </c>
      <c r="D28">
        <v>2019</v>
      </c>
      <c r="E28">
        <v>52</v>
      </c>
      <c r="F28" t="s">
        <v>41</v>
      </c>
      <c r="G28">
        <v>203</v>
      </c>
      <c r="H28" t="s">
        <v>114</v>
      </c>
      <c r="I28" t="s">
        <v>115</v>
      </c>
      <c r="J28" t="s">
        <v>44</v>
      </c>
      <c r="K28" t="s">
        <v>45</v>
      </c>
      <c r="L28">
        <v>0</v>
      </c>
      <c r="M28" t="s">
        <v>46</v>
      </c>
      <c r="N28" t="s">
        <v>47</v>
      </c>
      <c r="O28">
        <v>0</v>
      </c>
      <c r="P28" t="s">
        <v>46</v>
      </c>
      <c r="Q28" t="s">
        <v>47</v>
      </c>
      <c r="R28" t="s">
        <v>48</v>
      </c>
      <c r="S28" t="s">
        <v>49</v>
      </c>
      <c r="T28" t="b">
        <v>1</v>
      </c>
      <c r="U28" t="s">
        <v>50</v>
      </c>
      <c r="V28" t="s">
        <v>51</v>
      </c>
      <c r="W28">
        <v>4</v>
      </c>
      <c r="X28" t="b">
        <v>0</v>
      </c>
      <c r="Y28" t="s">
        <v>52</v>
      </c>
      <c r="Z28" t="s">
        <v>53</v>
      </c>
      <c r="AA28" t="s">
        <v>54</v>
      </c>
      <c r="AB28">
        <v>0</v>
      </c>
      <c r="AC28" t="s">
        <v>55</v>
      </c>
      <c r="AD28">
        <v>-1</v>
      </c>
      <c r="AE28" t="s">
        <v>64</v>
      </c>
      <c r="AF28">
        <v>0</v>
      </c>
      <c r="AG28" t="b">
        <v>1</v>
      </c>
      <c r="AH28">
        <v>-1</v>
      </c>
      <c r="AI28" t="s">
        <v>64</v>
      </c>
      <c r="AJ28">
        <v>0</v>
      </c>
      <c r="AK28" t="b">
        <v>0</v>
      </c>
      <c r="AM28" t="b">
        <v>1</v>
      </c>
      <c r="AN28">
        <v>0</v>
      </c>
      <c r="AO28" t="b">
        <v>0</v>
      </c>
      <c r="AQ28">
        <v>104347246</v>
      </c>
      <c r="AR28">
        <v>104347246</v>
      </c>
      <c r="AS28">
        <v>6</v>
      </c>
      <c r="AT28" t="b">
        <v>0</v>
      </c>
      <c r="AU28" t="b">
        <v>1</v>
      </c>
      <c r="AV28" t="b">
        <v>1</v>
      </c>
      <c r="AW28" t="b">
        <v>1</v>
      </c>
      <c r="BC28" t="s">
        <v>374</v>
      </c>
    </row>
    <row r="29" spans="1:55" x14ac:dyDescent="0.2">
      <c r="A29" t="s">
        <v>39</v>
      </c>
      <c r="B29" t="s">
        <v>40</v>
      </c>
      <c r="C29">
        <v>20190101</v>
      </c>
      <c r="D29">
        <v>2019</v>
      </c>
      <c r="E29">
        <v>52</v>
      </c>
      <c r="F29" t="s">
        <v>41</v>
      </c>
      <c r="G29">
        <v>204</v>
      </c>
      <c r="H29" t="s">
        <v>116</v>
      </c>
      <c r="I29" t="s">
        <v>117</v>
      </c>
      <c r="J29" t="s">
        <v>44</v>
      </c>
      <c r="K29" t="s">
        <v>45</v>
      </c>
      <c r="L29">
        <v>0</v>
      </c>
      <c r="M29" t="s">
        <v>46</v>
      </c>
      <c r="N29" t="s">
        <v>47</v>
      </c>
      <c r="O29">
        <v>0</v>
      </c>
      <c r="P29" t="s">
        <v>46</v>
      </c>
      <c r="Q29" t="s">
        <v>47</v>
      </c>
      <c r="R29" t="s">
        <v>48</v>
      </c>
      <c r="S29" t="s">
        <v>49</v>
      </c>
      <c r="T29" t="b">
        <v>1</v>
      </c>
      <c r="U29" t="s">
        <v>50</v>
      </c>
      <c r="V29" t="s">
        <v>51</v>
      </c>
      <c r="W29">
        <v>4</v>
      </c>
      <c r="X29" t="b">
        <v>0</v>
      </c>
      <c r="Y29" t="s">
        <v>52</v>
      </c>
      <c r="Z29" t="s">
        <v>53</v>
      </c>
      <c r="AA29" t="s">
        <v>54</v>
      </c>
      <c r="AB29">
        <v>0</v>
      </c>
      <c r="AC29" t="s">
        <v>55</v>
      </c>
      <c r="AD29">
        <v>8</v>
      </c>
      <c r="AE29" t="s">
        <v>56</v>
      </c>
      <c r="AF29">
        <v>7274.6139999999996</v>
      </c>
      <c r="AG29" t="b">
        <v>1</v>
      </c>
      <c r="AH29">
        <v>-1</v>
      </c>
      <c r="AI29" t="s">
        <v>64</v>
      </c>
      <c r="AJ29">
        <v>0</v>
      </c>
      <c r="AK29" t="b">
        <v>0</v>
      </c>
      <c r="AL29">
        <v>7274.6139999999996</v>
      </c>
      <c r="AM29" t="b">
        <v>1</v>
      </c>
      <c r="AN29">
        <v>0</v>
      </c>
      <c r="AO29" t="b">
        <v>0</v>
      </c>
      <c r="AQ29">
        <v>14801395.437000001</v>
      </c>
      <c r="AR29">
        <v>14801395.437000001</v>
      </c>
      <c r="AS29">
        <v>6</v>
      </c>
      <c r="AT29" t="b">
        <v>0</v>
      </c>
      <c r="AU29" t="b">
        <v>1</v>
      </c>
      <c r="AV29" t="b">
        <v>1</v>
      </c>
      <c r="AW29" t="b">
        <v>1</v>
      </c>
      <c r="BC29" t="s">
        <v>374</v>
      </c>
    </row>
    <row r="30" spans="1:55" x14ac:dyDescent="0.2">
      <c r="A30" t="s">
        <v>39</v>
      </c>
      <c r="B30" t="s">
        <v>40</v>
      </c>
      <c r="C30">
        <v>20190101</v>
      </c>
      <c r="D30">
        <v>2019</v>
      </c>
      <c r="E30">
        <v>52</v>
      </c>
      <c r="F30" t="s">
        <v>41</v>
      </c>
      <c r="G30">
        <v>208</v>
      </c>
      <c r="H30" t="s">
        <v>118</v>
      </c>
      <c r="I30" t="s">
        <v>119</v>
      </c>
      <c r="J30" t="s">
        <v>44</v>
      </c>
      <c r="K30" t="s">
        <v>45</v>
      </c>
      <c r="L30">
        <v>0</v>
      </c>
      <c r="M30" t="s">
        <v>46</v>
      </c>
      <c r="N30" t="s">
        <v>47</v>
      </c>
      <c r="O30">
        <v>0</v>
      </c>
      <c r="P30" t="s">
        <v>46</v>
      </c>
      <c r="Q30" t="s">
        <v>47</v>
      </c>
      <c r="R30" t="s">
        <v>48</v>
      </c>
      <c r="S30" t="s">
        <v>49</v>
      </c>
      <c r="T30" t="b">
        <v>1</v>
      </c>
      <c r="U30" t="s">
        <v>50</v>
      </c>
      <c r="V30" t="s">
        <v>51</v>
      </c>
      <c r="W30">
        <v>4</v>
      </c>
      <c r="X30" t="b">
        <v>0</v>
      </c>
      <c r="Y30" t="s">
        <v>52</v>
      </c>
      <c r="Z30" t="s">
        <v>53</v>
      </c>
      <c r="AA30" t="s">
        <v>54</v>
      </c>
      <c r="AB30">
        <v>0</v>
      </c>
      <c r="AC30" t="s">
        <v>55</v>
      </c>
      <c r="AD30">
        <v>8</v>
      </c>
      <c r="AE30" t="s">
        <v>56</v>
      </c>
      <c r="AF30">
        <v>470.625</v>
      </c>
      <c r="AG30" t="b">
        <v>0</v>
      </c>
      <c r="AH30">
        <v>15</v>
      </c>
      <c r="AI30" t="s">
        <v>59</v>
      </c>
      <c r="AJ30">
        <v>469626</v>
      </c>
      <c r="AK30" t="b">
        <v>0</v>
      </c>
      <c r="AL30">
        <v>0</v>
      </c>
      <c r="AM30" t="b">
        <v>0</v>
      </c>
      <c r="AN30">
        <v>0</v>
      </c>
      <c r="AO30" t="b">
        <v>0</v>
      </c>
      <c r="AP30">
        <v>0</v>
      </c>
      <c r="AQ30">
        <v>18032536.611000001</v>
      </c>
      <c r="AR30">
        <v>18032536.611000001</v>
      </c>
      <c r="AS30">
        <v>0</v>
      </c>
      <c r="AT30" t="b">
        <v>0</v>
      </c>
      <c r="AU30" t="b">
        <v>1</v>
      </c>
      <c r="AV30" t="b">
        <v>1</v>
      </c>
      <c r="AW30" t="b">
        <v>1</v>
      </c>
      <c r="BC30" t="s">
        <v>374</v>
      </c>
    </row>
    <row r="31" spans="1:55" x14ac:dyDescent="0.2">
      <c r="A31" t="s">
        <v>39</v>
      </c>
      <c r="B31" t="s">
        <v>40</v>
      </c>
      <c r="C31">
        <v>20190101</v>
      </c>
      <c r="D31">
        <v>2019</v>
      </c>
      <c r="E31">
        <v>52</v>
      </c>
      <c r="F31" t="s">
        <v>41</v>
      </c>
      <c r="G31">
        <v>218</v>
      </c>
      <c r="H31" t="s">
        <v>122</v>
      </c>
      <c r="I31" t="s">
        <v>123</v>
      </c>
      <c r="J31" t="s">
        <v>44</v>
      </c>
      <c r="K31" t="s">
        <v>45</v>
      </c>
      <c r="L31">
        <v>0</v>
      </c>
      <c r="M31" t="s">
        <v>46</v>
      </c>
      <c r="N31" t="s">
        <v>47</v>
      </c>
      <c r="O31">
        <v>0</v>
      </c>
      <c r="P31" t="s">
        <v>46</v>
      </c>
      <c r="Q31" t="s">
        <v>47</v>
      </c>
      <c r="R31" t="s">
        <v>48</v>
      </c>
      <c r="S31" t="s">
        <v>49</v>
      </c>
      <c r="T31" t="b">
        <v>1</v>
      </c>
      <c r="U31" t="s">
        <v>50</v>
      </c>
      <c r="V31" t="s">
        <v>51</v>
      </c>
      <c r="W31">
        <v>4</v>
      </c>
      <c r="X31" t="b">
        <v>0</v>
      </c>
      <c r="Y31" t="s">
        <v>52</v>
      </c>
      <c r="Z31" t="s">
        <v>53</v>
      </c>
      <c r="AA31" t="s">
        <v>54</v>
      </c>
      <c r="AB31">
        <v>0</v>
      </c>
      <c r="AC31" t="s">
        <v>55</v>
      </c>
      <c r="AD31">
        <v>8</v>
      </c>
      <c r="AE31" t="s">
        <v>56</v>
      </c>
      <c r="AF31">
        <v>7913.0640000000003</v>
      </c>
      <c r="AG31" t="b">
        <v>0</v>
      </c>
      <c r="AH31">
        <v>8</v>
      </c>
      <c r="AI31" t="s">
        <v>56</v>
      </c>
      <c r="AJ31">
        <v>7913.0640000000003</v>
      </c>
      <c r="AK31" t="b">
        <v>0</v>
      </c>
      <c r="AL31">
        <v>7913.0640000000003</v>
      </c>
      <c r="AM31" t="b">
        <v>0</v>
      </c>
      <c r="AN31">
        <v>0</v>
      </c>
      <c r="AO31" t="b">
        <v>0</v>
      </c>
      <c r="AP31">
        <v>0</v>
      </c>
      <c r="AQ31">
        <v>194162210.20500001</v>
      </c>
      <c r="AR31">
        <v>194162210.20500001</v>
      </c>
      <c r="AS31">
        <v>0</v>
      </c>
      <c r="AT31" t="b">
        <v>0</v>
      </c>
      <c r="AU31" t="b">
        <v>1</v>
      </c>
      <c r="AV31" t="b">
        <v>1</v>
      </c>
      <c r="AW31" t="b">
        <v>1</v>
      </c>
      <c r="BC31" t="s">
        <v>374</v>
      </c>
    </row>
    <row r="32" spans="1:55" x14ac:dyDescent="0.2">
      <c r="A32" t="s">
        <v>39</v>
      </c>
      <c r="B32" t="s">
        <v>40</v>
      </c>
      <c r="C32">
        <v>20190101</v>
      </c>
      <c r="D32">
        <v>2019</v>
      </c>
      <c r="E32">
        <v>52</v>
      </c>
      <c r="F32" t="s">
        <v>41</v>
      </c>
      <c r="G32">
        <v>233</v>
      </c>
      <c r="H32" t="s">
        <v>124</v>
      </c>
      <c r="I32" t="s">
        <v>125</v>
      </c>
      <c r="J32" t="s">
        <v>44</v>
      </c>
      <c r="K32" t="s">
        <v>45</v>
      </c>
      <c r="L32">
        <v>0</v>
      </c>
      <c r="M32" t="s">
        <v>46</v>
      </c>
      <c r="N32" t="s">
        <v>47</v>
      </c>
      <c r="O32">
        <v>0</v>
      </c>
      <c r="P32" t="s">
        <v>46</v>
      </c>
      <c r="Q32" t="s">
        <v>47</v>
      </c>
      <c r="R32" t="s">
        <v>48</v>
      </c>
      <c r="S32" t="s">
        <v>49</v>
      </c>
      <c r="T32" t="b">
        <v>1</v>
      </c>
      <c r="U32" t="s">
        <v>50</v>
      </c>
      <c r="V32" t="s">
        <v>51</v>
      </c>
      <c r="W32">
        <v>4</v>
      </c>
      <c r="X32" t="b">
        <v>0</v>
      </c>
      <c r="Y32" t="s">
        <v>52</v>
      </c>
      <c r="Z32" t="s">
        <v>53</v>
      </c>
      <c r="AA32" t="s">
        <v>54</v>
      </c>
      <c r="AB32">
        <v>0</v>
      </c>
      <c r="AC32" t="s">
        <v>55</v>
      </c>
      <c r="AD32">
        <v>8</v>
      </c>
      <c r="AE32" t="s">
        <v>56</v>
      </c>
      <c r="AF32">
        <v>1668.6780000000001</v>
      </c>
      <c r="AG32" t="b">
        <v>0</v>
      </c>
      <c r="AH32">
        <v>15</v>
      </c>
      <c r="AI32" t="s">
        <v>59</v>
      </c>
      <c r="AJ32">
        <v>1668677.5</v>
      </c>
      <c r="AK32" t="b">
        <v>0</v>
      </c>
      <c r="AL32">
        <v>1668.711</v>
      </c>
      <c r="AM32" t="b">
        <v>0</v>
      </c>
      <c r="AN32">
        <v>0</v>
      </c>
      <c r="AO32" t="b">
        <v>0</v>
      </c>
      <c r="AP32">
        <v>0</v>
      </c>
      <c r="AQ32">
        <v>69015988.959000006</v>
      </c>
      <c r="AR32">
        <v>69015988.959000006</v>
      </c>
      <c r="AS32">
        <v>0</v>
      </c>
      <c r="AT32" t="b">
        <v>0</v>
      </c>
      <c r="AU32" t="b">
        <v>1</v>
      </c>
      <c r="AV32" t="b">
        <v>1</v>
      </c>
      <c r="AW32" t="b">
        <v>1</v>
      </c>
      <c r="BC32" t="s">
        <v>374</v>
      </c>
    </row>
    <row r="33" spans="1:55" x14ac:dyDescent="0.2">
      <c r="A33" t="s">
        <v>39</v>
      </c>
      <c r="B33" t="s">
        <v>40</v>
      </c>
      <c r="C33">
        <v>20190101</v>
      </c>
      <c r="D33">
        <v>2019</v>
      </c>
      <c r="E33">
        <v>52</v>
      </c>
      <c r="F33" t="s">
        <v>41</v>
      </c>
      <c r="G33">
        <v>242</v>
      </c>
      <c r="H33" t="s">
        <v>126</v>
      </c>
      <c r="I33" t="s">
        <v>127</v>
      </c>
      <c r="J33" t="s">
        <v>44</v>
      </c>
      <c r="K33" t="s">
        <v>45</v>
      </c>
      <c r="L33">
        <v>0</v>
      </c>
      <c r="M33" t="s">
        <v>46</v>
      </c>
      <c r="N33" t="s">
        <v>47</v>
      </c>
      <c r="O33">
        <v>0</v>
      </c>
      <c r="P33" t="s">
        <v>46</v>
      </c>
      <c r="Q33" t="s">
        <v>47</v>
      </c>
      <c r="R33" t="s">
        <v>48</v>
      </c>
      <c r="S33" t="s">
        <v>49</v>
      </c>
      <c r="T33" t="b">
        <v>1</v>
      </c>
      <c r="U33" t="s">
        <v>50</v>
      </c>
      <c r="V33" t="s">
        <v>51</v>
      </c>
      <c r="W33">
        <v>4</v>
      </c>
      <c r="X33" t="b">
        <v>0</v>
      </c>
      <c r="Y33" t="s">
        <v>52</v>
      </c>
      <c r="Z33" t="s">
        <v>53</v>
      </c>
      <c r="AA33" t="s">
        <v>54</v>
      </c>
      <c r="AB33">
        <v>0</v>
      </c>
      <c r="AC33" t="s">
        <v>55</v>
      </c>
      <c r="AD33">
        <v>8</v>
      </c>
      <c r="AE33" t="s">
        <v>56</v>
      </c>
      <c r="AF33">
        <v>1840.5540000000001</v>
      </c>
      <c r="AG33" t="b">
        <v>1</v>
      </c>
      <c r="AH33">
        <v>-1</v>
      </c>
      <c r="AI33" t="s">
        <v>64</v>
      </c>
      <c r="AJ33">
        <v>0</v>
      </c>
      <c r="AK33" t="b">
        <v>0</v>
      </c>
      <c r="AL33">
        <v>1840.5540000000001</v>
      </c>
      <c r="AM33" t="b">
        <v>1</v>
      </c>
      <c r="AN33">
        <v>0</v>
      </c>
      <c r="AO33" t="b">
        <v>0</v>
      </c>
      <c r="AP33">
        <v>0</v>
      </c>
      <c r="AQ33">
        <v>50253923.475000001</v>
      </c>
      <c r="AR33">
        <v>50253923.475000001</v>
      </c>
      <c r="AS33">
        <v>6</v>
      </c>
      <c r="AT33" t="b">
        <v>0</v>
      </c>
      <c r="AU33" t="b">
        <v>1</v>
      </c>
      <c r="AV33" t="b">
        <v>1</v>
      </c>
      <c r="AW33" t="b">
        <v>1</v>
      </c>
      <c r="BC33" t="s">
        <v>374</v>
      </c>
    </row>
    <row r="34" spans="1:55" x14ac:dyDescent="0.2">
      <c r="A34" t="s">
        <v>39</v>
      </c>
      <c r="B34" t="s">
        <v>40</v>
      </c>
      <c r="C34">
        <v>20190101</v>
      </c>
      <c r="D34">
        <v>2019</v>
      </c>
      <c r="E34">
        <v>52</v>
      </c>
      <c r="F34" t="s">
        <v>41</v>
      </c>
      <c r="G34">
        <v>246</v>
      </c>
      <c r="H34" t="s">
        <v>128</v>
      </c>
      <c r="I34" t="s">
        <v>129</v>
      </c>
      <c r="J34" t="s">
        <v>44</v>
      </c>
      <c r="K34" t="s">
        <v>45</v>
      </c>
      <c r="L34">
        <v>0</v>
      </c>
      <c r="M34" t="s">
        <v>46</v>
      </c>
      <c r="N34" t="s">
        <v>47</v>
      </c>
      <c r="O34">
        <v>0</v>
      </c>
      <c r="P34" t="s">
        <v>46</v>
      </c>
      <c r="Q34" t="s">
        <v>47</v>
      </c>
      <c r="R34" t="s">
        <v>48</v>
      </c>
      <c r="S34" t="s">
        <v>49</v>
      </c>
      <c r="T34" t="b">
        <v>1</v>
      </c>
      <c r="U34" t="s">
        <v>50</v>
      </c>
      <c r="V34" t="s">
        <v>51</v>
      </c>
      <c r="W34">
        <v>4</v>
      </c>
      <c r="X34" t="b">
        <v>0</v>
      </c>
      <c r="Y34" t="s">
        <v>52</v>
      </c>
      <c r="Z34" t="s">
        <v>53</v>
      </c>
      <c r="AA34" t="s">
        <v>54</v>
      </c>
      <c r="AB34">
        <v>0</v>
      </c>
      <c r="AC34" t="s">
        <v>55</v>
      </c>
      <c r="AD34">
        <v>8</v>
      </c>
      <c r="AE34" t="s">
        <v>56</v>
      </c>
      <c r="AF34">
        <v>5950.0540000000001</v>
      </c>
      <c r="AG34" t="b">
        <v>1</v>
      </c>
      <c r="AH34">
        <v>-1</v>
      </c>
      <c r="AI34" t="s">
        <v>64</v>
      </c>
      <c r="AJ34">
        <v>0</v>
      </c>
      <c r="AK34" t="b">
        <v>0</v>
      </c>
      <c r="AL34">
        <v>5978.5479999999998</v>
      </c>
      <c r="AM34" t="b">
        <v>1</v>
      </c>
      <c r="AN34">
        <v>0</v>
      </c>
      <c r="AO34" t="b">
        <v>0</v>
      </c>
      <c r="AQ34">
        <v>277467788.76099998</v>
      </c>
      <c r="AR34">
        <v>277467788.76099998</v>
      </c>
      <c r="AS34">
        <v>6</v>
      </c>
      <c r="AT34" t="b">
        <v>0</v>
      </c>
      <c r="AU34" t="b">
        <v>1</v>
      </c>
      <c r="AV34" t="b">
        <v>1</v>
      </c>
      <c r="AW34" t="b">
        <v>1</v>
      </c>
      <c r="BC34" t="s">
        <v>374</v>
      </c>
    </row>
    <row r="35" spans="1:55" x14ac:dyDescent="0.2">
      <c r="A35" t="s">
        <v>39</v>
      </c>
      <c r="B35" t="s">
        <v>40</v>
      </c>
      <c r="C35">
        <v>20190101</v>
      </c>
      <c r="D35">
        <v>2019</v>
      </c>
      <c r="E35">
        <v>52</v>
      </c>
      <c r="F35" t="s">
        <v>41</v>
      </c>
      <c r="G35">
        <v>251</v>
      </c>
      <c r="H35" t="s">
        <v>130</v>
      </c>
      <c r="I35" t="s">
        <v>131</v>
      </c>
      <c r="J35" t="s">
        <v>44</v>
      </c>
      <c r="K35" t="s">
        <v>45</v>
      </c>
      <c r="L35">
        <v>0</v>
      </c>
      <c r="M35" t="s">
        <v>46</v>
      </c>
      <c r="N35" t="s">
        <v>47</v>
      </c>
      <c r="O35">
        <v>0</v>
      </c>
      <c r="P35" t="s">
        <v>46</v>
      </c>
      <c r="Q35" t="s">
        <v>47</v>
      </c>
      <c r="R35" t="s">
        <v>48</v>
      </c>
      <c r="S35" t="s">
        <v>49</v>
      </c>
      <c r="T35" t="b">
        <v>1</v>
      </c>
      <c r="U35" t="s">
        <v>50</v>
      </c>
      <c r="V35" t="s">
        <v>51</v>
      </c>
      <c r="W35">
        <v>4</v>
      </c>
      <c r="X35" t="b">
        <v>0</v>
      </c>
      <c r="Y35" t="s">
        <v>52</v>
      </c>
      <c r="Z35" t="s">
        <v>53</v>
      </c>
      <c r="AA35" t="s">
        <v>54</v>
      </c>
      <c r="AB35">
        <v>0</v>
      </c>
      <c r="AC35" t="s">
        <v>55</v>
      </c>
      <c r="AD35">
        <v>-1</v>
      </c>
      <c r="AE35" t="s">
        <v>64</v>
      </c>
      <c r="AF35">
        <v>0</v>
      </c>
      <c r="AG35" t="b">
        <v>1</v>
      </c>
      <c r="AH35">
        <v>-1</v>
      </c>
      <c r="AI35" t="s">
        <v>64</v>
      </c>
      <c r="AJ35">
        <v>0</v>
      </c>
      <c r="AK35" t="b">
        <v>0</v>
      </c>
      <c r="AM35" t="b">
        <v>1</v>
      </c>
      <c r="AN35">
        <v>0</v>
      </c>
      <c r="AO35" t="b">
        <v>0</v>
      </c>
      <c r="AQ35">
        <v>1267192895.2420001</v>
      </c>
      <c r="AR35">
        <v>1267192895.2420001</v>
      </c>
      <c r="AS35">
        <v>6</v>
      </c>
      <c r="AT35" t="b">
        <v>0</v>
      </c>
      <c r="AU35" t="b">
        <v>1</v>
      </c>
      <c r="AV35" t="b">
        <v>1</v>
      </c>
      <c r="AW35" t="b">
        <v>1</v>
      </c>
      <c r="BC35" t="s">
        <v>374</v>
      </c>
    </row>
    <row r="36" spans="1:55" x14ac:dyDescent="0.2">
      <c r="A36" t="s">
        <v>39</v>
      </c>
      <c r="B36" t="s">
        <v>40</v>
      </c>
      <c r="C36">
        <v>20190101</v>
      </c>
      <c r="D36">
        <v>2019</v>
      </c>
      <c r="E36">
        <v>52</v>
      </c>
      <c r="F36" t="s">
        <v>41</v>
      </c>
      <c r="G36">
        <v>258</v>
      </c>
      <c r="H36" t="s">
        <v>132</v>
      </c>
      <c r="I36" t="s">
        <v>133</v>
      </c>
      <c r="J36" t="s">
        <v>44</v>
      </c>
      <c r="K36" t="s">
        <v>45</v>
      </c>
      <c r="L36">
        <v>0</v>
      </c>
      <c r="M36" t="s">
        <v>46</v>
      </c>
      <c r="N36" t="s">
        <v>47</v>
      </c>
      <c r="O36">
        <v>0</v>
      </c>
      <c r="P36" t="s">
        <v>46</v>
      </c>
      <c r="Q36" t="s">
        <v>47</v>
      </c>
      <c r="R36" t="s">
        <v>48</v>
      </c>
      <c r="S36" t="s">
        <v>49</v>
      </c>
      <c r="T36" t="b">
        <v>1</v>
      </c>
      <c r="U36" t="s">
        <v>50</v>
      </c>
      <c r="V36" t="s">
        <v>51</v>
      </c>
      <c r="W36">
        <v>4</v>
      </c>
      <c r="X36" t="b">
        <v>0</v>
      </c>
      <c r="Y36" t="s">
        <v>52</v>
      </c>
      <c r="Z36" t="s">
        <v>53</v>
      </c>
      <c r="AA36" t="s">
        <v>54</v>
      </c>
      <c r="AB36">
        <v>0</v>
      </c>
      <c r="AC36" t="s">
        <v>55</v>
      </c>
      <c r="AD36">
        <v>8</v>
      </c>
      <c r="AE36" t="s">
        <v>56</v>
      </c>
      <c r="AF36">
        <v>6.53</v>
      </c>
      <c r="AG36" t="b">
        <v>0</v>
      </c>
      <c r="AH36">
        <v>15</v>
      </c>
      <c r="AI36" t="s">
        <v>59</v>
      </c>
      <c r="AJ36">
        <v>6530</v>
      </c>
      <c r="AK36" t="b">
        <v>0</v>
      </c>
      <c r="AL36">
        <v>6.53</v>
      </c>
      <c r="AM36" t="b">
        <v>0</v>
      </c>
      <c r="AN36">
        <v>0</v>
      </c>
      <c r="AO36" t="b">
        <v>0</v>
      </c>
      <c r="AP36">
        <v>0</v>
      </c>
      <c r="AQ36">
        <v>182069.55300000001</v>
      </c>
      <c r="AR36">
        <v>182069.55300000001</v>
      </c>
      <c r="AS36">
        <v>0</v>
      </c>
      <c r="AT36" t="b">
        <v>0</v>
      </c>
      <c r="AU36" t="b">
        <v>1</v>
      </c>
      <c r="AV36" t="b">
        <v>1</v>
      </c>
      <c r="AW36" t="b">
        <v>1</v>
      </c>
      <c r="BC36" t="s">
        <v>374</v>
      </c>
    </row>
    <row r="37" spans="1:55" x14ac:dyDescent="0.2">
      <c r="A37" t="s">
        <v>39</v>
      </c>
      <c r="B37" t="s">
        <v>40</v>
      </c>
      <c r="C37">
        <v>20190101</v>
      </c>
      <c r="D37">
        <v>2019</v>
      </c>
      <c r="E37">
        <v>52</v>
      </c>
      <c r="F37" t="s">
        <v>41</v>
      </c>
      <c r="G37">
        <v>266</v>
      </c>
      <c r="H37" t="s">
        <v>134</v>
      </c>
      <c r="I37" t="s">
        <v>135</v>
      </c>
      <c r="J37" t="s">
        <v>44</v>
      </c>
      <c r="K37" t="s">
        <v>45</v>
      </c>
      <c r="L37">
        <v>0</v>
      </c>
      <c r="M37" t="s">
        <v>46</v>
      </c>
      <c r="N37" t="s">
        <v>47</v>
      </c>
      <c r="O37">
        <v>0</v>
      </c>
      <c r="P37" t="s">
        <v>46</v>
      </c>
      <c r="Q37" t="s">
        <v>47</v>
      </c>
      <c r="R37" t="s">
        <v>136</v>
      </c>
      <c r="S37" t="s">
        <v>49</v>
      </c>
      <c r="T37" t="b">
        <v>1</v>
      </c>
      <c r="U37" t="s">
        <v>50</v>
      </c>
      <c r="V37" t="s">
        <v>51</v>
      </c>
      <c r="W37">
        <v>4</v>
      </c>
      <c r="X37" t="b">
        <v>0</v>
      </c>
      <c r="Y37" t="s">
        <v>52</v>
      </c>
      <c r="Z37" t="s">
        <v>53</v>
      </c>
      <c r="AA37" t="s">
        <v>54</v>
      </c>
      <c r="AB37">
        <v>0</v>
      </c>
      <c r="AC37" t="s">
        <v>55</v>
      </c>
      <c r="AD37">
        <v>8</v>
      </c>
      <c r="AE37" t="s">
        <v>56</v>
      </c>
      <c r="AF37">
        <v>107</v>
      </c>
      <c r="AG37" t="b">
        <v>0</v>
      </c>
      <c r="AH37">
        <v>8</v>
      </c>
      <c r="AI37" t="s">
        <v>56</v>
      </c>
      <c r="AJ37">
        <v>107</v>
      </c>
      <c r="AK37" t="b">
        <v>0</v>
      </c>
      <c r="AL37">
        <v>107</v>
      </c>
      <c r="AM37" t="b">
        <v>0</v>
      </c>
      <c r="AN37">
        <v>0</v>
      </c>
      <c r="AO37" t="b">
        <v>0</v>
      </c>
      <c r="AQ37">
        <v>4647281.6830000002</v>
      </c>
      <c r="AR37">
        <v>4647281.6830000002</v>
      </c>
      <c r="AS37">
        <v>0</v>
      </c>
      <c r="AT37" t="b">
        <v>0</v>
      </c>
      <c r="AU37" t="b">
        <v>1</v>
      </c>
      <c r="AV37" t="b">
        <v>1</v>
      </c>
      <c r="AW37" t="b">
        <v>1</v>
      </c>
      <c r="BC37" t="s">
        <v>374</v>
      </c>
    </row>
    <row r="38" spans="1:55" x14ac:dyDescent="0.2">
      <c r="A38" t="s">
        <v>39</v>
      </c>
      <c r="B38" t="s">
        <v>40</v>
      </c>
      <c r="C38">
        <v>20190101</v>
      </c>
      <c r="D38">
        <v>2019</v>
      </c>
      <c r="E38">
        <v>52</v>
      </c>
      <c r="F38" t="s">
        <v>41</v>
      </c>
      <c r="G38">
        <v>268</v>
      </c>
      <c r="H38" t="s">
        <v>137</v>
      </c>
      <c r="I38" t="s">
        <v>138</v>
      </c>
      <c r="J38" t="s">
        <v>44</v>
      </c>
      <c r="K38" t="s">
        <v>45</v>
      </c>
      <c r="L38">
        <v>0</v>
      </c>
      <c r="M38" t="s">
        <v>46</v>
      </c>
      <c r="N38" t="s">
        <v>47</v>
      </c>
      <c r="O38">
        <v>0</v>
      </c>
      <c r="P38" t="s">
        <v>46</v>
      </c>
      <c r="Q38" t="s">
        <v>47</v>
      </c>
      <c r="R38" t="s">
        <v>48</v>
      </c>
      <c r="S38" t="s">
        <v>49</v>
      </c>
      <c r="T38" t="b">
        <v>1</v>
      </c>
      <c r="U38" t="s">
        <v>50</v>
      </c>
      <c r="V38" t="s">
        <v>51</v>
      </c>
      <c r="W38">
        <v>4</v>
      </c>
      <c r="X38" t="b">
        <v>0</v>
      </c>
      <c r="Y38" t="s">
        <v>52</v>
      </c>
      <c r="Z38" t="s">
        <v>53</v>
      </c>
      <c r="AA38" t="s">
        <v>54</v>
      </c>
      <c r="AB38">
        <v>0</v>
      </c>
      <c r="AC38" t="s">
        <v>55</v>
      </c>
      <c r="AD38">
        <v>8</v>
      </c>
      <c r="AE38" t="s">
        <v>56</v>
      </c>
      <c r="AF38">
        <v>2618.7460000000001</v>
      </c>
      <c r="AG38" t="b">
        <v>0</v>
      </c>
      <c r="AH38">
        <v>15</v>
      </c>
      <c r="AI38" t="s">
        <v>59</v>
      </c>
      <c r="AJ38">
        <v>2618746.4</v>
      </c>
      <c r="AK38" t="b">
        <v>0</v>
      </c>
      <c r="AL38">
        <v>2619.48</v>
      </c>
      <c r="AM38" t="b">
        <v>0</v>
      </c>
      <c r="AN38">
        <v>0</v>
      </c>
      <c r="AO38" t="b">
        <v>0</v>
      </c>
      <c r="AQ38">
        <v>72832035.209999993</v>
      </c>
      <c r="AR38">
        <v>72832035.209999993</v>
      </c>
      <c r="AS38">
        <v>0</v>
      </c>
      <c r="AT38" t="b">
        <v>0</v>
      </c>
      <c r="AU38" t="b">
        <v>1</v>
      </c>
      <c r="AV38" t="b">
        <v>1</v>
      </c>
      <c r="AW38" t="b">
        <v>1</v>
      </c>
      <c r="BC38" t="s">
        <v>374</v>
      </c>
    </row>
    <row r="39" spans="1:55" x14ac:dyDescent="0.2">
      <c r="A39" t="s">
        <v>39</v>
      </c>
      <c r="B39" t="s">
        <v>40</v>
      </c>
      <c r="C39">
        <v>20190101</v>
      </c>
      <c r="D39">
        <v>2019</v>
      </c>
      <c r="E39">
        <v>52</v>
      </c>
      <c r="F39" t="s">
        <v>41</v>
      </c>
      <c r="G39">
        <v>288</v>
      </c>
      <c r="H39" t="s">
        <v>141</v>
      </c>
      <c r="I39" t="s">
        <v>142</v>
      </c>
      <c r="J39" t="s">
        <v>44</v>
      </c>
      <c r="K39" t="s">
        <v>45</v>
      </c>
      <c r="L39">
        <v>0</v>
      </c>
      <c r="M39" t="s">
        <v>46</v>
      </c>
      <c r="N39" t="s">
        <v>47</v>
      </c>
      <c r="O39">
        <v>0</v>
      </c>
      <c r="P39" t="s">
        <v>46</v>
      </c>
      <c r="Q39" t="s">
        <v>47</v>
      </c>
      <c r="R39" t="s">
        <v>48</v>
      </c>
      <c r="S39" t="s">
        <v>49</v>
      </c>
      <c r="T39" t="b">
        <v>1</v>
      </c>
      <c r="U39" t="s">
        <v>50</v>
      </c>
      <c r="V39" t="s">
        <v>51</v>
      </c>
      <c r="W39">
        <v>4</v>
      </c>
      <c r="X39" t="b">
        <v>0</v>
      </c>
      <c r="Y39" t="s">
        <v>52</v>
      </c>
      <c r="Z39" t="s">
        <v>53</v>
      </c>
      <c r="AA39" t="s">
        <v>54</v>
      </c>
      <c r="AB39">
        <v>0</v>
      </c>
      <c r="AC39" t="s">
        <v>55</v>
      </c>
      <c r="AD39">
        <v>-1</v>
      </c>
      <c r="AE39" t="s">
        <v>64</v>
      </c>
      <c r="AF39">
        <v>0</v>
      </c>
      <c r="AG39" t="b">
        <v>1</v>
      </c>
      <c r="AH39">
        <v>-1</v>
      </c>
      <c r="AI39" t="s">
        <v>64</v>
      </c>
      <c r="AJ39">
        <v>0</v>
      </c>
      <c r="AK39" t="b">
        <v>0</v>
      </c>
      <c r="AM39" t="b">
        <v>1</v>
      </c>
      <c r="AN39">
        <v>0</v>
      </c>
      <c r="AO39" t="b">
        <v>0</v>
      </c>
      <c r="AQ39">
        <v>6198864188.7150002</v>
      </c>
      <c r="AR39">
        <v>6198864188.7150002</v>
      </c>
      <c r="AS39">
        <v>6</v>
      </c>
      <c r="AT39" t="b">
        <v>0</v>
      </c>
      <c r="AU39" t="b">
        <v>1</v>
      </c>
      <c r="AV39" t="b">
        <v>1</v>
      </c>
      <c r="AW39" t="b">
        <v>1</v>
      </c>
      <c r="BC39" t="s">
        <v>374</v>
      </c>
    </row>
    <row r="40" spans="1:55" x14ac:dyDescent="0.2">
      <c r="A40" t="s">
        <v>39</v>
      </c>
      <c r="B40" t="s">
        <v>40</v>
      </c>
      <c r="C40">
        <v>20190101</v>
      </c>
      <c r="D40">
        <v>2019</v>
      </c>
      <c r="E40">
        <v>52</v>
      </c>
      <c r="F40" t="s">
        <v>41</v>
      </c>
      <c r="G40">
        <v>300</v>
      </c>
      <c r="H40" t="s">
        <v>143</v>
      </c>
      <c r="I40" t="s">
        <v>144</v>
      </c>
      <c r="J40" t="s">
        <v>44</v>
      </c>
      <c r="K40" t="s">
        <v>45</v>
      </c>
      <c r="L40">
        <v>0</v>
      </c>
      <c r="M40" t="s">
        <v>46</v>
      </c>
      <c r="N40" t="s">
        <v>47</v>
      </c>
      <c r="O40">
        <v>0</v>
      </c>
      <c r="P40" t="s">
        <v>46</v>
      </c>
      <c r="Q40" t="s">
        <v>47</v>
      </c>
      <c r="R40" t="s">
        <v>48</v>
      </c>
      <c r="S40" t="s">
        <v>49</v>
      </c>
      <c r="T40" t="b">
        <v>1</v>
      </c>
      <c r="U40" t="s">
        <v>50</v>
      </c>
      <c r="V40" t="s">
        <v>51</v>
      </c>
      <c r="W40">
        <v>4</v>
      </c>
      <c r="X40" t="b">
        <v>0</v>
      </c>
      <c r="Y40" t="s">
        <v>52</v>
      </c>
      <c r="Z40" t="s">
        <v>53</v>
      </c>
      <c r="AA40" t="s">
        <v>54</v>
      </c>
      <c r="AB40">
        <v>0</v>
      </c>
      <c r="AC40" t="s">
        <v>55</v>
      </c>
      <c r="AD40">
        <v>-1</v>
      </c>
      <c r="AE40" t="s">
        <v>64</v>
      </c>
      <c r="AF40">
        <v>0</v>
      </c>
      <c r="AG40" t="b">
        <v>1</v>
      </c>
      <c r="AH40">
        <v>-1</v>
      </c>
      <c r="AI40" t="s">
        <v>64</v>
      </c>
      <c r="AJ40">
        <v>0</v>
      </c>
      <c r="AK40" t="b">
        <v>0</v>
      </c>
      <c r="AM40" t="b">
        <v>1</v>
      </c>
      <c r="AN40">
        <v>0</v>
      </c>
      <c r="AO40" t="b">
        <v>0</v>
      </c>
      <c r="AQ40">
        <v>24697513.771000002</v>
      </c>
      <c r="AR40">
        <v>24697513.771000002</v>
      </c>
      <c r="AS40">
        <v>6</v>
      </c>
      <c r="AT40" t="b">
        <v>0</v>
      </c>
      <c r="AU40" t="b">
        <v>1</v>
      </c>
      <c r="AV40" t="b">
        <v>1</v>
      </c>
      <c r="AW40" t="b">
        <v>1</v>
      </c>
      <c r="BC40" t="s">
        <v>374</v>
      </c>
    </row>
    <row r="41" spans="1:55" x14ac:dyDescent="0.2">
      <c r="A41" t="s">
        <v>39</v>
      </c>
      <c r="B41" t="s">
        <v>40</v>
      </c>
      <c r="C41">
        <v>20190101</v>
      </c>
      <c r="D41">
        <v>2019</v>
      </c>
      <c r="E41">
        <v>52</v>
      </c>
      <c r="F41" t="s">
        <v>41</v>
      </c>
      <c r="G41">
        <v>328</v>
      </c>
      <c r="H41" t="s">
        <v>145</v>
      </c>
      <c r="I41" t="s">
        <v>146</v>
      </c>
      <c r="J41" t="s">
        <v>44</v>
      </c>
      <c r="K41" t="s">
        <v>45</v>
      </c>
      <c r="L41">
        <v>0</v>
      </c>
      <c r="M41" t="s">
        <v>46</v>
      </c>
      <c r="N41" t="s">
        <v>47</v>
      </c>
      <c r="O41">
        <v>0</v>
      </c>
      <c r="P41" t="s">
        <v>46</v>
      </c>
      <c r="Q41" t="s">
        <v>47</v>
      </c>
      <c r="R41" t="s">
        <v>48</v>
      </c>
      <c r="S41" t="s">
        <v>49</v>
      </c>
      <c r="T41" t="b">
        <v>1</v>
      </c>
      <c r="U41" t="s">
        <v>50</v>
      </c>
      <c r="V41" t="s">
        <v>51</v>
      </c>
      <c r="W41">
        <v>4</v>
      </c>
      <c r="X41" t="b">
        <v>0</v>
      </c>
      <c r="Y41" t="s">
        <v>52</v>
      </c>
      <c r="Z41" t="s">
        <v>53</v>
      </c>
      <c r="AA41" t="s">
        <v>54</v>
      </c>
      <c r="AB41">
        <v>0</v>
      </c>
      <c r="AC41" t="s">
        <v>55</v>
      </c>
      <c r="AD41">
        <v>-1</v>
      </c>
      <c r="AE41" t="s">
        <v>64</v>
      </c>
      <c r="AF41">
        <v>0</v>
      </c>
      <c r="AG41" t="b">
        <v>0</v>
      </c>
      <c r="AH41">
        <v>-1</v>
      </c>
      <c r="AI41" t="s">
        <v>64</v>
      </c>
      <c r="AJ41">
        <v>0</v>
      </c>
      <c r="AK41" t="b">
        <v>0</v>
      </c>
      <c r="AL41">
        <v>0</v>
      </c>
      <c r="AM41" t="b">
        <v>0</v>
      </c>
      <c r="AN41">
        <v>0</v>
      </c>
      <c r="AO41" t="b">
        <v>0</v>
      </c>
      <c r="AP41">
        <v>0</v>
      </c>
      <c r="AQ41">
        <v>882152916.38900006</v>
      </c>
      <c r="AR41">
        <v>882152916.38900006</v>
      </c>
      <c r="AS41">
        <v>0</v>
      </c>
      <c r="AT41" t="b">
        <v>0</v>
      </c>
      <c r="AU41" t="b">
        <v>1</v>
      </c>
      <c r="AV41" t="b">
        <v>1</v>
      </c>
      <c r="AW41" t="b">
        <v>1</v>
      </c>
      <c r="BC41" t="s">
        <v>374</v>
      </c>
    </row>
    <row r="42" spans="1:55" x14ac:dyDescent="0.2">
      <c r="A42" t="s">
        <v>39</v>
      </c>
      <c r="B42" t="s">
        <v>40</v>
      </c>
      <c r="C42">
        <v>20190101</v>
      </c>
      <c r="D42">
        <v>2019</v>
      </c>
      <c r="E42">
        <v>52</v>
      </c>
      <c r="F42" t="s">
        <v>41</v>
      </c>
      <c r="G42">
        <v>340</v>
      </c>
      <c r="H42" t="s">
        <v>147</v>
      </c>
      <c r="I42" t="s">
        <v>148</v>
      </c>
      <c r="J42" t="s">
        <v>44</v>
      </c>
      <c r="K42" t="s">
        <v>45</v>
      </c>
      <c r="L42">
        <v>0</v>
      </c>
      <c r="M42" t="s">
        <v>46</v>
      </c>
      <c r="N42" t="s">
        <v>47</v>
      </c>
      <c r="O42">
        <v>0</v>
      </c>
      <c r="P42" t="s">
        <v>46</v>
      </c>
      <c r="Q42" t="s">
        <v>47</v>
      </c>
      <c r="R42" t="s">
        <v>48</v>
      </c>
      <c r="S42" t="s">
        <v>49</v>
      </c>
      <c r="T42" t="b">
        <v>1</v>
      </c>
      <c r="U42" t="s">
        <v>50</v>
      </c>
      <c r="V42" t="s">
        <v>51</v>
      </c>
      <c r="W42">
        <v>4</v>
      </c>
      <c r="X42" t="b">
        <v>0</v>
      </c>
      <c r="Y42" t="s">
        <v>52</v>
      </c>
      <c r="Z42" t="s">
        <v>53</v>
      </c>
      <c r="AA42" t="s">
        <v>54</v>
      </c>
      <c r="AB42">
        <v>0</v>
      </c>
      <c r="AC42" t="s">
        <v>55</v>
      </c>
      <c r="AD42">
        <v>8</v>
      </c>
      <c r="AE42" t="s">
        <v>56</v>
      </c>
      <c r="AF42">
        <v>2191.46</v>
      </c>
      <c r="AG42" t="b">
        <v>0</v>
      </c>
      <c r="AH42">
        <v>8</v>
      </c>
      <c r="AI42" t="s">
        <v>56</v>
      </c>
      <c r="AJ42">
        <v>2191.46</v>
      </c>
      <c r="AK42" t="b">
        <v>0</v>
      </c>
      <c r="AL42">
        <v>2191.46</v>
      </c>
      <c r="AM42" t="b">
        <v>0</v>
      </c>
      <c r="AN42">
        <v>0</v>
      </c>
      <c r="AO42" t="b">
        <v>0</v>
      </c>
      <c r="AQ42">
        <v>84204030.150000006</v>
      </c>
      <c r="AR42">
        <v>84204030.150000006</v>
      </c>
      <c r="AS42">
        <v>0</v>
      </c>
      <c r="AT42" t="b">
        <v>0</v>
      </c>
      <c r="AU42" t="b">
        <v>1</v>
      </c>
      <c r="AV42" t="b">
        <v>1</v>
      </c>
      <c r="AW42" t="b">
        <v>1</v>
      </c>
      <c r="BC42" t="s">
        <v>374</v>
      </c>
    </row>
    <row r="43" spans="1:55" x14ac:dyDescent="0.2">
      <c r="A43" t="s">
        <v>39</v>
      </c>
      <c r="B43" t="s">
        <v>40</v>
      </c>
      <c r="C43">
        <v>20190101</v>
      </c>
      <c r="D43">
        <v>2019</v>
      </c>
      <c r="E43">
        <v>52</v>
      </c>
      <c r="F43" t="s">
        <v>41</v>
      </c>
      <c r="G43">
        <v>348</v>
      </c>
      <c r="H43" t="s">
        <v>151</v>
      </c>
      <c r="I43" t="s">
        <v>152</v>
      </c>
      <c r="J43" t="s">
        <v>44</v>
      </c>
      <c r="K43" t="s">
        <v>45</v>
      </c>
      <c r="L43">
        <v>0</v>
      </c>
      <c r="M43" t="s">
        <v>46</v>
      </c>
      <c r="N43" t="s">
        <v>47</v>
      </c>
      <c r="O43">
        <v>0</v>
      </c>
      <c r="P43" t="s">
        <v>46</v>
      </c>
      <c r="Q43" t="s">
        <v>47</v>
      </c>
      <c r="R43" t="s">
        <v>48</v>
      </c>
      <c r="S43" t="s">
        <v>49</v>
      </c>
      <c r="T43" t="b">
        <v>1</v>
      </c>
      <c r="U43" t="s">
        <v>50</v>
      </c>
      <c r="V43" t="s">
        <v>51</v>
      </c>
      <c r="W43">
        <v>4</v>
      </c>
      <c r="X43" t="b">
        <v>0</v>
      </c>
      <c r="Y43" t="s">
        <v>52</v>
      </c>
      <c r="Z43" t="s">
        <v>53</v>
      </c>
      <c r="AA43" t="s">
        <v>54</v>
      </c>
      <c r="AB43">
        <v>0</v>
      </c>
      <c r="AC43" t="s">
        <v>55</v>
      </c>
      <c r="AD43">
        <v>-1</v>
      </c>
      <c r="AE43" t="s">
        <v>64</v>
      </c>
      <c r="AF43">
        <v>0</v>
      </c>
      <c r="AG43" t="b">
        <v>1</v>
      </c>
      <c r="AH43">
        <v>-1</v>
      </c>
      <c r="AI43" t="s">
        <v>64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Q43">
        <v>74455832</v>
      </c>
      <c r="AR43">
        <v>74455832</v>
      </c>
      <c r="AS43">
        <v>6</v>
      </c>
      <c r="AT43" t="b">
        <v>0</v>
      </c>
      <c r="AU43" t="b">
        <v>1</v>
      </c>
      <c r="AV43" t="b">
        <v>1</v>
      </c>
      <c r="AW43" t="b">
        <v>1</v>
      </c>
      <c r="BC43" t="s">
        <v>374</v>
      </c>
    </row>
    <row r="44" spans="1:55" x14ac:dyDescent="0.2">
      <c r="A44" t="s">
        <v>39</v>
      </c>
      <c r="B44" t="s">
        <v>40</v>
      </c>
      <c r="C44">
        <v>20190101</v>
      </c>
      <c r="D44">
        <v>2019</v>
      </c>
      <c r="E44">
        <v>52</v>
      </c>
      <c r="F44" t="s">
        <v>41</v>
      </c>
      <c r="G44">
        <v>352</v>
      </c>
      <c r="H44" t="s">
        <v>153</v>
      </c>
      <c r="I44" t="s">
        <v>154</v>
      </c>
      <c r="J44" t="s">
        <v>44</v>
      </c>
      <c r="K44" t="s">
        <v>45</v>
      </c>
      <c r="L44">
        <v>0</v>
      </c>
      <c r="M44" t="s">
        <v>46</v>
      </c>
      <c r="N44" t="s">
        <v>47</v>
      </c>
      <c r="O44">
        <v>0</v>
      </c>
      <c r="P44" t="s">
        <v>46</v>
      </c>
      <c r="Q44" t="s">
        <v>47</v>
      </c>
      <c r="R44" t="s">
        <v>48</v>
      </c>
      <c r="S44" t="s">
        <v>49</v>
      </c>
      <c r="T44" t="b">
        <v>1</v>
      </c>
      <c r="U44" t="s">
        <v>50</v>
      </c>
      <c r="V44" t="s">
        <v>51</v>
      </c>
      <c r="W44">
        <v>4</v>
      </c>
      <c r="X44" t="b">
        <v>0</v>
      </c>
      <c r="Y44" t="s">
        <v>52</v>
      </c>
      <c r="Z44" t="s">
        <v>53</v>
      </c>
      <c r="AA44" t="s">
        <v>54</v>
      </c>
      <c r="AB44">
        <v>0</v>
      </c>
      <c r="AC44" t="s">
        <v>55</v>
      </c>
      <c r="AD44">
        <v>8</v>
      </c>
      <c r="AE44" t="s">
        <v>56</v>
      </c>
      <c r="AF44">
        <v>2</v>
      </c>
      <c r="AG44" t="b">
        <v>0</v>
      </c>
      <c r="AH44">
        <v>8</v>
      </c>
      <c r="AI44" t="s">
        <v>56</v>
      </c>
      <c r="AJ44">
        <v>2</v>
      </c>
      <c r="AK44" t="b">
        <v>0</v>
      </c>
      <c r="AL44">
        <v>2</v>
      </c>
      <c r="AM44" t="b">
        <v>0</v>
      </c>
      <c r="AN44">
        <v>0</v>
      </c>
      <c r="AO44" t="b">
        <v>0</v>
      </c>
      <c r="AQ44">
        <v>20005.900000000001</v>
      </c>
      <c r="AR44">
        <v>20005.900000000001</v>
      </c>
      <c r="AS44">
        <v>0</v>
      </c>
      <c r="AT44" t="b">
        <v>0</v>
      </c>
      <c r="AU44" t="b">
        <v>1</v>
      </c>
      <c r="AV44" t="b">
        <v>1</v>
      </c>
      <c r="AW44" t="b">
        <v>1</v>
      </c>
      <c r="BC44" t="s">
        <v>374</v>
      </c>
    </row>
    <row r="45" spans="1:55" x14ac:dyDescent="0.2">
      <c r="A45" t="s">
        <v>39</v>
      </c>
      <c r="B45" t="s">
        <v>40</v>
      </c>
      <c r="C45">
        <v>20190101</v>
      </c>
      <c r="D45">
        <v>2019</v>
      </c>
      <c r="E45">
        <v>52</v>
      </c>
      <c r="F45" t="s">
        <v>41</v>
      </c>
      <c r="G45">
        <v>372</v>
      </c>
      <c r="H45" t="s">
        <v>157</v>
      </c>
      <c r="I45" t="s">
        <v>158</v>
      </c>
      <c r="J45" t="s">
        <v>44</v>
      </c>
      <c r="K45" t="s">
        <v>45</v>
      </c>
      <c r="L45">
        <v>0</v>
      </c>
      <c r="M45" t="s">
        <v>46</v>
      </c>
      <c r="N45" t="s">
        <v>47</v>
      </c>
      <c r="O45">
        <v>0</v>
      </c>
      <c r="P45" t="s">
        <v>46</v>
      </c>
      <c r="Q45" t="s">
        <v>47</v>
      </c>
      <c r="R45" t="s">
        <v>48</v>
      </c>
      <c r="S45" t="s">
        <v>49</v>
      </c>
      <c r="T45" t="b">
        <v>1</v>
      </c>
      <c r="U45" t="s">
        <v>50</v>
      </c>
      <c r="V45" t="s">
        <v>51</v>
      </c>
      <c r="W45">
        <v>4</v>
      </c>
      <c r="X45" t="b">
        <v>0</v>
      </c>
      <c r="Y45" t="s">
        <v>52</v>
      </c>
      <c r="Z45" t="s">
        <v>53</v>
      </c>
      <c r="AA45" t="s">
        <v>54</v>
      </c>
      <c r="AB45">
        <v>0</v>
      </c>
      <c r="AC45" t="s">
        <v>55</v>
      </c>
      <c r="AD45">
        <v>8</v>
      </c>
      <c r="AE45" t="s">
        <v>56</v>
      </c>
      <c r="AF45">
        <v>44.61</v>
      </c>
      <c r="AG45" t="b">
        <v>0</v>
      </c>
      <c r="AH45">
        <v>15</v>
      </c>
      <c r="AI45" t="s">
        <v>59</v>
      </c>
      <c r="AJ45">
        <v>44610</v>
      </c>
      <c r="AK45" t="b">
        <v>0</v>
      </c>
      <c r="AL45">
        <v>0</v>
      </c>
      <c r="AM45" t="b">
        <v>0</v>
      </c>
      <c r="AN45">
        <v>0</v>
      </c>
      <c r="AO45" t="b">
        <v>0</v>
      </c>
      <c r="AP45">
        <v>0</v>
      </c>
      <c r="AQ45">
        <v>6759437.068</v>
      </c>
      <c r="AR45">
        <v>6759437.068</v>
      </c>
      <c r="AS45">
        <v>0</v>
      </c>
      <c r="AT45" t="b">
        <v>0</v>
      </c>
      <c r="AU45" t="b">
        <v>1</v>
      </c>
      <c r="AV45" t="b">
        <v>1</v>
      </c>
      <c r="AW45" t="b">
        <v>1</v>
      </c>
      <c r="BC45" t="s">
        <v>374</v>
      </c>
    </row>
    <row r="46" spans="1:55" x14ac:dyDescent="0.2">
      <c r="A46" t="s">
        <v>39</v>
      </c>
      <c r="B46" t="s">
        <v>40</v>
      </c>
      <c r="C46">
        <v>20190101</v>
      </c>
      <c r="D46">
        <v>2019</v>
      </c>
      <c r="E46">
        <v>52</v>
      </c>
      <c r="F46" t="s">
        <v>41</v>
      </c>
      <c r="G46">
        <v>376</v>
      </c>
      <c r="H46" t="s">
        <v>159</v>
      </c>
      <c r="I46" t="s">
        <v>160</v>
      </c>
      <c r="J46" t="s">
        <v>44</v>
      </c>
      <c r="K46" t="s">
        <v>45</v>
      </c>
      <c r="L46">
        <v>0</v>
      </c>
      <c r="M46" t="s">
        <v>46</v>
      </c>
      <c r="N46" t="s">
        <v>47</v>
      </c>
      <c r="O46">
        <v>0</v>
      </c>
      <c r="P46" t="s">
        <v>46</v>
      </c>
      <c r="Q46" t="s">
        <v>47</v>
      </c>
      <c r="R46" t="s">
        <v>48</v>
      </c>
      <c r="S46" t="s">
        <v>49</v>
      </c>
      <c r="T46" t="b">
        <v>1</v>
      </c>
      <c r="U46" t="s">
        <v>50</v>
      </c>
      <c r="V46" t="s">
        <v>51</v>
      </c>
      <c r="W46">
        <v>4</v>
      </c>
      <c r="X46" t="b">
        <v>0</v>
      </c>
      <c r="Y46" t="s">
        <v>52</v>
      </c>
      <c r="Z46" t="s">
        <v>53</v>
      </c>
      <c r="AA46" t="s">
        <v>54</v>
      </c>
      <c r="AB46">
        <v>0</v>
      </c>
      <c r="AC46" t="s">
        <v>55</v>
      </c>
      <c r="AD46">
        <v>8</v>
      </c>
      <c r="AE46" t="s">
        <v>56</v>
      </c>
      <c r="AF46">
        <v>50.585999999999999</v>
      </c>
      <c r="AG46" t="b">
        <v>1</v>
      </c>
      <c r="AH46">
        <v>-1</v>
      </c>
      <c r="AI46" t="s">
        <v>64</v>
      </c>
      <c r="AJ46">
        <v>0</v>
      </c>
      <c r="AK46" t="b">
        <v>0</v>
      </c>
      <c r="AL46">
        <v>50.585999999999999</v>
      </c>
      <c r="AM46" t="b">
        <v>1</v>
      </c>
      <c r="AN46">
        <v>0</v>
      </c>
      <c r="AO46" t="b">
        <v>0</v>
      </c>
      <c r="AQ46">
        <v>2131000</v>
      </c>
      <c r="AR46">
        <v>2131000</v>
      </c>
      <c r="AS46">
        <v>6</v>
      </c>
      <c r="AT46" t="b">
        <v>0</v>
      </c>
      <c r="AU46" t="b">
        <v>1</v>
      </c>
      <c r="AV46" t="b">
        <v>1</v>
      </c>
      <c r="AW46" t="b">
        <v>1</v>
      </c>
      <c r="BC46" t="s">
        <v>374</v>
      </c>
    </row>
    <row r="47" spans="1:55" x14ac:dyDescent="0.2">
      <c r="A47" t="s">
        <v>39</v>
      </c>
      <c r="B47" t="s">
        <v>40</v>
      </c>
      <c r="C47">
        <v>20190101</v>
      </c>
      <c r="D47">
        <v>2019</v>
      </c>
      <c r="E47">
        <v>52</v>
      </c>
      <c r="F47" t="s">
        <v>41</v>
      </c>
      <c r="G47">
        <v>380</v>
      </c>
      <c r="H47" t="s">
        <v>161</v>
      </c>
      <c r="I47" t="s">
        <v>162</v>
      </c>
      <c r="J47" t="s">
        <v>44</v>
      </c>
      <c r="K47" t="s">
        <v>45</v>
      </c>
      <c r="L47">
        <v>0</v>
      </c>
      <c r="M47" t="s">
        <v>46</v>
      </c>
      <c r="N47" t="s">
        <v>47</v>
      </c>
      <c r="O47">
        <v>0</v>
      </c>
      <c r="P47" t="s">
        <v>46</v>
      </c>
      <c r="Q47" t="s">
        <v>47</v>
      </c>
      <c r="R47" t="s">
        <v>48</v>
      </c>
      <c r="S47" t="s">
        <v>49</v>
      </c>
      <c r="T47" t="b">
        <v>1</v>
      </c>
      <c r="U47" t="s">
        <v>50</v>
      </c>
      <c r="V47" t="s">
        <v>51</v>
      </c>
      <c r="W47">
        <v>4</v>
      </c>
      <c r="X47" t="b">
        <v>0</v>
      </c>
      <c r="Y47" t="s">
        <v>52</v>
      </c>
      <c r="Z47" t="s">
        <v>53</v>
      </c>
      <c r="AA47" t="s">
        <v>54</v>
      </c>
      <c r="AB47">
        <v>0</v>
      </c>
      <c r="AC47" t="s">
        <v>55</v>
      </c>
      <c r="AD47">
        <v>-1</v>
      </c>
      <c r="AE47" t="s">
        <v>64</v>
      </c>
      <c r="AF47">
        <v>0</v>
      </c>
      <c r="AG47" t="b">
        <v>1</v>
      </c>
      <c r="AH47">
        <v>-1</v>
      </c>
      <c r="AI47" t="s">
        <v>64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Q47">
        <v>4018800488.0149999</v>
      </c>
      <c r="AR47">
        <v>4018800488.0149999</v>
      </c>
      <c r="AS47">
        <v>6</v>
      </c>
      <c r="AT47" t="b">
        <v>0</v>
      </c>
      <c r="AU47" t="b">
        <v>1</v>
      </c>
      <c r="AV47" t="b">
        <v>1</v>
      </c>
      <c r="AW47" t="b">
        <v>1</v>
      </c>
      <c r="BC47" t="s">
        <v>374</v>
      </c>
    </row>
    <row r="48" spans="1:55" x14ac:dyDescent="0.2">
      <c r="A48" t="s">
        <v>39</v>
      </c>
      <c r="B48" t="s">
        <v>40</v>
      </c>
      <c r="C48">
        <v>20190101</v>
      </c>
      <c r="D48">
        <v>2019</v>
      </c>
      <c r="E48">
        <v>52</v>
      </c>
      <c r="F48" t="s">
        <v>41</v>
      </c>
      <c r="G48">
        <v>384</v>
      </c>
      <c r="H48" t="s">
        <v>163</v>
      </c>
      <c r="I48" t="s">
        <v>164</v>
      </c>
      <c r="J48" t="s">
        <v>44</v>
      </c>
      <c r="K48" t="s">
        <v>45</v>
      </c>
      <c r="L48">
        <v>0</v>
      </c>
      <c r="M48" t="s">
        <v>46</v>
      </c>
      <c r="N48" t="s">
        <v>47</v>
      </c>
      <c r="O48">
        <v>0</v>
      </c>
      <c r="P48" t="s">
        <v>46</v>
      </c>
      <c r="Q48" t="s">
        <v>47</v>
      </c>
      <c r="R48" t="s">
        <v>48</v>
      </c>
      <c r="S48" t="s">
        <v>49</v>
      </c>
      <c r="T48" t="b">
        <v>1</v>
      </c>
      <c r="U48" t="s">
        <v>50</v>
      </c>
      <c r="V48" t="s">
        <v>51</v>
      </c>
      <c r="W48">
        <v>4</v>
      </c>
      <c r="X48" t="b">
        <v>0</v>
      </c>
      <c r="Y48" t="s">
        <v>52</v>
      </c>
      <c r="Z48" t="s">
        <v>53</v>
      </c>
      <c r="AA48" t="s">
        <v>54</v>
      </c>
      <c r="AB48">
        <v>0</v>
      </c>
      <c r="AC48" t="s">
        <v>55</v>
      </c>
      <c r="AD48">
        <v>8</v>
      </c>
      <c r="AE48" t="s">
        <v>56</v>
      </c>
      <c r="AF48">
        <v>32233</v>
      </c>
      <c r="AG48" t="b">
        <v>0</v>
      </c>
      <c r="AH48">
        <v>8</v>
      </c>
      <c r="AI48" t="s">
        <v>56</v>
      </c>
      <c r="AJ48">
        <v>32233</v>
      </c>
      <c r="AK48" t="b">
        <v>0</v>
      </c>
      <c r="AL48">
        <v>32233</v>
      </c>
      <c r="AM48" t="b">
        <v>0</v>
      </c>
      <c r="AN48">
        <v>0</v>
      </c>
      <c r="AO48" t="b">
        <v>0</v>
      </c>
      <c r="AQ48">
        <v>1077532280.6459999</v>
      </c>
      <c r="AR48">
        <v>1077532280.6459999</v>
      </c>
      <c r="AS48">
        <v>0</v>
      </c>
      <c r="AT48" t="b">
        <v>0</v>
      </c>
      <c r="AU48" t="b">
        <v>1</v>
      </c>
      <c r="AV48" t="b">
        <v>1</v>
      </c>
      <c r="AW48" t="b">
        <v>1</v>
      </c>
      <c r="BC48" t="s">
        <v>374</v>
      </c>
    </row>
    <row r="49" spans="1:55" x14ac:dyDescent="0.2">
      <c r="A49" t="s">
        <v>39</v>
      </c>
      <c r="B49" t="s">
        <v>40</v>
      </c>
      <c r="C49">
        <v>20190101</v>
      </c>
      <c r="D49">
        <v>2019</v>
      </c>
      <c r="E49">
        <v>52</v>
      </c>
      <c r="F49" t="s">
        <v>41</v>
      </c>
      <c r="G49">
        <v>398</v>
      </c>
      <c r="H49" t="s">
        <v>167</v>
      </c>
      <c r="I49" t="s">
        <v>168</v>
      </c>
      <c r="J49" t="s">
        <v>44</v>
      </c>
      <c r="K49" t="s">
        <v>45</v>
      </c>
      <c r="L49">
        <v>0</v>
      </c>
      <c r="M49" t="s">
        <v>46</v>
      </c>
      <c r="N49" t="s">
        <v>47</v>
      </c>
      <c r="O49">
        <v>0</v>
      </c>
      <c r="P49" t="s">
        <v>46</v>
      </c>
      <c r="Q49" t="s">
        <v>47</v>
      </c>
      <c r="R49" t="s">
        <v>48</v>
      </c>
      <c r="S49" t="s">
        <v>49</v>
      </c>
      <c r="T49" t="b">
        <v>1</v>
      </c>
      <c r="U49" t="s">
        <v>50</v>
      </c>
      <c r="V49" t="s">
        <v>51</v>
      </c>
      <c r="W49">
        <v>4</v>
      </c>
      <c r="X49" t="b">
        <v>0</v>
      </c>
      <c r="Y49" t="s">
        <v>52</v>
      </c>
      <c r="Z49" t="s">
        <v>53</v>
      </c>
      <c r="AA49" t="s">
        <v>54</v>
      </c>
      <c r="AB49">
        <v>0</v>
      </c>
      <c r="AC49" t="s">
        <v>55</v>
      </c>
      <c r="AD49">
        <v>-1</v>
      </c>
      <c r="AE49" t="s">
        <v>64</v>
      </c>
      <c r="AF49">
        <v>0</v>
      </c>
      <c r="AG49" t="b">
        <v>0</v>
      </c>
      <c r="AH49">
        <v>-1</v>
      </c>
      <c r="AI49" t="s">
        <v>64</v>
      </c>
      <c r="AJ49">
        <v>0</v>
      </c>
      <c r="AK49" t="b">
        <v>0</v>
      </c>
      <c r="AM49" t="b">
        <v>0</v>
      </c>
      <c r="AN49">
        <v>0</v>
      </c>
      <c r="AO49" t="b">
        <v>0</v>
      </c>
      <c r="AQ49">
        <v>5336122.54</v>
      </c>
      <c r="AR49">
        <v>5336122.54</v>
      </c>
      <c r="AS49">
        <v>0</v>
      </c>
      <c r="AT49" t="b">
        <v>0</v>
      </c>
      <c r="AU49" t="b">
        <v>1</v>
      </c>
      <c r="AV49" t="b">
        <v>1</v>
      </c>
      <c r="AW49" t="b">
        <v>1</v>
      </c>
      <c r="BC49" t="s">
        <v>374</v>
      </c>
    </row>
    <row r="50" spans="1:55" x14ac:dyDescent="0.2">
      <c r="A50" t="s">
        <v>39</v>
      </c>
      <c r="B50" t="s">
        <v>40</v>
      </c>
      <c r="C50">
        <v>20190101</v>
      </c>
      <c r="D50">
        <v>2019</v>
      </c>
      <c r="E50">
        <v>52</v>
      </c>
      <c r="F50" t="s">
        <v>41</v>
      </c>
      <c r="G50">
        <v>400</v>
      </c>
      <c r="H50" t="s">
        <v>169</v>
      </c>
      <c r="I50" t="s">
        <v>170</v>
      </c>
      <c r="J50" t="s">
        <v>44</v>
      </c>
      <c r="K50" t="s">
        <v>45</v>
      </c>
      <c r="L50">
        <v>0</v>
      </c>
      <c r="M50" t="s">
        <v>46</v>
      </c>
      <c r="N50" t="s">
        <v>47</v>
      </c>
      <c r="O50">
        <v>0</v>
      </c>
      <c r="P50" t="s">
        <v>46</v>
      </c>
      <c r="Q50" t="s">
        <v>47</v>
      </c>
      <c r="R50" t="s">
        <v>48</v>
      </c>
      <c r="S50" t="s">
        <v>49</v>
      </c>
      <c r="T50" t="b">
        <v>1</v>
      </c>
      <c r="U50" t="s">
        <v>50</v>
      </c>
      <c r="V50" t="s">
        <v>51</v>
      </c>
      <c r="W50">
        <v>4</v>
      </c>
      <c r="X50" t="b">
        <v>0</v>
      </c>
      <c r="Y50" t="s">
        <v>52</v>
      </c>
      <c r="Z50" t="s">
        <v>53</v>
      </c>
      <c r="AA50" t="s">
        <v>54</v>
      </c>
      <c r="AB50">
        <v>0</v>
      </c>
      <c r="AC50" t="s">
        <v>55</v>
      </c>
      <c r="AD50">
        <v>8</v>
      </c>
      <c r="AE50" t="s">
        <v>56</v>
      </c>
      <c r="AF50">
        <v>4931</v>
      </c>
      <c r="AG50" t="b">
        <v>0</v>
      </c>
      <c r="AH50">
        <v>8</v>
      </c>
      <c r="AI50" t="s">
        <v>56</v>
      </c>
      <c r="AJ50">
        <v>4931</v>
      </c>
      <c r="AK50" t="b">
        <v>0</v>
      </c>
      <c r="AL50">
        <v>4931</v>
      </c>
      <c r="AM50" t="b">
        <v>0</v>
      </c>
      <c r="AN50">
        <v>0</v>
      </c>
      <c r="AO50" t="b">
        <v>0</v>
      </c>
      <c r="AQ50">
        <v>206979901.21200001</v>
      </c>
      <c r="AR50">
        <v>206979901.21200001</v>
      </c>
      <c r="AS50">
        <v>0</v>
      </c>
      <c r="AT50" t="b">
        <v>0</v>
      </c>
      <c r="AU50" t="b">
        <v>1</v>
      </c>
      <c r="AV50" t="b">
        <v>1</v>
      </c>
      <c r="AW50" t="b">
        <v>1</v>
      </c>
      <c r="BC50" t="s">
        <v>374</v>
      </c>
    </row>
    <row r="51" spans="1:55" x14ac:dyDescent="0.2">
      <c r="A51" t="s">
        <v>39</v>
      </c>
      <c r="B51" t="s">
        <v>40</v>
      </c>
      <c r="C51">
        <v>20190101</v>
      </c>
      <c r="D51">
        <v>2019</v>
      </c>
      <c r="E51">
        <v>52</v>
      </c>
      <c r="F51" t="s">
        <v>41</v>
      </c>
      <c r="G51">
        <v>404</v>
      </c>
      <c r="H51" t="s">
        <v>171</v>
      </c>
      <c r="I51" t="s">
        <v>172</v>
      </c>
      <c r="J51" t="s">
        <v>44</v>
      </c>
      <c r="K51" t="s">
        <v>45</v>
      </c>
      <c r="L51">
        <v>0</v>
      </c>
      <c r="M51" t="s">
        <v>46</v>
      </c>
      <c r="N51" t="s">
        <v>47</v>
      </c>
      <c r="O51">
        <v>0</v>
      </c>
      <c r="P51" t="s">
        <v>46</v>
      </c>
      <c r="Q51" t="s">
        <v>47</v>
      </c>
      <c r="R51" t="s">
        <v>48</v>
      </c>
      <c r="S51" t="s">
        <v>49</v>
      </c>
      <c r="T51" t="b">
        <v>1</v>
      </c>
      <c r="U51" t="s">
        <v>50</v>
      </c>
      <c r="V51" t="s">
        <v>51</v>
      </c>
      <c r="W51">
        <v>4</v>
      </c>
      <c r="X51" t="b">
        <v>0</v>
      </c>
      <c r="Y51" t="s">
        <v>52</v>
      </c>
      <c r="Z51" t="s">
        <v>53</v>
      </c>
      <c r="AA51" t="s">
        <v>54</v>
      </c>
      <c r="AB51">
        <v>0</v>
      </c>
      <c r="AC51" t="s">
        <v>55</v>
      </c>
      <c r="AD51">
        <v>8</v>
      </c>
      <c r="AE51" t="s">
        <v>56</v>
      </c>
      <c r="AF51">
        <v>453.98599999999999</v>
      </c>
      <c r="AG51" t="b">
        <v>1</v>
      </c>
      <c r="AH51">
        <v>-1</v>
      </c>
      <c r="AI51" t="s">
        <v>64</v>
      </c>
      <c r="AJ51">
        <v>0</v>
      </c>
      <c r="AK51" t="b">
        <v>0</v>
      </c>
      <c r="AL51">
        <v>453.98599999999999</v>
      </c>
      <c r="AM51" t="b">
        <v>1</v>
      </c>
      <c r="AN51">
        <v>0</v>
      </c>
      <c r="AO51" t="b">
        <v>0</v>
      </c>
      <c r="AQ51">
        <v>16843465.789999999</v>
      </c>
      <c r="AR51">
        <v>16843465.789999999</v>
      </c>
      <c r="AS51">
        <v>6</v>
      </c>
      <c r="AT51" t="b">
        <v>0</v>
      </c>
      <c r="AU51" t="b">
        <v>1</v>
      </c>
      <c r="AV51" t="b">
        <v>1</v>
      </c>
      <c r="AW51" t="b">
        <v>1</v>
      </c>
      <c r="BC51" t="s">
        <v>374</v>
      </c>
    </row>
    <row r="52" spans="1:55" x14ac:dyDescent="0.2">
      <c r="A52" t="s">
        <v>39</v>
      </c>
      <c r="B52" t="s">
        <v>40</v>
      </c>
      <c r="C52">
        <v>20190101</v>
      </c>
      <c r="D52">
        <v>2019</v>
      </c>
      <c r="E52">
        <v>52</v>
      </c>
      <c r="F52" t="s">
        <v>41</v>
      </c>
      <c r="G52">
        <v>410</v>
      </c>
      <c r="H52" t="s">
        <v>173</v>
      </c>
      <c r="I52" t="s">
        <v>174</v>
      </c>
      <c r="J52" t="s">
        <v>44</v>
      </c>
      <c r="K52" t="s">
        <v>45</v>
      </c>
      <c r="L52">
        <v>0</v>
      </c>
      <c r="M52" t="s">
        <v>46</v>
      </c>
      <c r="N52" t="s">
        <v>47</v>
      </c>
      <c r="O52">
        <v>0</v>
      </c>
      <c r="P52" t="s">
        <v>46</v>
      </c>
      <c r="Q52" t="s">
        <v>47</v>
      </c>
      <c r="R52" t="s">
        <v>48</v>
      </c>
      <c r="S52" t="s">
        <v>49</v>
      </c>
      <c r="T52" t="b">
        <v>1</v>
      </c>
      <c r="U52" t="s">
        <v>50</v>
      </c>
      <c r="V52" t="s">
        <v>51</v>
      </c>
      <c r="W52">
        <v>4</v>
      </c>
      <c r="X52" t="b">
        <v>0</v>
      </c>
      <c r="Y52" t="s">
        <v>52</v>
      </c>
      <c r="Z52" t="s">
        <v>53</v>
      </c>
      <c r="AA52" t="s">
        <v>54</v>
      </c>
      <c r="AB52">
        <v>0</v>
      </c>
      <c r="AC52" t="s">
        <v>55</v>
      </c>
      <c r="AD52">
        <v>-1</v>
      </c>
      <c r="AE52" t="s">
        <v>64</v>
      </c>
      <c r="AF52">
        <v>0</v>
      </c>
      <c r="AG52" t="b">
        <v>0</v>
      </c>
      <c r="AH52">
        <v>-1</v>
      </c>
      <c r="AI52" t="s">
        <v>64</v>
      </c>
      <c r="AJ52">
        <v>0</v>
      </c>
      <c r="AK52" t="b">
        <v>0</v>
      </c>
      <c r="AM52" t="b">
        <v>0</v>
      </c>
      <c r="AN52">
        <v>0</v>
      </c>
      <c r="AO52" t="b">
        <v>0</v>
      </c>
      <c r="AQ52">
        <v>885384626</v>
      </c>
      <c r="AR52">
        <v>885384626</v>
      </c>
      <c r="AS52">
        <v>0</v>
      </c>
      <c r="AT52" t="b">
        <v>0</v>
      </c>
      <c r="AU52" t="b">
        <v>1</v>
      </c>
      <c r="AV52" t="b">
        <v>1</v>
      </c>
      <c r="AW52" t="b">
        <v>1</v>
      </c>
      <c r="BC52" t="s">
        <v>374</v>
      </c>
    </row>
    <row r="53" spans="1:55" x14ac:dyDescent="0.2">
      <c r="A53" t="s">
        <v>39</v>
      </c>
      <c r="B53" t="s">
        <v>40</v>
      </c>
      <c r="C53">
        <v>20190101</v>
      </c>
      <c r="D53">
        <v>2019</v>
      </c>
      <c r="E53">
        <v>52</v>
      </c>
      <c r="F53" t="s">
        <v>41</v>
      </c>
      <c r="G53">
        <v>414</v>
      </c>
      <c r="H53" t="s">
        <v>175</v>
      </c>
      <c r="I53" t="s">
        <v>176</v>
      </c>
      <c r="J53" t="s">
        <v>44</v>
      </c>
      <c r="K53" t="s">
        <v>45</v>
      </c>
      <c r="L53">
        <v>0</v>
      </c>
      <c r="M53" t="s">
        <v>46</v>
      </c>
      <c r="N53" t="s">
        <v>47</v>
      </c>
      <c r="O53">
        <v>0</v>
      </c>
      <c r="P53" t="s">
        <v>46</v>
      </c>
      <c r="Q53" t="s">
        <v>47</v>
      </c>
      <c r="R53" t="s">
        <v>48</v>
      </c>
      <c r="S53" t="s">
        <v>49</v>
      </c>
      <c r="T53" t="b">
        <v>1</v>
      </c>
      <c r="U53" t="s">
        <v>50</v>
      </c>
      <c r="V53" t="s">
        <v>51</v>
      </c>
      <c r="W53">
        <v>4</v>
      </c>
      <c r="X53" t="b">
        <v>0</v>
      </c>
      <c r="Y53" t="s">
        <v>52</v>
      </c>
      <c r="Z53" t="s">
        <v>53</v>
      </c>
      <c r="AA53" t="s">
        <v>54</v>
      </c>
      <c r="AB53">
        <v>0</v>
      </c>
      <c r="AC53" t="s">
        <v>55</v>
      </c>
      <c r="AD53">
        <v>-1</v>
      </c>
      <c r="AE53" t="s">
        <v>64</v>
      </c>
      <c r="AF53">
        <v>0</v>
      </c>
      <c r="AG53" t="b">
        <v>0</v>
      </c>
      <c r="AH53">
        <v>-1</v>
      </c>
      <c r="AI53" t="s">
        <v>64</v>
      </c>
      <c r="AJ53">
        <v>0</v>
      </c>
      <c r="AK53" t="b">
        <v>0</v>
      </c>
      <c r="AL53">
        <v>0</v>
      </c>
      <c r="AM53" t="b">
        <v>0</v>
      </c>
      <c r="AN53">
        <v>0</v>
      </c>
      <c r="AO53" t="b">
        <v>0</v>
      </c>
      <c r="AQ53">
        <v>60335474</v>
      </c>
      <c r="AR53">
        <v>60335474</v>
      </c>
      <c r="AS53">
        <v>0</v>
      </c>
      <c r="AT53" t="b">
        <v>0</v>
      </c>
      <c r="AU53" t="b">
        <v>1</v>
      </c>
      <c r="AV53" t="b">
        <v>1</v>
      </c>
      <c r="AW53" t="b">
        <v>1</v>
      </c>
      <c r="BC53" t="s">
        <v>374</v>
      </c>
    </row>
    <row r="54" spans="1:55" x14ac:dyDescent="0.2">
      <c r="A54" t="s">
        <v>39</v>
      </c>
      <c r="B54" t="s">
        <v>40</v>
      </c>
      <c r="C54">
        <v>20190101</v>
      </c>
      <c r="D54">
        <v>2019</v>
      </c>
      <c r="E54">
        <v>52</v>
      </c>
      <c r="F54" t="s">
        <v>41</v>
      </c>
      <c r="G54">
        <v>417</v>
      </c>
      <c r="H54" t="s">
        <v>177</v>
      </c>
      <c r="I54" t="s">
        <v>178</v>
      </c>
      <c r="J54" t="s">
        <v>44</v>
      </c>
      <c r="K54" t="s">
        <v>45</v>
      </c>
      <c r="L54">
        <v>0</v>
      </c>
      <c r="M54" t="s">
        <v>46</v>
      </c>
      <c r="N54" t="s">
        <v>47</v>
      </c>
      <c r="O54">
        <v>0</v>
      </c>
      <c r="P54" t="s">
        <v>46</v>
      </c>
      <c r="Q54" t="s">
        <v>47</v>
      </c>
      <c r="R54" t="s">
        <v>48</v>
      </c>
      <c r="S54" t="s">
        <v>49</v>
      </c>
      <c r="T54" t="b">
        <v>1</v>
      </c>
      <c r="U54" t="s">
        <v>50</v>
      </c>
      <c r="V54" t="s">
        <v>51</v>
      </c>
      <c r="W54">
        <v>4</v>
      </c>
      <c r="X54" t="b">
        <v>0</v>
      </c>
      <c r="Y54" t="s">
        <v>52</v>
      </c>
      <c r="Z54" t="s">
        <v>53</v>
      </c>
      <c r="AA54" t="s">
        <v>54</v>
      </c>
      <c r="AB54">
        <v>0</v>
      </c>
      <c r="AC54" t="s">
        <v>55</v>
      </c>
      <c r="AD54">
        <v>8</v>
      </c>
      <c r="AE54" t="s">
        <v>56</v>
      </c>
      <c r="AF54">
        <v>8695.6730000000007</v>
      </c>
      <c r="AG54" t="b">
        <v>1</v>
      </c>
      <c r="AH54">
        <v>-1</v>
      </c>
      <c r="AI54" t="s">
        <v>64</v>
      </c>
      <c r="AJ54">
        <v>0</v>
      </c>
      <c r="AK54" t="b">
        <v>0</v>
      </c>
      <c r="AL54">
        <v>18726</v>
      </c>
      <c r="AM54" t="b">
        <v>1</v>
      </c>
      <c r="AN54">
        <v>0</v>
      </c>
      <c r="AO54" t="b">
        <v>0</v>
      </c>
      <c r="AQ54">
        <v>832878078</v>
      </c>
      <c r="AR54">
        <v>832878078</v>
      </c>
      <c r="AS54">
        <v>6</v>
      </c>
      <c r="AT54" t="b">
        <v>0</v>
      </c>
      <c r="AU54" t="b">
        <v>1</v>
      </c>
      <c r="AV54" t="b">
        <v>1</v>
      </c>
      <c r="AW54" t="b">
        <v>1</v>
      </c>
      <c r="BC54" t="s">
        <v>374</v>
      </c>
    </row>
    <row r="55" spans="1:55" x14ac:dyDescent="0.2">
      <c r="A55" t="s">
        <v>39</v>
      </c>
      <c r="B55" t="s">
        <v>40</v>
      </c>
      <c r="C55">
        <v>20190101</v>
      </c>
      <c r="D55">
        <v>2019</v>
      </c>
      <c r="E55">
        <v>52</v>
      </c>
      <c r="F55" t="s">
        <v>41</v>
      </c>
      <c r="G55">
        <v>418</v>
      </c>
      <c r="H55" t="s">
        <v>179</v>
      </c>
      <c r="I55" t="s">
        <v>180</v>
      </c>
      <c r="J55" t="s">
        <v>44</v>
      </c>
      <c r="K55" t="s">
        <v>45</v>
      </c>
      <c r="L55">
        <v>0</v>
      </c>
      <c r="M55" t="s">
        <v>46</v>
      </c>
      <c r="N55" t="s">
        <v>47</v>
      </c>
      <c r="O55">
        <v>0</v>
      </c>
      <c r="P55" t="s">
        <v>46</v>
      </c>
      <c r="Q55" t="s">
        <v>47</v>
      </c>
      <c r="R55" t="s">
        <v>48</v>
      </c>
      <c r="S55" t="s">
        <v>49</v>
      </c>
      <c r="T55" t="b">
        <v>1</v>
      </c>
      <c r="U55" t="s">
        <v>50</v>
      </c>
      <c r="V55" t="s">
        <v>51</v>
      </c>
      <c r="W55">
        <v>4</v>
      </c>
      <c r="X55" t="b">
        <v>0</v>
      </c>
      <c r="Y55" t="s">
        <v>52</v>
      </c>
      <c r="Z55" t="s">
        <v>53</v>
      </c>
      <c r="AA55" t="s">
        <v>54</v>
      </c>
      <c r="AB55">
        <v>0</v>
      </c>
      <c r="AC55" t="s">
        <v>55</v>
      </c>
      <c r="AD55">
        <v>8</v>
      </c>
      <c r="AE55" t="s">
        <v>56</v>
      </c>
      <c r="AF55">
        <v>26265.837</v>
      </c>
      <c r="AG55" t="b">
        <v>0</v>
      </c>
      <c r="AH55">
        <v>8</v>
      </c>
      <c r="AI55" t="s">
        <v>56</v>
      </c>
      <c r="AJ55">
        <v>26265.837</v>
      </c>
      <c r="AK55" t="b">
        <v>0</v>
      </c>
      <c r="AL55">
        <v>26265.837</v>
      </c>
      <c r="AM55" t="b">
        <v>0</v>
      </c>
      <c r="AN55">
        <v>0</v>
      </c>
      <c r="AO55" t="b">
        <v>0</v>
      </c>
      <c r="AQ55">
        <v>192308828.31999999</v>
      </c>
      <c r="AR55">
        <v>192308828.31999999</v>
      </c>
      <c r="AS55">
        <v>0</v>
      </c>
      <c r="AT55" t="b">
        <v>0</v>
      </c>
      <c r="AU55" t="b">
        <v>1</v>
      </c>
      <c r="AV55" t="b">
        <v>1</v>
      </c>
      <c r="AW55" t="b">
        <v>1</v>
      </c>
      <c r="BC55" t="s">
        <v>374</v>
      </c>
    </row>
    <row r="56" spans="1:55" x14ac:dyDescent="0.2">
      <c r="A56" t="s">
        <v>39</v>
      </c>
      <c r="B56" t="s">
        <v>40</v>
      </c>
      <c r="C56">
        <v>20190101</v>
      </c>
      <c r="D56">
        <v>2019</v>
      </c>
      <c r="E56">
        <v>52</v>
      </c>
      <c r="F56" t="s">
        <v>41</v>
      </c>
      <c r="G56">
        <v>422</v>
      </c>
      <c r="H56" t="s">
        <v>181</v>
      </c>
      <c r="I56" t="s">
        <v>182</v>
      </c>
      <c r="J56" t="s">
        <v>44</v>
      </c>
      <c r="K56" t="s">
        <v>45</v>
      </c>
      <c r="L56">
        <v>0</v>
      </c>
      <c r="M56" t="s">
        <v>46</v>
      </c>
      <c r="N56" t="s">
        <v>47</v>
      </c>
      <c r="O56">
        <v>0</v>
      </c>
      <c r="P56" t="s">
        <v>46</v>
      </c>
      <c r="Q56" t="s">
        <v>47</v>
      </c>
      <c r="R56" t="s">
        <v>48</v>
      </c>
      <c r="S56" t="s">
        <v>49</v>
      </c>
      <c r="T56" t="b">
        <v>1</v>
      </c>
      <c r="U56" t="s">
        <v>50</v>
      </c>
      <c r="V56" t="s">
        <v>51</v>
      </c>
      <c r="W56">
        <v>4</v>
      </c>
      <c r="X56" t="b">
        <v>0</v>
      </c>
      <c r="Y56" t="s">
        <v>52</v>
      </c>
      <c r="Z56" t="s">
        <v>53</v>
      </c>
      <c r="AA56" t="s">
        <v>54</v>
      </c>
      <c r="AB56">
        <v>0</v>
      </c>
      <c r="AC56" t="s">
        <v>55</v>
      </c>
      <c r="AD56">
        <v>8</v>
      </c>
      <c r="AE56" t="s">
        <v>56</v>
      </c>
      <c r="AF56">
        <v>26856.45</v>
      </c>
      <c r="AG56" t="b">
        <v>0</v>
      </c>
      <c r="AH56">
        <v>8</v>
      </c>
      <c r="AI56" t="s">
        <v>56</v>
      </c>
      <c r="AJ56">
        <v>26856.45</v>
      </c>
      <c r="AK56" t="b">
        <v>0</v>
      </c>
      <c r="AL56">
        <v>26856.45</v>
      </c>
      <c r="AM56" t="b">
        <v>0</v>
      </c>
      <c r="AN56">
        <v>0</v>
      </c>
      <c r="AO56" t="b">
        <v>0</v>
      </c>
      <c r="AP56">
        <v>0</v>
      </c>
      <c r="AQ56">
        <v>1134972925.98</v>
      </c>
      <c r="AR56">
        <v>1134972925.98</v>
      </c>
      <c r="AS56">
        <v>0</v>
      </c>
      <c r="AT56" t="b">
        <v>0</v>
      </c>
      <c r="AU56" t="b">
        <v>1</v>
      </c>
      <c r="AV56" t="b">
        <v>1</v>
      </c>
      <c r="AW56" t="b">
        <v>1</v>
      </c>
      <c r="BC56" t="s">
        <v>374</v>
      </c>
    </row>
    <row r="57" spans="1:55" x14ac:dyDescent="0.2">
      <c r="A57" t="s">
        <v>39</v>
      </c>
      <c r="B57" t="s">
        <v>40</v>
      </c>
      <c r="C57">
        <v>20190101</v>
      </c>
      <c r="D57">
        <v>2019</v>
      </c>
      <c r="E57">
        <v>52</v>
      </c>
      <c r="F57" t="s">
        <v>41</v>
      </c>
      <c r="G57">
        <v>428</v>
      </c>
      <c r="H57" t="s">
        <v>183</v>
      </c>
      <c r="I57" t="s">
        <v>184</v>
      </c>
      <c r="J57" t="s">
        <v>44</v>
      </c>
      <c r="K57" t="s">
        <v>45</v>
      </c>
      <c r="L57">
        <v>0</v>
      </c>
      <c r="M57" t="s">
        <v>46</v>
      </c>
      <c r="N57" t="s">
        <v>47</v>
      </c>
      <c r="O57">
        <v>0</v>
      </c>
      <c r="P57" t="s">
        <v>46</v>
      </c>
      <c r="Q57" t="s">
        <v>47</v>
      </c>
      <c r="R57" t="s">
        <v>48</v>
      </c>
      <c r="S57" t="s">
        <v>49</v>
      </c>
      <c r="T57" t="b">
        <v>1</v>
      </c>
      <c r="U57" t="s">
        <v>50</v>
      </c>
      <c r="V57" t="s">
        <v>51</v>
      </c>
      <c r="W57">
        <v>4</v>
      </c>
      <c r="X57" t="b">
        <v>0</v>
      </c>
      <c r="Y57" t="s">
        <v>52</v>
      </c>
      <c r="Z57" t="s">
        <v>53</v>
      </c>
      <c r="AA57" t="s">
        <v>54</v>
      </c>
      <c r="AB57">
        <v>0</v>
      </c>
      <c r="AC57" t="s">
        <v>55</v>
      </c>
      <c r="AD57">
        <v>8</v>
      </c>
      <c r="AE57" t="s">
        <v>56</v>
      </c>
      <c r="AF57">
        <v>670.596</v>
      </c>
      <c r="AG57" t="b">
        <v>0</v>
      </c>
      <c r="AH57">
        <v>15</v>
      </c>
      <c r="AI57" t="s">
        <v>59</v>
      </c>
      <c r="AJ57">
        <v>670596</v>
      </c>
      <c r="AK57" t="b">
        <v>0</v>
      </c>
      <c r="AL57">
        <v>674.12199999999996</v>
      </c>
      <c r="AM57" t="b">
        <v>0</v>
      </c>
      <c r="AN57">
        <v>0</v>
      </c>
      <c r="AO57" t="b">
        <v>0</v>
      </c>
      <c r="AQ57">
        <v>22838375.969999999</v>
      </c>
      <c r="AR57">
        <v>22838375.969999999</v>
      </c>
      <c r="AS57">
        <v>0</v>
      </c>
      <c r="AT57" t="b">
        <v>0</v>
      </c>
      <c r="AU57" t="b">
        <v>1</v>
      </c>
      <c r="AV57" t="b">
        <v>1</v>
      </c>
      <c r="AW57" t="b">
        <v>1</v>
      </c>
      <c r="BC57" t="s">
        <v>374</v>
      </c>
    </row>
    <row r="58" spans="1:55" x14ac:dyDescent="0.2">
      <c r="A58" t="s">
        <v>39</v>
      </c>
      <c r="B58" t="s">
        <v>40</v>
      </c>
      <c r="C58">
        <v>20190101</v>
      </c>
      <c r="D58">
        <v>2019</v>
      </c>
      <c r="E58">
        <v>52</v>
      </c>
      <c r="F58" t="s">
        <v>41</v>
      </c>
      <c r="G58">
        <v>430</v>
      </c>
      <c r="H58" t="s">
        <v>185</v>
      </c>
      <c r="I58" t="s">
        <v>186</v>
      </c>
      <c r="J58" t="s">
        <v>44</v>
      </c>
      <c r="K58" t="s">
        <v>45</v>
      </c>
      <c r="L58">
        <v>0</v>
      </c>
      <c r="M58" t="s">
        <v>46</v>
      </c>
      <c r="N58" t="s">
        <v>47</v>
      </c>
      <c r="O58">
        <v>0</v>
      </c>
      <c r="P58" t="s">
        <v>46</v>
      </c>
      <c r="Q58" t="s">
        <v>47</v>
      </c>
      <c r="R58" t="s">
        <v>48</v>
      </c>
      <c r="S58" t="s">
        <v>49</v>
      </c>
      <c r="T58" t="b">
        <v>1</v>
      </c>
      <c r="U58" t="s">
        <v>50</v>
      </c>
      <c r="V58" t="s">
        <v>51</v>
      </c>
      <c r="W58">
        <v>4</v>
      </c>
      <c r="X58" t="b">
        <v>0</v>
      </c>
      <c r="Y58" t="s">
        <v>52</v>
      </c>
      <c r="Z58" t="s">
        <v>53</v>
      </c>
      <c r="AA58" t="s">
        <v>54</v>
      </c>
      <c r="AB58">
        <v>0</v>
      </c>
      <c r="AC58" t="s">
        <v>55</v>
      </c>
      <c r="AD58">
        <v>8</v>
      </c>
      <c r="AE58" t="s">
        <v>56</v>
      </c>
      <c r="AF58">
        <v>1473.2239999999999</v>
      </c>
      <c r="AG58" t="b">
        <v>1</v>
      </c>
      <c r="AH58">
        <v>-1</v>
      </c>
      <c r="AI58" t="s">
        <v>64</v>
      </c>
      <c r="AJ58">
        <v>0</v>
      </c>
      <c r="AK58" t="b">
        <v>0</v>
      </c>
      <c r="AL58">
        <v>1473.2239999999999</v>
      </c>
      <c r="AM58" t="b">
        <v>1</v>
      </c>
      <c r="AN58">
        <v>0</v>
      </c>
      <c r="AO58" t="b">
        <v>0</v>
      </c>
      <c r="AQ58">
        <v>62376007.299999997</v>
      </c>
      <c r="AR58">
        <v>62376007.299999997</v>
      </c>
      <c r="AS58">
        <v>6</v>
      </c>
      <c r="AT58" t="b">
        <v>0</v>
      </c>
      <c r="AU58" t="b">
        <v>1</v>
      </c>
      <c r="AV58" t="b">
        <v>1</v>
      </c>
      <c r="AW58" t="b">
        <v>1</v>
      </c>
      <c r="BC58" t="s">
        <v>374</v>
      </c>
    </row>
    <row r="59" spans="1:55" x14ac:dyDescent="0.2">
      <c r="A59" t="s">
        <v>39</v>
      </c>
      <c r="B59" t="s">
        <v>40</v>
      </c>
      <c r="C59">
        <v>20190101</v>
      </c>
      <c r="D59">
        <v>2019</v>
      </c>
      <c r="E59">
        <v>52</v>
      </c>
      <c r="F59" t="s">
        <v>41</v>
      </c>
      <c r="G59">
        <v>434</v>
      </c>
      <c r="H59" t="s">
        <v>187</v>
      </c>
      <c r="I59" t="s">
        <v>188</v>
      </c>
      <c r="J59" t="s">
        <v>44</v>
      </c>
      <c r="K59" t="s">
        <v>45</v>
      </c>
      <c r="L59">
        <v>0</v>
      </c>
      <c r="M59" t="s">
        <v>46</v>
      </c>
      <c r="N59" t="s">
        <v>47</v>
      </c>
      <c r="O59">
        <v>0</v>
      </c>
      <c r="P59" t="s">
        <v>46</v>
      </c>
      <c r="Q59" t="s">
        <v>47</v>
      </c>
      <c r="R59" t="s">
        <v>48</v>
      </c>
      <c r="S59" t="s">
        <v>49</v>
      </c>
      <c r="T59" t="b">
        <v>1</v>
      </c>
      <c r="U59" t="s">
        <v>50</v>
      </c>
      <c r="V59" t="s">
        <v>51</v>
      </c>
      <c r="W59">
        <v>4</v>
      </c>
      <c r="X59" t="b">
        <v>0</v>
      </c>
      <c r="Y59" t="s">
        <v>52</v>
      </c>
      <c r="Z59" t="s">
        <v>53</v>
      </c>
      <c r="AA59" t="s">
        <v>54</v>
      </c>
      <c r="AB59">
        <v>0</v>
      </c>
      <c r="AC59" t="s">
        <v>55</v>
      </c>
      <c r="AD59">
        <v>8</v>
      </c>
      <c r="AE59" t="s">
        <v>56</v>
      </c>
      <c r="AF59">
        <v>37496</v>
      </c>
      <c r="AG59" t="b">
        <v>0</v>
      </c>
      <c r="AH59">
        <v>8</v>
      </c>
      <c r="AI59" t="s">
        <v>56</v>
      </c>
      <c r="AJ59">
        <v>37496</v>
      </c>
      <c r="AK59" t="b">
        <v>0</v>
      </c>
      <c r="AL59">
        <v>37496</v>
      </c>
      <c r="AM59" t="b">
        <v>0</v>
      </c>
      <c r="AN59">
        <v>0</v>
      </c>
      <c r="AO59" t="b">
        <v>0</v>
      </c>
      <c r="AP59">
        <v>0</v>
      </c>
      <c r="AQ59">
        <v>1192136545</v>
      </c>
      <c r="AR59">
        <v>1192136545</v>
      </c>
      <c r="AS59">
        <v>0</v>
      </c>
      <c r="AT59" t="b">
        <v>0</v>
      </c>
      <c r="AU59" t="b">
        <v>1</v>
      </c>
      <c r="AV59" t="b">
        <v>1</v>
      </c>
      <c r="AW59" t="b">
        <v>1</v>
      </c>
      <c r="BC59" t="s">
        <v>374</v>
      </c>
    </row>
    <row r="60" spans="1:55" x14ac:dyDescent="0.2">
      <c r="A60" t="s">
        <v>39</v>
      </c>
      <c r="B60" t="s">
        <v>40</v>
      </c>
      <c r="C60">
        <v>20190101</v>
      </c>
      <c r="D60">
        <v>2019</v>
      </c>
      <c r="E60">
        <v>52</v>
      </c>
      <c r="F60" t="s">
        <v>41</v>
      </c>
      <c r="G60">
        <v>440</v>
      </c>
      <c r="H60" t="s">
        <v>189</v>
      </c>
      <c r="I60" t="s">
        <v>190</v>
      </c>
      <c r="J60" t="s">
        <v>44</v>
      </c>
      <c r="K60" t="s">
        <v>45</v>
      </c>
      <c r="L60">
        <v>0</v>
      </c>
      <c r="M60" t="s">
        <v>46</v>
      </c>
      <c r="N60" t="s">
        <v>47</v>
      </c>
      <c r="O60">
        <v>0</v>
      </c>
      <c r="P60" t="s">
        <v>46</v>
      </c>
      <c r="Q60" t="s">
        <v>47</v>
      </c>
      <c r="R60" t="s">
        <v>48</v>
      </c>
      <c r="S60" t="s">
        <v>49</v>
      </c>
      <c r="T60" t="b">
        <v>1</v>
      </c>
      <c r="U60" t="s">
        <v>50</v>
      </c>
      <c r="V60" t="s">
        <v>51</v>
      </c>
      <c r="W60">
        <v>4</v>
      </c>
      <c r="X60" t="b">
        <v>0</v>
      </c>
      <c r="Y60" t="s">
        <v>52</v>
      </c>
      <c r="Z60" t="s">
        <v>53</v>
      </c>
      <c r="AA60" t="s">
        <v>54</v>
      </c>
      <c r="AB60">
        <v>0</v>
      </c>
      <c r="AC60" t="s">
        <v>55</v>
      </c>
      <c r="AD60">
        <v>8</v>
      </c>
      <c r="AE60" t="s">
        <v>56</v>
      </c>
      <c r="AF60">
        <v>11.933999999999999</v>
      </c>
      <c r="AG60" t="b">
        <v>0</v>
      </c>
      <c r="AH60">
        <v>15</v>
      </c>
      <c r="AI60" t="s">
        <v>59</v>
      </c>
      <c r="AJ60">
        <v>11934.33</v>
      </c>
      <c r="AK60" t="b">
        <v>0</v>
      </c>
      <c r="AL60">
        <v>11.923999999999999</v>
      </c>
      <c r="AM60" t="b">
        <v>0</v>
      </c>
      <c r="AN60">
        <v>0</v>
      </c>
      <c r="AO60" t="b">
        <v>0</v>
      </c>
      <c r="AQ60">
        <v>321770</v>
      </c>
      <c r="AR60">
        <v>321770</v>
      </c>
      <c r="AS60">
        <v>0</v>
      </c>
      <c r="AT60" t="b">
        <v>0</v>
      </c>
      <c r="AU60" t="b">
        <v>1</v>
      </c>
      <c r="AV60" t="b">
        <v>1</v>
      </c>
      <c r="AW60" t="b">
        <v>1</v>
      </c>
      <c r="BC60" t="s">
        <v>374</v>
      </c>
    </row>
    <row r="61" spans="1:55" x14ac:dyDescent="0.2">
      <c r="A61" t="s">
        <v>39</v>
      </c>
      <c r="B61" t="s">
        <v>40</v>
      </c>
      <c r="C61">
        <v>20190101</v>
      </c>
      <c r="D61">
        <v>2019</v>
      </c>
      <c r="E61">
        <v>52</v>
      </c>
      <c r="F61" t="s">
        <v>41</v>
      </c>
      <c r="G61">
        <v>442</v>
      </c>
      <c r="H61" t="s">
        <v>191</v>
      </c>
      <c r="I61" t="s">
        <v>192</v>
      </c>
      <c r="J61" t="s">
        <v>44</v>
      </c>
      <c r="K61" t="s">
        <v>45</v>
      </c>
      <c r="L61">
        <v>0</v>
      </c>
      <c r="M61" t="s">
        <v>46</v>
      </c>
      <c r="N61" t="s">
        <v>47</v>
      </c>
      <c r="O61">
        <v>0</v>
      </c>
      <c r="P61" t="s">
        <v>46</v>
      </c>
      <c r="Q61" t="s">
        <v>47</v>
      </c>
      <c r="R61" t="s">
        <v>48</v>
      </c>
      <c r="S61" t="s">
        <v>49</v>
      </c>
      <c r="T61" t="b">
        <v>1</v>
      </c>
      <c r="U61" t="s">
        <v>50</v>
      </c>
      <c r="V61" t="s">
        <v>51</v>
      </c>
      <c r="W61">
        <v>4</v>
      </c>
      <c r="X61" t="b">
        <v>0</v>
      </c>
      <c r="Y61" t="s">
        <v>52</v>
      </c>
      <c r="Z61" t="s">
        <v>53</v>
      </c>
      <c r="AA61" t="s">
        <v>54</v>
      </c>
      <c r="AB61">
        <v>0</v>
      </c>
      <c r="AC61" t="s">
        <v>55</v>
      </c>
      <c r="AD61">
        <v>8</v>
      </c>
      <c r="AE61" t="s">
        <v>56</v>
      </c>
      <c r="AF61">
        <v>2385.6280000000002</v>
      </c>
      <c r="AG61" t="b">
        <v>1</v>
      </c>
      <c r="AH61">
        <v>-1</v>
      </c>
      <c r="AI61" t="s">
        <v>64</v>
      </c>
      <c r="AJ61">
        <v>0</v>
      </c>
      <c r="AK61" t="b">
        <v>0</v>
      </c>
      <c r="AL61">
        <v>2605.0610000000001</v>
      </c>
      <c r="AM61" t="b">
        <v>1</v>
      </c>
      <c r="AN61">
        <v>0</v>
      </c>
      <c r="AO61" t="b">
        <v>0</v>
      </c>
      <c r="AP61">
        <v>0</v>
      </c>
      <c r="AQ61">
        <v>84724927.550999999</v>
      </c>
      <c r="AR61">
        <v>84724927.550999999</v>
      </c>
      <c r="AS61">
        <v>6</v>
      </c>
      <c r="AT61" t="b">
        <v>0</v>
      </c>
      <c r="AU61" t="b">
        <v>1</v>
      </c>
      <c r="AV61" t="b">
        <v>1</v>
      </c>
      <c r="AW61" t="b">
        <v>1</v>
      </c>
      <c r="BC61" t="s">
        <v>374</v>
      </c>
    </row>
    <row r="62" spans="1:55" x14ac:dyDescent="0.2">
      <c r="A62" t="s">
        <v>39</v>
      </c>
      <c r="B62" t="s">
        <v>40</v>
      </c>
      <c r="C62">
        <v>20190101</v>
      </c>
      <c r="D62">
        <v>2019</v>
      </c>
      <c r="E62">
        <v>52</v>
      </c>
      <c r="F62" t="s">
        <v>41</v>
      </c>
      <c r="G62">
        <v>450</v>
      </c>
      <c r="H62" t="s">
        <v>193</v>
      </c>
      <c r="I62" t="s">
        <v>194</v>
      </c>
      <c r="J62" t="s">
        <v>44</v>
      </c>
      <c r="K62" t="s">
        <v>45</v>
      </c>
      <c r="L62">
        <v>0</v>
      </c>
      <c r="M62" t="s">
        <v>46</v>
      </c>
      <c r="N62" t="s">
        <v>47</v>
      </c>
      <c r="O62">
        <v>0</v>
      </c>
      <c r="P62" t="s">
        <v>46</v>
      </c>
      <c r="Q62" t="s">
        <v>47</v>
      </c>
      <c r="R62" t="s">
        <v>48</v>
      </c>
      <c r="S62" t="s">
        <v>49</v>
      </c>
      <c r="T62" t="b">
        <v>1</v>
      </c>
      <c r="U62" t="s">
        <v>50</v>
      </c>
      <c r="V62" t="s">
        <v>51</v>
      </c>
      <c r="W62">
        <v>4</v>
      </c>
      <c r="X62" t="b">
        <v>0</v>
      </c>
      <c r="Y62" t="s">
        <v>52</v>
      </c>
      <c r="Z62" t="s">
        <v>53</v>
      </c>
      <c r="AA62" t="s">
        <v>54</v>
      </c>
      <c r="AB62">
        <v>0</v>
      </c>
      <c r="AC62" t="s">
        <v>55</v>
      </c>
      <c r="AD62">
        <v>8</v>
      </c>
      <c r="AE62" t="s">
        <v>56</v>
      </c>
      <c r="AF62">
        <v>2098.4499999999998</v>
      </c>
      <c r="AG62" t="b">
        <v>0</v>
      </c>
      <c r="AH62">
        <v>8</v>
      </c>
      <c r="AI62" t="s">
        <v>56</v>
      </c>
      <c r="AJ62">
        <v>2098.4499999999998</v>
      </c>
      <c r="AK62" t="b">
        <v>0</v>
      </c>
      <c r="AL62">
        <v>2098.4499999999998</v>
      </c>
      <c r="AM62" t="b">
        <v>0</v>
      </c>
      <c r="AN62">
        <v>0</v>
      </c>
      <c r="AO62" t="b">
        <v>0</v>
      </c>
      <c r="AQ62">
        <v>86768147.553000003</v>
      </c>
      <c r="AR62">
        <v>86768147.553000003</v>
      </c>
      <c r="AS62">
        <v>0</v>
      </c>
      <c r="AT62" t="b">
        <v>0</v>
      </c>
      <c r="AU62" t="b">
        <v>1</v>
      </c>
      <c r="AV62" t="b">
        <v>1</v>
      </c>
      <c r="AW62" t="b">
        <v>1</v>
      </c>
      <c r="BC62" t="s">
        <v>374</v>
      </c>
    </row>
    <row r="63" spans="1:55" x14ac:dyDescent="0.2">
      <c r="A63" t="s">
        <v>39</v>
      </c>
      <c r="B63" t="s">
        <v>40</v>
      </c>
      <c r="C63">
        <v>20190101</v>
      </c>
      <c r="D63">
        <v>2019</v>
      </c>
      <c r="E63">
        <v>52</v>
      </c>
      <c r="F63" t="s">
        <v>41</v>
      </c>
      <c r="G63">
        <v>458</v>
      </c>
      <c r="H63" t="s">
        <v>195</v>
      </c>
      <c r="I63" t="s">
        <v>196</v>
      </c>
      <c r="J63" t="s">
        <v>44</v>
      </c>
      <c r="K63" t="s">
        <v>45</v>
      </c>
      <c r="L63">
        <v>0</v>
      </c>
      <c r="M63" t="s">
        <v>46</v>
      </c>
      <c r="N63" t="s">
        <v>47</v>
      </c>
      <c r="O63">
        <v>0</v>
      </c>
      <c r="P63" t="s">
        <v>46</v>
      </c>
      <c r="Q63" t="s">
        <v>47</v>
      </c>
      <c r="R63" t="s">
        <v>48</v>
      </c>
      <c r="S63" t="s">
        <v>49</v>
      </c>
      <c r="T63" t="b">
        <v>1</v>
      </c>
      <c r="U63" t="s">
        <v>50</v>
      </c>
      <c r="V63" t="s">
        <v>51</v>
      </c>
      <c r="W63">
        <v>4</v>
      </c>
      <c r="X63" t="b">
        <v>0</v>
      </c>
      <c r="Y63" t="s">
        <v>52</v>
      </c>
      <c r="Z63" t="s">
        <v>53</v>
      </c>
      <c r="AA63" t="s">
        <v>54</v>
      </c>
      <c r="AB63">
        <v>0</v>
      </c>
      <c r="AC63" t="s">
        <v>55</v>
      </c>
      <c r="AD63">
        <v>8</v>
      </c>
      <c r="AE63" t="s">
        <v>56</v>
      </c>
      <c r="AF63">
        <v>11033.26</v>
      </c>
      <c r="AG63" t="b">
        <v>0</v>
      </c>
      <c r="AH63">
        <v>8</v>
      </c>
      <c r="AI63" t="s">
        <v>56</v>
      </c>
      <c r="AJ63">
        <v>11033.26</v>
      </c>
      <c r="AK63" t="b">
        <v>0</v>
      </c>
      <c r="AL63">
        <v>11033.26</v>
      </c>
      <c r="AM63" t="b">
        <v>0</v>
      </c>
      <c r="AN63">
        <v>0</v>
      </c>
      <c r="AO63" t="b">
        <v>0</v>
      </c>
      <c r="AP63">
        <v>0</v>
      </c>
      <c r="AQ63">
        <v>448194927.40700001</v>
      </c>
      <c r="AR63">
        <v>448194927.40700001</v>
      </c>
      <c r="AS63">
        <v>0</v>
      </c>
      <c r="AT63" t="b">
        <v>0</v>
      </c>
      <c r="AU63" t="b">
        <v>1</v>
      </c>
      <c r="AV63" t="b">
        <v>1</v>
      </c>
      <c r="AW63" t="b">
        <v>1</v>
      </c>
      <c r="BC63" t="s">
        <v>374</v>
      </c>
    </row>
    <row r="64" spans="1:55" x14ac:dyDescent="0.2">
      <c r="A64" t="s">
        <v>39</v>
      </c>
      <c r="B64" t="s">
        <v>40</v>
      </c>
      <c r="C64">
        <v>20190101</v>
      </c>
      <c r="D64">
        <v>2019</v>
      </c>
      <c r="E64">
        <v>52</v>
      </c>
      <c r="F64" t="s">
        <v>41</v>
      </c>
      <c r="G64">
        <v>466</v>
      </c>
      <c r="H64" t="s">
        <v>197</v>
      </c>
      <c r="I64" t="s">
        <v>198</v>
      </c>
      <c r="J64" t="s">
        <v>44</v>
      </c>
      <c r="K64" t="s">
        <v>45</v>
      </c>
      <c r="L64">
        <v>0</v>
      </c>
      <c r="M64" t="s">
        <v>46</v>
      </c>
      <c r="N64" t="s">
        <v>47</v>
      </c>
      <c r="O64">
        <v>0</v>
      </c>
      <c r="P64" t="s">
        <v>46</v>
      </c>
      <c r="Q64" t="s">
        <v>47</v>
      </c>
      <c r="R64" t="s">
        <v>48</v>
      </c>
      <c r="S64" t="s">
        <v>49</v>
      </c>
      <c r="T64" t="b">
        <v>1</v>
      </c>
      <c r="U64" t="s">
        <v>50</v>
      </c>
      <c r="V64" t="s">
        <v>51</v>
      </c>
      <c r="W64">
        <v>4</v>
      </c>
      <c r="X64" t="b">
        <v>0</v>
      </c>
      <c r="Y64" t="s">
        <v>52</v>
      </c>
      <c r="Z64" t="s">
        <v>53</v>
      </c>
      <c r="AA64" t="s">
        <v>54</v>
      </c>
      <c r="AB64">
        <v>0</v>
      </c>
      <c r="AC64" t="s">
        <v>55</v>
      </c>
      <c r="AD64">
        <v>8</v>
      </c>
      <c r="AE64" t="s">
        <v>56</v>
      </c>
      <c r="AF64">
        <v>65670.039999999994</v>
      </c>
      <c r="AG64" t="b">
        <v>0</v>
      </c>
      <c r="AH64">
        <v>8</v>
      </c>
      <c r="AI64" t="s">
        <v>56</v>
      </c>
      <c r="AJ64">
        <v>65670.039999999994</v>
      </c>
      <c r="AK64" t="b">
        <v>0</v>
      </c>
      <c r="AL64">
        <v>65670.039999999994</v>
      </c>
      <c r="AM64" t="b">
        <v>0</v>
      </c>
      <c r="AN64">
        <v>0</v>
      </c>
      <c r="AO64" t="b">
        <v>0</v>
      </c>
      <c r="AP64">
        <v>0</v>
      </c>
      <c r="AQ64">
        <v>2657101419.3899999</v>
      </c>
      <c r="AR64">
        <v>2657101419.3899999</v>
      </c>
      <c r="AS64">
        <v>0</v>
      </c>
      <c r="AT64" t="b">
        <v>0</v>
      </c>
      <c r="AU64" t="b">
        <v>1</v>
      </c>
      <c r="AV64" t="b">
        <v>1</v>
      </c>
      <c r="AW64" t="b">
        <v>1</v>
      </c>
      <c r="BC64" t="s">
        <v>374</v>
      </c>
    </row>
    <row r="65" spans="1:55" x14ac:dyDescent="0.2">
      <c r="A65" t="s">
        <v>39</v>
      </c>
      <c r="B65" t="s">
        <v>40</v>
      </c>
      <c r="C65">
        <v>20190101</v>
      </c>
      <c r="D65">
        <v>2019</v>
      </c>
      <c r="E65">
        <v>52</v>
      </c>
      <c r="F65" t="s">
        <v>41</v>
      </c>
      <c r="G65">
        <v>470</v>
      </c>
      <c r="H65" t="s">
        <v>199</v>
      </c>
      <c r="I65" t="s">
        <v>200</v>
      </c>
      <c r="J65" t="s">
        <v>44</v>
      </c>
      <c r="K65" t="s">
        <v>45</v>
      </c>
      <c r="L65">
        <v>0</v>
      </c>
      <c r="M65" t="s">
        <v>46</v>
      </c>
      <c r="N65" t="s">
        <v>47</v>
      </c>
      <c r="O65">
        <v>0</v>
      </c>
      <c r="P65" t="s">
        <v>46</v>
      </c>
      <c r="Q65" t="s">
        <v>47</v>
      </c>
      <c r="R65" t="s">
        <v>48</v>
      </c>
      <c r="S65" t="s">
        <v>49</v>
      </c>
      <c r="T65" t="b">
        <v>1</v>
      </c>
      <c r="U65" t="s">
        <v>50</v>
      </c>
      <c r="V65" t="s">
        <v>51</v>
      </c>
      <c r="W65">
        <v>4</v>
      </c>
      <c r="X65" t="b">
        <v>0</v>
      </c>
      <c r="Y65" t="s">
        <v>52</v>
      </c>
      <c r="Z65" t="s">
        <v>53</v>
      </c>
      <c r="AA65" t="s">
        <v>54</v>
      </c>
      <c r="AB65">
        <v>0</v>
      </c>
      <c r="AC65" t="s">
        <v>55</v>
      </c>
      <c r="AD65">
        <v>8</v>
      </c>
      <c r="AE65" t="s">
        <v>56</v>
      </c>
      <c r="AF65">
        <v>89</v>
      </c>
      <c r="AG65" t="b">
        <v>0</v>
      </c>
      <c r="AH65">
        <v>15</v>
      </c>
      <c r="AI65" t="s">
        <v>59</v>
      </c>
      <c r="AJ65">
        <v>86316</v>
      </c>
      <c r="AK65" t="b">
        <v>0</v>
      </c>
      <c r="AL65">
        <v>89</v>
      </c>
      <c r="AM65" t="b">
        <v>0</v>
      </c>
      <c r="AN65">
        <v>0</v>
      </c>
      <c r="AO65" t="b">
        <v>0</v>
      </c>
      <c r="AQ65">
        <v>2896603.6910000001</v>
      </c>
      <c r="AR65">
        <v>2896603.6910000001</v>
      </c>
      <c r="AS65">
        <v>0</v>
      </c>
      <c r="AT65" t="b">
        <v>0</v>
      </c>
      <c r="AU65" t="b">
        <v>1</v>
      </c>
      <c r="AV65" t="b">
        <v>1</v>
      </c>
      <c r="AW65" t="b">
        <v>1</v>
      </c>
      <c r="BC65" t="s">
        <v>374</v>
      </c>
    </row>
    <row r="66" spans="1:55" x14ac:dyDescent="0.2">
      <c r="A66" t="s">
        <v>39</v>
      </c>
      <c r="B66" t="s">
        <v>40</v>
      </c>
      <c r="C66">
        <v>20190101</v>
      </c>
      <c r="D66">
        <v>2019</v>
      </c>
      <c r="E66">
        <v>52</v>
      </c>
      <c r="F66" t="s">
        <v>41</v>
      </c>
      <c r="G66">
        <v>480</v>
      </c>
      <c r="H66" t="s">
        <v>201</v>
      </c>
      <c r="I66" t="s">
        <v>202</v>
      </c>
      <c r="J66" t="s">
        <v>44</v>
      </c>
      <c r="K66" t="s">
        <v>45</v>
      </c>
      <c r="L66">
        <v>0</v>
      </c>
      <c r="M66" t="s">
        <v>46</v>
      </c>
      <c r="N66" t="s">
        <v>47</v>
      </c>
      <c r="O66">
        <v>0</v>
      </c>
      <c r="P66" t="s">
        <v>46</v>
      </c>
      <c r="Q66" t="s">
        <v>47</v>
      </c>
      <c r="R66" t="s">
        <v>48</v>
      </c>
      <c r="S66" t="s">
        <v>49</v>
      </c>
      <c r="T66" t="b">
        <v>1</v>
      </c>
      <c r="U66" t="s">
        <v>50</v>
      </c>
      <c r="V66" t="s">
        <v>51</v>
      </c>
      <c r="W66">
        <v>4</v>
      </c>
      <c r="X66" t="b">
        <v>0</v>
      </c>
      <c r="Y66" t="s">
        <v>52</v>
      </c>
      <c r="Z66" t="s">
        <v>53</v>
      </c>
      <c r="AA66" t="s">
        <v>54</v>
      </c>
      <c r="AB66">
        <v>0</v>
      </c>
      <c r="AC66" t="s">
        <v>55</v>
      </c>
      <c r="AD66">
        <v>8</v>
      </c>
      <c r="AE66" t="s">
        <v>56</v>
      </c>
      <c r="AF66">
        <v>22</v>
      </c>
      <c r="AG66" t="b">
        <v>0</v>
      </c>
      <c r="AH66">
        <v>8</v>
      </c>
      <c r="AI66" t="s">
        <v>56</v>
      </c>
      <c r="AJ66">
        <v>22</v>
      </c>
      <c r="AK66" t="b">
        <v>0</v>
      </c>
      <c r="AL66">
        <v>22</v>
      </c>
      <c r="AM66" t="b">
        <v>0</v>
      </c>
      <c r="AN66">
        <v>0</v>
      </c>
      <c r="AO66" t="b">
        <v>0</v>
      </c>
      <c r="AQ66">
        <v>749392.696</v>
      </c>
      <c r="AR66">
        <v>749392.696</v>
      </c>
      <c r="AS66">
        <v>0</v>
      </c>
      <c r="AT66" t="b">
        <v>0</v>
      </c>
      <c r="AU66" t="b">
        <v>1</v>
      </c>
      <c r="AV66" t="b">
        <v>1</v>
      </c>
      <c r="AW66" t="b">
        <v>1</v>
      </c>
      <c r="BC66" t="s">
        <v>374</v>
      </c>
    </row>
    <row r="67" spans="1:55" x14ac:dyDescent="0.2">
      <c r="A67" t="s">
        <v>39</v>
      </c>
      <c r="B67" t="s">
        <v>40</v>
      </c>
      <c r="C67">
        <v>20190101</v>
      </c>
      <c r="D67">
        <v>2019</v>
      </c>
      <c r="E67">
        <v>52</v>
      </c>
      <c r="F67" t="s">
        <v>41</v>
      </c>
      <c r="G67">
        <v>484</v>
      </c>
      <c r="H67" t="s">
        <v>203</v>
      </c>
      <c r="I67" t="s">
        <v>204</v>
      </c>
      <c r="J67" t="s">
        <v>44</v>
      </c>
      <c r="K67" t="s">
        <v>45</v>
      </c>
      <c r="L67">
        <v>0</v>
      </c>
      <c r="M67" t="s">
        <v>46</v>
      </c>
      <c r="N67" t="s">
        <v>47</v>
      </c>
      <c r="O67">
        <v>0</v>
      </c>
      <c r="P67" t="s">
        <v>46</v>
      </c>
      <c r="Q67" t="s">
        <v>47</v>
      </c>
      <c r="R67" t="s">
        <v>95</v>
      </c>
      <c r="S67" t="s">
        <v>49</v>
      </c>
      <c r="T67" t="b">
        <v>1</v>
      </c>
      <c r="U67" t="s">
        <v>50</v>
      </c>
      <c r="V67" t="s">
        <v>51</v>
      </c>
      <c r="W67">
        <v>4</v>
      </c>
      <c r="X67" t="b">
        <v>0</v>
      </c>
      <c r="Y67" t="s">
        <v>52</v>
      </c>
      <c r="Z67" t="s">
        <v>53</v>
      </c>
      <c r="AA67" t="s">
        <v>54</v>
      </c>
      <c r="AB67">
        <v>0</v>
      </c>
      <c r="AC67" t="s">
        <v>55</v>
      </c>
      <c r="AD67">
        <v>-1</v>
      </c>
      <c r="AE67" t="s">
        <v>64</v>
      </c>
      <c r="AF67">
        <v>0</v>
      </c>
      <c r="AG67" t="b">
        <v>1</v>
      </c>
      <c r="AH67">
        <v>-1</v>
      </c>
      <c r="AI67" t="s">
        <v>64</v>
      </c>
      <c r="AJ67">
        <v>0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Q67">
        <v>3268151039</v>
      </c>
      <c r="AR67">
        <v>3268151039</v>
      </c>
      <c r="AS67">
        <v>6</v>
      </c>
      <c r="AT67" t="b">
        <v>0</v>
      </c>
      <c r="AU67" t="b">
        <v>1</v>
      </c>
      <c r="AV67" t="b">
        <v>1</v>
      </c>
      <c r="AW67" t="b">
        <v>1</v>
      </c>
      <c r="BC67" t="s">
        <v>374</v>
      </c>
    </row>
    <row r="68" spans="1:55" x14ac:dyDescent="0.2">
      <c r="A68" t="s">
        <v>39</v>
      </c>
      <c r="B68" t="s">
        <v>40</v>
      </c>
      <c r="C68">
        <v>20190101</v>
      </c>
      <c r="D68">
        <v>2019</v>
      </c>
      <c r="E68">
        <v>52</v>
      </c>
      <c r="F68" t="s">
        <v>41</v>
      </c>
      <c r="G68">
        <v>490</v>
      </c>
      <c r="H68" t="s">
        <v>205</v>
      </c>
      <c r="I68" t="s">
        <v>206</v>
      </c>
      <c r="J68" t="s">
        <v>44</v>
      </c>
      <c r="K68" t="s">
        <v>45</v>
      </c>
      <c r="L68">
        <v>0</v>
      </c>
      <c r="M68" t="s">
        <v>46</v>
      </c>
      <c r="N68" t="s">
        <v>47</v>
      </c>
      <c r="O68">
        <v>0</v>
      </c>
      <c r="P68" t="s">
        <v>46</v>
      </c>
      <c r="Q68" t="s">
        <v>47</v>
      </c>
      <c r="R68" t="s">
        <v>48</v>
      </c>
      <c r="S68" t="s">
        <v>49</v>
      </c>
      <c r="T68" t="b">
        <v>1</v>
      </c>
      <c r="U68" t="s">
        <v>50</v>
      </c>
      <c r="V68" t="s">
        <v>51</v>
      </c>
      <c r="W68">
        <v>4</v>
      </c>
      <c r="X68" t="b">
        <v>0</v>
      </c>
      <c r="Y68" t="s">
        <v>52</v>
      </c>
      <c r="Z68" t="s">
        <v>53</v>
      </c>
      <c r="AA68" t="s">
        <v>54</v>
      </c>
      <c r="AB68">
        <v>0</v>
      </c>
      <c r="AC68" t="s">
        <v>55</v>
      </c>
      <c r="AD68">
        <v>8</v>
      </c>
      <c r="AE68" t="s">
        <v>56</v>
      </c>
      <c r="AF68">
        <v>19411.055</v>
      </c>
      <c r="AG68" t="b">
        <v>1</v>
      </c>
      <c r="AH68">
        <v>-1</v>
      </c>
      <c r="AI68" t="s">
        <v>64</v>
      </c>
      <c r="AJ68">
        <v>0</v>
      </c>
      <c r="AK68" t="b">
        <v>0</v>
      </c>
      <c r="AL68">
        <v>19411.055</v>
      </c>
      <c r="AM68" t="b">
        <v>1</v>
      </c>
      <c r="AN68">
        <v>0</v>
      </c>
      <c r="AO68" t="b">
        <v>0</v>
      </c>
      <c r="AQ68">
        <v>799380522.80999994</v>
      </c>
      <c r="AR68">
        <v>799380522.80999994</v>
      </c>
      <c r="AS68">
        <v>6</v>
      </c>
      <c r="AT68" t="b">
        <v>0</v>
      </c>
      <c r="AU68" t="b">
        <v>1</v>
      </c>
      <c r="AV68" t="b">
        <v>1</v>
      </c>
      <c r="AW68" t="b">
        <v>1</v>
      </c>
      <c r="BC68" t="s">
        <v>374</v>
      </c>
    </row>
    <row r="69" spans="1:55" x14ac:dyDescent="0.2">
      <c r="A69" t="s">
        <v>39</v>
      </c>
      <c r="B69" t="s">
        <v>40</v>
      </c>
      <c r="C69">
        <v>20190101</v>
      </c>
      <c r="D69">
        <v>2019</v>
      </c>
      <c r="E69">
        <v>52</v>
      </c>
      <c r="F69" t="s">
        <v>41</v>
      </c>
      <c r="G69">
        <v>496</v>
      </c>
      <c r="H69" t="s">
        <v>207</v>
      </c>
      <c r="I69" t="s">
        <v>208</v>
      </c>
      <c r="J69" t="s">
        <v>44</v>
      </c>
      <c r="K69" t="s">
        <v>45</v>
      </c>
      <c r="L69">
        <v>0</v>
      </c>
      <c r="M69" t="s">
        <v>46</v>
      </c>
      <c r="N69" t="s">
        <v>47</v>
      </c>
      <c r="O69">
        <v>0</v>
      </c>
      <c r="P69" t="s">
        <v>46</v>
      </c>
      <c r="Q69" t="s">
        <v>47</v>
      </c>
      <c r="R69" t="s">
        <v>48</v>
      </c>
      <c r="S69" t="s">
        <v>49</v>
      </c>
      <c r="T69" t="b">
        <v>1</v>
      </c>
      <c r="U69" t="s">
        <v>50</v>
      </c>
      <c r="V69" t="s">
        <v>51</v>
      </c>
      <c r="W69">
        <v>4</v>
      </c>
      <c r="X69" t="b">
        <v>0</v>
      </c>
      <c r="Y69" t="s">
        <v>52</v>
      </c>
      <c r="Z69" t="s">
        <v>53</v>
      </c>
      <c r="AA69" t="s">
        <v>54</v>
      </c>
      <c r="AB69">
        <v>0</v>
      </c>
      <c r="AC69" t="s">
        <v>55</v>
      </c>
      <c r="AD69">
        <v>8</v>
      </c>
      <c r="AE69" t="s">
        <v>56</v>
      </c>
      <c r="AF69">
        <v>9069.44</v>
      </c>
      <c r="AG69" t="b">
        <v>0</v>
      </c>
      <c r="AH69">
        <v>8</v>
      </c>
      <c r="AI69" t="s">
        <v>56</v>
      </c>
      <c r="AJ69">
        <v>9069.44</v>
      </c>
      <c r="AK69" t="b">
        <v>0</v>
      </c>
      <c r="AL69">
        <v>9069.44</v>
      </c>
      <c r="AM69" t="b">
        <v>0</v>
      </c>
      <c r="AN69">
        <v>0</v>
      </c>
      <c r="AO69" t="b">
        <v>0</v>
      </c>
      <c r="AQ69">
        <v>418394400</v>
      </c>
      <c r="AR69">
        <v>418394400</v>
      </c>
      <c r="AS69">
        <v>0</v>
      </c>
      <c r="AT69" t="b">
        <v>0</v>
      </c>
      <c r="AU69" t="b">
        <v>1</v>
      </c>
      <c r="AV69" t="b">
        <v>1</v>
      </c>
      <c r="AW69" t="b">
        <v>1</v>
      </c>
      <c r="BC69" t="s">
        <v>374</v>
      </c>
    </row>
    <row r="70" spans="1:55" x14ac:dyDescent="0.2">
      <c r="A70" t="s">
        <v>39</v>
      </c>
      <c r="B70" t="s">
        <v>40</v>
      </c>
      <c r="C70">
        <v>20190101</v>
      </c>
      <c r="D70">
        <v>2019</v>
      </c>
      <c r="E70">
        <v>52</v>
      </c>
      <c r="F70" t="s">
        <v>41</v>
      </c>
      <c r="G70">
        <v>498</v>
      </c>
      <c r="H70" t="s">
        <v>209</v>
      </c>
      <c r="I70" t="s">
        <v>210</v>
      </c>
      <c r="J70" t="s">
        <v>44</v>
      </c>
      <c r="K70" t="s">
        <v>45</v>
      </c>
      <c r="L70">
        <v>0</v>
      </c>
      <c r="M70" t="s">
        <v>46</v>
      </c>
      <c r="N70" t="s">
        <v>47</v>
      </c>
      <c r="O70">
        <v>0</v>
      </c>
      <c r="P70" t="s">
        <v>46</v>
      </c>
      <c r="Q70" t="s">
        <v>47</v>
      </c>
      <c r="R70" t="s">
        <v>95</v>
      </c>
      <c r="S70" t="s">
        <v>49</v>
      </c>
      <c r="T70" t="b">
        <v>1</v>
      </c>
      <c r="U70" t="s">
        <v>50</v>
      </c>
      <c r="V70" t="s">
        <v>51</v>
      </c>
      <c r="W70">
        <v>4</v>
      </c>
      <c r="X70" t="b">
        <v>0</v>
      </c>
      <c r="Y70" t="s">
        <v>52</v>
      </c>
      <c r="Z70" t="s">
        <v>53</v>
      </c>
      <c r="AA70" t="s">
        <v>54</v>
      </c>
      <c r="AB70">
        <v>0</v>
      </c>
      <c r="AC70" t="s">
        <v>55</v>
      </c>
      <c r="AD70">
        <v>8</v>
      </c>
      <c r="AE70" t="s">
        <v>56</v>
      </c>
      <c r="AF70">
        <v>32.792000000000002</v>
      </c>
      <c r="AG70" t="b">
        <v>0</v>
      </c>
      <c r="AH70">
        <v>15</v>
      </c>
      <c r="AI70" t="s">
        <v>59</v>
      </c>
      <c r="AJ70">
        <v>32792</v>
      </c>
      <c r="AK70" t="b">
        <v>0</v>
      </c>
      <c r="AL70">
        <v>33</v>
      </c>
      <c r="AM70" t="b">
        <v>0</v>
      </c>
      <c r="AN70">
        <v>0</v>
      </c>
      <c r="AO70" t="b">
        <v>0</v>
      </c>
      <c r="AQ70">
        <v>879330</v>
      </c>
      <c r="AR70">
        <v>879330</v>
      </c>
      <c r="AS70">
        <v>0</v>
      </c>
      <c r="AT70" t="b">
        <v>0</v>
      </c>
      <c r="AU70" t="b">
        <v>1</v>
      </c>
      <c r="AV70" t="b">
        <v>1</v>
      </c>
      <c r="AW70" t="b">
        <v>1</v>
      </c>
      <c r="BC70" t="s">
        <v>374</v>
      </c>
    </row>
    <row r="71" spans="1:55" x14ac:dyDescent="0.2">
      <c r="A71" t="s">
        <v>39</v>
      </c>
      <c r="B71" t="s">
        <v>40</v>
      </c>
      <c r="C71">
        <v>20190101</v>
      </c>
      <c r="D71">
        <v>2019</v>
      </c>
      <c r="E71">
        <v>52</v>
      </c>
      <c r="F71" t="s">
        <v>41</v>
      </c>
      <c r="G71">
        <v>504</v>
      </c>
      <c r="H71" t="s">
        <v>211</v>
      </c>
      <c r="I71" t="s">
        <v>212</v>
      </c>
      <c r="J71" t="s">
        <v>44</v>
      </c>
      <c r="K71" t="s">
        <v>45</v>
      </c>
      <c r="L71">
        <v>0</v>
      </c>
      <c r="M71" t="s">
        <v>46</v>
      </c>
      <c r="N71" t="s">
        <v>47</v>
      </c>
      <c r="O71">
        <v>0</v>
      </c>
      <c r="P71" t="s">
        <v>46</v>
      </c>
      <c r="Q71" t="s">
        <v>47</v>
      </c>
      <c r="R71" t="s">
        <v>48</v>
      </c>
      <c r="S71" t="s">
        <v>49</v>
      </c>
      <c r="T71" t="b">
        <v>1</v>
      </c>
      <c r="U71" t="s">
        <v>50</v>
      </c>
      <c r="V71" t="s">
        <v>51</v>
      </c>
      <c r="W71">
        <v>4</v>
      </c>
      <c r="X71" t="b">
        <v>0</v>
      </c>
      <c r="Y71" t="s">
        <v>52</v>
      </c>
      <c r="Z71" t="s">
        <v>53</v>
      </c>
      <c r="AA71" t="s">
        <v>54</v>
      </c>
      <c r="AB71">
        <v>0</v>
      </c>
      <c r="AC71" t="s">
        <v>55</v>
      </c>
      <c r="AD71">
        <v>-1</v>
      </c>
      <c r="AE71" t="s">
        <v>64</v>
      </c>
      <c r="AF71">
        <v>0</v>
      </c>
      <c r="AG71" t="b">
        <v>0</v>
      </c>
      <c r="AH71">
        <v>15</v>
      </c>
      <c r="AI71" t="s">
        <v>59</v>
      </c>
      <c r="AJ71">
        <v>1116843</v>
      </c>
      <c r="AK71" t="b">
        <v>0</v>
      </c>
      <c r="AL71">
        <v>1533.01</v>
      </c>
      <c r="AM71" t="b">
        <v>0</v>
      </c>
      <c r="AN71">
        <v>0</v>
      </c>
      <c r="AO71" t="b">
        <v>0</v>
      </c>
      <c r="AP71">
        <v>0</v>
      </c>
      <c r="AQ71">
        <v>63599105.365999997</v>
      </c>
      <c r="AR71">
        <v>63599105.365999997</v>
      </c>
      <c r="AS71">
        <v>0</v>
      </c>
      <c r="AT71" t="b">
        <v>0</v>
      </c>
      <c r="AU71" t="b">
        <v>1</v>
      </c>
      <c r="AV71" t="b">
        <v>1</v>
      </c>
      <c r="AW71" t="b">
        <v>1</v>
      </c>
      <c r="BC71" t="s">
        <v>374</v>
      </c>
    </row>
    <row r="72" spans="1:55" x14ac:dyDescent="0.2">
      <c r="A72" t="s">
        <v>39</v>
      </c>
      <c r="B72" t="s">
        <v>40</v>
      </c>
      <c r="C72">
        <v>20190101</v>
      </c>
      <c r="D72">
        <v>2019</v>
      </c>
      <c r="E72">
        <v>52</v>
      </c>
      <c r="F72" t="s">
        <v>41</v>
      </c>
      <c r="G72">
        <v>508</v>
      </c>
      <c r="H72" t="s">
        <v>213</v>
      </c>
      <c r="I72" t="s">
        <v>214</v>
      </c>
      <c r="J72" t="s">
        <v>44</v>
      </c>
      <c r="K72" t="s">
        <v>45</v>
      </c>
      <c r="L72">
        <v>0</v>
      </c>
      <c r="M72" t="s">
        <v>46</v>
      </c>
      <c r="N72" t="s">
        <v>47</v>
      </c>
      <c r="O72">
        <v>0</v>
      </c>
      <c r="P72" t="s">
        <v>46</v>
      </c>
      <c r="Q72" t="s">
        <v>47</v>
      </c>
      <c r="R72" t="s">
        <v>48</v>
      </c>
      <c r="S72" t="s">
        <v>49</v>
      </c>
      <c r="T72" t="b">
        <v>1</v>
      </c>
      <c r="U72" t="s">
        <v>50</v>
      </c>
      <c r="V72" t="s">
        <v>51</v>
      </c>
      <c r="W72">
        <v>4</v>
      </c>
      <c r="X72" t="b">
        <v>0</v>
      </c>
      <c r="Y72" t="s">
        <v>52</v>
      </c>
      <c r="Z72" t="s">
        <v>53</v>
      </c>
      <c r="AA72" t="s">
        <v>54</v>
      </c>
      <c r="AB72">
        <v>0</v>
      </c>
      <c r="AC72" t="s">
        <v>55</v>
      </c>
      <c r="AD72">
        <v>8</v>
      </c>
      <c r="AE72" t="s">
        <v>56</v>
      </c>
      <c r="AF72">
        <v>75.632999999999996</v>
      </c>
      <c r="AG72" t="b">
        <v>0</v>
      </c>
      <c r="AH72">
        <v>15</v>
      </c>
      <c r="AI72" t="s">
        <v>59</v>
      </c>
      <c r="AJ72">
        <v>69651</v>
      </c>
      <c r="AK72" t="b">
        <v>0</v>
      </c>
      <c r="AM72" t="b">
        <v>0</v>
      </c>
      <c r="AN72">
        <v>0</v>
      </c>
      <c r="AO72" t="b">
        <v>0</v>
      </c>
      <c r="AQ72">
        <v>2448331.5299999998</v>
      </c>
      <c r="AR72">
        <v>2448331.5299999998</v>
      </c>
      <c r="AS72">
        <v>0</v>
      </c>
      <c r="AT72" t="b">
        <v>0</v>
      </c>
      <c r="AU72" t="b">
        <v>1</v>
      </c>
      <c r="AV72" t="b">
        <v>1</v>
      </c>
      <c r="AW72" t="b">
        <v>1</v>
      </c>
      <c r="BC72" t="s">
        <v>374</v>
      </c>
    </row>
    <row r="73" spans="1:55" x14ac:dyDescent="0.2">
      <c r="A73" t="s">
        <v>39</v>
      </c>
      <c r="B73" t="s">
        <v>40</v>
      </c>
      <c r="C73">
        <v>20190101</v>
      </c>
      <c r="D73">
        <v>2019</v>
      </c>
      <c r="E73">
        <v>52</v>
      </c>
      <c r="F73" t="s">
        <v>41</v>
      </c>
      <c r="G73">
        <v>512</v>
      </c>
      <c r="H73" t="s">
        <v>215</v>
      </c>
      <c r="I73" t="s">
        <v>216</v>
      </c>
      <c r="J73" t="s">
        <v>44</v>
      </c>
      <c r="K73" t="s">
        <v>45</v>
      </c>
      <c r="L73">
        <v>0</v>
      </c>
      <c r="M73" t="s">
        <v>46</v>
      </c>
      <c r="N73" t="s">
        <v>47</v>
      </c>
      <c r="O73">
        <v>0</v>
      </c>
      <c r="P73" t="s">
        <v>46</v>
      </c>
      <c r="Q73" t="s">
        <v>47</v>
      </c>
      <c r="R73" t="s">
        <v>48</v>
      </c>
      <c r="S73" t="s">
        <v>49</v>
      </c>
      <c r="T73" t="b">
        <v>1</v>
      </c>
      <c r="U73" t="s">
        <v>50</v>
      </c>
      <c r="V73" t="s">
        <v>51</v>
      </c>
      <c r="W73">
        <v>4</v>
      </c>
      <c r="X73" t="b">
        <v>0</v>
      </c>
      <c r="Y73" t="s">
        <v>52</v>
      </c>
      <c r="Z73" t="s">
        <v>53</v>
      </c>
      <c r="AA73" t="s">
        <v>54</v>
      </c>
      <c r="AB73">
        <v>0</v>
      </c>
      <c r="AC73" t="s">
        <v>55</v>
      </c>
      <c r="AD73">
        <v>8</v>
      </c>
      <c r="AE73" t="s">
        <v>56</v>
      </c>
      <c r="AF73">
        <v>2599</v>
      </c>
      <c r="AG73" t="b">
        <v>0</v>
      </c>
      <c r="AH73">
        <v>8</v>
      </c>
      <c r="AI73" t="s">
        <v>56</v>
      </c>
      <c r="AJ73">
        <v>2599</v>
      </c>
      <c r="AK73" t="b">
        <v>0</v>
      </c>
      <c r="AL73">
        <v>2599</v>
      </c>
      <c r="AM73" t="b">
        <v>0</v>
      </c>
      <c r="AN73">
        <v>0</v>
      </c>
      <c r="AO73" t="b">
        <v>0</v>
      </c>
      <c r="AQ73">
        <v>169909017.21799999</v>
      </c>
      <c r="AR73">
        <v>169909017.21799999</v>
      </c>
      <c r="AS73">
        <v>0</v>
      </c>
      <c r="AT73" t="b">
        <v>0</v>
      </c>
      <c r="AU73" t="b">
        <v>1</v>
      </c>
      <c r="AV73" t="b">
        <v>1</v>
      </c>
      <c r="AW73" t="b">
        <v>1</v>
      </c>
      <c r="BC73" t="s">
        <v>374</v>
      </c>
    </row>
    <row r="74" spans="1:55" x14ac:dyDescent="0.2">
      <c r="A74" t="s">
        <v>39</v>
      </c>
      <c r="B74" t="s">
        <v>40</v>
      </c>
      <c r="C74">
        <v>20190101</v>
      </c>
      <c r="D74">
        <v>2019</v>
      </c>
      <c r="E74">
        <v>52</v>
      </c>
      <c r="F74" t="s">
        <v>41</v>
      </c>
      <c r="G74">
        <v>516</v>
      </c>
      <c r="H74" t="s">
        <v>217</v>
      </c>
      <c r="I74" t="s">
        <v>218</v>
      </c>
      <c r="J74" t="s">
        <v>44</v>
      </c>
      <c r="K74" t="s">
        <v>45</v>
      </c>
      <c r="L74">
        <v>0</v>
      </c>
      <c r="M74" t="s">
        <v>46</v>
      </c>
      <c r="N74" t="s">
        <v>47</v>
      </c>
      <c r="O74">
        <v>0</v>
      </c>
      <c r="P74" t="s">
        <v>46</v>
      </c>
      <c r="Q74" t="s">
        <v>47</v>
      </c>
      <c r="R74" t="s">
        <v>48</v>
      </c>
      <c r="S74" t="s">
        <v>49</v>
      </c>
      <c r="T74" t="b">
        <v>1</v>
      </c>
      <c r="U74" t="s">
        <v>50</v>
      </c>
      <c r="V74" t="s">
        <v>51</v>
      </c>
      <c r="W74">
        <v>4</v>
      </c>
      <c r="X74" t="b">
        <v>0</v>
      </c>
      <c r="Y74" t="s">
        <v>52</v>
      </c>
      <c r="Z74" t="s">
        <v>53</v>
      </c>
      <c r="AA74" t="s">
        <v>54</v>
      </c>
      <c r="AB74">
        <v>0</v>
      </c>
      <c r="AC74" t="s">
        <v>55</v>
      </c>
      <c r="AD74">
        <v>8</v>
      </c>
      <c r="AE74" t="s">
        <v>56</v>
      </c>
      <c r="AF74">
        <v>7963.94</v>
      </c>
      <c r="AG74" t="b">
        <v>0</v>
      </c>
      <c r="AH74">
        <v>8</v>
      </c>
      <c r="AI74" t="s">
        <v>56</v>
      </c>
      <c r="AJ74">
        <v>7963.94</v>
      </c>
      <c r="AK74" t="b">
        <v>0</v>
      </c>
      <c r="AL74">
        <v>7963.94</v>
      </c>
      <c r="AM74" t="b">
        <v>0</v>
      </c>
      <c r="AN74">
        <v>0</v>
      </c>
      <c r="AO74" t="b">
        <v>0</v>
      </c>
      <c r="AQ74">
        <v>324162714.40899998</v>
      </c>
      <c r="AR74">
        <v>324162714.40899998</v>
      </c>
      <c r="AS74">
        <v>0</v>
      </c>
      <c r="AT74" t="b">
        <v>0</v>
      </c>
      <c r="AU74" t="b">
        <v>1</v>
      </c>
      <c r="AV74" t="b">
        <v>1</v>
      </c>
      <c r="AW74" t="b">
        <v>1</v>
      </c>
      <c r="BC74" t="s">
        <v>374</v>
      </c>
    </row>
    <row r="75" spans="1:55" x14ac:dyDescent="0.2">
      <c r="A75" t="s">
        <v>39</v>
      </c>
      <c r="B75" t="s">
        <v>40</v>
      </c>
      <c r="C75">
        <v>20190101</v>
      </c>
      <c r="D75">
        <v>2019</v>
      </c>
      <c r="E75">
        <v>52</v>
      </c>
      <c r="F75" t="s">
        <v>41</v>
      </c>
      <c r="G75">
        <v>528</v>
      </c>
      <c r="H75" t="s">
        <v>219</v>
      </c>
      <c r="I75" t="s">
        <v>220</v>
      </c>
      <c r="J75" t="s">
        <v>44</v>
      </c>
      <c r="K75" t="s">
        <v>45</v>
      </c>
      <c r="L75">
        <v>0</v>
      </c>
      <c r="M75" t="s">
        <v>46</v>
      </c>
      <c r="N75" t="s">
        <v>47</v>
      </c>
      <c r="O75">
        <v>0</v>
      </c>
      <c r="P75" t="s">
        <v>46</v>
      </c>
      <c r="Q75" t="s">
        <v>47</v>
      </c>
      <c r="R75" t="s">
        <v>48</v>
      </c>
      <c r="S75" t="s">
        <v>49</v>
      </c>
      <c r="T75" t="b">
        <v>1</v>
      </c>
      <c r="U75" t="s">
        <v>50</v>
      </c>
      <c r="V75" t="s">
        <v>51</v>
      </c>
      <c r="W75">
        <v>4</v>
      </c>
      <c r="X75" t="b">
        <v>0</v>
      </c>
      <c r="Y75" t="s">
        <v>52</v>
      </c>
      <c r="Z75" t="s">
        <v>53</v>
      </c>
      <c r="AA75" t="s">
        <v>54</v>
      </c>
      <c r="AB75">
        <v>0</v>
      </c>
      <c r="AC75" t="s">
        <v>55</v>
      </c>
      <c r="AD75">
        <v>8</v>
      </c>
      <c r="AE75" t="s">
        <v>56</v>
      </c>
      <c r="AF75">
        <v>2900.3910000000001</v>
      </c>
      <c r="AG75" t="b">
        <v>0</v>
      </c>
      <c r="AH75">
        <v>15</v>
      </c>
      <c r="AI75" t="s">
        <v>59</v>
      </c>
      <c r="AJ75">
        <v>2900391</v>
      </c>
      <c r="AK75" t="b">
        <v>0</v>
      </c>
      <c r="AL75">
        <v>2876.6570000000002</v>
      </c>
      <c r="AM75" t="b">
        <v>0</v>
      </c>
      <c r="AN75">
        <v>0</v>
      </c>
      <c r="AO75" t="b">
        <v>0</v>
      </c>
      <c r="AQ75">
        <v>120438001.723</v>
      </c>
      <c r="AR75">
        <v>120438001.723</v>
      </c>
      <c r="AS75">
        <v>0</v>
      </c>
      <c r="AT75" t="b">
        <v>0</v>
      </c>
      <c r="AU75" t="b">
        <v>1</v>
      </c>
      <c r="AV75" t="b">
        <v>1</v>
      </c>
      <c r="AW75" t="b">
        <v>1</v>
      </c>
      <c r="BC75" t="s">
        <v>374</v>
      </c>
    </row>
    <row r="76" spans="1:55" x14ac:dyDescent="0.2">
      <c r="A76" t="s">
        <v>39</v>
      </c>
      <c r="B76" t="s">
        <v>40</v>
      </c>
      <c r="C76">
        <v>20190101</v>
      </c>
      <c r="D76">
        <v>2019</v>
      </c>
      <c r="E76">
        <v>52</v>
      </c>
      <c r="F76" t="s">
        <v>41</v>
      </c>
      <c r="G76">
        <v>531</v>
      </c>
      <c r="H76" t="s">
        <v>221</v>
      </c>
      <c r="I76" t="s">
        <v>222</v>
      </c>
      <c r="J76" t="s">
        <v>44</v>
      </c>
      <c r="K76" t="s">
        <v>45</v>
      </c>
      <c r="L76">
        <v>0</v>
      </c>
      <c r="M76" t="s">
        <v>46</v>
      </c>
      <c r="N76" t="s">
        <v>47</v>
      </c>
      <c r="O76">
        <v>0</v>
      </c>
      <c r="P76" t="s">
        <v>46</v>
      </c>
      <c r="Q76" t="s">
        <v>47</v>
      </c>
      <c r="R76" t="s">
        <v>95</v>
      </c>
      <c r="S76" t="s">
        <v>49</v>
      </c>
      <c r="T76" t="b">
        <v>1</v>
      </c>
      <c r="U76" t="s">
        <v>50</v>
      </c>
      <c r="V76" t="s">
        <v>51</v>
      </c>
      <c r="W76">
        <v>4</v>
      </c>
      <c r="X76" t="b">
        <v>0</v>
      </c>
      <c r="Y76" t="s">
        <v>52</v>
      </c>
      <c r="Z76" t="s">
        <v>53</v>
      </c>
      <c r="AA76" t="s">
        <v>54</v>
      </c>
      <c r="AB76">
        <v>0</v>
      </c>
      <c r="AC76" t="s">
        <v>55</v>
      </c>
      <c r="AD76">
        <v>8</v>
      </c>
      <c r="AE76" t="s">
        <v>56</v>
      </c>
      <c r="AF76">
        <v>3.9249999999999998</v>
      </c>
      <c r="AG76" t="b">
        <v>1</v>
      </c>
      <c r="AH76">
        <v>-1</v>
      </c>
      <c r="AI76" t="s">
        <v>64</v>
      </c>
      <c r="AJ76">
        <v>0</v>
      </c>
      <c r="AK76" t="b">
        <v>0</v>
      </c>
      <c r="AL76">
        <v>3.9249999999999998</v>
      </c>
      <c r="AM76" t="b">
        <v>1</v>
      </c>
      <c r="AN76">
        <v>0</v>
      </c>
      <c r="AO76" t="b">
        <v>0</v>
      </c>
      <c r="AQ76">
        <v>166199.94699999999</v>
      </c>
      <c r="AR76">
        <v>166199.94699999999</v>
      </c>
      <c r="AS76">
        <v>6</v>
      </c>
      <c r="AT76" t="b">
        <v>0</v>
      </c>
      <c r="AU76" t="b">
        <v>1</v>
      </c>
      <c r="AV76" t="b">
        <v>1</v>
      </c>
      <c r="AW76" t="b">
        <v>1</v>
      </c>
      <c r="BC76" t="s">
        <v>374</v>
      </c>
    </row>
    <row r="77" spans="1:55" x14ac:dyDescent="0.2">
      <c r="A77" t="s">
        <v>39</v>
      </c>
      <c r="B77" t="s">
        <v>40</v>
      </c>
      <c r="C77">
        <v>20190101</v>
      </c>
      <c r="D77">
        <v>2019</v>
      </c>
      <c r="E77">
        <v>52</v>
      </c>
      <c r="F77" t="s">
        <v>41</v>
      </c>
      <c r="G77">
        <v>554</v>
      </c>
      <c r="H77" t="s">
        <v>223</v>
      </c>
      <c r="I77" t="s">
        <v>224</v>
      </c>
      <c r="J77" t="s">
        <v>44</v>
      </c>
      <c r="K77" t="s">
        <v>45</v>
      </c>
      <c r="L77">
        <v>0</v>
      </c>
      <c r="M77" t="s">
        <v>46</v>
      </c>
      <c r="N77" t="s">
        <v>47</v>
      </c>
      <c r="O77">
        <v>0</v>
      </c>
      <c r="P77" t="s">
        <v>46</v>
      </c>
      <c r="Q77" t="s">
        <v>47</v>
      </c>
      <c r="R77" t="s">
        <v>48</v>
      </c>
      <c r="S77" t="s">
        <v>49</v>
      </c>
      <c r="T77" t="b">
        <v>1</v>
      </c>
      <c r="U77" t="s">
        <v>50</v>
      </c>
      <c r="V77" t="s">
        <v>51</v>
      </c>
      <c r="W77">
        <v>4</v>
      </c>
      <c r="X77" t="b">
        <v>0</v>
      </c>
      <c r="Y77" t="s">
        <v>52</v>
      </c>
      <c r="Z77" t="s">
        <v>53</v>
      </c>
      <c r="AA77" t="s">
        <v>54</v>
      </c>
      <c r="AB77">
        <v>0</v>
      </c>
      <c r="AC77" t="s">
        <v>55</v>
      </c>
      <c r="AD77">
        <v>8</v>
      </c>
      <c r="AE77" t="s">
        <v>56</v>
      </c>
      <c r="AF77">
        <v>12963.596</v>
      </c>
      <c r="AG77" t="b">
        <v>0</v>
      </c>
      <c r="AH77">
        <v>-1</v>
      </c>
      <c r="AI77" t="s">
        <v>64</v>
      </c>
      <c r="AJ77">
        <v>0</v>
      </c>
      <c r="AK77" t="b">
        <v>0</v>
      </c>
      <c r="AL77">
        <v>12963.596</v>
      </c>
      <c r="AM77" t="b">
        <v>0</v>
      </c>
      <c r="AN77">
        <v>0</v>
      </c>
      <c r="AO77" t="b">
        <v>0</v>
      </c>
      <c r="AP77">
        <v>0</v>
      </c>
      <c r="AQ77">
        <v>388741592.26899999</v>
      </c>
      <c r="AR77">
        <v>388741592.26899999</v>
      </c>
      <c r="AS77">
        <v>0</v>
      </c>
      <c r="AT77" t="b">
        <v>0</v>
      </c>
      <c r="AU77" t="b">
        <v>1</v>
      </c>
      <c r="AV77" t="b">
        <v>1</v>
      </c>
      <c r="AW77" t="b">
        <v>1</v>
      </c>
      <c r="BC77" t="s">
        <v>374</v>
      </c>
    </row>
    <row r="78" spans="1:55" x14ac:dyDescent="0.2">
      <c r="A78" t="s">
        <v>39</v>
      </c>
      <c r="B78" t="s">
        <v>40</v>
      </c>
      <c r="C78">
        <v>20190101</v>
      </c>
      <c r="D78">
        <v>2019</v>
      </c>
      <c r="E78">
        <v>52</v>
      </c>
      <c r="F78" t="s">
        <v>41</v>
      </c>
      <c r="G78">
        <v>558</v>
      </c>
      <c r="H78" t="s">
        <v>225</v>
      </c>
      <c r="I78" t="s">
        <v>226</v>
      </c>
      <c r="J78" t="s">
        <v>44</v>
      </c>
      <c r="K78" t="s">
        <v>45</v>
      </c>
      <c r="L78">
        <v>0</v>
      </c>
      <c r="M78" t="s">
        <v>46</v>
      </c>
      <c r="N78" t="s">
        <v>47</v>
      </c>
      <c r="O78">
        <v>0</v>
      </c>
      <c r="P78" t="s">
        <v>46</v>
      </c>
      <c r="Q78" t="s">
        <v>47</v>
      </c>
      <c r="R78" t="s">
        <v>48</v>
      </c>
      <c r="S78" t="s">
        <v>49</v>
      </c>
      <c r="T78" t="b">
        <v>1</v>
      </c>
      <c r="U78" t="s">
        <v>50</v>
      </c>
      <c r="V78" t="s">
        <v>51</v>
      </c>
      <c r="W78">
        <v>4</v>
      </c>
      <c r="X78" t="b">
        <v>0</v>
      </c>
      <c r="Y78" t="s">
        <v>52</v>
      </c>
      <c r="Z78" t="s">
        <v>53</v>
      </c>
      <c r="AA78" t="s">
        <v>54</v>
      </c>
      <c r="AB78">
        <v>0</v>
      </c>
      <c r="AC78" t="s">
        <v>55</v>
      </c>
      <c r="AD78">
        <v>8</v>
      </c>
      <c r="AE78" t="s">
        <v>56</v>
      </c>
      <c r="AF78">
        <v>19794.95</v>
      </c>
      <c r="AG78" t="b">
        <v>0</v>
      </c>
      <c r="AH78">
        <v>8</v>
      </c>
      <c r="AI78" t="s">
        <v>56</v>
      </c>
      <c r="AJ78">
        <v>19794.95</v>
      </c>
      <c r="AK78" t="b">
        <v>0</v>
      </c>
      <c r="AL78">
        <v>19794.95</v>
      </c>
      <c r="AM78" t="b">
        <v>0</v>
      </c>
      <c r="AN78">
        <v>0</v>
      </c>
      <c r="AO78" t="b">
        <v>0</v>
      </c>
      <c r="AP78">
        <v>0</v>
      </c>
      <c r="AQ78">
        <v>498974433.27999997</v>
      </c>
      <c r="AR78">
        <v>498974433.27999997</v>
      </c>
      <c r="AS78">
        <v>0</v>
      </c>
      <c r="AT78" t="b">
        <v>0</v>
      </c>
      <c r="AU78" t="b">
        <v>1</v>
      </c>
      <c r="AV78" t="b">
        <v>1</v>
      </c>
      <c r="AW78" t="b">
        <v>1</v>
      </c>
      <c r="BC78" t="s">
        <v>374</v>
      </c>
    </row>
    <row r="79" spans="1:55" x14ac:dyDescent="0.2">
      <c r="A79" t="s">
        <v>39</v>
      </c>
      <c r="B79" t="s">
        <v>40</v>
      </c>
      <c r="C79">
        <v>20190101</v>
      </c>
      <c r="D79">
        <v>2019</v>
      </c>
      <c r="E79">
        <v>52</v>
      </c>
      <c r="F79" t="s">
        <v>41</v>
      </c>
      <c r="G79">
        <v>562</v>
      </c>
      <c r="H79" t="s">
        <v>227</v>
      </c>
      <c r="I79" t="s">
        <v>228</v>
      </c>
      <c r="J79" t="s">
        <v>44</v>
      </c>
      <c r="K79" t="s">
        <v>45</v>
      </c>
      <c r="L79">
        <v>0</v>
      </c>
      <c r="M79" t="s">
        <v>46</v>
      </c>
      <c r="N79" t="s">
        <v>47</v>
      </c>
      <c r="O79">
        <v>0</v>
      </c>
      <c r="P79" t="s">
        <v>46</v>
      </c>
      <c r="Q79" t="s">
        <v>47</v>
      </c>
      <c r="R79" t="s">
        <v>48</v>
      </c>
      <c r="S79" t="s">
        <v>49</v>
      </c>
      <c r="T79" t="b">
        <v>1</v>
      </c>
      <c r="U79" t="s">
        <v>50</v>
      </c>
      <c r="V79" t="s">
        <v>51</v>
      </c>
      <c r="W79">
        <v>4</v>
      </c>
      <c r="X79" t="b">
        <v>0</v>
      </c>
      <c r="Y79" t="s">
        <v>52</v>
      </c>
      <c r="Z79" t="s">
        <v>53</v>
      </c>
      <c r="AA79" t="s">
        <v>54</v>
      </c>
      <c r="AB79">
        <v>0</v>
      </c>
      <c r="AC79" t="s">
        <v>55</v>
      </c>
      <c r="AD79">
        <v>8</v>
      </c>
      <c r="AE79" t="s">
        <v>56</v>
      </c>
      <c r="AF79">
        <v>1067</v>
      </c>
      <c r="AG79" t="b">
        <v>0</v>
      </c>
      <c r="AH79">
        <v>8</v>
      </c>
      <c r="AI79" t="s">
        <v>56</v>
      </c>
      <c r="AJ79">
        <v>1067</v>
      </c>
      <c r="AK79" t="b">
        <v>0</v>
      </c>
      <c r="AL79">
        <v>1067</v>
      </c>
      <c r="AM79" t="b">
        <v>0</v>
      </c>
      <c r="AN79">
        <v>0</v>
      </c>
      <c r="AO79" t="b">
        <v>0</v>
      </c>
      <c r="AQ79">
        <v>38190014.240000002</v>
      </c>
      <c r="AR79">
        <v>38190014.240000002</v>
      </c>
      <c r="AS79">
        <v>0</v>
      </c>
      <c r="AT79" t="b">
        <v>0</v>
      </c>
      <c r="AU79" t="b">
        <v>1</v>
      </c>
      <c r="AV79" t="b">
        <v>1</v>
      </c>
      <c r="AW79" t="b">
        <v>1</v>
      </c>
      <c r="BC79" t="s">
        <v>374</v>
      </c>
    </row>
    <row r="80" spans="1:55" x14ac:dyDescent="0.2">
      <c r="A80" t="s">
        <v>39</v>
      </c>
      <c r="B80" t="s">
        <v>40</v>
      </c>
      <c r="C80">
        <v>20190101</v>
      </c>
      <c r="D80">
        <v>2019</v>
      </c>
      <c r="E80">
        <v>52</v>
      </c>
      <c r="F80" t="s">
        <v>41</v>
      </c>
      <c r="G80">
        <v>579</v>
      </c>
      <c r="H80" t="s">
        <v>229</v>
      </c>
      <c r="I80" t="s">
        <v>230</v>
      </c>
      <c r="J80" t="s">
        <v>44</v>
      </c>
      <c r="K80" t="s">
        <v>45</v>
      </c>
      <c r="L80">
        <v>0</v>
      </c>
      <c r="M80" t="s">
        <v>46</v>
      </c>
      <c r="N80" t="s">
        <v>47</v>
      </c>
      <c r="O80">
        <v>0</v>
      </c>
      <c r="P80" t="s">
        <v>46</v>
      </c>
      <c r="Q80" t="s">
        <v>47</v>
      </c>
      <c r="R80" t="s">
        <v>48</v>
      </c>
      <c r="S80" t="s">
        <v>49</v>
      </c>
      <c r="T80" t="b">
        <v>1</v>
      </c>
      <c r="U80" t="s">
        <v>50</v>
      </c>
      <c r="V80" t="s">
        <v>51</v>
      </c>
      <c r="W80">
        <v>4</v>
      </c>
      <c r="X80" t="b">
        <v>0</v>
      </c>
      <c r="Y80" t="s">
        <v>52</v>
      </c>
      <c r="Z80" t="s">
        <v>53</v>
      </c>
      <c r="AA80" t="s">
        <v>54</v>
      </c>
      <c r="AB80">
        <v>0</v>
      </c>
      <c r="AC80" t="s">
        <v>55</v>
      </c>
      <c r="AD80">
        <v>8</v>
      </c>
      <c r="AE80" t="s">
        <v>56</v>
      </c>
      <c r="AF80">
        <v>2458</v>
      </c>
      <c r="AG80" t="b">
        <v>0</v>
      </c>
      <c r="AH80">
        <v>8</v>
      </c>
      <c r="AI80" t="s">
        <v>56</v>
      </c>
      <c r="AJ80">
        <v>2458</v>
      </c>
      <c r="AK80" t="b">
        <v>0</v>
      </c>
      <c r="AL80">
        <v>2458</v>
      </c>
      <c r="AM80" t="b">
        <v>0</v>
      </c>
      <c r="AN80">
        <v>0</v>
      </c>
      <c r="AO80" t="b">
        <v>0</v>
      </c>
      <c r="AQ80">
        <v>109775641.031</v>
      </c>
      <c r="AR80">
        <v>109775641.031</v>
      </c>
      <c r="AS80">
        <v>0</v>
      </c>
      <c r="AT80" t="b">
        <v>0</v>
      </c>
      <c r="AU80" t="b">
        <v>1</v>
      </c>
      <c r="AV80" t="b">
        <v>1</v>
      </c>
      <c r="AW80" t="b">
        <v>1</v>
      </c>
      <c r="BC80" t="s">
        <v>374</v>
      </c>
    </row>
    <row r="81" spans="1:55" x14ac:dyDescent="0.2">
      <c r="A81" t="s">
        <v>39</v>
      </c>
      <c r="B81" t="s">
        <v>40</v>
      </c>
      <c r="C81">
        <v>20190101</v>
      </c>
      <c r="D81">
        <v>2019</v>
      </c>
      <c r="E81">
        <v>52</v>
      </c>
      <c r="F81" t="s">
        <v>41</v>
      </c>
      <c r="G81">
        <v>591</v>
      </c>
      <c r="H81" t="s">
        <v>231</v>
      </c>
      <c r="I81" t="s">
        <v>232</v>
      </c>
      <c r="J81" t="s">
        <v>44</v>
      </c>
      <c r="K81" t="s">
        <v>45</v>
      </c>
      <c r="L81">
        <v>0</v>
      </c>
      <c r="M81" t="s">
        <v>46</v>
      </c>
      <c r="N81" t="s">
        <v>47</v>
      </c>
      <c r="O81">
        <v>0</v>
      </c>
      <c r="P81" t="s">
        <v>46</v>
      </c>
      <c r="Q81" t="s">
        <v>47</v>
      </c>
      <c r="R81" t="s">
        <v>48</v>
      </c>
      <c r="S81" t="s">
        <v>49</v>
      </c>
      <c r="T81" t="b">
        <v>1</v>
      </c>
      <c r="U81" t="s">
        <v>50</v>
      </c>
      <c r="V81" t="s">
        <v>51</v>
      </c>
      <c r="W81">
        <v>4</v>
      </c>
      <c r="X81" t="b">
        <v>0</v>
      </c>
      <c r="Y81" t="s">
        <v>52</v>
      </c>
      <c r="Z81" t="s">
        <v>53</v>
      </c>
      <c r="AA81" t="s">
        <v>54</v>
      </c>
      <c r="AB81">
        <v>0</v>
      </c>
      <c r="AC81" t="s">
        <v>55</v>
      </c>
      <c r="AD81">
        <v>8</v>
      </c>
      <c r="AE81" t="s">
        <v>56</v>
      </c>
      <c r="AF81">
        <v>1453.3</v>
      </c>
      <c r="AG81" t="b">
        <v>1</v>
      </c>
      <c r="AH81">
        <v>-1</v>
      </c>
      <c r="AI81" t="s">
        <v>64</v>
      </c>
      <c r="AJ81">
        <v>0</v>
      </c>
      <c r="AK81" t="b">
        <v>0</v>
      </c>
      <c r="AL81">
        <v>1453.3</v>
      </c>
      <c r="AM81" t="b">
        <v>1</v>
      </c>
      <c r="AN81">
        <v>2083</v>
      </c>
      <c r="AO81" t="b">
        <v>0</v>
      </c>
      <c r="AP81">
        <v>0</v>
      </c>
      <c r="AQ81">
        <v>61532447</v>
      </c>
      <c r="AR81">
        <v>61532447</v>
      </c>
      <c r="AS81">
        <v>6</v>
      </c>
      <c r="AT81" t="b">
        <v>0</v>
      </c>
      <c r="AU81" t="b">
        <v>1</v>
      </c>
      <c r="AV81" t="b">
        <v>1</v>
      </c>
      <c r="AW81" t="b">
        <v>1</v>
      </c>
      <c r="BC81" t="s">
        <v>374</v>
      </c>
    </row>
    <row r="82" spans="1:55" x14ac:dyDescent="0.2">
      <c r="A82" t="s">
        <v>39</v>
      </c>
      <c r="B82" t="s">
        <v>40</v>
      </c>
      <c r="C82">
        <v>20190101</v>
      </c>
      <c r="D82">
        <v>2019</v>
      </c>
      <c r="E82">
        <v>52</v>
      </c>
      <c r="F82" t="s">
        <v>41</v>
      </c>
      <c r="G82">
        <v>600</v>
      </c>
      <c r="H82" t="s">
        <v>233</v>
      </c>
      <c r="I82" t="s">
        <v>234</v>
      </c>
      <c r="J82" t="s">
        <v>44</v>
      </c>
      <c r="K82" t="s">
        <v>45</v>
      </c>
      <c r="L82">
        <v>0</v>
      </c>
      <c r="M82" t="s">
        <v>46</v>
      </c>
      <c r="N82" t="s">
        <v>47</v>
      </c>
      <c r="O82">
        <v>0</v>
      </c>
      <c r="P82" t="s">
        <v>46</v>
      </c>
      <c r="Q82" t="s">
        <v>47</v>
      </c>
      <c r="R82" t="s">
        <v>48</v>
      </c>
      <c r="S82" t="s">
        <v>49</v>
      </c>
      <c r="T82" t="b">
        <v>1</v>
      </c>
      <c r="U82" t="s">
        <v>50</v>
      </c>
      <c r="V82" t="s">
        <v>51</v>
      </c>
      <c r="W82">
        <v>4</v>
      </c>
      <c r="X82" t="b">
        <v>0</v>
      </c>
      <c r="Y82" t="s">
        <v>52</v>
      </c>
      <c r="Z82" t="s">
        <v>53</v>
      </c>
      <c r="AA82" t="s">
        <v>54</v>
      </c>
      <c r="AB82">
        <v>0</v>
      </c>
      <c r="AC82" t="s">
        <v>55</v>
      </c>
      <c r="AD82">
        <v>8</v>
      </c>
      <c r="AE82" t="s">
        <v>56</v>
      </c>
      <c r="AF82">
        <v>218</v>
      </c>
      <c r="AG82" t="b">
        <v>0</v>
      </c>
      <c r="AH82">
        <v>8</v>
      </c>
      <c r="AI82" t="s">
        <v>56</v>
      </c>
      <c r="AJ82">
        <v>218</v>
      </c>
      <c r="AK82" t="b">
        <v>0</v>
      </c>
      <c r="AL82">
        <v>218</v>
      </c>
      <c r="AM82" t="b">
        <v>0</v>
      </c>
      <c r="AN82">
        <v>0</v>
      </c>
      <c r="AO82" t="b">
        <v>0</v>
      </c>
      <c r="AQ82">
        <v>8848127</v>
      </c>
      <c r="AR82">
        <v>8848127</v>
      </c>
      <c r="AS82">
        <v>0</v>
      </c>
      <c r="AT82" t="b">
        <v>0</v>
      </c>
      <c r="AU82" t="b">
        <v>1</v>
      </c>
      <c r="AV82" t="b">
        <v>1</v>
      </c>
      <c r="AW82" t="b">
        <v>1</v>
      </c>
      <c r="BC82" t="s">
        <v>374</v>
      </c>
    </row>
    <row r="83" spans="1:55" x14ac:dyDescent="0.2">
      <c r="A83" t="s">
        <v>39</v>
      </c>
      <c r="B83" t="s">
        <v>40</v>
      </c>
      <c r="C83">
        <v>20190101</v>
      </c>
      <c r="D83">
        <v>2019</v>
      </c>
      <c r="E83">
        <v>52</v>
      </c>
      <c r="F83" t="s">
        <v>41</v>
      </c>
      <c r="G83">
        <v>616</v>
      </c>
      <c r="H83" t="s">
        <v>239</v>
      </c>
      <c r="I83" t="s">
        <v>240</v>
      </c>
      <c r="J83" t="s">
        <v>44</v>
      </c>
      <c r="K83" t="s">
        <v>45</v>
      </c>
      <c r="L83">
        <v>0</v>
      </c>
      <c r="M83" t="s">
        <v>46</v>
      </c>
      <c r="N83" t="s">
        <v>47</v>
      </c>
      <c r="O83">
        <v>0</v>
      </c>
      <c r="P83" t="s">
        <v>46</v>
      </c>
      <c r="Q83" t="s">
        <v>47</v>
      </c>
      <c r="R83" t="s">
        <v>48</v>
      </c>
      <c r="S83" t="s">
        <v>49</v>
      </c>
      <c r="T83" t="b">
        <v>1</v>
      </c>
      <c r="U83" t="s">
        <v>50</v>
      </c>
      <c r="V83" t="s">
        <v>51</v>
      </c>
      <c r="W83">
        <v>4</v>
      </c>
      <c r="X83" t="b">
        <v>0</v>
      </c>
      <c r="Y83" t="s">
        <v>52</v>
      </c>
      <c r="Z83" t="s">
        <v>53</v>
      </c>
      <c r="AA83" t="s">
        <v>54</v>
      </c>
      <c r="AB83">
        <v>0</v>
      </c>
      <c r="AC83" t="s">
        <v>55</v>
      </c>
      <c r="AD83">
        <v>8</v>
      </c>
      <c r="AE83" t="s">
        <v>56</v>
      </c>
      <c r="AF83">
        <v>6184.4709999999995</v>
      </c>
      <c r="AG83" t="b">
        <v>0</v>
      </c>
      <c r="AH83">
        <v>15</v>
      </c>
      <c r="AI83" t="s">
        <v>59</v>
      </c>
      <c r="AJ83">
        <v>6153782</v>
      </c>
      <c r="AK83" t="b">
        <v>0</v>
      </c>
      <c r="AL83">
        <v>6184.4709999999995</v>
      </c>
      <c r="AM83" t="b">
        <v>0</v>
      </c>
      <c r="AN83">
        <v>0</v>
      </c>
      <c r="AO83" t="b">
        <v>0</v>
      </c>
      <c r="AQ83">
        <v>215358876</v>
      </c>
      <c r="AR83">
        <v>215358876</v>
      </c>
      <c r="AS83">
        <v>0</v>
      </c>
      <c r="AT83" t="b">
        <v>0</v>
      </c>
      <c r="AU83" t="b">
        <v>1</v>
      </c>
      <c r="AV83" t="b">
        <v>1</v>
      </c>
      <c r="AW83" t="b">
        <v>1</v>
      </c>
      <c r="BC83" t="s">
        <v>374</v>
      </c>
    </row>
    <row r="84" spans="1:55" x14ac:dyDescent="0.2">
      <c r="A84" t="s">
        <v>39</v>
      </c>
      <c r="B84" t="s">
        <v>40</v>
      </c>
      <c r="C84">
        <v>20190101</v>
      </c>
      <c r="D84">
        <v>2019</v>
      </c>
      <c r="E84">
        <v>52</v>
      </c>
      <c r="F84" t="s">
        <v>41</v>
      </c>
      <c r="G84">
        <v>620</v>
      </c>
      <c r="H84" t="s">
        <v>241</v>
      </c>
      <c r="I84" t="s">
        <v>242</v>
      </c>
      <c r="J84" t="s">
        <v>44</v>
      </c>
      <c r="K84" t="s">
        <v>45</v>
      </c>
      <c r="L84">
        <v>0</v>
      </c>
      <c r="M84" t="s">
        <v>46</v>
      </c>
      <c r="N84" t="s">
        <v>47</v>
      </c>
      <c r="O84">
        <v>0</v>
      </c>
      <c r="P84" t="s">
        <v>46</v>
      </c>
      <c r="Q84" t="s">
        <v>47</v>
      </c>
      <c r="R84" t="s">
        <v>48</v>
      </c>
      <c r="S84" t="s">
        <v>49</v>
      </c>
      <c r="T84" t="b">
        <v>1</v>
      </c>
      <c r="U84" t="s">
        <v>50</v>
      </c>
      <c r="V84" t="s">
        <v>51</v>
      </c>
      <c r="W84">
        <v>4</v>
      </c>
      <c r="X84" t="b">
        <v>0</v>
      </c>
      <c r="Y84" t="s">
        <v>52</v>
      </c>
      <c r="Z84" t="s">
        <v>53</v>
      </c>
      <c r="AA84" t="s">
        <v>54</v>
      </c>
      <c r="AB84">
        <v>0</v>
      </c>
      <c r="AC84" t="s">
        <v>55</v>
      </c>
      <c r="AD84">
        <v>8</v>
      </c>
      <c r="AE84" t="s">
        <v>56</v>
      </c>
      <c r="AF84">
        <v>4709.1589999999997</v>
      </c>
      <c r="AG84" t="b">
        <v>0</v>
      </c>
      <c r="AH84">
        <v>15</v>
      </c>
      <c r="AI84" t="s">
        <v>59</v>
      </c>
      <c r="AJ84">
        <v>4709159</v>
      </c>
      <c r="AK84" t="b">
        <v>0</v>
      </c>
      <c r="AL84">
        <v>4709.8490000000002</v>
      </c>
      <c r="AM84" t="b">
        <v>0</v>
      </c>
      <c r="AN84">
        <v>0</v>
      </c>
      <c r="AO84" t="b">
        <v>0</v>
      </c>
      <c r="AQ84">
        <v>201196992.12799999</v>
      </c>
      <c r="AR84">
        <v>201196992.12799999</v>
      </c>
      <c r="AS84">
        <v>0</v>
      </c>
      <c r="AT84" t="b">
        <v>0</v>
      </c>
      <c r="AU84" t="b">
        <v>1</v>
      </c>
      <c r="AV84" t="b">
        <v>1</v>
      </c>
      <c r="AW84" t="b">
        <v>1</v>
      </c>
      <c r="BC84" t="s">
        <v>374</v>
      </c>
    </row>
    <row r="85" spans="1:55" x14ac:dyDescent="0.2">
      <c r="A85" t="s">
        <v>39</v>
      </c>
      <c r="B85" t="s">
        <v>40</v>
      </c>
      <c r="C85">
        <v>20190101</v>
      </c>
      <c r="D85">
        <v>2019</v>
      </c>
      <c r="E85">
        <v>52</v>
      </c>
      <c r="F85" t="s">
        <v>41</v>
      </c>
      <c r="G85">
        <v>634</v>
      </c>
      <c r="H85" t="s">
        <v>243</v>
      </c>
      <c r="I85" t="s">
        <v>244</v>
      </c>
      <c r="J85" t="s">
        <v>44</v>
      </c>
      <c r="K85" t="s">
        <v>45</v>
      </c>
      <c r="L85">
        <v>0</v>
      </c>
      <c r="M85" t="s">
        <v>46</v>
      </c>
      <c r="N85" t="s">
        <v>47</v>
      </c>
      <c r="O85">
        <v>0</v>
      </c>
      <c r="P85" t="s">
        <v>46</v>
      </c>
      <c r="Q85" t="s">
        <v>47</v>
      </c>
      <c r="R85" t="s">
        <v>95</v>
      </c>
      <c r="S85" t="s">
        <v>49</v>
      </c>
      <c r="T85" t="b">
        <v>1</v>
      </c>
      <c r="U85" t="s">
        <v>50</v>
      </c>
      <c r="V85" t="s">
        <v>51</v>
      </c>
      <c r="W85">
        <v>4</v>
      </c>
      <c r="X85" t="b">
        <v>0</v>
      </c>
      <c r="Y85" t="s">
        <v>52</v>
      </c>
      <c r="Z85" t="s">
        <v>53</v>
      </c>
      <c r="AA85" t="s">
        <v>54</v>
      </c>
      <c r="AB85">
        <v>0</v>
      </c>
      <c r="AC85" t="s">
        <v>55</v>
      </c>
      <c r="AD85">
        <v>-1</v>
      </c>
      <c r="AE85" t="s">
        <v>64</v>
      </c>
      <c r="AF85">
        <v>0</v>
      </c>
      <c r="AG85" t="b">
        <v>0</v>
      </c>
      <c r="AH85">
        <v>-1</v>
      </c>
      <c r="AI85" t="s">
        <v>64</v>
      </c>
      <c r="AJ85">
        <v>0</v>
      </c>
      <c r="AK85" t="b">
        <v>0</v>
      </c>
      <c r="AL85">
        <v>0</v>
      </c>
      <c r="AM85" t="b">
        <v>0</v>
      </c>
      <c r="AN85">
        <v>0</v>
      </c>
      <c r="AO85" t="b">
        <v>0</v>
      </c>
      <c r="AQ85">
        <v>2229578.5019999999</v>
      </c>
      <c r="AR85">
        <v>2229578.5019999999</v>
      </c>
      <c r="AS85">
        <v>0</v>
      </c>
      <c r="AT85" t="b">
        <v>0</v>
      </c>
      <c r="AU85" t="b">
        <v>1</v>
      </c>
      <c r="AV85" t="b">
        <v>1</v>
      </c>
      <c r="AW85" t="b">
        <v>1</v>
      </c>
      <c r="BC85" t="s">
        <v>374</v>
      </c>
    </row>
    <row r="86" spans="1:55" x14ac:dyDescent="0.2">
      <c r="A86" t="s">
        <v>39</v>
      </c>
      <c r="B86" t="s">
        <v>40</v>
      </c>
      <c r="C86">
        <v>20190101</v>
      </c>
      <c r="D86">
        <v>2019</v>
      </c>
      <c r="E86">
        <v>52</v>
      </c>
      <c r="F86" t="s">
        <v>41</v>
      </c>
      <c r="G86">
        <v>646</v>
      </c>
      <c r="H86" t="s">
        <v>247</v>
      </c>
      <c r="I86" t="s">
        <v>248</v>
      </c>
      <c r="J86" t="s">
        <v>44</v>
      </c>
      <c r="K86" t="s">
        <v>45</v>
      </c>
      <c r="L86">
        <v>0</v>
      </c>
      <c r="M86" t="s">
        <v>46</v>
      </c>
      <c r="N86" t="s">
        <v>47</v>
      </c>
      <c r="O86">
        <v>0</v>
      </c>
      <c r="P86" t="s">
        <v>46</v>
      </c>
      <c r="Q86" t="s">
        <v>47</v>
      </c>
      <c r="R86" t="s">
        <v>95</v>
      </c>
      <c r="S86" t="s">
        <v>49</v>
      </c>
      <c r="T86" t="b">
        <v>1</v>
      </c>
      <c r="U86" t="s">
        <v>50</v>
      </c>
      <c r="V86" t="s">
        <v>51</v>
      </c>
      <c r="W86">
        <v>4</v>
      </c>
      <c r="X86" t="b">
        <v>0</v>
      </c>
      <c r="Y86" t="s">
        <v>52</v>
      </c>
      <c r="Z86" t="s">
        <v>53</v>
      </c>
      <c r="AA86" t="s">
        <v>54</v>
      </c>
      <c r="AB86">
        <v>0</v>
      </c>
      <c r="AC86" t="s">
        <v>55</v>
      </c>
      <c r="AD86">
        <v>-1</v>
      </c>
      <c r="AE86" t="s">
        <v>64</v>
      </c>
      <c r="AF86">
        <v>0</v>
      </c>
      <c r="AG86" t="b">
        <v>0</v>
      </c>
      <c r="AH86">
        <v>-1</v>
      </c>
      <c r="AI86" t="s">
        <v>64</v>
      </c>
      <c r="AJ86">
        <v>0</v>
      </c>
      <c r="AK86" t="b">
        <v>0</v>
      </c>
      <c r="AL86">
        <v>0</v>
      </c>
      <c r="AM86" t="b">
        <v>0</v>
      </c>
      <c r="AN86">
        <v>0</v>
      </c>
      <c r="AO86" t="b">
        <v>0</v>
      </c>
      <c r="AP86">
        <v>0</v>
      </c>
      <c r="AQ86">
        <v>301457509.29000002</v>
      </c>
      <c r="AR86">
        <v>301457509.29000002</v>
      </c>
      <c r="AS86">
        <v>0</v>
      </c>
      <c r="AT86" t="b">
        <v>0</v>
      </c>
      <c r="AU86" t="b">
        <v>1</v>
      </c>
      <c r="AV86" t="b">
        <v>1</v>
      </c>
      <c r="AW86" t="b">
        <v>1</v>
      </c>
      <c r="BC86" t="s">
        <v>374</v>
      </c>
    </row>
    <row r="87" spans="1:55" x14ac:dyDescent="0.2">
      <c r="A87" t="s">
        <v>39</v>
      </c>
      <c r="B87" t="s">
        <v>40</v>
      </c>
      <c r="C87">
        <v>20190101</v>
      </c>
      <c r="D87">
        <v>2019</v>
      </c>
      <c r="E87">
        <v>52</v>
      </c>
      <c r="F87" t="s">
        <v>41</v>
      </c>
      <c r="G87">
        <v>682</v>
      </c>
      <c r="H87" t="s">
        <v>249</v>
      </c>
      <c r="I87" t="s">
        <v>250</v>
      </c>
      <c r="J87" t="s">
        <v>44</v>
      </c>
      <c r="K87" t="s">
        <v>45</v>
      </c>
      <c r="L87">
        <v>0</v>
      </c>
      <c r="M87" t="s">
        <v>46</v>
      </c>
      <c r="N87" t="s">
        <v>47</v>
      </c>
      <c r="O87">
        <v>0</v>
      </c>
      <c r="P87" t="s">
        <v>46</v>
      </c>
      <c r="Q87" t="s">
        <v>47</v>
      </c>
      <c r="R87" t="s">
        <v>95</v>
      </c>
      <c r="S87" t="s">
        <v>49</v>
      </c>
      <c r="T87" t="b">
        <v>1</v>
      </c>
      <c r="U87" t="s">
        <v>50</v>
      </c>
      <c r="V87" t="s">
        <v>51</v>
      </c>
      <c r="W87">
        <v>4</v>
      </c>
      <c r="X87" t="b">
        <v>0</v>
      </c>
      <c r="Y87" t="s">
        <v>52</v>
      </c>
      <c r="Z87" t="s">
        <v>53</v>
      </c>
      <c r="AA87" t="s">
        <v>54</v>
      </c>
      <c r="AB87">
        <v>0</v>
      </c>
      <c r="AC87" t="s">
        <v>55</v>
      </c>
      <c r="AD87">
        <v>8</v>
      </c>
      <c r="AE87" t="s">
        <v>56</v>
      </c>
      <c r="AF87">
        <v>20031.046999999999</v>
      </c>
      <c r="AG87" t="b">
        <v>1</v>
      </c>
      <c r="AH87">
        <v>-1</v>
      </c>
      <c r="AI87" t="s">
        <v>64</v>
      </c>
      <c r="AJ87">
        <v>0</v>
      </c>
      <c r="AK87" t="b">
        <v>0</v>
      </c>
      <c r="AL87">
        <v>20031.046999999999</v>
      </c>
      <c r="AM87" t="b">
        <v>1</v>
      </c>
      <c r="AN87">
        <v>0</v>
      </c>
      <c r="AO87" t="b">
        <v>0</v>
      </c>
      <c r="AQ87">
        <v>847490094.546</v>
      </c>
      <c r="AR87">
        <v>847490094.546</v>
      </c>
      <c r="AS87">
        <v>6</v>
      </c>
      <c r="AT87" t="b">
        <v>0</v>
      </c>
      <c r="AU87" t="b">
        <v>1</v>
      </c>
      <c r="AV87" t="b">
        <v>1</v>
      </c>
      <c r="AW87" t="b">
        <v>1</v>
      </c>
      <c r="BC87" t="s">
        <v>374</v>
      </c>
    </row>
    <row r="88" spans="1:55" x14ac:dyDescent="0.2">
      <c r="A88" t="s">
        <v>39</v>
      </c>
      <c r="B88" t="s">
        <v>40</v>
      </c>
      <c r="C88">
        <v>20190101</v>
      </c>
      <c r="D88">
        <v>2019</v>
      </c>
      <c r="E88">
        <v>52</v>
      </c>
      <c r="F88" t="s">
        <v>41</v>
      </c>
      <c r="G88">
        <v>686</v>
      </c>
      <c r="H88" t="s">
        <v>251</v>
      </c>
      <c r="I88" t="s">
        <v>252</v>
      </c>
      <c r="J88" t="s">
        <v>44</v>
      </c>
      <c r="K88" t="s">
        <v>45</v>
      </c>
      <c r="L88">
        <v>0</v>
      </c>
      <c r="M88" t="s">
        <v>46</v>
      </c>
      <c r="N88" t="s">
        <v>47</v>
      </c>
      <c r="O88">
        <v>0</v>
      </c>
      <c r="P88" t="s">
        <v>46</v>
      </c>
      <c r="Q88" t="s">
        <v>47</v>
      </c>
      <c r="R88" t="s">
        <v>48</v>
      </c>
      <c r="S88" t="s">
        <v>49</v>
      </c>
      <c r="T88" t="b">
        <v>1</v>
      </c>
      <c r="U88" t="s">
        <v>50</v>
      </c>
      <c r="V88" t="s">
        <v>51</v>
      </c>
      <c r="W88">
        <v>4</v>
      </c>
      <c r="X88" t="b">
        <v>0</v>
      </c>
      <c r="Y88" t="s">
        <v>52</v>
      </c>
      <c r="Z88" t="s">
        <v>53</v>
      </c>
      <c r="AA88" t="s">
        <v>54</v>
      </c>
      <c r="AB88">
        <v>0</v>
      </c>
      <c r="AC88" t="s">
        <v>55</v>
      </c>
      <c r="AD88">
        <v>8</v>
      </c>
      <c r="AE88" t="s">
        <v>56</v>
      </c>
      <c r="AF88">
        <v>16072</v>
      </c>
      <c r="AG88" t="b">
        <v>0</v>
      </c>
      <c r="AH88">
        <v>8</v>
      </c>
      <c r="AI88" t="s">
        <v>56</v>
      </c>
      <c r="AJ88">
        <v>16072</v>
      </c>
      <c r="AK88" t="b">
        <v>0</v>
      </c>
      <c r="AL88">
        <v>16072</v>
      </c>
      <c r="AM88" t="b">
        <v>0</v>
      </c>
      <c r="AN88">
        <v>0</v>
      </c>
      <c r="AO88" t="b">
        <v>0</v>
      </c>
      <c r="AQ88">
        <v>641693544.77400005</v>
      </c>
      <c r="AR88">
        <v>641693544.77400005</v>
      </c>
      <c r="AS88">
        <v>0</v>
      </c>
      <c r="AT88" t="b">
        <v>0</v>
      </c>
      <c r="AU88" t="b">
        <v>1</v>
      </c>
      <c r="AV88" t="b">
        <v>1</v>
      </c>
      <c r="AW88" t="b">
        <v>1</v>
      </c>
      <c r="BC88" t="s">
        <v>374</v>
      </c>
    </row>
    <row r="89" spans="1:55" x14ac:dyDescent="0.2">
      <c r="A89" t="s">
        <v>39</v>
      </c>
      <c r="B89" t="s">
        <v>40</v>
      </c>
      <c r="C89">
        <v>20190101</v>
      </c>
      <c r="D89">
        <v>2019</v>
      </c>
      <c r="E89">
        <v>52</v>
      </c>
      <c r="F89" t="s">
        <v>41</v>
      </c>
      <c r="G89">
        <v>688</v>
      </c>
      <c r="H89" t="s">
        <v>253</v>
      </c>
      <c r="I89" t="s">
        <v>254</v>
      </c>
      <c r="J89" t="s">
        <v>44</v>
      </c>
      <c r="K89" t="s">
        <v>45</v>
      </c>
      <c r="L89">
        <v>0</v>
      </c>
      <c r="M89" t="s">
        <v>46</v>
      </c>
      <c r="N89" t="s">
        <v>47</v>
      </c>
      <c r="O89">
        <v>0</v>
      </c>
      <c r="P89" t="s">
        <v>46</v>
      </c>
      <c r="Q89" t="s">
        <v>47</v>
      </c>
      <c r="R89" t="s">
        <v>48</v>
      </c>
      <c r="S89" t="s">
        <v>49</v>
      </c>
      <c r="T89" t="b">
        <v>1</v>
      </c>
      <c r="U89" t="s">
        <v>50</v>
      </c>
      <c r="V89" t="s">
        <v>51</v>
      </c>
      <c r="W89">
        <v>4</v>
      </c>
      <c r="X89" t="b">
        <v>0</v>
      </c>
      <c r="Y89" t="s">
        <v>52</v>
      </c>
      <c r="Z89" t="s">
        <v>53</v>
      </c>
      <c r="AA89" t="s">
        <v>54</v>
      </c>
      <c r="AB89">
        <v>0</v>
      </c>
      <c r="AC89" t="s">
        <v>55</v>
      </c>
      <c r="AD89">
        <v>8</v>
      </c>
      <c r="AE89" t="s">
        <v>56</v>
      </c>
      <c r="AF89">
        <v>886.55200000000002</v>
      </c>
      <c r="AG89" t="b">
        <v>0</v>
      </c>
      <c r="AH89">
        <v>15</v>
      </c>
      <c r="AI89" t="s">
        <v>59</v>
      </c>
      <c r="AJ89">
        <v>886552</v>
      </c>
      <c r="AK89" t="b">
        <v>0</v>
      </c>
      <c r="AL89">
        <v>885.44</v>
      </c>
      <c r="AM89" t="b">
        <v>0</v>
      </c>
      <c r="AN89">
        <v>0</v>
      </c>
      <c r="AO89" t="b">
        <v>0</v>
      </c>
      <c r="AQ89">
        <v>27363301</v>
      </c>
      <c r="AR89">
        <v>27363301</v>
      </c>
      <c r="AS89">
        <v>0</v>
      </c>
      <c r="AT89" t="b">
        <v>0</v>
      </c>
      <c r="AU89" t="b">
        <v>1</v>
      </c>
      <c r="AV89" t="b">
        <v>1</v>
      </c>
      <c r="AW89" t="b">
        <v>1</v>
      </c>
      <c r="BC89" t="s">
        <v>374</v>
      </c>
    </row>
    <row r="90" spans="1:55" x14ac:dyDescent="0.2">
      <c r="A90" t="s">
        <v>39</v>
      </c>
      <c r="B90" t="s">
        <v>40</v>
      </c>
      <c r="C90">
        <v>20190101</v>
      </c>
      <c r="D90">
        <v>2019</v>
      </c>
      <c r="E90">
        <v>52</v>
      </c>
      <c r="F90" t="s">
        <v>41</v>
      </c>
      <c r="G90">
        <v>699</v>
      </c>
      <c r="H90" t="s">
        <v>255</v>
      </c>
      <c r="I90" t="s">
        <v>256</v>
      </c>
      <c r="J90" t="s">
        <v>44</v>
      </c>
      <c r="K90" t="s">
        <v>45</v>
      </c>
      <c r="L90">
        <v>0</v>
      </c>
      <c r="M90" t="s">
        <v>46</v>
      </c>
      <c r="N90" t="s">
        <v>47</v>
      </c>
      <c r="O90">
        <v>0</v>
      </c>
      <c r="P90" t="s">
        <v>46</v>
      </c>
      <c r="Q90" t="s">
        <v>47</v>
      </c>
      <c r="R90" t="s">
        <v>48</v>
      </c>
      <c r="S90" t="s">
        <v>49</v>
      </c>
      <c r="T90" t="b">
        <v>1</v>
      </c>
      <c r="U90" t="s">
        <v>50</v>
      </c>
      <c r="V90" t="s">
        <v>51</v>
      </c>
      <c r="W90">
        <v>4</v>
      </c>
      <c r="X90" t="b">
        <v>0</v>
      </c>
      <c r="Y90" t="s">
        <v>52</v>
      </c>
      <c r="Z90" t="s">
        <v>53</v>
      </c>
      <c r="AA90" t="s">
        <v>54</v>
      </c>
      <c r="AB90">
        <v>0</v>
      </c>
      <c r="AC90" t="s">
        <v>55</v>
      </c>
      <c r="AD90">
        <v>8</v>
      </c>
      <c r="AE90" t="s">
        <v>56</v>
      </c>
      <c r="AF90">
        <v>2232.1759999999999</v>
      </c>
      <c r="AG90" t="b">
        <v>1</v>
      </c>
      <c r="AH90">
        <v>-1</v>
      </c>
      <c r="AI90" t="s">
        <v>64</v>
      </c>
      <c r="AJ90">
        <v>0</v>
      </c>
      <c r="AK90" t="b">
        <v>0</v>
      </c>
      <c r="AL90">
        <v>2232.1759999999999</v>
      </c>
      <c r="AM90" t="b">
        <v>1</v>
      </c>
      <c r="AN90">
        <v>0</v>
      </c>
      <c r="AO90" t="b">
        <v>0</v>
      </c>
      <c r="AP90">
        <v>0</v>
      </c>
      <c r="AQ90">
        <v>101796367.912</v>
      </c>
      <c r="AR90">
        <v>101796367.912</v>
      </c>
      <c r="AS90">
        <v>6</v>
      </c>
      <c r="AT90" t="b">
        <v>0</v>
      </c>
      <c r="AU90" t="b">
        <v>1</v>
      </c>
      <c r="AV90" t="b">
        <v>1</v>
      </c>
      <c r="AW90" t="b">
        <v>1</v>
      </c>
      <c r="BC90" t="s">
        <v>374</v>
      </c>
    </row>
    <row r="91" spans="1:55" x14ac:dyDescent="0.2">
      <c r="A91" t="s">
        <v>39</v>
      </c>
      <c r="B91" t="s">
        <v>40</v>
      </c>
      <c r="C91">
        <v>20190101</v>
      </c>
      <c r="D91">
        <v>2019</v>
      </c>
      <c r="E91">
        <v>52</v>
      </c>
      <c r="F91" t="s">
        <v>41</v>
      </c>
      <c r="G91">
        <v>703</v>
      </c>
      <c r="H91" t="s">
        <v>259</v>
      </c>
      <c r="I91" t="s">
        <v>260</v>
      </c>
      <c r="J91" t="s">
        <v>44</v>
      </c>
      <c r="K91" t="s">
        <v>45</v>
      </c>
      <c r="L91">
        <v>0</v>
      </c>
      <c r="M91" t="s">
        <v>46</v>
      </c>
      <c r="N91" t="s">
        <v>47</v>
      </c>
      <c r="O91">
        <v>0</v>
      </c>
      <c r="P91" t="s">
        <v>46</v>
      </c>
      <c r="Q91" t="s">
        <v>47</v>
      </c>
      <c r="R91" t="s">
        <v>48</v>
      </c>
      <c r="S91" t="s">
        <v>49</v>
      </c>
      <c r="T91" t="b">
        <v>1</v>
      </c>
      <c r="U91" t="s">
        <v>50</v>
      </c>
      <c r="V91" t="s">
        <v>51</v>
      </c>
      <c r="W91">
        <v>4</v>
      </c>
      <c r="X91" t="b">
        <v>0</v>
      </c>
      <c r="Y91" t="s">
        <v>52</v>
      </c>
      <c r="Z91" t="s">
        <v>53</v>
      </c>
      <c r="AA91" t="s">
        <v>54</v>
      </c>
      <c r="AB91">
        <v>0</v>
      </c>
      <c r="AC91" t="s">
        <v>55</v>
      </c>
      <c r="AD91">
        <v>8</v>
      </c>
      <c r="AE91" t="s">
        <v>56</v>
      </c>
      <c r="AF91">
        <v>4780.0590000000002</v>
      </c>
      <c r="AG91" t="b">
        <v>0</v>
      </c>
      <c r="AH91">
        <v>15</v>
      </c>
      <c r="AI91" t="s">
        <v>59</v>
      </c>
      <c r="AJ91">
        <v>4780059</v>
      </c>
      <c r="AK91" t="b">
        <v>0</v>
      </c>
      <c r="AM91" t="b">
        <v>0</v>
      </c>
      <c r="AN91">
        <v>0</v>
      </c>
      <c r="AO91" t="b">
        <v>0</v>
      </c>
      <c r="AQ91">
        <v>149778851.19800001</v>
      </c>
      <c r="AR91">
        <v>149778851.19800001</v>
      </c>
      <c r="AS91">
        <v>0</v>
      </c>
      <c r="AT91" t="b">
        <v>0</v>
      </c>
      <c r="AU91" t="b">
        <v>1</v>
      </c>
      <c r="AV91" t="b">
        <v>1</v>
      </c>
      <c r="AW91" t="b">
        <v>1</v>
      </c>
      <c r="BC91" t="s">
        <v>374</v>
      </c>
    </row>
    <row r="92" spans="1:55" x14ac:dyDescent="0.2">
      <c r="A92" t="s">
        <v>39</v>
      </c>
      <c r="B92" t="s">
        <v>40</v>
      </c>
      <c r="C92">
        <v>20190101</v>
      </c>
      <c r="D92">
        <v>2019</v>
      </c>
      <c r="E92">
        <v>52</v>
      </c>
      <c r="F92" t="s">
        <v>41</v>
      </c>
      <c r="G92">
        <v>704</v>
      </c>
      <c r="H92" t="s">
        <v>261</v>
      </c>
      <c r="I92" t="s">
        <v>262</v>
      </c>
      <c r="J92" t="s">
        <v>44</v>
      </c>
      <c r="K92" t="s">
        <v>45</v>
      </c>
      <c r="L92">
        <v>0</v>
      </c>
      <c r="M92" t="s">
        <v>46</v>
      </c>
      <c r="N92" t="s">
        <v>47</v>
      </c>
      <c r="O92">
        <v>0</v>
      </c>
      <c r="P92" t="s">
        <v>46</v>
      </c>
      <c r="Q92" t="s">
        <v>47</v>
      </c>
      <c r="R92" t="s">
        <v>48</v>
      </c>
      <c r="S92" t="s">
        <v>49</v>
      </c>
      <c r="T92" t="b">
        <v>1</v>
      </c>
      <c r="U92" t="s">
        <v>50</v>
      </c>
      <c r="V92" t="s">
        <v>51</v>
      </c>
      <c r="W92">
        <v>4</v>
      </c>
      <c r="X92" t="b">
        <v>0</v>
      </c>
      <c r="Y92" t="s">
        <v>52</v>
      </c>
      <c r="Z92" t="s">
        <v>53</v>
      </c>
      <c r="AA92" t="s">
        <v>54</v>
      </c>
      <c r="AB92">
        <v>0</v>
      </c>
      <c r="AC92" t="s">
        <v>55</v>
      </c>
      <c r="AD92">
        <v>8</v>
      </c>
      <c r="AE92" t="s">
        <v>56</v>
      </c>
      <c r="AF92">
        <v>157.04300000000001</v>
      </c>
      <c r="AG92" t="b">
        <v>1</v>
      </c>
      <c r="AH92">
        <v>-1</v>
      </c>
      <c r="AI92" t="s">
        <v>64</v>
      </c>
      <c r="AJ92">
        <v>0</v>
      </c>
      <c r="AK92" t="b">
        <v>0</v>
      </c>
      <c r="AL92">
        <v>157.04300000000001</v>
      </c>
      <c r="AM92" t="b">
        <v>1</v>
      </c>
      <c r="AN92">
        <v>0</v>
      </c>
      <c r="AO92" t="b">
        <v>0</v>
      </c>
      <c r="AQ92">
        <v>6798401.4699999997</v>
      </c>
      <c r="AR92">
        <v>6798401.4699999997</v>
      </c>
      <c r="AS92">
        <v>6</v>
      </c>
      <c r="AT92" t="b">
        <v>0</v>
      </c>
      <c r="AU92" t="b">
        <v>1</v>
      </c>
      <c r="AV92" t="b">
        <v>1</v>
      </c>
      <c r="AW92" t="b">
        <v>1</v>
      </c>
      <c r="BC92" t="s">
        <v>374</v>
      </c>
    </row>
    <row r="93" spans="1:55" x14ac:dyDescent="0.2">
      <c r="A93" t="s">
        <v>39</v>
      </c>
      <c r="B93" t="s">
        <v>40</v>
      </c>
      <c r="C93">
        <v>20190101</v>
      </c>
      <c r="D93">
        <v>2019</v>
      </c>
      <c r="E93">
        <v>52</v>
      </c>
      <c r="F93" t="s">
        <v>41</v>
      </c>
      <c r="G93">
        <v>705</v>
      </c>
      <c r="H93" t="s">
        <v>263</v>
      </c>
      <c r="I93" t="s">
        <v>264</v>
      </c>
      <c r="J93" t="s">
        <v>44</v>
      </c>
      <c r="K93" t="s">
        <v>45</v>
      </c>
      <c r="L93">
        <v>0</v>
      </c>
      <c r="M93" t="s">
        <v>46</v>
      </c>
      <c r="N93" t="s">
        <v>47</v>
      </c>
      <c r="O93">
        <v>0</v>
      </c>
      <c r="P93" t="s">
        <v>46</v>
      </c>
      <c r="Q93" t="s">
        <v>47</v>
      </c>
      <c r="R93" t="s">
        <v>48</v>
      </c>
      <c r="S93" t="s">
        <v>49</v>
      </c>
      <c r="T93" t="b">
        <v>1</v>
      </c>
      <c r="U93" t="s">
        <v>50</v>
      </c>
      <c r="V93" t="s">
        <v>51</v>
      </c>
      <c r="W93">
        <v>4</v>
      </c>
      <c r="X93" t="b">
        <v>0</v>
      </c>
      <c r="Y93" t="s">
        <v>52</v>
      </c>
      <c r="Z93" t="s">
        <v>53</v>
      </c>
      <c r="AA93" t="s">
        <v>54</v>
      </c>
      <c r="AB93">
        <v>0</v>
      </c>
      <c r="AC93" t="s">
        <v>55</v>
      </c>
      <c r="AD93">
        <v>8</v>
      </c>
      <c r="AE93" t="s">
        <v>56</v>
      </c>
      <c r="AF93">
        <v>676.02</v>
      </c>
      <c r="AG93" t="b">
        <v>0</v>
      </c>
      <c r="AH93">
        <v>15</v>
      </c>
      <c r="AI93" t="s">
        <v>59</v>
      </c>
      <c r="AJ93">
        <v>676019.74</v>
      </c>
      <c r="AK93" t="b">
        <v>0</v>
      </c>
      <c r="AL93">
        <v>676.48199999999997</v>
      </c>
      <c r="AM93" t="b">
        <v>0</v>
      </c>
      <c r="AN93">
        <v>0</v>
      </c>
      <c r="AO93" t="b">
        <v>0</v>
      </c>
      <c r="AQ93">
        <v>29875767.640000001</v>
      </c>
      <c r="AR93">
        <v>29875767.640000001</v>
      </c>
      <c r="AS93">
        <v>0</v>
      </c>
      <c r="AT93" t="b">
        <v>0</v>
      </c>
      <c r="AU93" t="b">
        <v>1</v>
      </c>
      <c r="AV93" t="b">
        <v>1</v>
      </c>
      <c r="AW93" t="b">
        <v>1</v>
      </c>
      <c r="BC93" t="s">
        <v>374</v>
      </c>
    </row>
    <row r="94" spans="1:55" x14ac:dyDescent="0.2">
      <c r="A94" t="s">
        <v>39</v>
      </c>
      <c r="B94" t="s">
        <v>40</v>
      </c>
      <c r="C94">
        <v>20190101</v>
      </c>
      <c r="D94">
        <v>2019</v>
      </c>
      <c r="E94">
        <v>52</v>
      </c>
      <c r="F94" t="s">
        <v>41</v>
      </c>
      <c r="G94">
        <v>716</v>
      </c>
      <c r="H94" t="s">
        <v>267</v>
      </c>
      <c r="I94" t="s">
        <v>268</v>
      </c>
      <c r="J94" t="s">
        <v>44</v>
      </c>
      <c r="K94" t="s">
        <v>45</v>
      </c>
      <c r="L94">
        <v>0</v>
      </c>
      <c r="M94" t="s">
        <v>46</v>
      </c>
      <c r="N94" t="s">
        <v>47</v>
      </c>
      <c r="O94">
        <v>0</v>
      </c>
      <c r="P94" t="s">
        <v>46</v>
      </c>
      <c r="Q94" t="s">
        <v>47</v>
      </c>
      <c r="R94" t="s">
        <v>48</v>
      </c>
      <c r="S94" t="s">
        <v>49</v>
      </c>
      <c r="T94" t="b">
        <v>1</v>
      </c>
      <c r="U94" t="s">
        <v>50</v>
      </c>
      <c r="V94" t="s">
        <v>51</v>
      </c>
      <c r="W94">
        <v>4</v>
      </c>
      <c r="X94" t="b">
        <v>0</v>
      </c>
      <c r="Y94" t="s">
        <v>52</v>
      </c>
      <c r="Z94" t="s">
        <v>53</v>
      </c>
      <c r="AA94" t="s">
        <v>54</v>
      </c>
      <c r="AB94">
        <v>0</v>
      </c>
      <c r="AC94" t="s">
        <v>55</v>
      </c>
      <c r="AD94">
        <v>8</v>
      </c>
      <c r="AE94" t="s">
        <v>56</v>
      </c>
      <c r="AF94">
        <v>23580.18</v>
      </c>
      <c r="AG94" t="b">
        <v>0</v>
      </c>
      <c r="AH94">
        <v>15</v>
      </c>
      <c r="AI94" t="s">
        <v>59</v>
      </c>
      <c r="AJ94">
        <v>2480</v>
      </c>
      <c r="AK94" t="b">
        <v>0</v>
      </c>
      <c r="AL94">
        <v>23580.18</v>
      </c>
      <c r="AM94" t="b">
        <v>0</v>
      </c>
      <c r="AN94">
        <v>0</v>
      </c>
      <c r="AO94" t="b">
        <v>0</v>
      </c>
      <c r="AQ94">
        <v>1063914009.79</v>
      </c>
      <c r="AR94">
        <v>1063914009.79</v>
      </c>
      <c r="AS94">
        <v>0</v>
      </c>
      <c r="AT94" t="b">
        <v>0</v>
      </c>
      <c r="AU94" t="b">
        <v>1</v>
      </c>
      <c r="AV94" t="b">
        <v>1</v>
      </c>
      <c r="AW94" t="b">
        <v>1</v>
      </c>
      <c r="BC94" t="s">
        <v>374</v>
      </c>
    </row>
    <row r="95" spans="1:55" x14ac:dyDescent="0.2">
      <c r="A95" t="s">
        <v>39</v>
      </c>
      <c r="B95" t="s">
        <v>40</v>
      </c>
      <c r="C95">
        <v>20190101</v>
      </c>
      <c r="D95">
        <v>2019</v>
      </c>
      <c r="E95">
        <v>52</v>
      </c>
      <c r="F95" t="s">
        <v>41</v>
      </c>
      <c r="G95">
        <v>724</v>
      </c>
      <c r="H95" t="s">
        <v>269</v>
      </c>
      <c r="I95" t="s">
        <v>270</v>
      </c>
      <c r="J95" t="s">
        <v>44</v>
      </c>
      <c r="K95" t="s">
        <v>45</v>
      </c>
      <c r="L95">
        <v>0</v>
      </c>
      <c r="M95" t="s">
        <v>46</v>
      </c>
      <c r="N95" t="s">
        <v>47</v>
      </c>
      <c r="O95">
        <v>0</v>
      </c>
      <c r="P95" t="s">
        <v>46</v>
      </c>
      <c r="Q95" t="s">
        <v>47</v>
      </c>
      <c r="R95" t="s">
        <v>48</v>
      </c>
      <c r="S95" t="s">
        <v>49</v>
      </c>
      <c r="T95" t="b">
        <v>1</v>
      </c>
      <c r="U95" t="s">
        <v>50</v>
      </c>
      <c r="V95" t="s">
        <v>51</v>
      </c>
      <c r="W95">
        <v>4</v>
      </c>
      <c r="X95" t="b">
        <v>0</v>
      </c>
      <c r="Y95" t="s">
        <v>52</v>
      </c>
      <c r="Z95" t="s">
        <v>53</v>
      </c>
      <c r="AA95" t="s">
        <v>54</v>
      </c>
      <c r="AB95">
        <v>0</v>
      </c>
      <c r="AC95" t="s">
        <v>55</v>
      </c>
      <c r="AD95">
        <v>-1</v>
      </c>
      <c r="AE95" t="s">
        <v>64</v>
      </c>
      <c r="AF95">
        <v>0</v>
      </c>
      <c r="AG95" t="b">
        <v>0</v>
      </c>
      <c r="AH95">
        <v>-1</v>
      </c>
      <c r="AI95" t="s">
        <v>64</v>
      </c>
      <c r="AJ95">
        <v>0</v>
      </c>
      <c r="AK95" t="b">
        <v>0</v>
      </c>
      <c r="AM95" t="b">
        <v>0</v>
      </c>
      <c r="AN95">
        <v>0</v>
      </c>
      <c r="AO95" t="b">
        <v>0</v>
      </c>
      <c r="AQ95">
        <v>1405195897.1240001</v>
      </c>
      <c r="AR95">
        <v>1405195897.1240001</v>
      </c>
      <c r="AS95">
        <v>0</v>
      </c>
      <c r="AT95" t="b">
        <v>0</v>
      </c>
      <c r="AU95" t="b">
        <v>1</v>
      </c>
      <c r="AV95" t="b">
        <v>1</v>
      </c>
      <c r="AW95" t="b">
        <v>1</v>
      </c>
      <c r="BC95" t="s">
        <v>374</v>
      </c>
    </row>
    <row r="96" spans="1:55" x14ac:dyDescent="0.2">
      <c r="A96" t="s">
        <v>39</v>
      </c>
      <c r="B96" t="s">
        <v>40</v>
      </c>
      <c r="C96">
        <v>20190101</v>
      </c>
      <c r="D96">
        <v>2019</v>
      </c>
      <c r="E96">
        <v>52</v>
      </c>
      <c r="F96" t="s">
        <v>41</v>
      </c>
      <c r="G96">
        <v>740</v>
      </c>
      <c r="H96" t="s">
        <v>271</v>
      </c>
      <c r="I96" t="s">
        <v>272</v>
      </c>
      <c r="J96" t="s">
        <v>44</v>
      </c>
      <c r="K96" t="s">
        <v>45</v>
      </c>
      <c r="L96">
        <v>0</v>
      </c>
      <c r="M96" t="s">
        <v>46</v>
      </c>
      <c r="N96" t="s">
        <v>47</v>
      </c>
      <c r="O96">
        <v>0</v>
      </c>
      <c r="P96" t="s">
        <v>46</v>
      </c>
      <c r="Q96" t="s">
        <v>47</v>
      </c>
      <c r="R96" t="s">
        <v>136</v>
      </c>
      <c r="S96" t="s">
        <v>49</v>
      </c>
      <c r="T96" t="b">
        <v>1</v>
      </c>
      <c r="U96" t="s">
        <v>50</v>
      </c>
      <c r="V96" t="s">
        <v>51</v>
      </c>
      <c r="W96">
        <v>4</v>
      </c>
      <c r="X96" t="b">
        <v>0</v>
      </c>
      <c r="Y96" t="s">
        <v>52</v>
      </c>
      <c r="Z96" t="s">
        <v>53</v>
      </c>
      <c r="AA96" t="s">
        <v>54</v>
      </c>
      <c r="AB96">
        <v>0</v>
      </c>
      <c r="AC96" t="s">
        <v>55</v>
      </c>
      <c r="AD96">
        <v>8</v>
      </c>
      <c r="AE96" t="s">
        <v>56</v>
      </c>
      <c r="AF96">
        <v>31718.76</v>
      </c>
      <c r="AG96" t="b">
        <v>0</v>
      </c>
      <c r="AH96">
        <v>8</v>
      </c>
      <c r="AI96" t="s">
        <v>56</v>
      </c>
      <c r="AJ96">
        <v>31718.76</v>
      </c>
      <c r="AK96" t="b">
        <v>0</v>
      </c>
      <c r="AL96">
        <v>31718.76</v>
      </c>
      <c r="AM96" t="b">
        <v>0</v>
      </c>
      <c r="AN96">
        <v>33523.660000000003</v>
      </c>
      <c r="AO96" t="b">
        <v>0</v>
      </c>
      <c r="AP96">
        <v>0</v>
      </c>
      <c r="AQ96">
        <v>1374595123.7820001</v>
      </c>
      <c r="AR96">
        <v>1374595123.7820001</v>
      </c>
      <c r="AS96">
        <v>0</v>
      </c>
      <c r="AT96" t="b">
        <v>0</v>
      </c>
      <c r="AU96" t="b">
        <v>1</v>
      </c>
      <c r="AV96" t="b">
        <v>1</v>
      </c>
      <c r="AW96" t="b">
        <v>1</v>
      </c>
      <c r="BC96" t="s">
        <v>374</v>
      </c>
    </row>
    <row r="97" spans="1:55" x14ac:dyDescent="0.2">
      <c r="A97" t="s">
        <v>39</v>
      </c>
      <c r="B97" t="s">
        <v>40</v>
      </c>
      <c r="C97">
        <v>20190101</v>
      </c>
      <c r="D97">
        <v>2019</v>
      </c>
      <c r="E97">
        <v>52</v>
      </c>
      <c r="F97" t="s">
        <v>41</v>
      </c>
      <c r="G97">
        <v>748</v>
      </c>
      <c r="H97" t="s">
        <v>273</v>
      </c>
      <c r="I97" t="s">
        <v>274</v>
      </c>
      <c r="J97" t="s">
        <v>44</v>
      </c>
      <c r="K97" t="s">
        <v>45</v>
      </c>
      <c r="L97">
        <v>0</v>
      </c>
      <c r="M97" t="s">
        <v>46</v>
      </c>
      <c r="N97" t="s">
        <v>47</v>
      </c>
      <c r="O97">
        <v>0</v>
      </c>
      <c r="P97" t="s">
        <v>46</v>
      </c>
      <c r="Q97" t="s">
        <v>47</v>
      </c>
      <c r="R97" t="s">
        <v>48</v>
      </c>
      <c r="S97" t="s">
        <v>49</v>
      </c>
      <c r="T97" t="b">
        <v>1</v>
      </c>
      <c r="U97" t="s">
        <v>50</v>
      </c>
      <c r="V97" t="s">
        <v>51</v>
      </c>
      <c r="W97">
        <v>4</v>
      </c>
      <c r="X97" t="b">
        <v>0</v>
      </c>
      <c r="Y97" t="s">
        <v>52</v>
      </c>
      <c r="Z97" t="s">
        <v>53</v>
      </c>
      <c r="AA97" t="s">
        <v>54</v>
      </c>
      <c r="AB97">
        <v>0</v>
      </c>
      <c r="AC97" t="s">
        <v>55</v>
      </c>
      <c r="AD97">
        <v>8</v>
      </c>
      <c r="AE97" t="s">
        <v>56</v>
      </c>
      <c r="AF97">
        <v>6.0709999999999997</v>
      </c>
      <c r="AG97" t="b">
        <v>1</v>
      </c>
      <c r="AH97">
        <v>-1</v>
      </c>
      <c r="AI97" t="s">
        <v>64</v>
      </c>
      <c r="AJ97">
        <v>0</v>
      </c>
      <c r="AK97" t="b">
        <v>0</v>
      </c>
      <c r="AM97" t="b">
        <v>1</v>
      </c>
      <c r="AN97">
        <v>0</v>
      </c>
      <c r="AO97" t="b">
        <v>0</v>
      </c>
      <c r="AQ97">
        <v>251556.57</v>
      </c>
      <c r="AR97">
        <v>251556.57</v>
      </c>
      <c r="AS97">
        <v>6</v>
      </c>
      <c r="AT97" t="b">
        <v>0</v>
      </c>
      <c r="AU97" t="b">
        <v>1</v>
      </c>
      <c r="AV97" t="b">
        <v>1</v>
      </c>
      <c r="AW97" t="b">
        <v>1</v>
      </c>
      <c r="BC97" t="s">
        <v>374</v>
      </c>
    </row>
    <row r="98" spans="1:55" x14ac:dyDescent="0.2">
      <c r="A98" t="s">
        <v>39</v>
      </c>
      <c r="B98" t="s">
        <v>40</v>
      </c>
      <c r="C98">
        <v>20190101</v>
      </c>
      <c r="D98">
        <v>2019</v>
      </c>
      <c r="E98">
        <v>52</v>
      </c>
      <c r="F98" t="s">
        <v>41</v>
      </c>
      <c r="G98">
        <v>752</v>
      </c>
      <c r="H98" t="s">
        <v>275</v>
      </c>
      <c r="I98" t="s">
        <v>276</v>
      </c>
      <c r="J98" t="s">
        <v>44</v>
      </c>
      <c r="K98" t="s">
        <v>45</v>
      </c>
      <c r="L98">
        <v>0</v>
      </c>
      <c r="M98" t="s">
        <v>46</v>
      </c>
      <c r="N98" t="s">
        <v>47</v>
      </c>
      <c r="O98">
        <v>0</v>
      </c>
      <c r="P98" t="s">
        <v>46</v>
      </c>
      <c r="Q98" t="s">
        <v>47</v>
      </c>
      <c r="R98" t="s">
        <v>48</v>
      </c>
      <c r="S98" t="s">
        <v>49</v>
      </c>
      <c r="T98" t="b">
        <v>1</v>
      </c>
      <c r="U98" t="s">
        <v>50</v>
      </c>
      <c r="V98" t="s">
        <v>51</v>
      </c>
      <c r="W98">
        <v>4</v>
      </c>
      <c r="X98" t="b">
        <v>0</v>
      </c>
      <c r="Y98" t="s">
        <v>52</v>
      </c>
      <c r="Z98" t="s">
        <v>53</v>
      </c>
      <c r="AA98" t="s">
        <v>54</v>
      </c>
      <c r="AB98">
        <v>0</v>
      </c>
      <c r="AC98" t="s">
        <v>55</v>
      </c>
      <c r="AD98">
        <v>8</v>
      </c>
      <c r="AE98" t="s">
        <v>56</v>
      </c>
      <c r="AF98">
        <v>13957.944</v>
      </c>
      <c r="AG98" t="b">
        <v>1</v>
      </c>
      <c r="AH98">
        <v>-1</v>
      </c>
      <c r="AI98" t="s">
        <v>64</v>
      </c>
      <c r="AJ98">
        <v>0</v>
      </c>
      <c r="AK98" t="b">
        <v>0</v>
      </c>
      <c r="AL98">
        <v>13740.754999999999</v>
      </c>
      <c r="AM98" t="b">
        <v>1</v>
      </c>
      <c r="AN98">
        <v>0</v>
      </c>
      <c r="AO98" t="b">
        <v>0</v>
      </c>
      <c r="AQ98">
        <v>661873247.68799996</v>
      </c>
      <c r="AR98">
        <v>661873247.68799996</v>
      </c>
      <c r="AS98">
        <v>6</v>
      </c>
      <c r="AT98" t="b">
        <v>0</v>
      </c>
      <c r="AU98" t="b">
        <v>1</v>
      </c>
      <c r="AV98" t="b">
        <v>1</v>
      </c>
      <c r="AW98" t="b">
        <v>1</v>
      </c>
      <c r="BC98" t="s">
        <v>374</v>
      </c>
    </row>
    <row r="99" spans="1:55" x14ac:dyDescent="0.2">
      <c r="A99" t="s">
        <v>39</v>
      </c>
      <c r="B99" t="s">
        <v>40</v>
      </c>
      <c r="C99">
        <v>20190101</v>
      </c>
      <c r="D99">
        <v>2019</v>
      </c>
      <c r="E99">
        <v>52</v>
      </c>
      <c r="F99" t="s">
        <v>41</v>
      </c>
      <c r="G99">
        <v>764</v>
      </c>
      <c r="H99" t="s">
        <v>279</v>
      </c>
      <c r="I99" t="s">
        <v>280</v>
      </c>
      <c r="J99" t="s">
        <v>44</v>
      </c>
      <c r="K99" t="s">
        <v>45</v>
      </c>
      <c r="L99">
        <v>0</v>
      </c>
      <c r="M99" t="s">
        <v>46</v>
      </c>
      <c r="N99" t="s">
        <v>47</v>
      </c>
      <c r="O99">
        <v>0</v>
      </c>
      <c r="P99" t="s">
        <v>46</v>
      </c>
      <c r="Q99" t="s">
        <v>47</v>
      </c>
      <c r="R99" t="s">
        <v>48</v>
      </c>
      <c r="S99" t="s">
        <v>49</v>
      </c>
      <c r="T99" t="b">
        <v>1</v>
      </c>
      <c r="U99" t="s">
        <v>50</v>
      </c>
      <c r="V99" t="s">
        <v>51</v>
      </c>
      <c r="W99">
        <v>4</v>
      </c>
      <c r="X99" t="b">
        <v>0</v>
      </c>
      <c r="Y99" t="s">
        <v>52</v>
      </c>
      <c r="Z99" t="s">
        <v>53</v>
      </c>
      <c r="AA99" t="s">
        <v>54</v>
      </c>
      <c r="AB99">
        <v>0</v>
      </c>
      <c r="AC99" t="s">
        <v>55</v>
      </c>
      <c r="AD99">
        <v>-1</v>
      </c>
      <c r="AE99" t="s">
        <v>64</v>
      </c>
      <c r="AF99">
        <v>0</v>
      </c>
      <c r="AG99" t="b">
        <v>0</v>
      </c>
      <c r="AH99">
        <v>-1</v>
      </c>
      <c r="AI99" t="s">
        <v>64</v>
      </c>
      <c r="AJ99">
        <v>0</v>
      </c>
      <c r="AK99" t="b">
        <v>0</v>
      </c>
      <c r="AM99" t="b">
        <v>0</v>
      </c>
      <c r="AN99">
        <v>0</v>
      </c>
      <c r="AO99" t="b">
        <v>0</v>
      </c>
      <c r="AQ99">
        <v>7593597931.4020004</v>
      </c>
      <c r="AR99">
        <v>7593597931.4020004</v>
      </c>
      <c r="AS99">
        <v>0</v>
      </c>
      <c r="AT99" t="b">
        <v>0</v>
      </c>
      <c r="AU99" t="b">
        <v>1</v>
      </c>
      <c r="AV99" t="b">
        <v>1</v>
      </c>
      <c r="AW99" t="b">
        <v>1</v>
      </c>
      <c r="BC99" t="s">
        <v>374</v>
      </c>
    </row>
    <row r="100" spans="1:55" x14ac:dyDescent="0.2">
      <c r="A100" t="s">
        <v>39</v>
      </c>
      <c r="B100" t="s">
        <v>40</v>
      </c>
      <c r="C100">
        <v>20190101</v>
      </c>
      <c r="D100">
        <v>2019</v>
      </c>
      <c r="E100">
        <v>52</v>
      </c>
      <c r="F100" t="s">
        <v>41</v>
      </c>
      <c r="G100">
        <v>768</v>
      </c>
      <c r="H100" t="s">
        <v>281</v>
      </c>
      <c r="I100" t="s">
        <v>282</v>
      </c>
      <c r="J100" t="s">
        <v>44</v>
      </c>
      <c r="K100" t="s">
        <v>45</v>
      </c>
      <c r="L100">
        <v>0</v>
      </c>
      <c r="M100" t="s">
        <v>46</v>
      </c>
      <c r="N100" t="s">
        <v>47</v>
      </c>
      <c r="O100">
        <v>0</v>
      </c>
      <c r="P100" t="s">
        <v>46</v>
      </c>
      <c r="Q100" t="s">
        <v>47</v>
      </c>
      <c r="R100" t="s">
        <v>48</v>
      </c>
      <c r="S100" t="s">
        <v>49</v>
      </c>
      <c r="T100" t="b">
        <v>1</v>
      </c>
      <c r="U100" t="s">
        <v>50</v>
      </c>
      <c r="V100" t="s">
        <v>51</v>
      </c>
      <c r="W100">
        <v>4</v>
      </c>
      <c r="X100" t="b">
        <v>0</v>
      </c>
      <c r="Y100" t="s">
        <v>52</v>
      </c>
      <c r="Z100" t="s">
        <v>53</v>
      </c>
      <c r="AA100" t="s">
        <v>54</v>
      </c>
      <c r="AB100">
        <v>0</v>
      </c>
      <c r="AC100" t="s">
        <v>55</v>
      </c>
      <c r="AD100">
        <v>8</v>
      </c>
      <c r="AE100" t="s">
        <v>56</v>
      </c>
      <c r="AF100">
        <v>1</v>
      </c>
      <c r="AG100" t="b">
        <v>0</v>
      </c>
      <c r="AH100">
        <v>8</v>
      </c>
      <c r="AI100" t="s">
        <v>56</v>
      </c>
      <c r="AJ100">
        <v>1</v>
      </c>
      <c r="AK100" t="b">
        <v>0</v>
      </c>
      <c r="AL100">
        <v>1</v>
      </c>
      <c r="AM100" t="b">
        <v>0</v>
      </c>
      <c r="AN100">
        <v>0</v>
      </c>
      <c r="AO100" t="b">
        <v>0</v>
      </c>
      <c r="AQ100">
        <v>1709.232</v>
      </c>
      <c r="AR100">
        <v>1709.232</v>
      </c>
      <c r="AS100">
        <v>0</v>
      </c>
      <c r="AT100" t="b">
        <v>0</v>
      </c>
      <c r="AU100" t="b">
        <v>1</v>
      </c>
      <c r="AV100" t="b">
        <v>1</v>
      </c>
      <c r="AW100" t="b">
        <v>1</v>
      </c>
      <c r="BC100" t="s">
        <v>374</v>
      </c>
    </row>
    <row r="101" spans="1:55" x14ac:dyDescent="0.2">
      <c r="A101" t="s">
        <v>39</v>
      </c>
      <c r="B101" t="s">
        <v>40</v>
      </c>
      <c r="C101">
        <v>20190101</v>
      </c>
      <c r="D101">
        <v>2019</v>
      </c>
      <c r="E101">
        <v>52</v>
      </c>
      <c r="F101" t="s">
        <v>41</v>
      </c>
      <c r="G101">
        <v>780</v>
      </c>
      <c r="H101" t="s">
        <v>283</v>
      </c>
      <c r="I101" t="s">
        <v>284</v>
      </c>
      <c r="J101" t="s">
        <v>44</v>
      </c>
      <c r="K101" t="s">
        <v>45</v>
      </c>
      <c r="L101">
        <v>0</v>
      </c>
      <c r="M101" t="s">
        <v>46</v>
      </c>
      <c r="N101" t="s">
        <v>47</v>
      </c>
      <c r="O101">
        <v>0</v>
      </c>
      <c r="P101" t="s">
        <v>46</v>
      </c>
      <c r="Q101" t="s">
        <v>47</v>
      </c>
      <c r="R101" t="s">
        <v>95</v>
      </c>
      <c r="S101" t="s">
        <v>49</v>
      </c>
      <c r="T101" t="b">
        <v>1</v>
      </c>
      <c r="U101" t="s">
        <v>50</v>
      </c>
      <c r="V101" t="s">
        <v>51</v>
      </c>
      <c r="W101">
        <v>4</v>
      </c>
      <c r="X101" t="b">
        <v>0</v>
      </c>
      <c r="Y101" t="s">
        <v>52</v>
      </c>
      <c r="Z101" t="s">
        <v>53</v>
      </c>
      <c r="AA101" t="s">
        <v>54</v>
      </c>
      <c r="AB101">
        <v>0</v>
      </c>
      <c r="AC101" t="s">
        <v>55</v>
      </c>
      <c r="AD101">
        <v>8</v>
      </c>
      <c r="AE101" t="s">
        <v>56</v>
      </c>
      <c r="AF101">
        <v>42</v>
      </c>
      <c r="AG101" t="b">
        <v>0</v>
      </c>
      <c r="AH101">
        <v>8</v>
      </c>
      <c r="AI101" t="s">
        <v>56</v>
      </c>
      <c r="AJ101">
        <v>42</v>
      </c>
      <c r="AK101" t="b">
        <v>0</v>
      </c>
      <c r="AL101">
        <v>42</v>
      </c>
      <c r="AM101" t="b">
        <v>0</v>
      </c>
      <c r="AN101">
        <v>0</v>
      </c>
      <c r="AO101" t="b">
        <v>0</v>
      </c>
      <c r="AP101">
        <v>0</v>
      </c>
      <c r="AQ101">
        <v>211715.68400000001</v>
      </c>
      <c r="AR101">
        <v>211715.68400000001</v>
      </c>
      <c r="AS101">
        <v>0</v>
      </c>
      <c r="AT101" t="b">
        <v>0</v>
      </c>
      <c r="AU101" t="b">
        <v>1</v>
      </c>
      <c r="AV101" t="b">
        <v>1</v>
      </c>
      <c r="AW101" t="b">
        <v>1</v>
      </c>
      <c r="BC101" t="s">
        <v>374</v>
      </c>
    </row>
    <row r="102" spans="1:55" x14ac:dyDescent="0.2">
      <c r="A102" t="s">
        <v>39</v>
      </c>
      <c r="B102" t="s">
        <v>40</v>
      </c>
      <c r="C102">
        <v>20190101</v>
      </c>
      <c r="D102">
        <v>2019</v>
      </c>
      <c r="E102">
        <v>52</v>
      </c>
      <c r="F102" t="s">
        <v>41</v>
      </c>
      <c r="G102">
        <v>784</v>
      </c>
      <c r="H102" t="s">
        <v>285</v>
      </c>
      <c r="I102" t="s">
        <v>286</v>
      </c>
      <c r="J102" t="s">
        <v>44</v>
      </c>
      <c r="K102" t="s">
        <v>45</v>
      </c>
      <c r="L102">
        <v>0</v>
      </c>
      <c r="M102" t="s">
        <v>46</v>
      </c>
      <c r="N102" t="s">
        <v>47</v>
      </c>
      <c r="O102">
        <v>0</v>
      </c>
      <c r="P102" t="s">
        <v>46</v>
      </c>
      <c r="Q102" t="s">
        <v>47</v>
      </c>
      <c r="R102" t="s">
        <v>48</v>
      </c>
      <c r="S102" t="s">
        <v>49</v>
      </c>
      <c r="T102" t="b">
        <v>1</v>
      </c>
      <c r="U102" t="s">
        <v>50</v>
      </c>
      <c r="V102" t="s">
        <v>51</v>
      </c>
      <c r="W102">
        <v>4</v>
      </c>
      <c r="X102" t="b">
        <v>0</v>
      </c>
      <c r="Y102" t="s">
        <v>52</v>
      </c>
      <c r="Z102" t="s">
        <v>53</v>
      </c>
      <c r="AA102" t="s">
        <v>54</v>
      </c>
      <c r="AB102">
        <v>0</v>
      </c>
      <c r="AC102" t="s">
        <v>55</v>
      </c>
      <c r="AD102">
        <v>-1</v>
      </c>
      <c r="AE102" t="s">
        <v>64</v>
      </c>
      <c r="AF102">
        <v>0</v>
      </c>
      <c r="AG102" t="b">
        <v>0</v>
      </c>
      <c r="AH102">
        <v>-1</v>
      </c>
      <c r="AI102" t="s">
        <v>64</v>
      </c>
      <c r="AJ102">
        <v>0</v>
      </c>
      <c r="AK102" t="b">
        <v>0</v>
      </c>
      <c r="AL102">
        <v>0</v>
      </c>
      <c r="AM102" t="b">
        <v>0</v>
      </c>
      <c r="AN102">
        <v>0</v>
      </c>
      <c r="AO102" t="b">
        <v>0</v>
      </c>
      <c r="AP102">
        <v>0</v>
      </c>
      <c r="AQ102">
        <v>19113230537.414001</v>
      </c>
      <c r="AR102">
        <v>19113230537.414001</v>
      </c>
      <c r="AS102">
        <v>0</v>
      </c>
      <c r="AT102" t="b">
        <v>0</v>
      </c>
      <c r="AU102" t="b">
        <v>1</v>
      </c>
      <c r="AV102" t="b">
        <v>1</v>
      </c>
      <c r="AW102" t="b">
        <v>1</v>
      </c>
      <c r="BC102" t="s">
        <v>374</v>
      </c>
    </row>
    <row r="103" spans="1:55" x14ac:dyDescent="0.2">
      <c r="A103" t="s">
        <v>39</v>
      </c>
      <c r="B103" t="s">
        <v>40</v>
      </c>
      <c r="C103">
        <v>20190101</v>
      </c>
      <c r="D103">
        <v>2019</v>
      </c>
      <c r="E103">
        <v>52</v>
      </c>
      <c r="F103" t="s">
        <v>41</v>
      </c>
      <c r="G103">
        <v>792</v>
      </c>
      <c r="H103" t="s">
        <v>287</v>
      </c>
      <c r="I103" t="s">
        <v>288</v>
      </c>
      <c r="J103" t="s">
        <v>44</v>
      </c>
      <c r="K103" t="s">
        <v>45</v>
      </c>
      <c r="L103">
        <v>0</v>
      </c>
      <c r="M103" t="s">
        <v>46</v>
      </c>
      <c r="N103" t="s">
        <v>47</v>
      </c>
      <c r="O103">
        <v>0</v>
      </c>
      <c r="P103" t="s">
        <v>46</v>
      </c>
      <c r="Q103" t="s">
        <v>47</v>
      </c>
      <c r="R103" t="s">
        <v>48</v>
      </c>
      <c r="S103" t="s">
        <v>49</v>
      </c>
      <c r="T103" t="b">
        <v>1</v>
      </c>
      <c r="U103" t="s">
        <v>50</v>
      </c>
      <c r="V103" t="s">
        <v>51</v>
      </c>
      <c r="W103">
        <v>4</v>
      </c>
      <c r="X103" t="b">
        <v>0</v>
      </c>
      <c r="Y103" t="s">
        <v>52</v>
      </c>
      <c r="Z103" t="s">
        <v>53</v>
      </c>
      <c r="AA103" t="s">
        <v>54</v>
      </c>
      <c r="AB103">
        <v>0</v>
      </c>
      <c r="AC103" t="s">
        <v>55</v>
      </c>
      <c r="AD103">
        <v>8</v>
      </c>
      <c r="AE103" t="s">
        <v>56</v>
      </c>
      <c r="AF103">
        <v>44137.964</v>
      </c>
      <c r="AG103" t="b">
        <v>0</v>
      </c>
      <c r="AH103">
        <v>15</v>
      </c>
      <c r="AI103" t="s">
        <v>59</v>
      </c>
      <c r="AJ103">
        <v>44137964</v>
      </c>
      <c r="AK103" t="b">
        <v>0</v>
      </c>
      <c r="AL103">
        <v>44256</v>
      </c>
      <c r="AM103" t="b">
        <v>0</v>
      </c>
      <c r="AN103">
        <v>0</v>
      </c>
      <c r="AO103" t="b">
        <v>0</v>
      </c>
      <c r="AP103">
        <v>0</v>
      </c>
      <c r="AQ103">
        <v>2000620267</v>
      </c>
      <c r="AR103">
        <v>2000620267</v>
      </c>
      <c r="AS103">
        <v>0</v>
      </c>
      <c r="AT103" t="b">
        <v>0</v>
      </c>
      <c r="AU103" t="b">
        <v>1</v>
      </c>
      <c r="AV103" t="b">
        <v>1</v>
      </c>
      <c r="AW103" t="b">
        <v>1</v>
      </c>
      <c r="BC103" t="s">
        <v>374</v>
      </c>
    </row>
    <row r="104" spans="1:55" x14ac:dyDescent="0.2">
      <c r="A104" t="s">
        <v>39</v>
      </c>
      <c r="B104" t="s">
        <v>40</v>
      </c>
      <c r="C104">
        <v>20190101</v>
      </c>
      <c r="D104">
        <v>2019</v>
      </c>
      <c r="E104">
        <v>52</v>
      </c>
      <c r="F104" t="s">
        <v>41</v>
      </c>
      <c r="G104">
        <v>800</v>
      </c>
      <c r="H104" t="s">
        <v>289</v>
      </c>
      <c r="I104" t="s">
        <v>290</v>
      </c>
      <c r="J104" t="s">
        <v>44</v>
      </c>
      <c r="K104" t="s">
        <v>45</v>
      </c>
      <c r="L104">
        <v>0</v>
      </c>
      <c r="M104" t="s">
        <v>46</v>
      </c>
      <c r="N104" t="s">
        <v>47</v>
      </c>
      <c r="O104">
        <v>0</v>
      </c>
      <c r="P104" t="s">
        <v>46</v>
      </c>
      <c r="Q104" t="s">
        <v>47</v>
      </c>
      <c r="R104" t="s">
        <v>48</v>
      </c>
      <c r="S104" t="s">
        <v>49</v>
      </c>
      <c r="T104" t="b">
        <v>1</v>
      </c>
      <c r="U104" t="s">
        <v>50</v>
      </c>
      <c r="V104" t="s">
        <v>51</v>
      </c>
      <c r="W104">
        <v>4</v>
      </c>
      <c r="X104" t="b">
        <v>0</v>
      </c>
      <c r="Y104" t="s">
        <v>52</v>
      </c>
      <c r="Z104" t="s">
        <v>53</v>
      </c>
      <c r="AA104" t="s">
        <v>54</v>
      </c>
      <c r="AB104">
        <v>0</v>
      </c>
      <c r="AC104" t="s">
        <v>55</v>
      </c>
      <c r="AD104">
        <v>8</v>
      </c>
      <c r="AE104" t="s">
        <v>56</v>
      </c>
      <c r="AF104">
        <v>28782.530999999999</v>
      </c>
      <c r="AG104" t="b">
        <v>0</v>
      </c>
      <c r="AH104">
        <v>15</v>
      </c>
      <c r="AI104" t="s">
        <v>59</v>
      </c>
      <c r="AJ104">
        <v>28782531</v>
      </c>
      <c r="AK104" t="b">
        <v>0</v>
      </c>
      <c r="AL104">
        <v>0</v>
      </c>
      <c r="AM104" t="b">
        <v>0</v>
      </c>
      <c r="AN104">
        <v>0</v>
      </c>
      <c r="AO104" t="b">
        <v>0</v>
      </c>
      <c r="AP104">
        <v>0</v>
      </c>
      <c r="AQ104">
        <v>1256750587.76</v>
      </c>
      <c r="AR104">
        <v>1256750587.76</v>
      </c>
      <c r="AS104">
        <v>0</v>
      </c>
      <c r="AT104" t="b">
        <v>0</v>
      </c>
      <c r="AU104" t="b">
        <v>1</v>
      </c>
      <c r="AV104" t="b">
        <v>1</v>
      </c>
      <c r="AW104" t="b">
        <v>1</v>
      </c>
      <c r="BC104" t="s">
        <v>374</v>
      </c>
    </row>
    <row r="105" spans="1:55" x14ac:dyDescent="0.2">
      <c r="A105" t="s">
        <v>39</v>
      </c>
      <c r="B105" t="s">
        <v>40</v>
      </c>
      <c r="C105">
        <v>20190101</v>
      </c>
      <c r="D105">
        <v>2019</v>
      </c>
      <c r="E105">
        <v>52</v>
      </c>
      <c r="F105" t="s">
        <v>41</v>
      </c>
      <c r="G105">
        <v>804</v>
      </c>
      <c r="H105" t="s">
        <v>291</v>
      </c>
      <c r="I105" t="s">
        <v>292</v>
      </c>
      <c r="J105" t="s">
        <v>44</v>
      </c>
      <c r="K105" t="s">
        <v>45</v>
      </c>
      <c r="L105">
        <v>0</v>
      </c>
      <c r="M105" t="s">
        <v>46</v>
      </c>
      <c r="N105" t="s">
        <v>47</v>
      </c>
      <c r="O105">
        <v>0</v>
      </c>
      <c r="P105" t="s">
        <v>46</v>
      </c>
      <c r="Q105" t="s">
        <v>47</v>
      </c>
      <c r="R105" t="s">
        <v>95</v>
      </c>
      <c r="S105" t="s">
        <v>49</v>
      </c>
      <c r="T105" t="b">
        <v>1</v>
      </c>
      <c r="U105" t="s">
        <v>50</v>
      </c>
      <c r="V105" t="s">
        <v>51</v>
      </c>
      <c r="W105">
        <v>4</v>
      </c>
      <c r="X105" t="b">
        <v>0</v>
      </c>
      <c r="Y105" t="s">
        <v>52</v>
      </c>
      <c r="Z105" t="s">
        <v>53</v>
      </c>
      <c r="AA105" t="s">
        <v>54</v>
      </c>
      <c r="AB105">
        <v>0</v>
      </c>
      <c r="AC105" t="s">
        <v>55</v>
      </c>
      <c r="AD105">
        <v>8</v>
      </c>
      <c r="AE105" t="s">
        <v>56</v>
      </c>
      <c r="AF105">
        <v>321.79500000000002</v>
      </c>
      <c r="AG105" t="b">
        <v>0</v>
      </c>
      <c r="AH105">
        <v>15</v>
      </c>
      <c r="AI105" t="s">
        <v>59</v>
      </c>
      <c r="AJ105">
        <v>321794.5</v>
      </c>
      <c r="AK105" t="b">
        <v>0</v>
      </c>
      <c r="AL105">
        <v>329.55</v>
      </c>
      <c r="AM105" t="b">
        <v>0</v>
      </c>
      <c r="AN105">
        <v>0</v>
      </c>
      <c r="AO105" t="b">
        <v>0</v>
      </c>
      <c r="AP105">
        <v>0</v>
      </c>
      <c r="AQ105">
        <v>15543706.800000001</v>
      </c>
      <c r="AR105">
        <v>15543706.800000001</v>
      </c>
      <c r="AS105">
        <v>0</v>
      </c>
      <c r="AT105" t="b">
        <v>0</v>
      </c>
      <c r="AU105" t="b">
        <v>1</v>
      </c>
      <c r="AV105" t="b">
        <v>1</v>
      </c>
      <c r="AW105" t="b">
        <v>1</v>
      </c>
      <c r="BC105" t="s">
        <v>374</v>
      </c>
    </row>
    <row r="106" spans="1:55" x14ac:dyDescent="0.2">
      <c r="A106" t="s">
        <v>39</v>
      </c>
      <c r="B106" t="s">
        <v>40</v>
      </c>
      <c r="C106">
        <v>20190101</v>
      </c>
      <c r="D106">
        <v>2019</v>
      </c>
      <c r="E106">
        <v>52</v>
      </c>
      <c r="F106" t="s">
        <v>41</v>
      </c>
      <c r="G106">
        <v>818</v>
      </c>
      <c r="H106" t="s">
        <v>293</v>
      </c>
      <c r="I106" t="s">
        <v>294</v>
      </c>
      <c r="J106" t="s">
        <v>44</v>
      </c>
      <c r="K106" t="s">
        <v>45</v>
      </c>
      <c r="L106">
        <v>0</v>
      </c>
      <c r="M106" t="s">
        <v>46</v>
      </c>
      <c r="N106" t="s">
        <v>47</v>
      </c>
      <c r="O106">
        <v>0</v>
      </c>
      <c r="P106" t="s">
        <v>46</v>
      </c>
      <c r="Q106" t="s">
        <v>47</v>
      </c>
      <c r="R106" t="s">
        <v>95</v>
      </c>
      <c r="S106" t="s">
        <v>49</v>
      </c>
      <c r="T106" t="b">
        <v>1</v>
      </c>
      <c r="U106" t="s">
        <v>50</v>
      </c>
      <c r="V106" t="s">
        <v>51</v>
      </c>
      <c r="W106">
        <v>4</v>
      </c>
      <c r="X106" t="b">
        <v>0</v>
      </c>
      <c r="Y106" t="s">
        <v>52</v>
      </c>
      <c r="Z106" t="s">
        <v>53</v>
      </c>
      <c r="AA106" t="s">
        <v>54</v>
      </c>
      <c r="AB106">
        <v>0</v>
      </c>
      <c r="AC106" t="s">
        <v>55</v>
      </c>
      <c r="AD106">
        <v>8</v>
      </c>
      <c r="AE106" t="s">
        <v>56</v>
      </c>
      <c r="AF106">
        <v>48058.146999999997</v>
      </c>
      <c r="AG106" t="b">
        <v>1</v>
      </c>
      <c r="AH106">
        <v>-1</v>
      </c>
      <c r="AI106" t="s">
        <v>64</v>
      </c>
      <c r="AJ106">
        <v>0</v>
      </c>
      <c r="AK106" t="b">
        <v>0</v>
      </c>
      <c r="AL106">
        <v>48058.146999999997</v>
      </c>
      <c r="AM106" t="b">
        <v>1</v>
      </c>
      <c r="AN106">
        <v>0</v>
      </c>
      <c r="AO106" t="b">
        <v>0</v>
      </c>
      <c r="AQ106">
        <v>2034082290.99</v>
      </c>
      <c r="AR106">
        <v>2034082290.99</v>
      </c>
      <c r="AS106">
        <v>6</v>
      </c>
      <c r="AT106" t="b">
        <v>0</v>
      </c>
      <c r="AU106" t="b">
        <v>1</v>
      </c>
      <c r="AV106" t="b">
        <v>1</v>
      </c>
      <c r="AW106" t="b">
        <v>1</v>
      </c>
      <c r="BC106" t="s">
        <v>374</v>
      </c>
    </row>
    <row r="107" spans="1:55" x14ac:dyDescent="0.2">
      <c r="A107" t="s">
        <v>39</v>
      </c>
      <c r="B107" t="s">
        <v>40</v>
      </c>
      <c r="C107">
        <v>20190101</v>
      </c>
      <c r="D107">
        <v>2019</v>
      </c>
      <c r="E107">
        <v>52</v>
      </c>
      <c r="F107" t="s">
        <v>41</v>
      </c>
      <c r="G107">
        <v>834</v>
      </c>
      <c r="H107" t="s">
        <v>297</v>
      </c>
      <c r="I107" t="s">
        <v>298</v>
      </c>
      <c r="J107" t="s">
        <v>44</v>
      </c>
      <c r="K107" t="s">
        <v>45</v>
      </c>
      <c r="L107">
        <v>0</v>
      </c>
      <c r="M107" t="s">
        <v>46</v>
      </c>
      <c r="N107" t="s">
        <v>47</v>
      </c>
      <c r="O107">
        <v>0</v>
      </c>
      <c r="P107" t="s">
        <v>46</v>
      </c>
      <c r="Q107" t="s">
        <v>47</v>
      </c>
      <c r="R107" t="s">
        <v>48</v>
      </c>
      <c r="S107" t="s">
        <v>49</v>
      </c>
      <c r="T107" t="b">
        <v>1</v>
      </c>
      <c r="U107" t="s">
        <v>50</v>
      </c>
      <c r="V107" t="s">
        <v>51</v>
      </c>
      <c r="W107">
        <v>4</v>
      </c>
      <c r="X107" t="b">
        <v>0</v>
      </c>
      <c r="Y107" t="s">
        <v>52</v>
      </c>
      <c r="Z107" t="s">
        <v>53</v>
      </c>
      <c r="AA107" t="s">
        <v>54</v>
      </c>
      <c r="AB107">
        <v>0</v>
      </c>
      <c r="AC107" t="s">
        <v>55</v>
      </c>
      <c r="AD107">
        <v>-1</v>
      </c>
      <c r="AE107" t="s">
        <v>64</v>
      </c>
      <c r="AF107">
        <v>0</v>
      </c>
      <c r="AG107" t="b">
        <v>1</v>
      </c>
      <c r="AH107">
        <v>-1</v>
      </c>
      <c r="AI107" t="s">
        <v>64</v>
      </c>
      <c r="AJ107">
        <v>0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P107">
        <v>0</v>
      </c>
      <c r="AQ107">
        <v>2215096389.2199998</v>
      </c>
      <c r="AR107">
        <v>2215096389.2199998</v>
      </c>
      <c r="AS107">
        <v>6</v>
      </c>
      <c r="AT107" t="b">
        <v>0</v>
      </c>
      <c r="AU107" t="b">
        <v>1</v>
      </c>
      <c r="AV107" t="b">
        <v>1</v>
      </c>
      <c r="AW107" t="b">
        <v>1</v>
      </c>
      <c r="BC107" t="s">
        <v>374</v>
      </c>
    </row>
    <row r="108" spans="1:55" x14ac:dyDescent="0.2">
      <c r="A108" t="s">
        <v>39</v>
      </c>
      <c r="B108" t="s">
        <v>40</v>
      </c>
      <c r="C108">
        <v>20190101</v>
      </c>
      <c r="D108">
        <v>2019</v>
      </c>
      <c r="E108">
        <v>52</v>
      </c>
      <c r="F108" t="s">
        <v>41</v>
      </c>
      <c r="G108">
        <v>854</v>
      </c>
      <c r="H108" t="s">
        <v>300</v>
      </c>
      <c r="I108" t="s">
        <v>301</v>
      </c>
      <c r="J108" t="s">
        <v>44</v>
      </c>
      <c r="K108" t="s">
        <v>45</v>
      </c>
      <c r="L108">
        <v>0</v>
      </c>
      <c r="M108" t="s">
        <v>46</v>
      </c>
      <c r="N108" t="s">
        <v>47</v>
      </c>
      <c r="O108">
        <v>0</v>
      </c>
      <c r="P108" t="s">
        <v>46</v>
      </c>
      <c r="Q108" t="s">
        <v>47</v>
      </c>
      <c r="R108" t="s">
        <v>48</v>
      </c>
      <c r="S108" t="s">
        <v>49</v>
      </c>
      <c r="T108" t="b">
        <v>1</v>
      </c>
      <c r="U108" t="s">
        <v>50</v>
      </c>
      <c r="V108" t="s">
        <v>51</v>
      </c>
      <c r="W108">
        <v>4</v>
      </c>
      <c r="X108" t="b">
        <v>0</v>
      </c>
      <c r="Y108" t="s">
        <v>52</v>
      </c>
      <c r="Z108" t="s">
        <v>53</v>
      </c>
      <c r="AA108" t="s">
        <v>54</v>
      </c>
      <c r="AB108">
        <v>0</v>
      </c>
      <c r="AC108" t="s">
        <v>55</v>
      </c>
      <c r="AD108">
        <v>8</v>
      </c>
      <c r="AE108" t="s">
        <v>56</v>
      </c>
      <c r="AF108">
        <v>50808</v>
      </c>
      <c r="AG108" t="b">
        <v>0</v>
      </c>
      <c r="AH108">
        <v>8</v>
      </c>
      <c r="AI108" t="s">
        <v>56</v>
      </c>
      <c r="AJ108">
        <v>50808</v>
      </c>
      <c r="AK108" t="b">
        <v>0</v>
      </c>
      <c r="AL108">
        <v>50808</v>
      </c>
      <c r="AM108" t="b">
        <v>0</v>
      </c>
      <c r="AN108">
        <v>0</v>
      </c>
      <c r="AO108" t="b">
        <v>0</v>
      </c>
      <c r="AP108">
        <v>0</v>
      </c>
      <c r="AQ108">
        <v>2268517760.5100002</v>
      </c>
      <c r="AR108">
        <v>2268517760.5100002</v>
      </c>
      <c r="AS108">
        <v>0</v>
      </c>
      <c r="AT108" t="b">
        <v>0</v>
      </c>
      <c r="AU108" t="b">
        <v>1</v>
      </c>
      <c r="AV108" t="b">
        <v>1</v>
      </c>
      <c r="AW108" t="b">
        <v>1</v>
      </c>
      <c r="BC108" t="s">
        <v>374</v>
      </c>
    </row>
    <row r="109" spans="1:55" x14ac:dyDescent="0.2">
      <c r="A109" t="s">
        <v>39</v>
      </c>
      <c r="B109" t="s">
        <v>40</v>
      </c>
      <c r="C109">
        <v>20190101</v>
      </c>
      <c r="D109">
        <v>2019</v>
      </c>
      <c r="E109">
        <v>52</v>
      </c>
      <c r="F109" t="s">
        <v>41</v>
      </c>
      <c r="G109">
        <v>858</v>
      </c>
      <c r="H109" t="s">
        <v>302</v>
      </c>
      <c r="I109" t="s">
        <v>303</v>
      </c>
      <c r="J109" t="s">
        <v>44</v>
      </c>
      <c r="K109" t="s">
        <v>45</v>
      </c>
      <c r="L109">
        <v>0</v>
      </c>
      <c r="M109" t="s">
        <v>46</v>
      </c>
      <c r="N109" t="s">
        <v>47</v>
      </c>
      <c r="O109">
        <v>0</v>
      </c>
      <c r="P109" t="s">
        <v>46</v>
      </c>
      <c r="Q109" t="s">
        <v>47</v>
      </c>
      <c r="R109" t="s">
        <v>48</v>
      </c>
      <c r="S109" t="s">
        <v>49</v>
      </c>
      <c r="T109" t="b">
        <v>1</v>
      </c>
      <c r="U109" t="s">
        <v>50</v>
      </c>
      <c r="V109" t="s">
        <v>51</v>
      </c>
      <c r="W109">
        <v>4</v>
      </c>
      <c r="X109" t="b">
        <v>0</v>
      </c>
      <c r="Y109" t="s">
        <v>52</v>
      </c>
      <c r="Z109" t="s">
        <v>53</v>
      </c>
      <c r="AA109" t="s">
        <v>54</v>
      </c>
      <c r="AB109">
        <v>0</v>
      </c>
      <c r="AC109" t="s">
        <v>55</v>
      </c>
      <c r="AD109">
        <v>8</v>
      </c>
      <c r="AE109" t="s">
        <v>56</v>
      </c>
      <c r="AF109">
        <v>8.7899999999999991</v>
      </c>
      <c r="AG109" t="b">
        <v>0</v>
      </c>
      <c r="AH109">
        <v>8</v>
      </c>
      <c r="AI109" t="s">
        <v>56</v>
      </c>
      <c r="AJ109">
        <v>8.7899999999999991</v>
      </c>
      <c r="AK109" t="b">
        <v>0</v>
      </c>
      <c r="AL109">
        <v>8.7899999999999991</v>
      </c>
      <c r="AM109" t="b">
        <v>0</v>
      </c>
      <c r="AN109">
        <v>0</v>
      </c>
      <c r="AO109" t="b">
        <v>0</v>
      </c>
      <c r="AQ109">
        <v>209094</v>
      </c>
      <c r="AR109">
        <v>209094</v>
      </c>
      <c r="AS109">
        <v>0</v>
      </c>
      <c r="AT109" t="b">
        <v>0</v>
      </c>
      <c r="AU109" t="b">
        <v>1</v>
      </c>
      <c r="AV109" t="b">
        <v>1</v>
      </c>
      <c r="AW109" t="b">
        <v>1</v>
      </c>
      <c r="BC109" t="s">
        <v>374</v>
      </c>
    </row>
    <row r="110" spans="1:55" x14ac:dyDescent="0.2">
      <c r="A110" t="s">
        <v>39</v>
      </c>
      <c r="B110" t="s">
        <v>40</v>
      </c>
      <c r="C110">
        <v>20190101</v>
      </c>
      <c r="D110">
        <v>2019</v>
      </c>
      <c r="E110">
        <v>52</v>
      </c>
      <c r="F110" t="s">
        <v>41</v>
      </c>
      <c r="G110">
        <v>894</v>
      </c>
      <c r="H110" t="s">
        <v>307</v>
      </c>
      <c r="I110" t="s">
        <v>308</v>
      </c>
      <c r="J110" t="s">
        <v>44</v>
      </c>
      <c r="K110" t="s">
        <v>45</v>
      </c>
      <c r="L110">
        <v>0</v>
      </c>
      <c r="M110" t="s">
        <v>46</v>
      </c>
      <c r="N110" t="s">
        <v>47</v>
      </c>
      <c r="O110">
        <v>0</v>
      </c>
      <c r="P110" t="s">
        <v>46</v>
      </c>
      <c r="Q110" t="s">
        <v>47</v>
      </c>
      <c r="R110" t="s">
        <v>48</v>
      </c>
      <c r="S110" t="s">
        <v>49</v>
      </c>
      <c r="T110" t="b">
        <v>1</v>
      </c>
      <c r="U110" t="s">
        <v>50</v>
      </c>
      <c r="V110" t="s">
        <v>51</v>
      </c>
      <c r="W110">
        <v>4</v>
      </c>
      <c r="X110" t="b">
        <v>0</v>
      </c>
      <c r="Y110" t="s">
        <v>52</v>
      </c>
      <c r="Z110" t="s">
        <v>53</v>
      </c>
      <c r="AA110" t="s">
        <v>54</v>
      </c>
      <c r="AB110">
        <v>0</v>
      </c>
      <c r="AC110" t="s">
        <v>55</v>
      </c>
      <c r="AD110">
        <v>-1</v>
      </c>
      <c r="AE110" t="s">
        <v>64</v>
      </c>
      <c r="AF110">
        <v>0</v>
      </c>
      <c r="AG110" t="b">
        <v>0</v>
      </c>
      <c r="AH110">
        <v>-1</v>
      </c>
      <c r="AI110" t="s">
        <v>64</v>
      </c>
      <c r="AJ110">
        <v>0</v>
      </c>
      <c r="AK110" t="b">
        <v>0</v>
      </c>
      <c r="AM110" t="b">
        <v>0</v>
      </c>
      <c r="AN110">
        <v>0</v>
      </c>
      <c r="AO110" t="b">
        <v>0</v>
      </c>
      <c r="AQ110">
        <v>73182577.130999997</v>
      </c>
      <c r="AR110">
        <v>73182577.130999997</v>
      </c>
      <c r="AS110">
        <v>0</v>
      </c>
      <c r="AT110" t="b">
        <v>0</v>
      </c>
      <c r="AU110" t="b">
        <v>1</v>
      </c>
      <c r="AV110" t="b">
        <v>1</v>
      </c>
      <c r="AW110" t="b">
        <v>1</v>
      </c>
      <c r="BC110" t="s">
        <v>374</v>
      </c>
    </row>
    <row r="111" spans="1:55" x14ac:dyDescent="0.2">
      <c r="A111" t="s">
        <v>39</v>
      </c>
      <c r="B111" t="s">
        <v>40</v>
      </c>
      <c r="C111">
        <v>20200101</v>
      </c>
      <c r="D111">
        <v>2020</v>
      </c>
      <c r="E111">
        <v>52</v>
      </c>
      <c r="F111" t="s">
        <v>309</v>
      </c>
      <c r="G111">
        <v>20</v>
      </c>
      <c r="H111" t="s">
        <v>42</v>
      </c>
      <c r="I111" t="s">
        <v>43</v>
      </c>
      <c r="J111" t="s">
        <v>44</v>
      </c>
      <c r="K111" t="s">
        <v>45</v>
      </c>
      <c r="L111">
        <v>0</v>
      </c>
      <c r="M111" t="s">
        <v>46</v>
      </c>
      <c r="N111" t="s">
        <v>47</v>
      </c>
      <c r="O111">
        <v>0</v>
      </c>
      <c r="P111" t="s">
        <v>46</v>
      </c>
      <c r="Q111" t="s">
        <v>47</v>
      </c>
      <c r="R111" t="s">
        <v>48</v>
      </c>
      <c r="S111" t="s">
        <v>49</v>
      </c>
      <c r="T111" t="b">
        <v>1</v>
      </c>
      <c r="U111" t="s">
        <v>50</v>
      </c>
      <c r="V111" t="s">
        <v>51</v>
      </c>
      <c r="W111">
        <v>4</v>
      </c>
      <c r="X111" t="b">
        <v>0</v>
      </c>
      <c r="Y111" t="s">
        <v>52</v>
      </c>
      <c r="Z111" t="s">
        <v>53</v>
      </c>
      <c r="AA111" t="s">
        <v>54</v>
      </c>
      <c r="AB111">
        <v>0</v>
      </c>
      <c r="AC111" t="s">
        <v>55</v>
      </c>
      <c r="AD111">
        <v>8</v>
      </c>
      <c r="AE111" t="s">
        <v>56</v>
      </c>
      <c r="AF111">
        <v>50.012999999999998</v>
      </c>
      <c r="AG111" t="b">
        <v>0</v>
      </c>
      <c r="AH111">
        <v>8</v>
      </c>
      <c r="AI111" t="s">
        <v>56</v>
      </c>
      <c r="AJ111">
        <v>50.012999999999998</v>
      </c>
      <c r="AK111" t="b">
        <v>0</v>
      </c>
      <c r="AL111">
        <v>50.012999999999998</v>
      </c>
      <c r="AM111" t="b">
        <v>0</v>
      </c>
      <c r="AN111">
        <v>0</v>
      </c>
      <c r="AO111" t="b">
        <v>0</v>
      </c>
      <c r="AQ111">
        <v>2476550.0440000002</v>
      </c>
      <c r="AR111">
        <v>2476550.0440000002</v>
      </c>
      <c r="AS111">
        <v>0</v>
      </c>
      <c r="AT111" t="b">
        <v>0</v>
      </c>
      <c r="AU111" t="b">
        <v>1</v>
      </c>
      <c r="AV111" t="b">
        <v>1</v>
      </c>
      <c r="AW111" t="b">
        <v>1</v>
      </c>
      <c r="BC111" t="s">
        <v>374</v>
      </c>
    </row>
    <row r="112" spans="1:55" x14ac:dyDescent="0.2">
      <c r="A112" t="s">
        <v>39</v>
      </c>
      <c r="B112" t="s">
        <v>40</v>
      </c>
      <c r="C112">
        <v>20200101</v>
      </c>
      <c r="D112">
        <v>2020</v>
      </c>
      <c r="E112">
        <v>52</v>
      </c>
      <c r="F112" t="s">
        <v>309</v>
      </c>
      <c r="G112">
        <v>28</v>
      </c>
      <c r="H112" t="s">
        <v>310</v>
      </c>
      <c r="I112" t="s">
        <v>311</v>
      </c>
      <c r="J112" t="s">
        <v>44</v>
      </c>
      <c r="K112" t="s">
        <v>45</v>
      </c>
      <c r="L112">
        <v>0</v>
      </c>
      <c r="M112" t="s">
        <v>46</v>
      </c>
      <c r="N112" t="s">
        <v>47</v>
      </c>
      <c r="O112">
        <v>0</v>
      </c>
      <c r="P112" t="s">
        <v>46</v>
      </c>
      <c r="Q112" t="s">
        <v>47</v>
      </c>
      <c r="R112" t="s">
        <v>136</v>
      </c>
      <c r="S112" t="s">
        <v>49</v>
      </c>
      <c r="T112" t="b">
        <v>1</v>
      </c>
      <c r="U112" t="s">
        <v>50</v>
      </c>
      <c r="V112" t="s">
        <v>51</v>
      </c>
      <c r="W112">
        <v>4</v>
      </c>
      <c r="X112" t="b">
        <v>0</v>
      </c>
      <c r="Y112" t="s">
        <v>52</v>
      </c>
      <c r="Z112" t="s">
        <v>53</v>
      </c>
      <c r="AA112" t="s">
        <v>54</v>
      </c>
      <c r="AB112">
        <v>0</v>
      </c>
      <c r="AC112" t="s">
        <v>55</v>
      </c>
      <c r="AD112">
        <v>8</v>
      </c>
      <c r="AE112" t="s">
        <v>56</v>
      </c>
      <c r="AF112">
        <v>34.880000000000003</v>
      </c>
      <c r="AG112" t="b">
        <v>0</v>
      </c>
      <c r="AH112">
        <v>5</v>
      </c>
      <c r="AI112" t="s">
        <v>312</v>
      </c>
      <c r="AJ112">
        <v>1</v>
      </c>
      <c r="AK112" t="b">
        <v>0</v>
      </c>
      <c r="AL112">
        <v>34.880000000000003</v>
      </c>
      <c r="AM112" t="b">
        <v>0</v>
      </c>
      <c r="AN112">
        <v>0</v>
      </c>
      <c r="AO112" t="b">
        <v>0</v>
      </c>
      <c r="AQ112">
        <v>1611671.2879999999</v>
      </c>
      <c r="AR112">
        <v>1611671.2879999999</v>
      </c>
      <c r="AS112">
        <v>0</v>
      </c>
      <c r="AT112" t="b">
        <v>0</v>
      </c>
      <c r="AU112" t="b">
        <v>1</v>
      </c>
      <c r="AV112" t="b">
        <v>1</v>
      </c>
      <c r="AW112" t="b">
        <v>1</v>
      </c>
      <c r="BC112" t="s">
        <v>374</v>
      </c>
    </row>
    <row r="113" spans="1:55" x14ac:dyDescent="0.2">
      <c r="A113" t="s">
        <v>39</v>
      </c>
      <c r="B113" t="s">
        <v>40</v>
      </c>
      <c r="C113">
        <v>20200101</v>
      </c>
      <c r="D113">
        <v>2020</v>
      </c>
      <c r="E113">
        <v>52</v>
      </c>
      <c r="F113" t="s">
        <v>309</v>
      </c>
      <c r="G113">
        <v>31</v>
      </c>
      <c r="H113" t="s">
        <v>57</v>
      </c>
      <c r="I113" t="s">
        <v>58</v>
      </c>
      <c r="J113" t="s">
        <v>44</v>
      </c>
      <c r="K113" t="s">
        <v>45</v>
      </c>
      <c r="L113">
        <v>0</v>
      </c>
      <c r="M113" t="s">
        <v>46</v>
      </c>
      <c r="N113" t="s">
        <v>47</v>
      </c>
      <c r="O113">
        <v>0</v>
      </c>
      <c r="P113" t="s">
        <v>46</v>
      </c>
      <c r="Q113" t="s">
        <v>47</v>
      </c>
      <c r="R113" t="s">
        <v>48</v>
      </c>
      <c r="S113" t="s">
        <v>49</v>
      </c>
      <c r="T113" t="b">
        <v>1</v>
      </c>
      <c r="U113" t="s">
        <v>50</v>
      </c>
      <c r="V113" t="s">
        <v>51</v>
      </c>
      <c r="W113">
        <v>4</v>
      </c>
      <c r="X113" t="b">
        <v>0</v>
      </c>
      <c r="Y113" t="s">
        <v>52</v>
      </c>
      <c r="Z113" t="s">
        <v>53</v>
      </c>
      <c r="AA113" t="s">
        <v>54</v>
      </c>
      <c r="AB113">
        <v>0</v>
      </c>
      <c r="AC113" t="s">
        <v>55</v>
      </c>
      <c r="AD113">
        <v>8</v>
      </c>
      <c r="AE113" t="s">
        <v>56</v>
      </c>
      <c r="AF113">
        <v>4272.76</v>
      </c>
      <c r="AG113" t="b">
        <v>0</v>
      </c>
      <c r="AH113">
        <v>15</v>
      </c>
      <c r="AI113" t="s">
        <v>59</v>
      </c>
      <c r="AJ113">
        <v>4272760</v>
      </c>
      <c r="AK113" t="b">
        <v>0</v>
      </c>
      <c r="AL113">
        <v>4272.76</v>
      </c>
      <c r="AM113" t="b">
        <v>0</v>
      </c>
      <c r="AN113">
        <v>0</v>
      </c>
      <c r="AO113" t="b">
        <v>0</v>
      </c>
      <c r="AQ113">
        <v>195906490.59999999</v>
      </c>
      <c r="AR113">
        <v>195906490.59999999</v>
      </c>
      <c r="AS113">
        <v>0</v>
      </c>
      <c r="AT113" t="b">
        <v>0</v>
      </c>
      <c r="AU113" t="b">
        <v>1</v>
      </c>
      <c r="AV113" t="b">
        <v>1</v>
      </c>
      <c r="AW113" t="b">
        <v>1</v>
      </c>
      <c r="BC113" t="s">
        <v>374</v>
      </c>
    </row>
    <row r="114" spans="1:55" x14ac:dyDescent="0.2">
      <c r="A114" t="s">
        <v>39</v>
      </c>
      <c r="B114" t="s">
        <v>40</v>
      </c>
      <c r="C114">
        <v>20200101</v>
      </c>
      <c r="D114">
        <v>2020</v>
      </c>
      <c r="E114">
        <v>52</v>
      </c>
      <c r="F114" t="s">
        <v>309</v>
      </c>
      <c r="G114">
        <v>36</v>
      </c>
      <c r="H114" t="s">
        <v>62</v>
      </c>
      <c r="I114" t="s">
        <v>63</v>
      </c>
      <c r="J114" t="s">
        <v>44</v>
      </c>
      <c r="K114" t="s">
        <v>45</v>
      </c>
      <c r="L114">
        <v>0</v>
      </c>
      <c r="M114" t="s">
        <v>46</v>
      </c>
      <c r="N114" t="s">
        <v>47</v>
      </c>
      <c r="O114">
        <v>0</v>
      </c>
      <c r="P114" t="s">
        <v>46</v>
      </c>
      <c r="Q114" t="s">
        <v>47</v>
      </c>
      <c r="R114" t="s">
        <v>48</v>
      </c>
      <c r="S114" t="s">
        <v>49</v>
      </c>
      <c r="T114" t="b">
        <v>1</v>
      </c>
      <c r="U114" t="s">
        <v>50</v>
      </c>
      <c r="V114" t="s">
        <v>51</v>
      </c>
      <c r="W114">
        <v>4</v>
      </c>
      <c r="X114" t="b">
        <v>0</v>
      </c>
      <c r="Y114" t="s">
        <v>52</v>
      </c>
      <c r="Z114" t="s">
        <v>53</v>
      </c>
      <c r="AA114" t="s">
        <v>54</v>
      </c>
      <c r="AB114">
        <v>0</v>
      </c>
      <c r="AC114" t="s">
        <v>55</v>
      </c>
      <c r="AD114">
        <v>-1</v>
      </c>
      <c r="AE114" t="s">
        <v>64</v>
      </c>
      <c r="AF114">
        <v>0</v>
      </c>
      <c r="AG114" t="b">
        <v>0</v>
      </c>
      <c r="AH114">
        <v>-1</v>
      </c>
      <c r="AI114" t="s">
        <v>64</v>
      </c>
      <c r="AJ114">
        <v>0</v>
      </c>
      <c r="AK114" t="b">
        <v>0</v>
      </c>
      <c r="AM114" t="b">
        <v>0</v>
      </c>
      <c r="AN114">
        <v>330675.60600000003</v>
      </c>
      <c r="AO114" t="b">
        <v>0</v>
      </c>
      <c r="AQ114">
        <v>17517010781.862</v>
      </c>
      <c r="AR114">
        <v>17517010781.862</v>
      </c>
      <c r="AS114">
        <v>0</v>
      </c>
      <c r="AT114" t="b">
        <v>0</v>
      </c>
      <c r="AU114" t="b">
        <v>1</v>
      </c>
      <c r="AV114" t="b">
        <v>1</v>
      </c>
      <c r="AW114" t="b">
        <v>1</v>
      </c>
      <c r="BC114" t="s">
        <v>374</v>
      </c>
    </row>
    <row r="115" spans="1:55" x14ac:dyDescent="0.2">
      <c r="A115" t="s">
        <v>39</v>
      </c>
      <c r="B115" t="s">
        <v>40</v>
      </c>
      <c r="C115">
        <v>20200101</v>
      </c>
      <c r="D115">
        <v>2020</v>
      </c>
      <c r="E115">
        <v>52</v>
      </c>
      <c r="F115" t="s">
        <v>309</v>
      </c>
      <c r="G115">
        <v>40</v>
      </c>
      <c r="H115" t="s">
        <v>65</v>
      </c>
      <c r="I115" t="s">
        <v>66</v>
      </c>
      <c r="J115" t="s">
        <v>44</v>
      </c>
      <c r="K115" t="s">
        <v>45</v>
      </c>
      <c r="L115">
        <v>0</v>
      </c>
      <c r="M115" t="s">
        <v>46</v>
      </c>
      <c r="N115" t="s">
        <v>47</v>
      </c>
      <c r="O115">
        <v>0</v>
      </c>
      <c r="P115" t="s">
        <v>46</v>
      </c>
      <c r="Q115" t="s">
        <v>47</v>
      </c>
      <c r="R115" t="s">
        <v>48</v>
      </c>
      <c r="S115" t="s">
        <v>49</v>
      </c>
      <c r="T115" t="b">
        <v>1</v>
      </c>
      <c r="U115" t="s">
        <v>50</v>
      </c>
      <c r="V115" t="s">
        <v>51</v>
      </c>
      <c r="W115">
        <v>4</v>
      </c>
      <c r="X115" t="b">
        <v>0</v>
      </c>
      <c r="Y115" t="s">
        <v>52</v>
      </c>
      <c r="Z115" t="s">
        <v>53</v>
      </c>
      <c r="AA115" t="s">
        <v>54</v>
      </c>
      <c r="AB115">
        <v>0</v>
      </c>
      <c r="AC115" t="s">
        <v>55</v>
      </c>
      <c r="AD115">
        <v>8</v>
      </c>
      <c r="AE115" t="s">
        <v>56</v>
      </c>
      <c r="AF115">
        <v>27625.764999999999</v>
      </c>
      <c r="AG115" t="b">
        <v>1</v>
      </c>
      <c r="AH115">
        <v>-1</v>
      </c>
      <c r="AI115" t="s">
        <v>64</v>
      </c>
      <c r="AJ115">
        <v>0</v>
      </c>
      <c r="AK115" t="b">
        <v>0</v>
      </c>
      <c r="AL115">
        <v>27625.764999999999</v>
      </c>
      <c r="AM115" t="b">
        <v>1</v>
      </c>
      <c r="AN115">
        <v>0</v>
      </c>
      <c r="AO115" t="b">
        <v>0</v>
      </c>
      <c r="AP115">
        <v>0</v>
      </c>
      <c r="AQ115">
        <v>1630308004.175</v>
      </c>
      <c r="AR115">
        <v>1630308004.175</v>
      </c>
      <c r="AS115">
        <v>6</v>
      </c>
      <c r="AT115" t="b">
        <v>0</v>
      </c>
      <c r="AU115" t="b">
        <v>1</v>
      </c>
      <c r="AV115" t="b">
        <v>1</v>
      </c>
      <c r="AW115" t="b">
        <v>1</v>
      </c>
      <c r="BC115" t="s">
        <v>374</v>
      </c>
    </row>
    <row r="116" spans="1:55" x14ac:dyDescent="0.2">
      <c r="A116" t="s">
        <v>39</v>
      </c>
      <c r="B116" t="s">
        <v>40</v>
      </c>
      <c r="C116">
        <v>20200101</v>
      </c>
      <c r="D116">
        <v>2020</v>
      </c>
      <c r="E116">
        <v>52</v>
      </c>
      <c r="F116" t="s">
        <v>309</v>
      </c>
      <c r="G116">
        <v>48</v>
      </c>
      <c r="H116" t="s">
        <v>67</v>
      </c>
      <c r="I116" t="s">
        <v>68</v>
      </c>
      <c r="J116" t="s">
        <v>44</v>
      </c>
      <c r="K116" t="s">
        <v>45</v>
      </c>
      <c r="L116">
        <v>0</v>
      </c>
      <c r="M116" t="s">
        <v>46</v>
      </c>
      <c r="N116" t="s">
        <v>47</v>
      </c>
      <c r="O116">
        <v>0</v>
      </c>
      <c r="P116" t="s">
        <v>46</v>
      </c>
      <c r="Q116" t="s">
        <v>47</v>
      </c>
      <c r="R116" t="s">
        <v>48</v>
      </c>
      <c r="S116" t="s">
        <v>49</v>
      </c>
      <c r="T116" t="b">
        <v>1</v>
      </c>
      <c r="U116" t="s">
        <v>50</v>
      </c>
      <c r="V116" t="s">
        <v>51</v>
      </c>
      <c r="W116">
        <v>4</v>
      </c>
      <c r="X116" t="b">
        <v>0</v>
      </c>
      <c r="Y116" t="s">
        <v>52</v>
      </c>
      <c r="Z116" t="s">
        <v>53</v>
      </c>
      <c r="AA116" t="s">
        <v>54</v>
      </c>
      <c r="AB116">
        <v>0</v>
      </c>
      <c r="AC116" t="s">
        <v>55</v>
      </c>
      <c r="AD116">
        <v>8</v>
      </c>
      <c r="AE116" t="s">
        <v>56</v>
      </c>
      <c r="AF116">
        <v>3286.9270000000001</v>
      </c>
      <c r="AG116" t="b">
        <v>0</v>
      </c>
      <c r="AH116">
        <v>15</v>
      </c>
      <c r="AI116" t="s">
        <v>59</v>
      </c>
      <c r="AJ116">
        <v>3286927.06</v>
      </c>
      <c r="AK116" t="b">
        <v>0</v>
      </c>
      <c r="AL116">
        <v>3286.9</v>
      </c>
      <c r="AM116" t="b">
        <v>0</v>
      </c>
      <c r="AN116">
        <v>0</v>
      </c>
      <c r="AO116" t="b">
        <v>0</v>
      </c>
      <c r="AQ116">
        <v>173931073.13</v>
      </c>
      <c r="AR116">
        <v>173931073.13</v>
      </c>
      <c r="AS116">
        <v>0</v>
      </c>
      <c r="AT116" t="b">
        <v>0</v>
      </c>
      <c r="AU116" t="b">
        <v>1</v>
      </c>
      <c r="AV116" t="b">
        <v>1</v>
      </c>
      <c r="AW116" t="b">
        <v>1</v>
      </c>
      <c r="BC116" t="s">
        <v>374</v>
      </c>
    </row>
    <row r="117" spans="1:55" x14ac:dyDescent="0.2">
      <c r="A117" t="s">
        <v>39</v>
      </c>
      <c r="B117" t="s">
        <v>40</v>
      </c>
      <c r="C117">
        <v>20200101</v>
      </c>
      <c r="D117">
        <v>2020</v>
      </c>
      <c r="E117">
        <v>52</v>
      </c>
      <c r="F117" t="s">
        <v>309</v>
      </c>
      <c r="G117">
        <v>51</v>
      </c>
      <c r="H117" t="s">
        <v>69</v>
      </c>
      <c r="I117" t="s">
        <v>70</v>
      </c>
      <c r="J117" t="s">
        <v>44</v>
      </c>
      <c r="K117" t="s">
        <v>45</v>
      </c>
      <c r="L117">
        <v>0</v>
      </c>
      <c r="M117" t="s">
        <v>46</v>
      </c>
      <c r="N117" t="s">
        <v>47</v>
      </c>
      <c r="O117">
        <v>0</v>
      </c>
      <c r="P117" t="s">
        <v>46</v>
      </c>
      <c r="Q117" t="s">
        <v>47</v>
      </c>
      <c r="R117" t="s">
        <v>48</v>
      </c>
      <c r="S117" t="s">
        <v>49</v>
      </c>
      <c r="T117" t="b">
        <v>1</v>
      </c>
      <c r="U117" t="s">
        <v>50</v>
      </c>
      <c r="V117" t="s">
        <v>51</v>
      </c>
      <c r="W117">
        <v>4</v>
      </c>
      <c r="X117" t="b">
        <v>0</v>
      </c>
      <c r="Y117" t="s">
        <v>52</v>
      </c>
      <c r="Z117" t="s">
        <v>53</v>
      </c>
      <c r="AA117" t="s">
        <v>54</v>
      </c>
      <c r="AB117">
        <v>0</v>
      </c>
      <c r="AC117" t="s">
        <v>55</v>
      </c>
      <c r="AD117">
        <v>8</v>
      </c>
      <c r="AE117" t="s">
        <v>56</v>
      </c>
      <c r="AF117">
        <v>5487.7070000000003</v>
      </c>
      <c r="AG117" t="b">
        <v>0</v>
      </c>
      <c r="AH117">
        <v>15</v>
      </c>
      <c r="AI117" t="s">
        <v>59</v>
      </c>
      <c r="AJ117">
        <v>5487707.1299999999</v>
      </c>
      <c r="AK117" t="b">
        <v>0</v>
      </c>
      <c r="AL117">
        <v>5487.22</v>
      </c>
      <c r="AM117" t="b">
        <v>0</v>
      </c>
      <c r="AN117">
        <v>0</v>
      </c>
      <c r="AO117" t="b">
        <v>0</v>
      </c>
      <c r="AP117">
        <v>0</v>
      </c>
      <c r="AQ117">
        <v>247012721.91</v>
      </c>
      <c r="AR117">
        <v>247012721.91</v>
      </c>
      <c r="AS117">
        <v>0</v>
      </c>
      <c r="AT117" t="b">
        <v>0</v>
      </c>
      <c r="AU117" t="b">
        <v>1</v>
      </c>
      <c r="AV117" t="b">
        <v>1</v>
      </c>
      <c r="AW117" t="b">
        <v>1</v>
      </c>
      <c r="BC117" t="s">
        <v>374</v>
      </c>
    </row>
    <row r="118" spans="1:55" x14ac:dyDescent="0.2">
      <c r="A118" t="s">
        <v>39</v>
      </c>
      <c r="B118" t="s">
        <v>40</v>
      </c>
      <c r="C118">
        <v>20200101</v>
      </c>
      <c r="D118">
        <v>2020</v>
      </c>
      <c r="E118">
        <v>52</v>
      </c>
      <c r="F118" t="s">
        <v>309</v>
      </c>
      <c r="G118">
        <v>52</v>
      </c>
      <c r="H118" t="s">
        <v>71</v>
      </c>
      <c r="I118" t="s">
        <v>72</v>
      </c>
      <c r="J118" t="s">
        <v>44</v>
      </c>
      <c r="K118" t="s">
        <v>45</v>
      </c>
      <c r="L118">
        <v>0</v>
      </c>
      <c r="M118" t="s">
        <v>46</v>
      </c>
      <c r="N118" t="s">
        <v>47</v>
      </c>
      <c r="O118">
        <v>0</v>
      </c>
      <c r="P118" t="s">
        <v>46</v>
      </c>
      <c r="Q118" t="s">
        <v>47</v>
      </c>
      <c r="R118" t="s">
        <v>48</v>
      </c>
      <c r="S118" t="s">
        <v>49</v>
      </c>
      <c r="T118" t="b">
        <v>1</v>
      </c>
      <c r="U118" t="s">
        <v>50</v>
      </c>
      <c r="V118" t="s">
        <v>51</v>
      </c>
      <c r="W118">
        <v>4</v>
      </c>
      <c r="X118" t="b">
        <v>0</v>
      </c>
      <c r="Y118" t="s">
        <v>52</v>
      </c>
      <c r="Z118" t="s">
        <v>53</v>
      </c>
      <c r="AA118" t="s">
        <v>54</v>
      </c>
      <c r="AB118">
        <v>0</v>
      </c>
      <c r="AC118" t="s">
        <v>55</v>
      </c>
      <c r="AD118">
        <v>8</v>
      </c>
      <c r="AE118" t="s">
        <v>56</v>
      </c>
      <c r="AF118">
        <v>41</v>
      </c>
      <c r="AG118" t="b">
        <v>0</v>
      </c>
      <c r="AH118">
        <v>8</v>
      </c>
      <c r="AI118" t="s">
        <v>56</v>
      </c>
      <c r="AJ118">
        <v>41</v>
      </c>
      <c r="AK118" t="b">
        <v>0</v>
      </c>
      <c r="AL118">
        <v>41</v>
      </c>
      <c r="AM118" t="b">
        <v>0</v>
      </c>
      <c r="AN118">
        <v>0</v>
      </c>
      <c r="AO118" t="b">
        <v>0</v>
      </c>
      <c r="AP118">
        <v>0</v>
      </c>
      <c r="AQ118">
        <v>811986.5</v>
      </c>
      <c r="AR118">
        <v>811986.5</v>
      </c>
      <c r="AS118">
        <v>0</v>
      </c>
      <c r="AT118" t="b">
        <v>0</v>
      </c>
      <c r="AU118" t="b">
        <v>1</v>
      </c>
      <c r="AV118" t="b">
        <v>1</v>
      </c>
      <c r="AW118" t="b">
        <v>1</v>
      </c>
      <c r="BC118" t="s">
        <v>374</v>
      </c>
    </row>
    <row r="119" spans="1:55" x14ac:dyDescent="0.2">
      <c r="A119" t="s">
        <v>39</v>
      </c>
      <c r="B119" t="s">
        <v>40</v>
      </c>
      <c r="C119">
        <v>20200101</v>
      </c>
      <c r="D119">
        <v>2020</v>
      </c>
      <c r="E119">
        <v>52</v>
      </c>
      <c r="F119" t="s">
        <v>309</v>
      </c>
      <c r="G119">
        <v>56</v>
      </c>
      <c r="H119" t="s">
        <v>73</v>
      </c>
      <c r="I119" t="s">
        <v>74</v>
      </c>
      <c r="J119" t="s">
        <v>44</v>
      </c>
      <c r="K119" t="s">
        <v>45</v>
      </c>
      <c r="L119">
        <v>0</v>
      </c>
      <c r="M119" t="s">
        <v>46</v>
      </c>
      <c r="N119" t="s">
        <v>47</v>
      </c>
      <c r="O119">
        <v>0</v>
      </c>
      <c r="P119" t="s">
        <v>46</v>
      </c>
      <c r="Q119" t="s">
        <v>47</v>
      </c>
      <c r="R119" t="s">
        <v>48</v>
      </c>
      <c r="S119" t="s">
        <v>49</v>
      </c>
      <c r="T119" t="b">
        <v>1</v>
      </c>
      <c r="U119" t="s">
        <v>50</v>
      </c>
      <c r="V119" t="s">
        <v>51</v>
      </c>
      <c r="W119">
        <v>4</v>
      </c>
      <c r="X119" t="b">
        <v>0</v>
      </c>
      <c r="Y119" t="s">
        <v>52</v>
      </c>
      <c r="Z119" t="s">
        <v>53</v>
      </c>
      <c r="AA119" t="s">
        <v>54</v>
      </c>
      <c r="AB119">
        <v>0</v>
      </c>
      <c r="AC119" t="s">
        <v>55</v>
      </c>
      <c r="AD119">
        <v>-1</v>
      </c>
      <c r="AE119" t="s">
        <v>64</v>
      </c>
      <c r="AF119">
        <v>0</v>
      </c>
      <c r="AG119" t="b">
        <v>0</v>
      </c>
      <c r="AH119">
        <v>-1</v>
      </c>
      <c r="AI119" t="s">
        <v>64</v>
      </c>
      <c r="AJ119">
        <v>0</v>
      </c>
      <c r="AK119" t="b">
        <v>0</v>
      </c>
      <c r="AM119" t="b">
        <v>0</v>
      </c>
      <c r="AN119">
        <v>0</v>
      </c>
      <c r="AO119" t="b">
        <v>0</v>
      </c>
      <c r="AQ119">
        <v>1545175481.1559999</v>
      </c>
      <c r="AR119">
        <v>1545175481.1559999</v>
      </c>
      <c r="AS119">
        <v>0</v>
      </c>
      <c r="AT119" t="b">
        <v>0</v>
      </c>
      <c r="AU119" t="b">
        <v>1</v>
      </c>
      <c r="AV119" t="b">
        <v>1</v>
      </c>
      <c r="AW119" t="b">
        <v>1</v>
      </c>
      <c r="BC119" t="s">
        <v>374</v>
      </c>
    </row>
    <row r="120" spans="1:55" x14ac:dyDescent="0.2">
      <c r="A120" t="s">
        <v>39</v>
      </c>
      <c r="B120" t="s">
        <v>40</v>
      </c>
      <c r="C120">
        <v>20200101</v>
      </c>
      <c r="D120">
        <v>2020</v>
      </c>
      <c r="E120">
        <v>52</v>
      </c>
      <c r="F120" t="s">
        <v>309</v>
      </c>
      <c r="G120">
        <v>68</v>
      </c>
      <c r="H120" t="s">
        <v>75</v>
      </c>
      <c r="I120" t="s">
        <v>76</v>
      </c>
      <c r="J120" t="s">
        <v>44</v>
      </c>
      <c r="K120" t="s">
        <v>45</v>
      </c>
      <c r="L120">
        <v>0</v>
      </c>
      <c r="M120" t="s">
        <v>46</v>
      </c>
      <c r="N120" t="s">
        <v>47</v>
      </c>
      <c r="O120">
        <v>0</v>
      </c>
      <c r="P120" t="s">
        <v>46</v>
      </c>
      <c r="Q120" t="s">
        <v>47</v>
      </c>
      <c r="R120" t="s">
        <v>48</v>
      </c>
      <c r="S120" t="s">
        <v>49</v>
      </c>
      <c r="T120" t="b">
        <v>1</v>
      </c>
      <c r="U120" t="s">
        <v>50</v>
      </c>
      <c r="V120" t="s">
        <v>51</v>
      </c>
      <c r="W120">
        <v>4</v>
      </c>
      <c r="X120" t="b">
        <v>0</v>
      </c>
      <c r="Y120" t="s">
        <v>52</v>
      </c>
      <c r="Z120" t="s">
        <v>53</v>
      </c>
      <c r="AA120" t="s">
        <v>54</v>
      </c>
      <c r="AB120">
        <v>0</v>
      </c>
      <c r="AC120" t="s">
        <v>55</v>
      </c>
      <c r="AD120">
        <v>8</v>
      </c>
      <c r="AE120" t="s">
        <v>56</v>
      </c>
      <c r="AF120">
        <v>23867.85</v>
      </c>
      <c r="AG120" t="b">
        <v>0</v>
      </c>
      <c r="AH120">
        <v>8</v>
      </c>
      <c r="AI120" t="s">
        <v>56</v>
      </c>
      <c r="AJ120">
        <v>23867.85</v>
      </c>
      <c r="AK120" t="b">
        <v>0</v>
      </c>
      <c r="AL120">
        <v>22605.06</v>
      </c>
      <c r="AM120" t="b">
        <v>0</v>
      </c>
      <c r="AN120">
        <v>0</v>
      </c>
      <c r="AO120" t="b">
        <v>0</v>
      </c>
      <c r="AP120">
        <v>0</v>
      </c>
      <c r="AQ120">
        <v>1229638379.29</v>
      </c>
      <c r="AR120">
        <v>1229638379.29</v>
      </c>
      <c r="AS120">
        <v>0</v>
      </c>
      <c r="AT120" t="b">
        <v>0</v>
      </c>
      <c r="AU120" t="b">
        <v>1</v>
      </c>
      <c r="AV120" t="b">
        <v>1</v>
      </c>
      <c r="AW120" t="b">
        <v>1</v>
      </c>
      <c r="BC120" t="s">
        <v>374</v>
      </c>
    </row>
    <row r="121" spans="1:55" x14ac:dyDescent="0.2">
      <c r="A121" t="s">
        <v>39</v>
      </c>
      <c r="B121" t="s">
        <v>40</v>
      </c>
      <c r="C121">
        <v>20200101</v>
      </c>
      <c r="D121">
        <v>2020</v>
      </c>
      <c r="E121">
        <v>52</v>
      </c>
      <c r="F121" t="s">
        <v>309</v>
      </c>
      <c r="G121">
        <v>70</v>
      </c>
      <c r="H121" t="s">
        <v>77</v>
      </c>
      <c r="I121" t="s">
        <v>78</v>
      </c>
      <c r="J121" t="s">
        <v>44</v>
      </c>
      <c r="K121" t="s">
        <v>45</v>
      </c>
      <c r="L121">
        <v>0</v>
      </c>
      <c r="M121" t="s">
        <v>46</v>
      </c>
      <c r="N121" t="s">
        <v>47</v>
      </c>
      <c r="O121">
        <v>0</v>
      </c>
      <c r="P121" t="s">
        <v>46</v>
      </c>
      <c r="Q121" t="s">
        <v>47</v>
      </c>
      <c r="R121" t="s">
        <v>48</v>
      </c>
      <c r="S121" t="s">
        <v>49</v>
      </c>
      <c r="T121" t="b">
        <v>1</v>
      </c>
      <c r="U121" t="s">
        <v>50</v>
      </c>
      <c r="V121" t="s">
        <v>51</v>
      </c>
      <c r="W121">
        <v>4</v>
      </c>
      <c r="X121" t="b">
        <v>0</v>
      </c>
      <c r="Y121" t="s">
        <v>52</v>
      </c>
      <c r="Z121" t="s">
        <v>53</v>
      </c>
      <c r="AA121" t="s">
        <v>54</v>
      </c>
      <c r="AB121">
        <v>0</v>
      </c>
      <c r="AC121" t="s">
        <v>55</v>
      </c>
      <c r="AD121">
        <v>8</v>
      </c>
      <c r="AE121" t="s">
        <v>56</v>
      </c>
      <c r="AF121">
        <v>18.247</v>
      </c>
      <c r="AG121" t="b">
        <v>1</v>
      </c>
      <c r="AH121">
        <v>-1</v>
      </c>
      <c r="AI121" t="s">
        <v>64</v>
      </c>
      <c r="AJ121">
        <v>0</v>
      </c>
      <c r="AK121" t="b">
        <v>0</v>
      </c>
      <c r="AL121">
        <v>18.247</v>
      </c>
      <c r="AM121" t="b">
        <v>1</v>
      </c>
      <c r="AN121">
        <v>0</v>
      </c>
      <c r="AO121" t="b">
        <v>0</v>
      </c>
      <c r="AQ121">
        <v>634012.05000000005</v>
      </c>
      <c r="AR121">
        <v>634012.05000000005</v>
      </c>
      <c r="AS121">
        <v>6</v>
      </c>
      <c r="AT121" t="b">
        <v>0</v>
      </c>
      <c r="AU121" t="b">
        <v>1</v>
      </c>
      <c r="AV121" t="b">
        <v>1</v>
      </c>
      <c r="AW121" t="b">
        <v>1</v>
      </c>
      <c r="BC121" t="s">
        <v>374</v>
      </c>
    </row>
    <row r="122" spans="1:55" x14ac:dyDescent="0.2">
      <c r="A122" t="s">
        <v>39</v>
      </c>
      <c r="B122" t="s">
        <v>40</v>
      </c>
      <c r="C122">
        <v>20200101</v>
      </c>
      <c r="D122">
        <v>2020</v>
      </c>
      <c r="E122">
        <v>52</v>
      </c>
      <c r="F122" t="s">
        <v>309</v>
      </c>
      <c r="G122">
        <v>72</v>
      </c>
      <c r="H122" t="s">
        <v>79</v>
      </c>
      <c r="I122" t="s">
        <v>80</v>
      </c>
      <c r="J122" t="s">
        <v>44</v>
      </c>
      <c r="K122" t="s">
        <v>45</v>
      </c>
      <c r="L122">
        <v>0</v>
      </c>
      <c r="M122" t="s">
        <v>46</v>
      </c>
      <c r="N122" t="s">
        <v>47</v>
      </c>
      <c r="O122">
        <v>0</v>
      </c>
      <c r="P122" t="s">
        <v>46</v>
      </c>
      <c r="Q122" t="s">
        <v>47</v>
      </c>
      <c r="R122" t="s">
        <v>48</v>
      </c>
      <c r="S122" t="s">
        <v>49</v>
      </c>
      <c r="T122" t="b">
        <v>1</v>
      </c>
      <c r="U122" t="s">
        <v>50</v>
      </c>
      <c r="V122" t="s">
        <v>51</v>
      </c>
      <c r="W122">
        <v>4</v>
      </c>
      <c r="X122" t="b">
        <v>0</v>
      </c>
      <c r="Y122" t="s">
        <v>52</v>
      </c>
      <c r="Z122" t="s">
        <v>53</v>
      </c>
      <c r="AA122" t="s">
        <v>54</v>
      </c>
      <c r="AB122">
        <v>0</v>
      </c>
      <c r="AC122" t="s">
        <v>55</v>
      </c>
      <c r="AD122">
        <v>8</v>
      </c>
      <c r="AE122" t="s">
        <v>56</v>
      </c>
      <c r="AF122">
        <v>1196.366</v>
      </c>
      <c r="AG122" t="b">
        <v>0</v>
      </c>
      <c r="AH122">
        <v>8</v>
      </c>
      <c r="AI122" t="s">
        <v>56</v>
      </c>
      <c r="AJ122">
        <v>1196.366</v>
      </c>
      <c r="AK122" t="b">
        <v>0</v>
      </c>
      <c r="AL122">
        <v>881.67100000000005</v>
      </c>
      <c r="AM122" t="b">
        <v>0</v>
      </c>
      <c r="AN122">
        <v>0</v>
      </c>
      <c r="AO122" t="b">
        <v>0</v>
      </c>
      <c r="AQ122">
        <v>50493518.921999998</v>
      </c>
      <c r="AR122">
        <v>50493518.921999998</v>
      </c>
      <c r="AS122">
        <v>0</v>
      </c>
      <c r="AT122" t="b">
        <v>0</v>
      </c>
      <c r="AU122" t="b">
        <v>1</v>
      </c>
      <c r="AV122" t="b">
        <v>1</v>
      </c>
      <c r="AW122" t="b">
        <v>1</v>
      </c>
      <c r="BC122" t="s">
        <v>374</v>
      </c>
    </row>
    <row r="123" spans="1:55" x14ac:dyDescent="0.2">
      <c r="A123" t="s">
        <v>39</v>
      </c>
      <c r="B123" t="s">
        <v>40</v>
      </c>
      <c r="C123">
        <v>20200101</v>
      </c>
      <c r="D123">
        <v>2020</v>
      </c>
      <c r="E123">
        <v>52</v>
      </c>
      <c r="F123" t="s">
        <v>309</v>
      </c>
      <c r="G123">
        <v>76</v>
      </c>
      <c r="H123" t="s">
        <v>81</v>
      </c>
      <c r="I123" t="s">
        <v>82</v>
      </c>
      <c r="J123" t="s">
        <v>44</v>
      </c>
      <c r="K123" t="s">
        <v>45</v>
      </c>
      <c r="L123">
        <v>0</v>
      </c>
      <c r="M123" t="s">
        <v>46</v>
      </c>
      <c r="N123" t="s">
        <v>47</v>
      </c>
      <c r="O123">
        <v>0</v>
      </c>
      <c r="P123" t="s">
        <v>46</v>
      </c>
      <c r="Q123" t="s">
        <v>47</v>
      </c>
      <c r="R123" t="s">
        <v>48</v>
      </c>
      <c r="S123" t="s">
        <v>49</v>
      </c>
      <c r="T123" t="b">
        <v>1</v>
      </c>
      <c r="U123" t="s">
        <v>50</v>
      </c>
      <c r="V123" t="s">
        <v>51</v>
      </c>
      <c r="W123">
        <v>4</v>
      </c>
      <c r="X123" t="b">
        <v>0</v>
      </c>
      <c r="Y123" t="s">
        <v>52</v>
      </c>
      <c r="Z123" t="s">
        <v>53</v>
      </c>
      <c r="AA123" t="s">
        <v>54</v>
      </c>
      <c r="AB123">
        <v>0</v>
      </c>
      <c r="AC123" t="s">
        <v>55</v>
      </c>
      <c r="AD123">
        <v>-1</v>
      </c>
      <c r="AE123" t="s">
        <v>64</v>
      </c>
      <c r="AF123">
        <v>0</v>
      </c>
      <c r="AG123" t="b">
        <v>0</v>
      </c>
      <c r="AH123">
        <v>-1</v>
      </c>
      <c r="AI123" t="s">
        <v>64</v>
      </c>
      <c r="AJ123">
        <v>0</v>
      </c>
      <c r="AK123" t="b">
        <v>0</v>
      </c>
      <c r="AM123" t="b">
        <v>0</v>
      </c>
      <c r="AN123">
        <v>0</v>
      </c>
      <c r="AO123" t="b">
        <v>0</v>
      </c>
      <c r="AQ123">
        <v>4903472709</v>
      </c>
      <c r="AR123">
        <v>4903472709</v>
      </c>
      <c r="AS123">
        <v>0</v>
      </c>
      <c r="AT123" t="b">
        <v>0</v>
      </c>
      <c r="AU123" t="b">
        <v>1</v>
      </c>
      <c r="AV123" t="b">
        <v>1</v>
      </c>
      <c r="AW123" t="b">
        <v>1</v>
      </c>
      <c r="BC123" t="s">
        <v>374</v>
      </c>
    </row>
    <row r="124" spans="1:55" x14ac:dyDescent="0.2">
      <c r="A124" t="s">
        <v>39</v>
      </c>
      <c r="B124" t="s">
        <v>40</v>
      </c>
      <c r="C124">
        <v>20200101</v>
      </c>
      <c r="D124">
        <v>2020</v>
      </c>
      <c r="E124">
        <v>52</v>
      </c>
      <c r="F124" t="s">
        <v>309</v>
      </c>
      <c r="G124">
        <v>96</v>
      </c>
      <c r="H124" t="s">
        <v>313</v>
      </c>
      <c r="I124" t="s">
        <v>314</v>
      </c>
      <c r="J124" t="s">
        <v>44</v>
      </c>
      <c r="K124" t="s">
        <v>45</v>
      </c>
      <c r="L124">
        <v>0</v>
      </c>
      <c r="M124" t="s">
        <v>46</v>
      </c>
      <c r="N124" t="s">
        <v>47</v>
      </c>
      <c r="O124">
        <v>0</v>
      </c>
      <c r="P124" t="s">
        <v>46</v>
      </c>
      <c r="Q124" t="s">
        <v>47</v>
      </c>
      <c r="R124" t="s">
        <v>48</v>
      </c>
      <c r="S124" t="s">
        <v>49</v>
      </c>
      <c r="T124" t="b">
        <v>1</v>
      </c>
      <c r="U124" t="s">
        <v>50</v>
      </c>
      <c r="V124" t="s">
        <v>51</v>
      </c>
      <c r="W124">
        <v>4</v>
      </c>
      <c r="X124" t="b">
        <v>0</v>
      </c>
      <c r="Y124" t="s">
        <v>52</v>
      </c>
      <c r="Z124" t="s">
        <v>53</v>
      </c>
      <c r="AA124" t="s">
        <v>54</v>
      </c>
      <c r="AB124">
        <v>0</v>
      </c>
      <c r="AC124" t="s">
        <v>55</v>
      </c>
      <c r="AD124">
        <v>8</v>
      </c>
      <c r="AE124" t="s">
        <v>56</v>
      </c>
      <c r="AF124">
        <v>287</v>
      </c>
      <c r="AG124" t="b">
        <v>0</v>
      </c>
      <c r="AH124">
        <v>8</v>
      </c>
      <c r="AI124" t="s">
        <v>56</v>
      </c>
      <c r="AJ124">
        <v>287</v>
      </c>
      <c r="AK124" t="b">
        <v>0</v>
      </c>
      <c r="AL124">
        <v>287</v>
      </c>
      <c r="AM124" t="b">
        <v>0</v>
      </c>
      <c r="AN124">
        <v>0</v>
      </c>
      <c r="AO124" t="b">
        <v>0</v>
      </c>
      <c r="AP124">
        <v>0</v>
      </c>
      <c r="AQ124">
        <v>11712816.859999999</v>
      </c>
      <c r="AR124">
        <v>11712816.859999999</v>
      </c>
      <c r="AS124">
        <v>0</v>
      </c>
      <c r="AT124" t="b">
        <v>0</v>
      </c>
      <c r="AU124" t="b">
        <v>1</v>
      </c>
      <c r="AV124" t="b">
        <v>1</v>
      </c>
      <c r="AW124" t="b">
        <v>1</v>
      </c>
      <c r="BC124" t="s">
        <v>374</v>
      </c>
    </row>
    <row r="125" spans="1:55" x14ac:dyDescent="0.2">
      <c r="A125" t="s">
        <v>39</v>
      </c>
      <c r="B125" t="s">
        <v>40</v>
      </c>
      <c r="C125">
        <v>20200101</v>
      </c>
      <c r="D125">
        <v>2020</v>
      </c>
      <c r="E125">
        <v>52</v>
      </c>
      <c r="F125" t="s">
        <v>309</v>
      </c>
      <c r="G125">
        <v>100</v>
      </c>
      <c r="H125" t="s">
        <v>83</v>
      </c>
      <c r="I125" t="s">
        <v>84</v>
      </c>
      <c r="J125" t="s">
        <v>44</v>
      </c>
      <c r="K125" t="s">
        <v>45</v>
      </c>
      <c r="L125">
        <v>0</v>
      </c>
      <c r="M125" t="s">
        <v>46</v>
      </c>
      <c r="N125" t="s">
        <v>47</v>
      </c>
      <c r="O125">
        <v>0</v>
      </c>
      <c r="P125" t="s">
        <v>46</v>
      </c>
      <c r="Q125" t="s">
        <v>47</v>
      </c>
      <c r="R125" t="s">
        <v>48</v>
      </c>
      <c r="S125" t="s">
        <v>49</v>
      </c>
      <c r="T125" t="b">
        <v>1</v>
      </c>
      <c r="U125" t="s">
        <v>50</v>
      </c>
      <c r="V125" t="s">
        <v>51</v>
      </c>
      <c r="W125">
        <v>4</v>
      </c>
      <c r="X125" t="b">
        <v>0</v>
      </c>
      <c r="Y125" t="s">
        <v>52</v>
      </c>
      <c r="Z125" t="s">
        <v>53</v>
      </c>
      <c r="AA125" t="s">
        <v>54</v>
      </c>
      <c r="AB125">
        <v>0</v>
      </c>
      <c r="AC125" t="s">
        <v>55</v>
      </c>
      <c r="AD125">
        <v>8</v>
      </c>
      <c r="AE125" t="s">
        <v>56</v>
      </c>
      <c r="AF125">
        <v>2049.4259999999999</v>
      </c>
      <c r="AG125" t="b">
        <v>0</v>
      </c>
      <c r="AH125">
        <v>15</v>
      </c>
      <c r="AI125" t="s">
        <v>59</v>
      </c>
      <c r="AJ125">
        <v>2049426</v>
      </c>
      <c r="AK125" t="b">
        <v>0</v>
      </c>
      <c r="AL125">
        <v>2049.0889999999999</v>
      </c>
      <c r="AM125" t="b">
        <v>0</v>
      </c>
      <c r="AN125">
        <v>0</v>
      </c>
      <c r="AO125" t="b">
        <v>0</v>
      </c>
      <c r="AP125">
        <v>0</v>
      </c>
      <c r="AQ125">
        <v>29119575.767999999</v>
      </c>
      <c r="AR125">
        <v>29119575.767999999</v>
      </c>
      <c r="AS125">
        <v>0</v>
      </c>
      <c r="AT125" t="b">
        <v>0</v>
      </c>
      <c r="AU125" t="b">
        <v>1</v>
      </c>
      <c r="AV125" t="b">
        <v>1</v>
      </c>
      <c r="AW125" t="b">
        <v>1</v>
      </c>
      <c r="BC125" t="s">
        <v>374</v>
      </c>
    </row>
    <row r="126" spans="1:55" x14ac:dyDescent="0.2">
      <c r="A126" t="s">
        <v>39</v>
      </c>
      <c r="B126" t="s">
        <v>40</v>
      </c>
      <c r="C126">
        <v>20200101</v>
      </c>
      <c r="D126">
        <v>2020</v>
      </c>
      <c r="E126">
        <v>52</v>
      </c>
      <c r="F126" t="s">
        <v>309</v>
      </c>
      <c r="G126">
        <v>108</v>
      </c>
      <c r="H126" t="s">
        <v>85</v>
      </c>
      <c r="I126" t="s">
        <v>86</v>
      </c>
      <c r="J126" t="s">
        <v>44</v>
      </c>
      <c r="K126" t="s">
        <v>45</v>
      </c>
      <c r="L126">
        <v>0</v>
      </c>
      <c r="M126" t="s">
        <v>46</v>
      </c>
      <c r="N126" t="s">
        <v>47</v>
      </c>
      <c r="O126">
        <v>0</v>
      </c>
      <c r="P126" t="s">
        <v>46</v>
      </c>
      <c r="Q126" t="s">
        <v>47</v>
      </c>
      <c r="R126" t="s">
        <v>48</v>
      </c>
      <c r="S126" t="s">
        <v>49</v>
      </c>
      <c r="T126" t="b">
        <v>1</v>
      </c>
      <c r="U126" t="s">
        <v>50</v>
      </c>
      <c r="V126" t="s">
        <v>51</v>
      </c>
      <c r="W126">
        <v>4</v>
      </c>
      <c r="X126" t="b">
        <v>0</v>
      </c>
      <c r="Y126" t="s">
        <v>52</v>
      </c>
      <c r="Z126" t="s">
        <v>53</v>
      </c>
      <c r="AA126" t="s">
        <v>54</v>
      </c>
      <c r="AB126">
        <v>0</v>
      </c>
      <c r="AC126" t="s">
        <v>55</v>
      </c>
      <c r="AD126">
        <v>8</v>
      </c>
      <c r="AE126" t="s">
        <v>56</v>
      </c>
      <c r="AF126">
        <v>863</v>
      </c>
      <c r="AG126" t="b">
        <v>0</v>
      </c>
      <c r="AH126">
        <v>8</v>
      </c>
      <c r="AI126" t="s">
        <v>56</v>
      </c>
      <c r="AJ126">
        <v>863</v>
      </c>
      <c r="AK126" t="b">
        <v>0</v>
      </c>
      <c r="AL126">
        <v>863</v>
      </c>
      <c r="AM126" t="b">
        <v>0</v>
      </c>
      <c r="AN126">
        <v>0</v>
      </c>
      <c r="AO126" t="b">
        <v>0</v>
      </c>
      <c r="AQ126">
        <v>45970920.243000001</v>
      </c>
      <c r="AR126">
        <v>45970920.243000001</v>
      </c>
      <c r="AS126">
        <v>0</v>
      </c>
      <c r="AT126" t="b">
        <v>0</v>
      </c>
      <c r="AU126" t="b">
        <v>1</v>
      </c>
      <c r="AV126" t="b">
        <v>1</v>
      </c>
      <c r="AW126" t="b">
        <v>1</v>
      </c>
      <c r="BC126" t="s">
        <v>374</v>
      </c>
    </row>
    <row r="127" spans="1:55" x14ac:dyDescent="0.2">
      <c r="A127" t="s">
        <v>39</v>
      </c>
      <c r="B127" t="s">
        <v>40</v>
      </c>
      <c r="C127">
        <v>20200101</v>
      </c>
      <c r="D127">
        <v>2020</v>
      </c>
      <c r="E127">
        <v>52</v>
      </c>
      <c r="F127" t="s">
        <v>309</v>
      </c>
      <c r="G127">
        <v>116</v>
      </c>
      <c r="H127" t="s">
        <v>87</v>
      </c>
      <c r="I127" t="s">
        <v>88</v>
      </c>
      <c r="J127" t="s">
        <v>44</v>
      </c>
      <c r="K127" t="s">
        <v>45</v>
      </c>
      <c r="L127">
        <v>0</v>
      </c>
      <c r="M127" t="s">
        <v>46</v>
      </c>
      <c r="N127" t="s">
        <v>47</v>
      </c>
      <c r="O127">
        <v>0</v>
      </c>
      <c r="P127" t="s">
        <v>46</v>
      </c>
      <c r="Q127" t="s">
        <v>47</v>
      </c>
      <c r="R127" t="s">
        <v>48</v>
      </c>
      <c r="S127" t="s">
        <v>49</v>
      </c>
      <c r="T127" t="b">
        <v>1</v>
      </c>
      <c r="U127" t="s">
        <v>50</v>
      </c>
      <c r="V127" t="s">
        <v>51</v>
      </c>
      <c r="W127">
        <v>4</v>
      </c>
      <c r="X127" t="b">
        <v>0</v>
      </c>
      <c r="Y127" t="s">
        <v>52</v>
      </c>
      <c r="Z127" t="s">
        <v>53</v>
      </c>
      <c r="AA127" t="s">
        <v>54</v>
      </c>
      <c r="AB127">
        <v>0</v>
      </c>
      <c r="AC127" t="s">
        <v>55</v>
      </c>
      <c r="AD127">
        <v>8</v>
      </c>
      <c r="AE127" t="s">
        <v>56</v>
      </c>
      <c r="AF127">
        <v>52721</v>
      </c>
      <c r="AG127" t="b">
        <v>0</v>
      </c>
      <c r="AH127">
        <v>8</v>
      </c>
      <c r="AI127" t="s">
        <v>56</v>
      </c>
      <c r="AJ127">
        <v>52721</v>
      </c>
      <c r="AK127" t="b">
        <v>0</v>
      </c>
      <c r="AL127">
        <v>52721</v>
      </c>
      <c r="AM127" t="b">
        <v>0</v>
      </c>
      <c r="AN127">
        <v>0</v>
      </c>
      <c r="AO127" t="b">
        <v>0</v>
      </c>
      <c r="AP127">
        <v>0</v>
      </c>
      <c r="AQ127">
        <v>3011284884</v>
      </c>
      <c r="AR127">
        <v>3011284884</v>
      </c>
      <c r="AS127">
        <v>0</v>
      </c>
      <c r="AT127" t="b">
        <v>0</v>
      </c>
      <c r="AU127" t="b">
        <v>1</v>
      </c>
      <c r="AV127" t="b">
        <v>1</v>
      </c>
      <c r="AW127" t="b">
        <v>1</v>
      </c>
      <c r="BC127" t="s">
        <v>374</v>
      </c>
    </row>
    <row r="128" spans="1:55" x14ac:dyDescent="0.2">
      <c r="A128" t="s">
        <v>39</v>
      </c>
      <c r="B128" t="s">
        <v>40</v>
      </c>
      <c r="C128">
        <v>20200101</v>
      </c>
      <c r="D128">
        <v>2020</v>
      </c>
      <c r="E128">
        <v>52</v>
      </c>
      <c r="F128" t="s">
        <v>309</v>
      </c>
      <c r="G128">
        <v>120</v>
      </c>
      <c r="H128" t="s">
        <v>89</v>
      </c>
      <c r="I128" t="s">
        <v>90</v>
      </c>
      <c r="J128" t="s">
        <v>44</v>
      </c>
      <c r="K128" t="s">
        <v>45</v>
      </c>
      <c r="L128">
        <v>0</v>
      </c>
      <c r="M128" t="s">
        <v>46</v>
      </c>
      <c r="N128" t="s">
        <v>47</v>
      </c>
      <c r="O128">
        <v>0</v>
      </c>
      <c r="P128" t="s">
        <v>46</v>
      </c>
      <c r="Q128" t="s">
        <v>47</v>
      </c>
      <c r="R128" t="s">
        <v>48</v>
      </c>
      <c r="S128" t="s">
        <v>49</v>
      </c>
      <c r="T128" t="b">
        <v>1</v>
      </c>
      <c r="U128" t="s">
        <v>50</v>
      </c>
      <c r="V128" t="s">
        <v>51</v>
      </c>
      <c r="W128">
        <v>4</v>
      </c>
      <c r="X128" t="b">
        <v>0</v>
      </c>
      <c r="Y128" t="s">
        <v>52</v>
      </c>
      <c r="Z128" t="s">
        <v>53</v>
      </c>
      <c r="AA128" t="s">
        <v>54</v>
      </c>
      <c r="AB128">
        <v>0</v>
      </c>
      <c r="AC128" t="s">
        <v>55</v>
      </c>
      <c r="AD128">
        <v>8</v>
      </c>
      <c r="AE128" t="s">
        <v>56</v>
      </c>
      <c r="AF128">
        <v>5.32</v>
      </c>
      <c r="AG128" t="b">
        <v>0</v>
      </c>
      <c r="AH128">
        <v>8</v>
      </c>
      <c r="AI128" t="s">
        <v>56</v>
      </c>
      <c r="AJ128">
        <v>5.32</v>
      </c>
      <c r="AK128" t="b">
        <v>0</v>
      </c>
      <c r="AL128">
        <v>5.32</v>
      </c>
      <c r="AM128" t="b">
        <v>0</v>
      </c>
      <c r="AN128">
        <v>0</v>
      </c>
      <c r="AO128" t="b">
        <v>0</v>
      </c>
      <c r="AQ128">
        <v>162247.48000000001</v>
      </c>
      <c r="AR128">
        <v>162247.48000000001</v>
      </c>
      <c r="AS128">
        <v>0</v>
      </c>
      <c r="AT128" t="b">
        <v>0</v>
      </c>
      <c r="AU128" t="b">
        <v>1</v>
      </c>
      <c r="AV128" t="b">
        <v>1</v>
      </c>
      <c r="AW128" t="b">
        <v>1</v>
      </c>
      <c r="BC128" t="s">
        <v>374</v>
      </c>
    </row>
    <row r="129" spans="1:55" x14ac:dyDescent="0.2">
      <c r="A129" t="s">
        <v>39</v>
      </c>
      <c r="B129" t="s">
        <v>40</v>
      </c>
      <c r="C129">
        <v>20200101</v>
      </c>
      <c r="D129">
        <v>2020</v>
      </c>
      <c r="E129">
        <v>52</v>
      </c>
      <c r="F129" t="s">
        <v>309</v>
      </c>
      <c r="G129">
        <v>136</v>
      </c>
      <c r="H129" t="s">
        <v>315</v>
      </c>
      <c r="I129" t="s">
        <v>316</v>
      </c>
      <c r="J129" t="s">
        <v>44</v>
      </c>
      <c r="K129" t="s">
        <v>45</v>
      </c>
      <c r="L129">
        <v>0</v>
      </c>
      <c r="M129" t="s">
        <v>46</v>
      </c>
      <c r="N129" t="s">
        <v>47</v>
      </c>
      <c r="O129">
        <v>0</v>
      </c>
      <c r="P129" t="s">
        <v>46</v>
      </c>
      <c r="Q129" t="s">
        <v>47</v>
      </c>
      <c r="R129" t="s">
        <v>48</v>
      </c>
      <c r="S129" t="s">
        <v>49</v>
      </c>
      <c r="T129" t="b">
        <v>1</v>
      </c>
      <c r="U129" t="s">
        <v>50</v>
      </c>
      <c r="V129" t="s">
        <v>51</v>
      </c>
      <c r="W129">
        <v>4</v>
      </c>
      <c r="X129" t="b">
        <v>0</v>
      </c>
      <c r="Y129" t="s">
        <v>52</v>
      </c>
      <c r="Z129" t="s">
        <v>53</v>
      </c>
      <c r="AA129" t="s">
        <v>54</v>
      </c>
      <c r="AB129">
        <v>0</v>
      </c>
      <c r="AC129" t="s">
        <v>55</v>
      </c>
      <c r="AD129">
        <v>-1</v>
      </c>
      <c r="AE129" t="s">
        <v>64</v>
      </c>
      <c r="AF129">
        <v>0</v>
      </c>
      <c r="AG129" t="b">
        <v>0</v>
      </c>
      <c r="AH129">
        <v>-1</v>
      </c>
      <c r="AI129" t="s">
        <v>64</v>
      </c>
      <c r="AJ129">
        <v>0</v>
      </c>
      <c r="AK129" t="b">
        <v>0</v>
      </c>
      <c r="AL129">
        <v>0</v>
      </c>
      <c r="AM129" t="b">
        <v>0</v>
      </c>
      <c r="AN129">
        <v>0</v>
      </c>
      <c r="AO129" t="b">
        <v>0</v>
      </c>
      <c r="AP129">
        <v>0</v>
      </c>
      <c r="AQ129">
        <v>36330.150999999998</v>
      </c>
      <c r="AR129">
        <v>36330.150999999998</v>
      </c>
      <c r="AS129">
        <v>0</v>
      </c>
      <c r="AT129" t="b">
        <v>0</v>
      </c>
      <c r="AU129" t="b">
        <v>1</v>
      </c>
      <c r="AV129" t="b">
        <v>1</v>
      </c>
      <c r="AW129" t="b">
        <v>1</v>
      </c>
      <c r="BC129" t="s">
        <v>374</v>
      </c>
    </row>
    <row r="130" spans="1:55" x14ac:dyDescent="0.2">
      <c r="A130" t="s">
        <v>39</v>
      </c>
      <c r="B130" t="s">
        <v>40</v>
      </c>
      <c r="C130">
        <v>20200101</v>
      </c>
      <c r="D130">
        <v>2020</v>
      </c>
      <c r="E130">
        <v>52</v>
      </c>
      <c r="F130" t="s">
        <v>309</v>
      </c>
      <c r="G130">
        <v>140</v>
      </c>
      <c r="H130" t="s">
        <v>93</v>
      </c>
      <c r="I130" t="s">
        <v>94</v>
      </c>
      <c r="J130" t="s">
        <v>44</v>
      </c>
      <c r="K130" t="s">
        <v>45</v>
      </c>
      <c r="L130">
        <v>0</v>
      </c>
      <c r="M130" t="s">
        <v>46</v>
      </c>
      <c r="N130" t="s">
        <v>47</v>
      </c>
      <c r="O130">
        <v>0</v>
      </c>
      <c r="P130" t="s">
        <v>46</v>
      </c>
      <c r="Q130" t="s">
        <v>47</v>
      </c>
      <c r="R130" t="s">
        <v>95</v>
      </c>
      <c r="S130" t="s">
        <v>49</v>
      </c>
      <c r="T130" t="b">
        <v>1</v>
      </c>
      <c r="U130" t="s">
        <v>50</v>
      </c>
      <c r="V130" t="s">
        <v>51</v>
      </c>
      <c r="W130">
        <v>4</v>
      </c>
      <c r="X130" t="b">
        <v>0</v>
      </c>
      <c r="Y130" t="s">
        <v>52</v>
      </c>
      <c r="Z130" t="s">
        <v>53</v>
      </c>
      <c r="AA130" t="s">
        <v>54</v>
      </c>
      <c r="AB130">
        <v>0</v>
      </c>
      <c r="AC130" t="s">
        <v>55</v>
      </c>
      <c r="AD130">
        <v>8</v>
      </c>
      <c r="AE130" t="s">
        <v>56</v>
      </c>
      <c r="AF130">
        <v>226</v>
      </c>
      <c r="AG130" t="b">
        <v>0</v>
      </c>
      <c r="AH130">
        <v>8</v>
      </c>
      <c r="AI130" t="s">
        <v>56</v>
      </c>
      <c r="AJ130">
        <v>226</v>
      </c>
      <c r="AK130" t="b">
        <v>0</v>
      </c>
      <c r="AL130">
        <v>226</v>
      </c>
      <c r="AM130" t="b">
        <v>0</v>
      </c>
      <c r="AN130">
        <v>0</v>
      </c>
      <c r="AO130" t="b">
        <v>0</v>
      </c>
      <c r="AP130">
        <v>0</v>
      </c>
      <c r="AQ130">
        <v>9826211.0150000006</v>
      </c>
      <c r="AR130">
        <v>9826211.0150000006</v>
      </c>
      <c r="AS130">
        <v>0</v>
      </c>
      <c r="AT130" t="b">
        <v>0</v>
      </c>
      <c r="AU130" t="b">
        <v>1</v>
      </c>
      <c r="AV130" t="b">
        <v>1</v>
      </c>
      <c r="AW130" t="b">
        <v>1</v>
      </c>
      <c r="BC130" t="s">
        <v>374</v>
      </c>
    </row>
    <row r="131" spans="1:55" x14ac:dyDescent="0.2">
      <c r="A131" t="s">
        <v>39</v>
      </c>
      <c r="B131" t="s">
        <v>40</v>
      </c>
      <c r="C131">
        <v>20200101</v>
      </c>
      <c r="D131">
        <v>2020</v>
      </c>
      <c r="E131">
        <v>52</v>
      </c>
      <c r="F131" t="s">
        <v>309</v>
      </c>
      <c r="G131">
        <v>144</v>
      </c>
      <c r="H131" t="s">
        <v>317</v>
      </c>
      <c r="I131" t="s">
        <v>318</v>
      </c>
      <c r="J131" t="s">
        <v>44</v>
      </c>
      <c r="K131" t="s">
        <v>45</v>
      </c>
      <c r="L131">
        <v>0</v>
      </c>
      <c r="M131" t="s">
        <v>46</v>
      </c>
      <c r="N131" t="s">
        <v>47</v>
      </c>
      <c r="O131">
        <v>0</v>
      </c>
      <c r="P131" t="s">
        <v>46</v>
      </c>
      <c r="Q131" t="s">
        <v>47</v>
      </c>
      <c r="R131" t="s">
        <v>48</v>
      </c>
      <c r="S131" t="s">
        <v>49</v>
      </c>
      <c r="T131" t="b">
        <v>1</v>
      </c>
      <c r="U131" t="s">
        <v>50</v>
      </c>
      <c r="V131" t="s">
        <v>51</v>
      </c>
      <c r="W131">
        <v>4</v>
      </c>
      <c r="X131" t="b">
        <v>0</v>
      </c>
      <c r="Y131" t="s">
        <v>52</v>
      </c>
      <c r="Z131" t="s">
        <v>53</v>
      </c>
      <c r="AA131" t="s">
        <v>54</v>
      </c>
      <c r="AB131">
        <v>0</v>
      </c>
      <c r="AC131" t="s">
        <v>55</v>
      </c>
      <c r="AD131">
        <v>-1</v>
      </c>
      <c r="AE131" t="s">
        <v>64</v>
      </c>
      <c r="AF131">
        <v>0</v>
      </c>
      <c r="AG131" t="b">
        <v>1</v>
      </c>
      <c r="AH131">
        <v>-1</v>
      </c>
      <c r="AI131" t="s">
        <v>64</v>
      </c>
      <c r="AJ131">
        <v>0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P131">
        <v>0</v>
      </c>
      <c r="AQ131">
        <v>4758.3819999999996</v>
      </c>
      <c r="AR131">
        <v>4758.3819999999996</v>
      </c>
      <c r="AS131">
        <v>6</v>
      </c>
      <c r="AT131" t="b">
        <v>0</v>
      </c>
      <c r="AU131" t="b">
        <v>1</v>
      </c>
      <c r="AV131" t="b">
        <v>1</v>
      </c>
      <c r="AW131" t="b">
        <v>1</v>
      </c>
      <c r="BC131" t="s">
        <v>374</v>
      </c>
    </row>
    <row r="132" spans="1:55" x14ac:dyDescent="0.2">
      <c r="A132" t="s">
        <v>39</v>
      </c>
      <c r="B132" t="s">
        <v>40</v>
      </c>
      <c r="C132">
        <v>20200101</v>
      </c>
      <c r="D132">
        <v>2020</v>
      </c>
      <c r="E132">
        <v>52</v>
      </c>
      <c r="F132" t="s">
        <v>309</v>
      </c>
      <c r="G132">
        <v>152</v>
      </c>
      <c r="H132" t="s">
        <v>96</v>
      </c>
      <c r="I132" t="s">
        <v>97</v>
      </c>
      <c r="J132" t="s">
        <v>44</v>
      </c>
      <c r="K132" t="s">
        <v>45</v>
      </c>
      <c r="L132">
        <v>0</v>
      </c>
      <c r="M132" t="s">
        <v>46</v>
      </c>
      <c r="N132" t="s">
        <v>47</v>
      </c>
      <c r="O132">
        <v>0</v>
      </c>
      <c r="P132" t="s">
        <v>46</v>
      </c>
      <c r="Q132" t="s">
        <v>47</v>
      </c>
      <c r="R132" t="s">
        <v>48</v>
      </c>
      <c r="S132" t="s">
        <v>49</v>
      </c>
      <c r="T132" t="b">
        <v>1</v>
      </c>
      <c r="U132" t="s">
        <v>50</v>
      </c>
      <c r="V132" t="s">
        <v>51</v>
      </c>
      <c r="W132">
        <v>4</v>
      </c>
      <c r="X132" t="b">
        <v>0</v>
      </c>
      <c r="Y132" t="s">
        <v>52</v>
      </c>
      <c r="Z132" t="s">
        <v>53</v>
      </c>
      <c r="AA132" t="s">
        <v>54</v>
      </c>
      <c r="AB132">
        <v>0</v>
      </c>
      <c r="AC132" t="s">
        <v>55</v>
      </c>
      <c r="AD132">
        <v>8</v>
      </c>
      <c r="AE132" t="s">
        <v>56</v>
      </c>
      <c r="AF132">
        <v>15380.914000000001</v>
      </c>
      <c r="AG132" t="b">
        <v>0</v>
      </c>
      <c r="AH132">
        <v>8</v>
      </c>
      <c r="AI132" t="s">
        <v>56</v>
      </c>
      <c r="AJ132">
        <v>15380.914000000001</v>
      </c>
      <c r="AK132" t="b">
        <v>0</v>
      </c>
      <c r="AL132">
        <v>15380.914000000001</v>
      </c>
      <c r="AM132" t="b">
        <v>0</v>
      </c>
      <c r="AN132">
        <v>0</v>
      </c>
      <c r="AO132" t="b">
        <v>0</v>
      </c>
      <c r="AP132">
        <v>0</v>
      </c>
      <c r="AQ132">
        <v>839699790.27699995</v>
      </c>
      <c r="AR132">
        <v>839699790.27699995</v>
      </c>
      <c r="AS132">
        <v>0</v>
      </c>
      <c r="AT132" t="b">
        <v>0</v>
      </c>
      <c r="AU132" t="b">
        <v>1</v>
      </c>
      <c r="AV132" t="b">
        <v>1</v>
      </c>
      <c r="AW132" t="b">
        <v>1</v>
      </c>
      <c r="BC132" t="s">
        <v>374</v>
      </c>
    </row>
    <row r="133" spans="1:55" x14ac:dyDescent="0.2">
      <c r="A133" t="s">
        <v>39</v>
      </c>
      <c r="B133" t="s">
        <v>40</v>
      </c>
      <c r="C133">
        <v>20200101</v>
      </c>
      <c r="D133">
        <v>2020</v>
      </c>
      <c r="E133">
        <v>52</v>
      </c>
      <c r="F133" t="s">
        <v>309</v>
      </c>
      <c r="G133">
        <v>156</v>
      </c>
      <c r="H133" t="s">
        <v>98</v>
      </c>
      <c r="I133" t="s">
        <v>99</v>
      </c>
      <c r="J133" t="s">
        <v>44</v>
      </c>
      <c r="K133" t="s">
        <v>45</v>
      </c>
      <c r="L133">
        <v>0</v>
      </c>
      <c r="M133" t="s">
        <v>46</v>
      </c>
      <c r="N133" t="s">
        <v>47</v>
      </c>
      <c r="O133">
        <v>0</v>
      </c>
      <c r="P133" t="s">
        <v>46</v>
      </c>
      <c r="Q133" t="s">
        <v>47</v>
      </c>
      <c r="R133" t="s">
        <v>48</v>
      </c>
      <c r="S133" t="s">
        <v>49</v>
      </c>
      <c r="T133" t="b">
        <v>1</v>
      </c>
      <c r="U133" t="s">
        <v>50</v>
      </c>
      <c r="V133" t="s">
        <v>51</v>
      </c>
      <c r="W133">
        <v>4</v>
      </c>
      <c r="X133" t="b">
        <v>0</v>
      </c>
      <c r="Y133" t="s">
        <v>52</v>
      </c>
      <c r="Z133" t="s">
        <v>53</v>
      </c>
      <c r="AA133" t="s">
        <v>54</v>
      </c>
      <c r="AB133">
        <v>0</v>
      </c>
      <c r="AC133" t="s">
        <v>55</v>
      </c>
      <c r="AD133">
        <v>8</v>
      </c>
      <c r="AE133" t="s">
        <v>56</v>
      </c>
      <c r="AF133">
        <v>63226.601000000002</v>
      </c>
      <c r="AG133" t="b">
        <v>0</v>
      </c>
      <c r="AH133">
        <v>15</v>
      </c>
      <c r="AI133" t="s">
        <v>59</v>
      </c>
      <c r="AJ133">
        <v>63226601</v>
      </c>
      <c r="AK133" t="b">
        <v>0</v>
      </c>
      <c r="AL133">
        <v>63226.601000000002</v>
      </c>
      <c r="AM133" t="b">
        <v>0</v>
      </c>
      <c r="AN133">
        <v>0</v>
      </c>
      <c r="AO133" t="b">
        <v>0</v>
      </c>
      <c r="AP133">
        <v>0</v>
      </c>
      <c r="AQ133">
        <v>3545015055</v>
      </c>
      <c r="AR133">
        <v>3545015055</v>
      </c>
      <c r="AS133">
        <v>0</v>
      </c>
      <c r="AT133" t="b">
        <v>0</v>
      </c>
      <c r="AU133" t="b">
        <v>1</v>
      </c>
      <c r="AV133" t="b">
        <v>1</v>
      </c>
      <c r="AW133" t="b">
        <v>1</v>
      </c>
      <c r="BC133" t="s">
        <v>374</v>
      </c>
    </row>
    <row r="134" spans="1:55" x14ac:dyDescent="0.2">
      <c r="A134" t="s">
        <v>39</v>
      </c>
      <c r="B134" t="s">
        <v>40</v>
      </c>
      <c r="C134">
        <v>20200101</v>
      </c>
      <c r="D134">
        <v>2020</v>
      </c>
      <c r="E134">
        <v>52</v>
      </c>
      <c r="F134" t="s">
        <v>309</v>
      </c>
      <c r="G134">
        <v>178</v>
      </c>
      <c r="H134" t="s">
        <v>102</v>
      </c>
      <c r="I134" t="s">
        <v>103</v>
      </c>
      <c r="J134" t="s">
        <v>44</v>
      </c>
      <c r="K134" t="s">
        <v>45</v>
      </c>
      <c r="L134">
        <v>0</v>
      </c>
      <c r="M134" t="s">
        <v>46</v>
      </c>
      <c r="N134" t="s">
        <v>47</v>
      </c>
      <c r="O134">
        <v>0</v>
      </c>
      <c r="P134" t="s">
        <v>46</v>
      </c>
      <c r="Q134" t="s">
        <v>47</v>
      </c>
      <c r="R134" t="s">
        <v>48</v>
      </c>
      <c r="S134" t="s">
        <v>49</v>
      </c>
      <c r="T134" t="b">
        <v>1</v>
      </c>
      <c r="U134" t="s">
        <v>50</v>
      </c>
      <c r="V134" t="s">
        <v>51</v>
      </c>
      <c r="W134">
        <v>4</v>
      </c>
      <c r="X134" t="b">
        <v>0</v>
      </c>
      <c r="Y134" t="s">
        <v>52</v>
      </c>
      <c r="Z134" t="s">
        <v>53</v>
      </c>
      <c r="AA134" t="s">
        <v>54</v>
      </c>
      <c r="AB134">
        <v>0</v>
      </c>
      <c r="AC134" t="s">
        <v>55</v>
      </c>
      <c r="AD134">
        <v>8</v>
      </c>
      <c r="AE134" t="s">
        <v>56</v>
      </c>
      <c r="AF134">
        <v>20</v>
      </c>
      <c r="AG134" t="b">
        <v>0</v>
      </c>
      <c r="AH134">
        <v>8</v>
      </c>
      <c r="AI134" t="s">
        <v>56</v>
      </c>
      <c r="AJ134">
        <v>20</v>
      </c>
      <c r="AK134" t="b">
        <v>0</v>
      </c>
      <c r="AL134">
        <v>20</v>
      </c>
      <c r="AM134" t="b">
        <v>0</v>
      </c>
      <c r="AN134">
        <v>0</v>
      </c>
      <c r="AO134" t="b">
        <v>0</v>
      </c>
      <c r="AP134">
        <v>0</v>
      </c>
      <c r="AQ134">
        <v>231247.58</v>
      </c>
      <c r="AR134">
        <v>231247.58</v>
      </c>
      <c r="AS134">
        <v>0</v>
      </c>
      <c r="AT134" t="b">
        <v>0</v>
      </c>
      <c r="AU134" t="b">
        <v>1</v>
      </c>
      <c r="AV134" t="b">
        <v>1</v>
      </c>
      <c r="AW134" t="b">
        <v>1</v>
      </c>
      <c r="BC134" t="s">
        <v>374</v>
      </c>
    </row>
    <row r="135" spans="1:55" x14ac:dyDescent="0.2">
      <c r="A135" t="s">
        <v>39</v>
      </c>
      <c r="B135" t="s">
        <v>40</v>
      </c>
      <c r="C135">
        <v>20200101</v>
      </c>
      <c r="D135">
        <v>2020</v>
      </c>
      <c r="E135">
        <v>52</v>
      </c>
      <c r="F135" t="s">
        <v>309</v>
      </c>
      <c r="G135">
        <v>180</v>
      </c>
      <c r="H135" t="s">
        <v>104</v>
      </c>
      <c r="I135" t="s">
        <v>105</v>
      </c>
      <c r="J135" t="s">
        <v>44</v>
      </c>
      <c r="K135" t="s">
        <v>45</v>
      </c>
      <c r="L135">
        <v>0</v>
      </c>
      <c r="M135" t="s">
        <v>46</v>
      </c>
      <c r="N135" t="s">
        <v>47</v>
      </c>
      <c r="O135">
        <v>0</v>
      </c>
      <c r="P135" t="s">
        <v>46</v>
      </c>
      <c r="Q135" t="s">
        <v>47</v>
      </c>
      <c r="R135" t="s">
        <v>95</v>
      </c>
      <c r="S135" t="s">
        <v>49</v>
      </c>
      <c r="T135" t="b">
        <v>1</v>
      </c>
      <c r="U135" t="s">
        <v>50</v>
      </c>
      <c r="V135" t="s">
        <v>51</v>
      </c>
      <c r="W135">
        <v>4</v>
      </c>
      <c r="X135" t="b">
        <v>0</v>
      </c>
      <c r="Y135" t="s">
        <v>52</v>
      </c>
      <c r="Z135" t="s">
        <v>53</v>
      </c>
      <c r="AA135" t="s">
        <v>54</v>
      </c>
      <c r="AB135">
        <v>0</v>
      </c>
      <c r="AC135" t="s">
        <v>55</v>
      </c>
      <c r="AD135">
        <v>8</v>
      </c>
      <c r="AE135" t="s">
        <v>56</v>
      </c>
      <c r="AF135">
        <v>85</v>
      </c>
      <c r="AG135" t="b">
        <v>0</v>
      </c>
      <c r="AH135">
        <v>8</v>
      </c>
      <c r="AI135" t="s">
        <v>56</v>
      </c>
      <c r="AJ135">
        <v>85</v>
      </c>
      <c r="AK135" t="b">
        <v>0</v>
      </c>
      <c r="AL135">
        <v>85</v>
      </c>
      <c r="AM135" t="b">
        <v>0</v>
      </c>
      <c r="AN135">
        <v>0</v>
      </c>
      <c r="AO135" t="b">
        <v>0</v>
      </c>
      <c r="AQ135">
        <v>3959114.2390000001</v>
      </c>
      <c r="AR135">
        <v>3959114.2390000001</v>
      </c>
      <c r="AS135">
        <v>0</v>
      </c>
      <c r="AT135" t="b">
        <v>0</v>
      </c>
      <c r="AU135" t="b">
        <v>1</v>
      </c>
      <c r="AV135" t="b">
        <v>1</v>
      </c>
      <c r="AW135" t="b">
        <v>1</v>
      </c>
      <c r="BC135" t="s">
        <v>374</v>
      </c>
    </row>
    <row r="136" spans="1:55" x14ac:dyDescent="0.2">
      <c r="A136" t="s">
        <v>39</v>
      </c>
      <c r="B136" t="s">
        <v>40</v>
      </c>
      <c r="C136">
        <v>20200101</v>
      </c>
      <c r="D136">
        <v>2020</v>
      </c>
      <c r="E136">
        <v>52</v>
      </c>
      <c r="F136" t="s">
        <v>309</v>
      </c>
      <c r="G136">
        <v>188</v>
      </c>
      <c r="H136" t="s">
        <v>106</v>
      </c>
      <c r="I136" t="s">
        <v>107</v>
      </c>
      <c r="J136" t="s">
        <v>44</v>
      </c>
      <c r="K136" t="s">
        <v>45</v>
      </c>
      <c r="L136">
        <v>0</v>
      </c>
      <c r="M136" t="s">
        <v>46</v>
      </c>
      <c r="N136" t="s">
        <v>47</v>
      </c>
      <c r="O136">
        <v>0</v>
      </c>
      <c r="P136" t="s">
        <v>46</v>
      </c>
      <c r="Q136" t="s">
        <v>47</v>
      </c>
      <c r="R136" t="s">
        <v>48</v>
      </c>
      <c r="S136" t="s">
        <v>49</v>
      </c>
      <c r="T136" t="b">
        <v>1</v>
      </c>
      <c r="U136" t="s">
        <v>50</v>
      </c>
      <c r="V136" t="s">
        <v>51</v>
      </c>
      <c r="W136">
        <v>4</v>
      </c>
      <c r="X136" t="b">
        <v>0</v>
      </c>
      <c r="Y136" t="s">
        <v>52</v>
      </c>
      <c r="Z136" t="s">
        <v>53</v>
      </c>
      <c r="AA136" t="s">
        <v>54</v>
      </c>
      <c r="AB136">
        <v>0</v>
      </c>
      <c r="AC136" t="s">
        <v>55</v>
      </c>
      <c r="AD136">
        <v>8</v>
      </c>
      <c r="AE136" t="s">
        <v>56</v>
      </c>
      <c r="AF136">
        <v>705</v>
      </c>
      <c r="AG136" t="b">
        <v>0</v>
      </c>
      <c r="AH136">
        <v>8</v>
      </c>
      <c r="AI136" t="s">
        <v>56</v>
      </c>
      <c r="AJ136">
        <v>705</v>
      </c>
      <c r="AK136" t="b">
        <v>0</v>
      </c>
      <c r="AL136">
        <v>705</v>
      </c>
      <c r="AM136" t="b">
        <v>0</v>
      </c>
      <c r="AN136">
        <v>0</v>
      </c>
      <c r="AO136" t="b">
        <v>0</v>
      </c>
      <c r="AP136">
        <v>0</v>
      </c>
      <c r="AQ136">
        <v>16059557.33</v>
      </c>
      <c r="AR136">
        <v>16059557.33</v>
      </c>
      <c r="AS136">
        <v>0</v>
      </c>
      <c r="AT136" t="b">
        <v>0</v>
      </c>
      <c r="AU136" t="b">
        <v>1</v>
      </c>
      <c r="AV136" t="b">
        <v>1</v>
      </c>
      <c r="AW136" t="b">
        <v>1</v>
      </c>
      <c r="BC136" t="s">
        <v>374</v>
      </c>
    </row>
    <row r="137" spans="1:55" x14ac:dyDescent="0.2">
      <c r="A137" t="s">
        <v>39</v>
      </c>
      <c r="B137" t="s">
        <v>40</v>
      </c>
      <c r="C137">
        <v>20200101</v>
      </c>
      <c r="D137">
        <v>2020</v>
      </c>
      <c r="E137">
        <v>52</v>
      </c>
      <c r="F137" t="s">
        <v>309</v>
      </c>
      <c r="G137">
        <v>191</v>
      </c>
      <c r="H137" t="s">
        <v>108</v>
      </c>
      <c r="I137" t="s">
        <v>109</v>
      </c>
      <c r="J137" t="s">
        <v>44</v>
      </c>
      <c r="K137" t="s">
        <v>45</v>
      </c>
      <c r="L137">
        <v>0</v>
      </c>
      <c r="M137" t="s">
        <v>46</v>
      </c>
      <c r="N137" t="s">
        <v>47</v>
      </c>
      <c r="O137">
        <v>0</v>
      </c>
      <c r="P137" t="s">
        <v>46</v>
      </c>
      <c r="Q137" t="s">
        <v>47</v>
      </c>
      <c r="R137" t="s">
        <v>48</v>
      </c>
      <c r="S137" t="s">
        <v>49</v>
      </c>
      <c r="T137" t="b">
        <v>1</v>
      </c>
      <c r="U137" t="s">
        <v>50</v>
      </c>
      <c r="V137" t="s">
        <v>51</v>
      </c>
      <c r="W137">
        <v>4</v>
      </c>
      <c r="X137" t="b">
        <v>0</v>
      </c>
      <c r="Y137" t="s">
        <v>52</v>
      </c>
      <c r="Z137" t="s">
        <v>53</v>
      </c>
      <c r="AA137" t="s">
        <v>54</v>
      </c>
      <c r="AB137">
        <v>0</v>
      </c>
      <c r="AC137" t="s">
        <v>55</v>
      </c>
      <c r="AD137">
        <v>8</v>
      </c>
      <c r="AE137" t="s">
        <v>56</v>
      </c>
      <c r="AF137">
        <v>1404.923</v>
      </c>
      <c r="AG137" t="b">
        <v>0</v>
      </c>
      <c r="AH137">
        <v>15</v>
      </c>
      <c r="AI137" t="s">
        <v>59</v>
      </c>
      <c r="AJ137">
        <v>1404923.21</v>
      </c>
      <c r="AK137" t="b">
        <v>0</v>
      </c>
      <c r="AL137">
        <v>1424.7819999999999</v>
      </c>
      <c r="AM137" t="b">
        <v>0</v>
      </c>
      <c r="AN137">
        <v>0</v>
      </c>
      <c r="AO137" t="b">
        <v>0</v>
      </c>
      <c r="AP137">
        <v>0</v>
      </c>
      <c r="AQ137">
        <v>75666092</v>
      </c>
      <c r="AR137">
        <v>75666092</v>
      </c>
      <c r="AS137">
        <v>0</v>
      </c>
      <c r="AT137" t="b">
        <v>0</v>
      </c>
      <c r="AU137" t="b">
        <v>1</v>
      </c>
      <c r="AV137" t="b">
        <v>1</v>
      </c>
      <c r="AW137" t="b">
        <v>1</v>
      </c>
      <c r="BC137" t="s">
        <v>374</v>
      </c>
    </row>
    <row r="138" spans="1:55" x14ac:dyDescent="0.2">
      <c r="A138" t="s">
        <v>39</v>
      </c>
      <c r="B138" t="s">
        <v>40</v>
      </c>
      <c r="C138">
        <v>20200101</v>
      </c>
      <c r="D138">
        <v>2020</v>
      </c>
      <c r="E138">
        <v>52</v>
      </c>
      <c r="F138" t="s">
        <v>309</v>
      </c>
      <c r="G138">
        <v>196</v>
      </c>
      <c r="H138" t="s">
        <v>112</v>
      </c>
      <c r="I138" t="s">
        <v>113</v>
      </c>
      <c r="J138" t="s">
        <v>44</v>
      </c>
      <c r="K138" t="s">
        <v>45</v>
      </c>
      <c r="L138">
        <v>0</v>
      </c>
      <c r="M138" t="s">
        <v>46</v>
      </c>
      <c r="N138" t="s">
        <v>47</v>
      </c>
      <c r="O138">
        <v>0</v>
      </c>
      <c r="P138" t="s">
        <v>46</v>
      </c>
      <c r="Q138" t="s">
        <v>47</v>
      </c>
      <c r="R138" t="s">
        <v>48</v>
      </c>
      <c r="S138" t="s">
        <v>49</v>
      </c>
      <c r="T138" t="b">
        <v>1</v>
      </c>
      <c r="U138" t="s">
        <v>50</v>
      </c>
      <c r="V138" t="s">
        <v>51</v>
      </c>
      <c r="W138">
        <v>4</v>
      </c>
      <c r="X138" t="b">
        <v>0</v>
      </c>
      <c r="Y138" t="s">
        <v>52</v>
      </c>
      <c r="Z138" t="s">
        <v>53</v>
      </c>
      <c r="AA138" t="s">
        <v>54</v>
      </c>
      <c r="AB138">
        <v>0</v>
      </c>
      <c r="AC138" t="s">
        <v>55</v>
      </c>
      <c r="AD138">
        <v>-1</v>
      </c>
      <c r="AE138" t="s">
        <v>64</v>
      </c>
      <c r="AF138">
        <v>0</v>
      </c>
      <c r="AG138" t="b">
        <v>0</v>
      </c>
      <c r="AH138">
        <v>15</v>
      </c>
      <c r="AI138" t="s">
        <v>59</v>
      </c>
      <c r="AJ138">
        <v>276028</v>
      </c>
      <c r="AK138" t="b">
        <v>0</v>
      </c>
      <c r="AL138">
        <v>296</v>
      </c>
      <c r="AM138" t="b">
        <v>0</v>
      </c>
      <c r="AN138">
        <v>0</v>
      </c>
      <c r="AO138" t="b">
        <v>0</v>
      </c>
      <c r="AP138">
        <v>0</v>
      </c>
      <c r="AQ138">
        <v>13143066.620999999</v>
      </c>
      <c r="AR138">
        <v>13143066.620999999</v>
      </c>
      <c r="AS138">
        <v>0</v>
      </c>
      <c r="AT138" t="b">
        <v>0</v>
      </c>
      <c r="AU138" t="b">
        <v>1</v>
      </c>
      <c r="AV138" t="b">
        <v>1</v>
      </c>
      <c r="AW138" t="b">
        <v>1</v>
      </c>
      <c r="BC138" t="s">
        <v>374</v>
      </c>
    </row>
    <row r="139" spans="1:55" x14ac:dyDescent="0.2">
      <c r="A139" t="s">
        <v>39</v>
      </c>
      <c r="B139" t="s">
        <v>40</v>
      </c>
      <c r="C139">
        <v>20200101</v>
      </c>
      <c r="D139">
        <v>2020</v>
      </c>
      <c r="E139">
        <v>52</v>
      </c>
      <c r="F139" t="s">
        <v>309</v>
      </c>
      <c r="G139">
        <v>203</v>
      </c>
      <c r="H139" t="s">
        <v>114</v>
      </c>
      <c r="I139" t="s">
        <v>115</v>
      </c>
      <c r="J139" t="s">
        <v>44</v>
      </c>
      <c r="K139" t="s">
        <v>45</v>
      </c>
      <c r="L139">
        <v>0</v>
      </c>
      <c r="M139" t="s">
        <v>46</v>
      </c>
      <c r="N139" t="s">
        <v>47</v>
      </c>
      <c r="O139">
        <v>0</v>
      </c>
      <c r="P139" t="s">
        <v>46</v>
      </c>
      <c r="Q139" t="s">
        <v>47</v>
      </c>
      <c r="R139" t="s">
        <v>48</v>
      </c>
      <c r="S139" t="s">
        <v>49</v>
      </c>
      <c r="T139" t="b">
        <v>1</v>
      </c>
      <c r="U139" t="s">
        <v>50</v>
      </c>
      <c r="V139" t="s">
        <v>51</v>
      </c>
      <c r="W139">
        <v>4</v>
      </c>
      <c r="X139" t="b">
        <v>0</v>
      </c>
      <c r="Y139" t="s">
        <v>52</v>
      </c>
      <c r="Z139" t="s">
        <v>53</v>
      </c>
      <c r="AA139" t="s">
        <v>54</v>
      </c>
      <c r="AB139">
        <v>0</v>
      </c>
      <c r="AC139" t="s">
        <v>55</v>
      </c>
      <c r="AD139">
        <v>-1</v>
      </c>
      <c r="AE139" t="s">
        <v>64</v>
      </c>
      <c r="AF139">
        <v>0</v>
      </c>
      <c r="AG139" t="b">
        <v>1</v>
      </c>
      <c r="AH139">
        <v>-1</v>
      </c>
      <c r="AI139" t="s">
        <v>64</v>
      </c>
      <c r="AJ139">
        <v>0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0</v>
      </c>
      <c r="AQ139">
        <v>92323744</v>
      </c>
      <c r="AR139">
        <v>92323744</v>
      </c>
      <c r="AS139">
        <v>6</v>
      </c>
      <c r="AT139" t="b">
        <v>0</v>
      </c>
      <c r="AU139" t="b">
        <v>1</v>
      </c>
      <c r="AV139" t="b">
        <v>1</v>
      </c>
      <c r="AW139" t="b">
        <v>1</v>
      </c>
      <c r="BC139" t="s">
        <v>374</v>
      </c>
    </row>
    <row r="140" spans="1:55" x14ac:dyDescent="0.2">
      <c r="A140" t="s">
        <v>39</v>
      </c>
      <c r="B140" t="s">
        <v>40</v>
      </c>
      <c r="C140">
        <v>20200101</v>
      </c>
      <c r="D140">
        <v>2020</v>
      </c>
      <c r="E140">
        <v>52</v>
      </c>
      <c r="F140" t="s">
        <v>309</v>
      </c>
      <c r="G140">
        <v>204</v>
      </c>
      <c r="H140" t="s">
        <v>116</v>
      </c>
      <c r="I140" t="s">
        <v>117</v>
      </c>
      <c r="J140" t="s">
        <v>44</v>
      </c>
      <c r="K140" t="s">
        <v>45</v>
      </c>
      <c r="L140">
        <v>0</v>
      </c>
      <c r="M140" t="s">
        <v>46</v>
      </c>
      <c r="N140" t="s">
        <v>47</v>
      </c>
      <c r="O140">
        <v>0</v>
      </c>
      <c r="P140" t="s">
        <v>46</v>
      </c>
      <c r="Q140" t="s">
        <v>47</v>
      </c>
      <c r="R140" t="s">
        <v>48</v>
      </c>
      <c r="S140" t="s">
        <v>49</v>
      </c>
      <c r="T140" t="b">
        <v>1</v>
      </c>
      <c r="U140" t="s">
        <v>50</v>
      </c>
      <c r="V140" t="s">
        <v>51</v>
      </c>
      <c r="W140">
        <v>4</v>
      </c>
      <c r="X140" t="b">
        <v>0</v>
      </c>
      <c r="Y140" t="s">
        <v>52</v>
      </c>
      <c r="Z140" t="s">
        <v>53</v>
      </c>
      <c r="AA140" t="s">
        <v>54</v>
      </c>
      <c r="AB140">
        <v>0</v>
      </c>
      <c r="AC140" t="s">
        <v>55</v>
      </c>
      <c r="AD140">
        <v>8</v>
      </c>
      <c r="AE140" t="s">
        <v>56</v>
      </c>
      <c r="AF140">
        <v>8517.4590000000007</v>
      </c>
      <c r="AG140" t="b">
        <v>1</v>
      </c>
      <c r="AH140">
        <v>-1</v>
      </c>
      <c r="AI140" t="s">
        <v>64</v>
      </c>
      <c r="AJ140">
        <v>0</v>
      </c>
      <c r="AK140" t="b">
        <v>0</v>
      </c>
      <c r="AL140">
        <v>8517.4590000000007</v>
      </c>
      <c r="AM140" t="b">
        <v>1</v>
      </c>
      <c r="AN140">
        <v>0</v>
      </c>
      <c r="AO140" t="b">
        <v>0</v>
      </c>
      <c r="AQ140">
        <v>14767895.955</v>
      </c>
      <c r="AR140">
        <v>14767895.955</v>
      </c>
      <c r="AS140">
        <v>6</v>
      </c>
      <c r="AT140" t="b">
        <v>0</v>
      </c>
      <c r="AU140" t="b">
        <v>1</v>
      </c>
      <c r="AV140" t="b">
        <v>1</v>
      </c>
      <c r="AW140" t="b">
        <v>1</v>
      </c>
      <c r="BC140" t="s">
        <v>374</v>
      </c>
    </row>
    <row r="141" spans="1:55" x14ac:dyDescent="0.2">
      <c r="A141" t="s">
        <v>39</v>
      </c>
      <c r="B141" t="s">
        <v>40</v>
      </c>
      <c r="C141">
        <v>20200101</v>
      </c>
      <c r="D141">
        <v>2020</v>
      </c>
      <c r="E141">
        <v>52</v>
      </c>
      <c r="F141" t="s">
        <v>309</v>
      </c>
      <c r="G141">
        <v>208</v>
      </c>
      <c r="H141" t="s">
        <v>118</v>
      </c>
      <c r="I141" t="s">
        <v>119</v>
      </c>
      <c r="J141" t="s">
        <v>44</v>
      </c>
      <c r="K141" t="s">
        <v>45</v>
      </c>
      <c r="L141">
        <v>0</v>
      </c>
      <c r="M141" t="s">
        <v>46</v>
      </c>
      <c r="N141" t="s">
        <v>47</v>
      </c>
      <c r="O141">
        <v>0</v>
      </c>
      <c r="P141" t="s">
        <v>46</v>
      </c>
      <c r="Q141" t="s">
        <v>47</v>
      </c>
      <c r="R141" t="s">
        <v>48</v>
      </c>
      <c r="S141" t="s">
        <v>49</v>
      </c>
      <c r="T141" t="b">
        <v>1</v>
      </c>
      <c r="U141" t="s">
        <v>50</v>
      </c>
      <c r="V141" t="s">
        <v>51</v>
      </c>
      <c r="W141">
        <v>4</v>
      </c>
      <c r="X141" t="b">
        <v>0</v>
      </c>
      <c r="Y141" t="s">
        <v>52</v>
      </c>
      <c r="Z141" t="s">
        <v>53</v>
      </c>
      <c r="AA141" t="s">
        <v>54</v>
      </c>
      <c r="AB141">
        <v>0</v>
      </c>
      <c r="AC141" t="s">
        <v>55</v>
      </c>
      <c r="AD141">
        <v>8</v>
      </c>
      <c r="AE141" t="s">
        <v>56</v>
      </c>
      <c r="AF141">
        <v>312.33800000000002</v>
      </c>
      <c r="AG141" t="b">
        <v>1</v>
      </c>
      <c r="AH141">
        <v>-1</v>
      </c>
      <c r="AI141" t="s">
        <v>64</v>
      </c>
      <c r="AJ141">
        <v>0</v>
      </c>
      <c r="AK141" t="b">
        <v>0</v>
      </c>
      <c r="AL141">
        <v>0</v>
      </c>
      <c r="AM141" t="b">
        <v>0</v>
      </c>
      <c r="AN141">
        <v>0</v>
      </c>
      <c r="AO141" t="b">
        <v>0</v>
      </c>
      <c r="AP141">
        <v>0</v>
      </c>
      <c r="AQ141">
        <v>15369503.639</v>
      </c>
      <c r="AR141">
        <v>15369503.639</v>
      </c>
      <c r="AS141">
        <v>2</v>
      </c>
      <c r="AT141" t="b">
        <v>0</v>
      </c>
      <c r="AU141" t="b">
        <v>1</v>
      </c>
      <c r="AV141" t="b">
        <v>1</v>
      </c>
      <c r="AW141" t="b">
        <v>1</v>
      </c>
      <c r="BC141" t="s">
        <v>374</v>
      </c>
    </row>
    <row r="142" spans="1:55" x14ac:dyDescent="0.2">
      <c r="A142" t="s">
        <v>39</v>
      </c>
      <c r="B142" t="s">
        <v>40</v>
      </c>
      <c r="C142">
        <v>20200101</v>
      </c>
      <c r="D142">
        <v>2020</v>
      </c>
      <c r="E142">
        <v>52</v>
      </c>
      <c r="F142" t="s">
        <v>309</v>
      </c>
      <c r="G142">
        <v>218</v>
      </c>
      <c r="H142" t="s">
        <v>122</v>
      </c>
      <c r="I142" t="s">
        <v>123</v>
      </c>
      <c r="J142" t="s">
        <v>44</v>
      </c>
      <c r="K142" t="s">
        <v>45</v>
      </c>
      <c r="L142">
        <v>0</v>
      </c>
      <c r="M142" t="s">
        <v>46</v>
      </c>
      <c r="N142" t="s">
        <v>47</v>
      </c>
      <c r="O142">
        <v>0</v>
      </c>
      <c r="P142" t="s">
        <v>46</v>
      </c>
      <c r="Q142" t="s">
        <v>47</v>
      </c>
      <c r="R142" t="s">
        <v>48</v>
      </c>
      <c r="S142" t="s">
        <v>49</v>
      </c>
      <c r="T142" t="b">
        <v>1</v>
      </c>
      <c r="U142" t="s">
        <v>50</v>
      </c>
      <c r="V142" t="s">
        <v>51</v>
      </c>
      <c r="W142">
        <v>4</v>
      </c>
      <c r="X142" t="b">
        <v>0</v>
      </c>
      <c r="Y142" t="s">
        <v>52</v>
      </c>
      <c r="Z142" t="s">
        <v>53</v>
      </c>
      <c r="AA142" t="s">
        <v>54</v>
      </c>
      <c r="AB142">
        <v>0</v>
      </c>
      <c r="AC142" t="s">
        <v>55</v>
      </c>
      <c r="AD142">
        <v>8</v>
      </c>
      <c r="AE142" t="s">
        <v>56</v>
      </c>
      <c r="AF142">
        <v>8092.8869999999997</v>
      </c>
      <c r="AG142" t="b">
        <v>0</v>
      </c>
      <c r="AH142">
        <v>8</v>
      </c>
      <c r="AI142" t="s">
        <v>56</v>
      </c>
      <c r="AJ142">
        <v>8092.8869999999997</v>
      </c>
      <c r="AK142" t="b">
        <v>0</v>
      </c>
      <c r="AL142">
        <v>8092.8869999999997</v>
      </c>
      <c r="AM142" t="b">
        <v>0</v>
      </c>
      <c r="AN142">
        <v>0</v>
      </c>
      <c r="AO142" t="b">
        <v>0</v>
      </c>
      <c r="AP142">
        <v>0</v>
      </c>
      <c r="AQ142">
        <v>378490100.06</v>
      </c>
      <c r="AR142">
        <v>378490100.06</v>
      </c>
      <c r="AS142">
        <v>0</v>
      </c>
      <c r="AT142" t="b">
        <v>0</v>
      </c>
      <c r="AU142" t="b">
        <v>1</v>
      </c>
      <c r="AV142" t="b">
        <v>1</v>
      </c>
      <c r="AW142" t="b">
        <v>1</v>
      </c>
      <c r="BC142" t="s">
        <v>374</v>
      </c>
    </row>
    <row r="143" spans="1:55" x14ac:dyDescent="0.2">
      <c r="A143" t="s">
        <v>39</v>
      </c>
      <c r="B143" t="s">
        <v>40</v>
      </c>
      <c r="C143">
        <v>20200101</v>
      </c>
      <c r="D143">
        <v>2020</v>
      </c>
      <c r="E143">
        <v>52</v>
      </c>
      <c r="F143" t="s">
        <v>309</v>
      </c>
      <c r="G143">
        <v>222</v>
      </c>
      <c r="H143" t="s">
        <v>319</v>
      </c>
      <c r="I143" t="s">
        <v>320</v>
      </c>
      <c r="J143" t="s">
        <v>44</v>
      </c>
      <c r="K143" t="s">
        <v>45</v>
      </c>
      <c r="L143">
        <v>0</v>
      </c>
      <c r="M143" t="s">
        <v>46</v>
      </c>
      <c r="N143" t="s">
        <v>47</v>
      </c>
      <c r="O143">
        <v>0</v>
      </c>
      <c r="P143" t="s">
        <v>46</v>
      </c>
      <c r="Q143" t="s">
        <v>47</v>
      </c>
      <c r="R143" t="s">
        <v>48</v>
      </c>
      <c r="S143" t="s">
        <v>49</v>
      </c>
      <c r="T143" t="b">
        <v>1</v>
      </c>
      <c r="U143" t="s">
        <v>50</v>
      </c>
      <c r="V143" t="s">
        <v>51</v>
      </c>
      <c r="W143">
        <v>4</v>
      </c>
      <c r="X143" t="b">
        <v>0</v>
      </c>
      <c r="Y143" t="s">
        <v>52</v>
      </c>
      <c r="Z143" t="s">
        <v>53</v>
      </c>
      <c r="AA143" t="s">
        <v>54</v>
      </c>
      <c r="AB143">
        <v>0</v>
      </c>
      <c r="AC143" t="s">
        <v>55</v>
      </c>
      <c r="AD143">
        <v>-1</v>
      </c>
      <c r="AE143" t="s">
        <v>64</v>
      </c>
      <c r="AF143">
        <v>0</v>
      </c>
      <c r="AG143" t="b">
        <v>0</v>
      </c>
      <c r="AH143">
        <v>-1</v>
      </c>
      <c r="AI143" t="s">
        <v>64</v>
      </c>
      <c r="AJ143">
        <v>0</v>
      </c>
      <c r="AK143" t="b">
        <v>0</v>
      </c>
      <c r="AL143">
        <v>0</v>
      </c>
      <c r="AM143" t="b">
        <v>0</v>
      </c>
      <c r="AN143">
        <v>0</v>
      </c>
      <c r="AO143" t="b">
        <v>0</v>
      </c>
      <c r="AP143">
        <v>0</v>
      </c>
      <c r="AQ143">
        <v>56539.91</v>
      </c>
      <c r="AR143">
        <v>56539.91</v>
      </c>
      <c r="AS143">
        <v>0</v>
      </c>
      <c r="AT143" t="b">
        <v>0</v>
      </c>
      <c r="AU143" t="b">
        <v>1</v>
      </c>
      <c r="AV143" t="b">
        <v>1</v>
      </c>
      <c r="AW143" t="b">
        <v>1</v>
      </c>
      <c r="BC143" t="s">
        <v>374</v>
      </c>
    </row>
    <row r="144" spans="1:55" x14ac:dyDescent="0.2">
      <c r="A144" t="s">
        <v>39</v>
      </c>
      <c r="B144" t="s">
        <v>40</v>
      </c>
      <c r="C144">
        <v>20200101</v>
      </c>
      <c r="D144">
        <v>2020</v>
      </c>
      <c r="E144">
        <v>52</v>
      </c>
      <c r="F144" t="s">
        <v>309</v>
      </c>
      <c r="G144">
        <v>233</v>
      </c>
      <c r="H144" t="s">
        <v>124</v>
      </c>
      <c r="I144" t="s">
        <v>125</v>
      </c>
      <c r="J144" t="s">
        <v>44</v>
      </c>
      <c r="K144" t="s">
        <v>45</v>
      </c>
      <c r="L144">
        <v>0</v>
      </c>
      <c r="M144" t="s">
        <v>46</v>
      </c>
      <c r="N144" t="s">
        <v>47</v>
      </c>
      <c r="O144">
        <v>0</v>
      </c>
      <c r="P144" t="s">
        <v>46</v>
      </c>
      <c r="Q144" t="s">
        <v>47</v>
      </c>
      <c r="R144" t="s">
        <v>48</v>
      </c>
      <c r="S144" t="s">
        <v>49</v>
      </c>
      <c r="T144" t="b">
        <v>1</v>
      </c>
      <c r="U144" t="s">
        <v>50</v>
      </c>
      <c r="V144" t="s">
        <v>51</v>
      </c>
      <c r="W144">
        <v>4</v>
      </c>
      <c r="X144" t="b">
        <v>0</v>
      </c>
      <c r="Y144" t="s">
        <v>52</v>
      </c>
      <c r="Z144" t="s">
        <v>53</v>
      </c>
      <c r="AA144" t="s">
        <v>54</v>
      </c>
      <c r="AB144">
        <v>0</v>
      </c>
      <c r="AC144" t="s">
        <v>55</v>
      </c>
      <c r="AD144">
        <v>8</v>
      </c>
      <c r="AE144" t="s">
        <v>56</v>
      </c>
      <c r="AF144">
        <v>2094.652</v>
      </c>
      <c r="AG144" t="b">
        <v>0</v>
      </c>
      <c r="AH144">
        <v>15</v>
      </c>
      <c r="AI144" t="s">
        <v>59</v>
      </c>
      <c r="AJ144">
        <v>2094652.2</v>
      </c>
      <c r="AK144" t="b">
        <v>0</v>
      </c>
      <c r="AL144">
        <v>2094.6779999999999</v>
      </c>
      <c r="AM144" t="b">
        <v>0</v>
      </c>
      <c r="AN144">
        <v>0</v>
      </c>
      <c r="AO144" t="b">
        <v>0</v>
      </c>
      <c r="AQ144">
        <v>117408897.61</v>
      </c>
      <c r="AR144">
        <v>117408897.61</v>
      </c>
      <c r="AS144">
        <v>0</v>
      </c>
      <c r="AT144" t="b">
        <v>0</v>
      </c>
      <c r="AU144" t="b">
        <v>1</v>
      </c>
      <c r="AV144" t="b">
        <v>1</v>
      </c>
      <c r="AW144" t="b">
        <v>1</v>
      </c>
      <c r="BC144" t="s">
        <v>374</v>
      </c>
    </row>
    <row r="145" spans="1:55" x14ac:dyDescent="0.2">
      <c r="A145" t="s">
        <v>39</v>
      </c>
      <c r="B145" t="s">
        <v>40</v>
      </c>
      <c r="C145">
        <v>20200101</v>
      </c>
      <c r="D145">
        <v>2020</v>
      </c>
      <c r="E145">
        <v>52</v>
      </c>
      <c r="F145" t="s">
        <v>309</v>
      </c>
      <c r="G145">
        <v>242</v>
      </c>
      <c r="H145" t="s">
        <v>126</v>
      </c>
      <c r="I145" t="s">
        <v>127</v>
      </c>
      <c r="J145" t="s">
        <v>44</v>
      </c>
      <c r="K145" t="s">
        <v>45</v>
      </c>
      <c r="L145">
        <v>0</v>
      </c>
      <c r="M145" t="s">
        <v>46</v>
      </c>
      <c r="N145" t="s">
        <v>47</v>
      </c>
      <c r="O145">
        <v>0</v>
      </c>
      <c r="P145" t="s">
        <v>46</v>
      </c>
      <c r="Q145" t="s">
        <v>47</v>
      </c>
      <c r="R145" t="s">
        <v>48</v>
      </c>
      <c r="S145" t="s">
        <v>49</v>
      </c>
      <c r="T145" t="b">
        <v>1</v>
      </c>
      <c r="U145" t="s">
        <v>50</v>
      </c>
      <c r="V145" t="s">
        <v>51</v>
      </c>
      <c r="W145">
        <v>4</v>
      </c>
      <c r="X145" t="b">
        <v>0</v>
      </c>
      <c r="Y145" t="s">
        <v>52</v>
      </c>
      <c r="Z145" t="s">
        <v>53</v>
      </c>
      <c r="AA145" t="s">
        <v>54</v>
      </c>
      <c r="AB145">
        <v>0</v>
      </c>
      <c r="AC145" t="s">
        <v>55</v>
      </c>
      <c r="AD145">
        <v>8</v>
      </c>
      <c r="AE145" t="s">
        <v>56</v>
      </c>
      <c r="AF145">
        <v>1052.99</v>
      </c>
      <c r="AG145" t="b">
        <v>0</v>
      </c>
      <c r="AH145">
        <v>8</v>
      </c>
      <c r="AI145" t="s">
        <v>56</v>
      </c>
      <c r="AJ145">
        <v>1052.99</v>
      </c>
      <c r="AK145" t="b">
        <v>0</v>
      </c>
      <c r="AL145">
        <v>1052.99</v>
      </c>
      <c r="AM145" t="b">
        <v>0</v>
      </c>
      <c r="AN145">
        <v>0</v>
      </c>
      <c r="AO145" t="b">
        <v>0</v>
      </c>
      <c r="AP145">
        <v>0</v>
      </c>
      <c r="AQ145">
        <v>58249083.202</v>
      </c>
      <c r="AR145">
        <v>58249083.202</v>
      </c>
      <c r="AS145">
        <v>0</v>
      </c>
      <c r="AT145" t="b">
        <v>0</v>
      </c>
      <c r="AU145" t="b">
        <v>1</v>
      </c>
      <c r="AV145" t="b">
        <v>1</v>
      </c>
      <c r="AW145" t="b">
        <v>1</v>
      </c>
      <c r="BC145" t="s">
        <v>374</v>
      </c>
    </row>
    <row r="146" spans="1:55" x14ac:dyDescent="0.2">
      <c r="A146" t="s">
        <v>39</v>
      </c>
      <c r="B146" t="s">
        <v>40</v>
      </c>
      <c r="C146">
        <v>20200101</v>
      </c>
      <c r="D146">
        <v>2020</v>
      </c>
      <c r="E146">
        <v>52</v>
      </c>
      <c r="F146" t="s">
        <v>309</v>
      </c>
      <c r="G146">
        <v>246</v>
      </c>
      <c r="H146" t="s">
        <v>128</v>
      </c>
      <c r="I146" t="s">
        <v>129</v>
      </c>
      <c r="J146" t="s">
        <v>44</v>
      </c>
      <c r="K146" t="s">
        <v>45</v>
      </c>
      <c r="L146">
        <v>0</v>
      </c>
      <c r="M146" t="s">
        <v>46</v>
      </c>
      <c r="N146" t="s">
        <v>47</v>
      </c>
      <c r="O146">
        <v>0</v>
      </c>
      <c r="P146" t="s">
        <v>46</v>
      </c>
      <c r="Q146" t="s">
        <v>47</v>
      </c>
      <c r="R146" t="s">
        <v>48</v>
      </c>
      <c r="S146" t="s">
        <v>49</v>
      </c>
      <c r="T146" t="b">
        <v>1</v>
      </c>
      <c r="U146" t="s">
        <v>50</v>
      </c>
      <c r="V146" t="s">
        <v>51</v>
      </c>
      <c r="W146">
        <v>4</v>
      </c>
      <c r="X146" t="b">
        <v>0</v>
      </c>
      <c r="Y146" t="s">
        <v>52</v>
      </c>
      <c r="Z146" t="s">
        <v>53</v>
      </c>
      <c r="AA146" t="s">
        <v>54</v>
      </c>
      <c r="AB146">
        <v>0</v>
      </c>
      <c r="AC146" t="s">
        <v>55</v>
      </c>
      <c r="AD146">
        <v>-1</v>
      </c>
      <c r="AE146" t="s">
        <v>64</v>
      </c>
      <c r="AF146">
        <v>0</v>
      </c>
      <c r="AG146" t="b">
        <v>0</v>
      </c>
      <c r="AH146">
        <v>-1</v>
      </c>
      <c r="AI146" t="s">
        <v>64</v>
      </c>
      <c r="AJ146">
        <v>0</v>
      </c>
      <c r="AK146" t="b">
        <v>0</v>
      </c>
      <c r="AL146">
        <v>0</v>
      </c>
      <c r="AM146" t="b">
        <v>0</v>
      </c>
      <c r="AN146">
        <v>0</v>
      </c>
      <c r="AO146" t="b">
        <v>0</v>
      </c>
      <c r="AP146">
        <v>0</v>
      </c>
      <c r="AQ146">
        <v>72268013.326000005</v>
      </c>
      <c r="AR146">
        <v>72268013.326000005</v>
      </c>
      <c r="AS146">
        <v>0</v>
      </c>
      <c r="AT146" t="b">
        <v>0</v>
      </c>
      <c r="AU146" t="b">
        <v>1</v>
      </c>
      <c r="AV146" t="b">
        <v>1</v>
      </c>
      <c r="AW146" t="b">
        <v>1</v>
      </c>
      <c r="BC146" t="s">
        <v>374</v>
      </c>
    </row>
    <row r="147" spans="1:55" x14ac:dyDescent="0.2">
      <c r="A147" t="s">
        <v>39</v>
      </c>
      <c r="B147" t="s">
        <v>40</v>
      </c>
      <c r="C147">
        <v>20200101</v>
      </c>
      <c r="D147">
        <v>2020</v>
      </c>
      <c r="E147">
        <v>52</v>
      </c>
      <c r="F147" t="s">
        <v>309</v>
      </c>
      <c r="G147">
        <v>251</v>
      </c>
      <c r="H147" t="s">
        <v>130</v>
      </c>
      <c r="I147" t="s">
        <v>131</v>
      </c>
      <c r="J147" t="s">
        <v>44</v>
      </c>
      <c r="K147" t="s">
        <v>45</v>
      </c>
      <c r="L147">
        <v>0</v>
      </c>
      <c r="M147" t="s">
        <v>46</v>
      </c>
      <c r="N147" t="s">
        <v>47</v>
      </c>
      <c r="O147">
        <v>0</v>
      </c>
      <c r="P147" t="s">
        <v>46</v>
      </c>
      <c r="Q147" t="s">
        <v>47</v>
      </c>
      <c r="R147" t="s">
        <v>48</v>
      </c>
      <c r="S147" t="s">
        <v>49</v>
      </c>
      <c r="T147" t="b">
        <v>1</v>
      </c>
      <c r="U147" t="s">
        <v>50</v>
      </c>
      <c r="V147" t="s">
        <v>51</v>
      </c>
      <c r="W147">
        <v>4</v>
      </c>
      <c r="X147" t="b">
        <v>0</v>
      </c>
      <c r="Y147" t="s">
        <v>52</v>
      </c>
      <c r="Z147" t="s">
        <v>53</v>
      </c>
      <c r="AA147" t="s">
        <v>54</v>
      </c>
      <c r="AB147">
        <v>0</v>
      </c>
      <c r="AC147" t="s">
        <v>55</v>
      </c>
      <c r="AD147">
        <v>8</v>
      </c>
      <c r="AE147" t="s">
        <v>56</v>
      </c>
      <c r="AF147">
        <v>31337.957999999999</v>
      </c>
      <c r="AG147" t="b">
        <v>0</v>
      </c>
      <c r="AH147">
        <v>15</v>
      </c>
      <c r="AI147" t="s">
        <v>59</v>
      </c>
      <c r="AJ147">
        <v>31332963</v>
      </c>
      <c r="AK147" t="b">
        <v>0</v>
      </c>
      <c r="AM147" t="b">
        <v>0</v>
      </c>
      <c r="AN147">
        <v>0</v>
      </c>
      <c r="AO147" t="b">
        <v>0</v>
      </c>
      <c r="AQ147">
        <v>1369338383.7850001</v>
      </c>
      <c r="AR147">
        <v>1369338383.7850001</v>
      </c>
      <c r="AS147">
        <v>0</v>
      </c>
      <c r="AT147" t="b">
        <v>0</v>
      </c>
      <c r="AU147" t="b">
        <v>1</v>
      </c>
      <c r="AV147" t="b">
        <v>1</v>
      </c>
      <c r="AW147" t="b">
        <v>1</v>
      </c>
      <c r="BC147" t="s">
        <v>374</v>
      </c>
    </row>
    <row r="148" spans="1:55" x14ac:dyDescent="0.2">
      <c r="A148" t="s">
        <v>39</v>
      </c>
      <c r="B148" t="s">
        <v>40</v>
      </c>
      <c r="C148">
        <v>20200101</v>
      </c>
      <c r="D148">
        <v>2020</v>
      </c>
      <c r="E148">
        <v>52</v>
      </c>
      <c r="F148" t="s">
        <v>309</v>
      </c>
      <c r="G148">
        <v>258</v>
      </c>
      <c r="H148" t="s">
        <v>132</v>
      </c>
      <c r="I148" t="s">
        <v>133</v>
      </c>
      <c r="J148" t="s">
        <v>44</v>
      </c>
      <c r="K148" t="s">
        <v>45</v>
      </c>
      <c r="L148">
        <v>0</v>
      </c>
      <c r="M148" t="s">
        <v>46</v>
      </c>
      <c r="N148" t="s">
        <v>47</v>
      </c>
      <c r="O148">
        <v>0</v>
      </c>
      <c r="P148" t="s">
        <v>46</v>
      </c>
      <c r="Q148" t="s">
        <v>47</v>
      </c>
      <c r="R148" t="s">
        <v>48</v>
      </c>
      <c r="S148" t="s">
        <v>49</v>
      </c>
      <c r="T148" t="b">
        <v>1</v>
      </c>
      <c r="U148" t="s">
        <v>50</v>
      </c>
      <c r="V148" t="s">
        <v>51</v>
      </c>
      <c r="W148">
        <v>4</v>
      </c>
      <c r="X148" t="b">
        <v>0</v>
      </c>
      <c r="Y148" t="s">
        <v>52</v>
      </c>
      <c r="Z148" t="s">
        <v>53</v>
      </c>
      <c r="AA148" t="s">
        <v>54</v>
      </c>
      <c r="AB148">
        <v>0</v>
      </c>
      <c r="AC148" t="s">
        <v>55</v>
      </c>
      <c r="AD148">
        <v>-1</v>
      </c>
      <c r="AE148" t="s">
        <v>64</v>
      </c>
      <c r="AF148">
        <v>0</v>
      </c>
      <c r="AG148" t="b">
        <v>0</v>
      </c>
      <c r="AH148">
        <v>15</v>
      </c>
      <c r="AI148" t="s">
        <v>59</v>
      </c>
      <c r="AJ148">
        <v>18087</v>
      </c>
      <c r="AK148" t="b">
        <v>0</v>
      </c>
      <c r="AL148">
        <v>20.059999999999999</v>
      </c>
      <c r="AM148" t="b">
        <v>0</v>
      </c>
      <c r="AN148">
        <v>0</v>
      </c>
      <c r="AO148" t="b">
        <v>0</v>
      </c>
      <c r="AP148">
        <v>0</v>
      </c>
      <c r="AQ148">
        <v>672746.23499999999</v>
      </c>
      <c r="AR148">
        <v>672746.23499999999</v>
      </c>
      <c r="AS148">
        <v>0</v>
      </c>
      <c r="AT148" t="b">
        <v>0</v>
      </c>
      <c r="AU148" t="b">
        <v>1</v>
      </c>
      <c r="AV148" t="b">
        <v>1</v>
      </c>
      <c r="AW148" t="b">
        <v>1</v>
      </c>
      <c r="BC148" t="s">
        <v>374</v>
      </c>
    </row>
    <row r="149" spans="1:55" x14ac:dyDescent="0.2">
      <c r="A149" t="s">
        <v>39</v>
      </c>
      <c r="B149" t="s">
        <v>40</v>
      </c>
      <c r="C149">
        <v>20200101</v>
      </c>
      <c r="D149">
        <v>2020</v>
      </c>
      <c r="E149">
        <v>52</v>
      </c>
      <c r="F149" t="s">
        <v>309</v>
      </c>
      <c r="G149">
        <v>266</v>
      </c>
      <c r="H149" t="s">
        <v>134</v>
      </c>
      <c r="I149" t="s">
        <v>135</v>
      </c>
      <c r="J149" t="s">
        <v>44</v>
      </c>
      <c r="K149" t="s">
        <v>45</v>
      </c>
      <c r="L149">
        <v>0</v>
      </c>
      <c r="M149" t="s">
        <v>46</v>
      </c>
      <c r="N149" t="s">
        <v>47</v>
      </c>
      <c r="O149">
        <v>0</v>
      </c>
      <c r="P149" t="s">
        <v>46</v>
      </c>
      <c r="Q149" t="s">
        <v>47</v>
      </c>
      <c r="R149" t="s">
        <v>48</v>
      </c>
      <c r="S149" t="s">
        <v>49</v>
      </c>
      <c r="T149" t="b">
        <v>1</v>
      </c>
      <c r="U149" t="s">
        <v>50</v>
      </c>
      <c r="V149" t="s">
        <v>51</v>
      </c>
      <c r="W149">
        <v>4</v>
      </c>
      <c r="X149" t="b">
        <v>0</v>
      </c>
      <c r="Y149" t="s">
        <v>52</v>
      </c>
      <c r="Z149" t="s">
        <v>53</v>
      </c>
      <c r="AA149" t="s">
        <v>54</v>
      </c>
      <c r="AB149">
        <v>0</v>
      </c>
      <c r="AC149" t="s">
        <v>55</v>
      </c>
      <c r="AD149">
        <v>8</v>
      </c>
      <c r="AE149" t="s">
        <v>56</v>
      </c>
      <c r="AF149">
        <v>55</v>
      </c>
      <c r="AG149" t="b">
        <v>0</v>
      </c>
      <c r="AH149">
        <v>8</v>
      </c>
      <c r="AI149" t="s">
        <v>56</v>
      </c>
      <c r="AJ149">
        <v>55</v>
      </c>
      <c r="AK149" t="b">
        <v>0</v>
      </c>
      <c r="AL149">
        <v>55</v>
      </c>
      <c r="AM149" t="b">
        <v>0</v>
      </c>
      <c r="AN149">
        <v>0</v>
      </c>
      <c r="AO149" t="b">
        <v>0</v>
      </c>
      <c r="AQ149">
        <v>2702667.3930000002</v>
      </c>
      <c r="AR149">
        <v>2702667.3930000002</v>
      </c>
      <c r="AS149">
        <v>0</v>
      </c>
      <c r="AT149" t="b">
        <v>0</v>
      </c>
      <c r="AU149" t="b">
        <v>1</v>
      </c>
      <c r="AV149" t="b">
        <v>1</v>
      </c>
      <c r="AW149" t="b">
        <v>1</v>
      </c>
      <c r="BC149" t="s">
        <v>374</v>
      </c>
    </row>
    <row r="150" spans="1:55" x14ac:dyDescent="0.2">
      <c r="A150" t="s">
        <v>39</v>
      </c>
      <c r="B150" t="s">
        <v>40</v>
      </c>
      <c r="C150">
        <v>20200101</v>
      </c>
      <c r="D150">
        <v>2020</v>
      </c>
      <c r="E150">
        <v>52</v>
      </c>
      <c r="F150" t="s">
        <v>309</v>
      </c>
      <c r="G150">
        <v>268</v>
      </c>
      <c r="H150" t="s">
        <v>137</v>
      </c>
      <c r="I150" t="s">
        <v>138</v>
      </c>
      <c r="J150" t="s">
        <v>44</v>
      </c>
      <c r="K150" t="s">
        <v>45</v>
      </c>
      <c r="L150">
        <v>0</v>
      </c>
      <c r="M150" t="s">
        <v>46</v>
      </c>
      <c r="N150" t="s">
        <v>47</v>
      </c>
      <c r="O150">
        <v>0</v>
      </c>
      <c r="P150" t="s">
        <v>46</v>
      </c>
      <c r="Q150" t="s">
        <v>47</v>
      </c>
      <c r="R150" t="s">
        <v>48</v>
      </c>
      <c r="S150" t="s">
        <v>49</v>
      </c>
      <c r="T150" t="b">
        <v>1</v>
      </c>
      <c r="U150" t="s">
        <v>50</v>
      </c>
      <c r="V150" t="s">
        <v>51</v>
      </c>
      <c r="W150">
        <v>4</v>
      </c>
      <c r="X150" t="b">
        <v>0</v>
      </c>
      <c r="Y150" t="s">
        <v>52</v>
      </c>
      <c r="Z150" t="s">
        <v>53</v>
      </c>
      <c r="AA150" t="s">
        <v>54</v>
      </c>
      <c r="AB150">
        <v>0</v>
      </c>
      <c r="AC150" t="s">
        <v>55</v>
      </c>
      <c r="AD150">
        <v>8</v>
      </c>
      <c r="AE150" t="s">
        <v>56</v>
      </c>
      <c r="AF150">
        <v>2722.21</v>
      </c>
      <c r="AG150" t="b">
        <v>0</v>
      </c>
      <c r="AH150">
        <v>15</v>
      </c>
      <c r="AI150" t="s">
        <v>59</v>
      </c>
      <c r="AJ150">
        <v>2722209.8</v>
      </c>
      <c r="AK150" t="b">
        <v>0</v>
      </c>
      <c r="AL150">
        <v>2722.1489999999999</v>
      </c>
      <c r="AM150" t="b">
        <v>0</v>
      </c>
      <c r="AN150">
        <v>0</v>
      </c>
      <c r="AO150" t="b">
        <v>0</v>
      </c>
      <c r="AQ150">
        <v>97571530.010000005</v>
      </c>
      <c r="AR150">
        <v>97571530.010000005</v>
      </c>
      <c r="AS150">
        <v>0</v>
      </c>
      <c r="AT150" t="b">
        <v>0</v>
      </c>
      <c r="AU150" t="b">
        <v>1</v>
      </c>
      <c r="AV150" t="b">
        <v>1</v>
      </c>
      <c r="AW150" t="b">
        <v>1</v>
      </c>
      <c r="BC150" t="s">
        <v>374</v>
      </c>
    </row>
    <row r="151" spans="1:55" x14ac:dyDescent="0.2">
      <c r="A151" t="s">
        <v>39</v>
      </c>
      <c r="B151" t="s">
        <v>40</v>
      </c>
      <c r="C151">
        <v>20200101</v>
      </c>
      <c r="D151">
        <v>2020</v>
      </c>
      <c r="E151">
        <v>52</v>
      </c>
      <c r="F151" t="s">
        <v>309</v>
      </c>
      <c r="G151">
        <v>300</v>
      </c>
      <c r="H151" t="s">
        <v>143</v>
      </c>
      <c r="I151" t="s">
        <v>144</v>
      </c>
      <c r="J151" t="s">
        <v>44</v>
      </c>
      <c r="K151" t="s">
        <v>45</v>
      </c>
      <c r="L151">
        <v>0</v>
      </c>
      <c r="M151" t="s">
        <v>46</v>
      </c>
      <c r="N151" t="s">
        <v>47</v>
      </c>
      <c r="O151">
        <v>0</v>
      </c>
      <c r="P151" t="s">
        <v>46</v>
      </c>
      <c r="Q151" t="s">
        <v>47</v>
      </c>
      <c r="R151" t="s">
        <v>48</v>
      </c>
      <c r="S151" t="s">
        <v>49</v>
      </c>
      <c r="T151" t="b">
        <v>1</v>
      </c>
      <c r="U151" t="s">
        <v>50</v>
      </c>
      <c r="V151" t="s">
        <v>51</v>
      </c>
      <c r="W151">
        <v>4</v>
      </c>
      <c r="X151" t="b">
        <v>0</v>
      </c>
      <c r="Y151" t="s">
        <v>52</v>
      </c>
      <c r="Z151" t="s">
        <v>53</v>
      </c>
      <c r="AA151" t="s">
        <v>54</v>
      </c>
      <c r="AB151">
        <v>0</v>
      </c>
      <c r="AC151" t="s">
        <v>55</v>
      </c>
      <c r="AD151">
        <v>8</v>
      </c>
      <c r="AE151" t="s">
        <v>56</v>
      </c>
      <c r="AF151">
        <v>1298.8240000000001</v>
      </c>
      <c r="AG151" t="b">
        <v>0</v>
      </c>
      <c r="AH151">
        <v>15</v>
      </c>
      <c r="AI151" t="s">
        <v>59</v>
      </c>
      <c r="AJ151">
        <v>1298824</v>
      </c>
      <c r="AK151" t="b">
        <v>0</v>
      </c>
      <c r="AL151">
        <v>1320</v>
      </c>
      <c r="AM151" t="b">
        <v>0</v>
      </c>
      <c r="AN151">
        <v>0</v>
      </c>
      <c r="AO151" t="b">
        <v>0</v>
      </c>
      <c r="AP151">
        <v>0</v>
      </c>
      <c r="AQ151">
        <v>30894903.239</v>
      </c>
      <c r="AR151">
        <v>30894903.239</v>
      </c>
      <c r="AS151">
        <v>0</v>
      </c>
      <c r="AT151" t="b">
        <v>0</v>
      </c>
      <c r="AU151" t="b">
        <v>1</v>
      </c>
      <c r="AV151" t="b">
        <v>1</v>
      </c>
      <c r="AW151" t="b">
        <v>1</v>
      </c>
      <c r="BC151" t="s">
        <v>374</v>
      </c>
    </row>
    <row r="152" spans="1:55" x14ac:dyDescent="0.2">
      <c r="A152" t="s">
        <v>39</v>
      </c>
      <c r="B152" t="s">
        <v>40</v>
      </c>
      <c r="C152">
        <v>20200101</v>
      </c>
      <c r="D152">
        <v>2020</v>
      </c>
      <c r="E152">
        <v>52</v>
      </c>
      <c r="F152" t="s">
        <v>309</v>
      </c>
      <c r="G152">
        <v>320</v>
      </c>
      <c r="H152" t="s">
        <v>321</v>
      </c>
      <c r="I152" t="s">
        <v>322</v>
      </c>
      <c r="J152" t="s">
        <v>44</v>
      </c>
      <c r="K152" t="s">
        <v>45</v>
      </c>
      <c r="L152">
        <v>0</v>
      </c>
      <c r="M152" t="s">
        <v>46</v>
      </c>
      <c r="N152" t="s">
        <v>47</v>
      </c>
      <c r="O152">
        <v>0</v>
      </c>
      <c r="P152" t="s">
        <v>46</v>
      </c>
      <c r="Q152" t="s">
        <v>47</v>
      </c>
      <c r="R152" t="s">
        <v>48</v>
      </c>
      <c r="S152" t="s">
        <v>49</v>
      </c>
      <c r="T152" t="b">
        <v>1</v>
      </c>
      <c r="U152" t="s">
        <v>50</v>
      </c>
      <c r="V152" t="s">
        <v>51</v>
      </c>
      <c r="W152">
        <v>4</v>
      </c>
      <c r="X152" t="b">
        <v>0</v>
      </c>
      <c r="Y152" t="s">
        <v>52</v>
      </c>
      <c r="Z152" t="s">
        <v>53</v>
      </c>
      <c r="AA152" t="s">
        <v>54</v>
      </c>
      <c r="AB152">
        <v>0</v>
      </c>
      <c r="AC152" t="s">
        <v>55</v>
      </c>
      <c r="AD152">
        <v>8</v>
      </c>
      <c r="AE152" t="s">
        <v>56</v>
      </c>
      <c r="AF152">
        <v>1</v>
      </c>
      <c r="AG152" t="b">
        <v>0</v>
      </c>
      <c r="AH152">
        <v>8</v>
      </c>
      <c r="AI152" t="s">
        <v>56</v>
      </c>
      <c r="AJ152">
        <v>1</v>
      </c>
      <c r="AK152" t="b">
        <v>0</v>
      </c>
      <c r="AL152">
        <v>1</v>
      </c>
      <c r="AM152" t="b">
        <v>0</v>
      </c>
      <c r="AN152">
        <v>0</v>
      </c>
      <c r="AO152" t="b">
        <v>0</v>
      </c>
      <c r="AP152">
        <v>0</v>
      </c>
      <c r="AQ152">
        <v>2106</v>
      </c>
      <c r="AR152">
        <v>2106</v>
      </c>
      <c r="AS152">
        <v>0</v>
      </c>
      <c r="AT152" t="b">
        <v>0</v>
      </c>
      <c r="AU152" t="b">
        <v>1</v>
      </c>
      <c r="AV152" t="b">
        <v>1</v>
      </c>
      <c r="AW152" t="b">
        <v>1</v>
      </c>
      <c r="BC152" t="s">
        <v>374</v>
      </c>
    </row>
    <row r="153" spans="1:55" x14ac:dyDescent="0.2">
      <c r="A153" t="s">
        <v>39</v>
      </c>
      <c r="B153" t="s">
        <v>40</v>
      </c>
      <c r="C153">
        <v>20200101</v>
      </c>
      <c r="D153">
        <v>2020</v>
      </c>
      <c r="E153">
        <v>52</v>
      </c>
      <c r="F153" t="s">
        <v>309</v>
      </c>
      <c r="G153">
        <v>328</v>
      </c>
      <c r="H153" t="s">
        <v>145</v>
      </c>
      <c r="I153" t="s">
        <v>146</v>
      </c>
      <c r="J153" t="s">
        <v>44</v>
      </c>
      <c r="K153" t="s">
        <v>45</v>
      </c>
      <c r="L153">
        <v>0</v>
      </c>
      <c r="M153" t="s">
        <v>46</v>
      </c>
      <c r="N153" t="s">
        <v>47</v>
      </c>
      <c r="O153">
        <v>0</v>
      </c>
      <c r="P153" t="s">
        <v>46</v>
      </c>
      <c r="Q153" t="s">
        <v>47</v>
      </c>
      <c r="R153" t="s">
        <v>48</v>
      </c>
      <c r="S153" t="s">
        <v>49</v>
      </c>
      <c r="T153" t="b">
        <v>1</v>
      </c>
      <c r="U153" t="s">
        <v>50</v>
      </c>
      <c r="V153" t="s">
        <v>51</v>
      </c>
      <c r="W153">
        <v>4</v>
      </c>
      <c r="X153" t="b">
        <v>0</v>
      </c>
      <c r="Y153" t="s">
        <v>52</v>
      </c>
      <c r="Z153" t="s">
        <v>53</v>
      </c>
      <c r="AA153" t="s">
        <v>54</v>
      </c>
      <c r="AB153">
        <v>0</v>
      </c>
      <c r="AC153" t="s">
        <v>55</v>
      </c>
      <c r="AD153">
        <v>8</v>
      </c>
      <c r="AE153" t="s">
        <v>56</v>
      </c>
      <c r="AF153">
        <v>37447.040000000001</v>
      </c>
      <c r="AG153" t="b">
        <v>0</v>
      </c>
      <c r="AH153">
        <v>8</v>
      </c>
      <c r="AI153" t="s">
        <v>56</v>
      </c>
      <c r="AJ153">
        <v>37447.040000000001</v>
      </c>
      <c r="AK153" t="b">
        <v>0</v>
      </c>
      <c r="AL153">
        <v>37447.040000000001</v>
      </c>
      <c r="AM153" t="b">
        <v>0</v>
      </c>
      <c r="AN153">
        <v>0</v>
      </c>
      <c r="AO153" t="b">
        <v>0</v>
      </c>
      <c r="AQ153">
        <v>1974860857.849</v>
      </c>
      <c r="AR153">
        <v>1974860857.849</v>
      </c>
      <c r="AS153">
        <v>0</v>
      </c>
      <c r="AT153" t="b">
        <v>0</v>
      </c>
      <c r="AU153" t="b">
        <v>1</v>
      </c>
      <c r="AV153" t="b">
        <v>1</v>
      </c>
      <c r="AW153" t="b">
        <v>1</v>
      </c>
      <c r="BC153" t="s">
        <v>374</v>
      </c>
    </row>
    <row r="154" spans="1:55" x14ac:dyDescent="0.2">
      <c r="A154" t="s">
        <v>39</v>
      </c>
      <c r="B154" t="s">
        <v>40</v>
      </c>
      <c r="C154">
        <v>20200101</v>
      </c>
      <c r="D154">
        <v>2020</v>
      </c>
      <c r="E154">
        <v>52</v>
      </c>
      <c r="F154" t="s">
        <v>309</v>
      </c>
      <c r="G154">
        <v>340</v>
      </c>
      <c r="H154" t="s">
        <v>147</v>
      </c>
      <c r="I154" t="s">
        <v>148</v>
      </c>
      <c r="J154" t="s">
        <v>44</v>
      </c>
      <c r="K154" t="s">
        <v>45</v>
      </c>
      <c r="L154">
        <v>0</v>
      </c>
      <c r="M154" t="s">
        <v>46</v>
      </c>
      <c r="N154" t="s">
        <v>47</v>
      </c>
      <c r="O154">
        <v>0</v>
      </c>
      <c r="P154" t="s">
        <v>46</v>
      </c>
      <c r="Q154" t="s">
        <v>47</v>
      </c>
      <c r="R154" t="s">
        <v>48</v>
      </c>
      <c r="S154" t="s">
        <v>49</v>
      </c>
      <c r="T154" t="b">
        <v>1</v>
      </c>
      <c r="U154" t="s">
        <v>50</v>
      </c>
      <c r="V154" t="s">
        <v>51</v>
      </c>
      <c r="W154">
        <v>4</v>
      </c>
      <c r="X154" t="b">
        <v>0</v>
      </c>
      <c r="Y154" t="s">
        <v>52</v>
      </c>
      <c r="Z154" t="s">
        <v>53</v>
      </c>
      <c r="AA154" t="s">
        <v>54</v>
      </c>
      <c r="AB154">
        <v>0</v>
      </c>
      <c r="AC154" t="s">
        <v>55</v>
      </c>
      <c r="AD154">
        <v>8</v>
      </c>
      <c r="AE154" t="s">
        <v>56</v>
      </c>
      <c r="AF154">
        <v>2432.5100000000002</v>
      </c>
      <c r="AG154" t="b">
        <v>0</v>
      </c>
      <c r="AH154">
        <v>8</v>
      </c>
      <c r="AI154" t="s">
        <v>56</v>
      </c>
      <c r="AJ154">
        <v>2432.5100000000002</v>
      </c>
      <c r="AK154" t="b">
        <v>0</v>
      </c>
      <c r="AL154">
        <v>2432.5100000000002</v>
      </c>
      <c r="AM154" t="b">
        <v>0</v>
      </c>
      <c r="AN154">
        <v>0</v>
      </c>
      <c r="AO154" t="b">
        <v>0</v>
      </c>
      <c r="AP154">
        <v>0</v>
      </c>
      <c r="AQ154">
        <v>114841719.31</v>
      </c>
      <c r="AR154">
        <v>114841719.31</v>
      </c>
      <c r="AS154">
        <v>0</v>
      </c>
      <c r="AT154" t="b">
        <v>0</v>
      </c>
      <c r="AU154" t="b">
        <v>1</v>
      </c>
      <c r="AV154" t="b">
        <v>1</v>
      </c>
      <c r="AW154" t="b">
        <v>1</v>
      </c>
      <c r="BC154" t="s">
        <v>374</v>
      </c>
    </row>
    <row r="155" spans="1:55" x14ac:dyDescent="0.2">
      <c r="A155" t="s">
        <v>39</v>
      </c>
      <c r="B155" t="s">
        <v>40</v>
      </c>
      <c r="C155">
        <v>20200101</v>
      </c>
      <c r="D155">
        <v>2020</v>
      </c>
      <c r="E155">
        <v>52</v>
      </c>
      <c r="F155" t="s">
        <v>309</v>
      </c>
      <c r="G155">
        <v>348</v>
      </c>
      <c r="H155" t="s">
        <v>151</v>
      </c>
      <c r="I155" t="s">
        <v>152</v>
      </c>
      <c r="J155" t="s">
        <v>44</v>
      </c>
      <c r="K155" t="s">
        <v>45</v>
      </c>
      <c r="L155">
        <v>0</v>
      </c>
      <c r="M155" t="s">
        <v>46</v>
      </c>
      <c r="N155" t="s">
        <v>47</v>
      </c>
      <c r="O155">
        <v>0</v>
      </c>
      <c r="P155" t="s">
        <v>46</v>
      </c>
      <c r="Q155" t="s">
        <v>47</v>
      </c>
      <c r="R155" t="s">
        <v>48</v>
      </c>
      <c r="S155" t="s">
        <v>49</v>
      </c>
      <c r="T155" t="b">
        <v>1</v>
      </c>
      <c r="U155" t="s">
        <v>50</v>
      </c>
      <c r="V155" t="s">
        <v>51</v>
      </c>
      <c r="W155">
        <v>4</v>
      </c>
      <c r="X155" t="b">
        <v>0</v>
      </c>
      <c r="Y155" t="s">
        <v>52</v>
      </c>
      <c r="Z155" t="s">
        <v>53</v>
      </c>
      <c r="AA155" t="s">
        <v>54</v>
      </c>
      <c r="AB155">
        <v>0</v>
      </c>
      <c r="AC155" t="s">
        <v>55</v>
      </c>
      <c r="AD155">
        <v>-1</v>
      </c>
      <c r="AE155" t="s">
        <v>64</v>
      </c>
      <c r="AF155">
        <v>0</v>
      </c>
      <c r="AG155" t="b">
        <v>0</v>
      </c>
      <c r="AH155">
        <v>-1</v>
      </c>
      <c r="AI155" t="s">
        <v>64</v>
      </c>
      <c r="AJ155">
        <v>0</v>
      </c>
      <c r="AK155" t="b">
        <v>0</v>
      </c>
      <c r="AL155">
        <v>0</v>
      </c>
      <c r="AM155" t="b">
        <v>0</v>
      </c>
      <c r="AN155">
        <v>0</v>
      </c>
      <c r="AO155" t="b">
        <v>0</v>
      </c>
      <c r="AP155">
        <v>0</v>
      </c>
      <c r="AQ155">
        <v>100454734</v>
      </c>
      <c r="AR155">
        <v>100454734</v>
      </c>
      <c r="AS155">
        <v>0</v>
      </c>
      <c r="AT155" t="b">
        <v>0</v>
      </c>
      <c r="AU155" t="b">
        <v>1</v>
      </c>
      <c r="AV155" t="b">
        <v>1</v>
      </c>
      <c r="AW155" t="b">
        <v>1</v>
      </c>
      <c r="BC155" t="s">
        <v>374</v>
      </c>
    </row>
    <row r="156" spans="1:55" x14ac:dyDescent="0.2">
      <c r="A156" t="s">
        <v>39</v>
      </c>
      <c r="B156" t="s">
        <v>40</v>
      </c>
      <c r="C156">
        <v>20200101</v>
      </c>
      <c r="D156">
        <v>2020</v>
      </c>
      <c r="E156">
        <v>52</v>
      </c>
      <c r="F156" t="s">
        <v>309</v>
      </c>
      <c r="G156">
        <v>372</v>
      </c>
      <c r="H156" t="s">
        <v>157</v>
      </c>
      <c r="I156" t="s">
        <v>158</v>
      </c>
      <c r="J156" t="s">
        <v>44</v>
      </c>
      <c r="K156" t="s">
        <v>45</v>
      </c>
      <c r="L156">
        <v>0</v>
      </c>
      <c r="M156" t="s">
        <v>46</v>
      </c>
      <c r="N156" t="s">
        <v>47</v>
      </c>
      <c r="O156">
        <v>0</v>
      </c>
      <c r="P156" t="s">
        <v>46</v>
      </c>
      <c r="Q156" t="s">
        <v>47</v>
      </c>
      <c r="R156" t="s">
        <v>48</v>
      </c>
      <c r="S156" t="s">
        <v>49</v>
      </c>
      <c r="T156" t="b">
        <v>1</v>
      </c>
      <c r="U156" t="s">
        <v>50</v>
      </c>
      <c r="V156" t="s">
        <v>51</v>
      </c>
      <c r="W156">
        <v>4</v>
      </c>
      <c r="X156" t="b">
        <v>0</v>
      </c>
      <c r="Y156" t="s">
        <v>52</v>
      </c>
      <c r="Z156" t="s">
        <v>53</v>
      </c>
      <c r="AA156" t="s">
        <v>54</v>
      </c>
      <c r="AB156">
        <v>0</v>
      </c>
      <c r="AC156" t="s">
        <v>55</v>
      </c>
      <c r="AD156">
        <v>8</v>
      </c>
      <c r="AE156" t="s">
        <v>56</v>
      </c>
      <c r="AF156">
        <v>236.52600000000001</v>
      </c>
      <c r="AG156" t="b">
        <v>1</v>
      </c>
      <c r="AH156">
        <v>-1</v>
      </c>
      <c r="AI156" t="s">
        <v>64</v>
      </c>
      <c r="AJ156">
        <v>0</v>
      </c>
      <c r="AK156" t="b">
        <v>0</v>
      </c>
      <c r="AL156">
        <v>432.01499999999999</v>
      </c>
      <c r="AM156" t="b">
        <v>1</v>
      </c>
      <c r="AN156">
        <v>0</v>
      </c>
      <c r="AO156" t="b">
        <v>0</v>
      </c>
      <c r="AP156">
        <v>0</v>
      </c>
      <c r="AQ156">
        <v>8259111.9100000001</v>
      </c>
      <c r="AR156">
        <v>8259111.9100000001</v>
      </c>
      <c r="AS156">
        <v>6</v>
      </c>
      <c r="AT156" t="b">
        <v>0</v>
      </c>
      <c r="AU156" t="b">
        <v>1</v>
      </c>
      <c r="AV156" t="b">
        <v>1</v>
      </c>
      <c r="AW156" t="b">
        <v>1</v>
      </c>
      <c r="BC156" t="s">
        <v>374</v>
      </c>
    </row>
    <row r="157" spans="1:55" x14ac:dyDescent="0.2">
      <c r="A157" t="s">
        <v>39</v>
      </c>
      <c r="B157" t="s">
        <v>40</v>
      </c>
      <c r="C157">
        <v>20200101</v>
      </c>
      <c r="D157">
        <v>2020</v>
      </c>
      <c r="E157">
        <v>52</v>
      </c>
      <c r="F157" t="s">
        <v>309</v>
      </c>
      <c r="G157">
        <v>376</v>
      </c>
      <c r="H157" t="s">
        <v>159</v>
      </c>
      <c r="I157" t="s">
        <v>160</v>
      </c>
      <c r="J157" t="s">
        <v>44</v>
      </c>
      <c r="K157" t="s">
        <v>45</v>
      </c>
      <c r="L157">
        <v>0</v>
      </c>
      <c r="M157" t="s">
        <v>46</v>
      </c>
      <c r="N157" t="s">
        <v>47</v>
      </c>
      <c r="O157">
        <v>0</v>
      </c>
      <c r="P157" t="s">
        <v>46</v>
      </c>
      <c r="Q157" t="s">
        <v>47</v>
      </c>
      <c r="R157" t="s">
        <v>48</v>
      </c>
      <c r="S157" t="s">
        <v>49</v>
      </c>
      <c r="T157" t="b">
        <v>1</v>
      </c>
      <c r="U157" t="s">
        <v>50</v>
      </c>
      <c r="V157" t="s">
        <v>51</v>
      </c>
      <c r="W157">
        <v>4</v>
      </c>
      <c r="X157" t="b">
        <v>0</v>
      </c>
      <c r="Y157" t="s">
        <v>52</v>
      </c>
      <c r="Z157" t="s">
        <v>53</v>
      </c>
      <c r="AA157" t="s">
        <v>54</v>
      </c>
      <c r="AB157">
        <v>0</v>
      </c>
      <c r="AC157" t="s">
        <v>55</v>
      </c>
      <c r="AD157">
        <v>8</v>
      </c>
      <c r="AE157" t="s">
        <v>56</v>
      </c>
      <c r="AF157">
        <v>447.53300000000002</v>
      </c>
      <c r="AG157" t="b">
        <v>1</v>
      </c>
      <c r="AH157">
        <v>-1</v>
      </c>
      <c r="AI157" t="s">
        <v>64</v>
      </c>
      <c r="AJ157">
        <v>0</v>
      </c>
      <c r="AK157" t="b">
        <v>0</v>
      </c>
      <c r="AL157">
        <v>447.53300000000002</v>
      </c>
      <c r="AM157" t="b">
        <v>1</v>
      </c>
      <c r="AN157">
        <v>0</v>
      </c>
      <c r="AO157" t="b">
        <v>0</v>
      </c>
      <c r="AP157">
        <v>0</v>
      </c>
      <c r="AQ157">
        <v>24292000</v>
      </c>
      <c r="AR157">
        <v>24292000</v>
      </c>
      <c r="AS157">
        <v>6</v>
      </c>
      <c r="AT157" t="b">
        <v>0</v>
      </c>
      <c r="AU157" t="b">
        <v>1</v>
      </c>
      <c r="AV157" t="b">
        <v>1</v>
      </c>
      <c r="AW157" t="b">
        <v>1</v>
      </c>
      <c r="BC157" t="s">
        <v>374</v>
      </c>
    </row>
    <row r="158" spans="1:55" x14ac:dyDescent="0.2">
      <c r="A158" t="s">
        <v>39</v>
      </c>
      <c r="B158" t="s">
        <v>40</v>
      </c>
      <c r="C158">
        <v>20200101</v>
      </c>
      <c r="D158">
        <v>2020</v>
      </c>
      <c r="E158">
        <v>52</v>
      </c>
      <c r="F158" t="s">
        <v>309</v>
      </c>
      <c r="G158">
        <v>380</v>
      </c>
      <c r="H158" t="s">
        <v>161</v>
      </c>
      <c r="I158" t="s">
        <v>162</v>
      </c>
      <c r="J158" t="s">
        <v>44</v>
      </c>
      <c r="K158" t="s">
        <v>45</v>
      </c>
      <c r="L158">
        <v>0</v>
      </c>
      <c r="M158" t="s">
        <v>46</v>
      </c>
      <c r="N158" t="s">
        <v>47</v>
      </c>
      <c r="O158">
        <v>0</v>
      </c>
      <c r="P158" t="s">
        <v>46</v>
      </c>
      <c r="Q158" t="s">
        <v>47</v>
      </c>
      <c r="R158" t="s">
        <v>48</v>
      </c>
      <c r="S158" t="s">
        <v>49</v>
      </c>
      <c r="T158" t="b">
        <v>1</v>
      </c>
      <c r="U158" t="s">
        <v>50</v>
      </c>
      <c r="V158" t="s">
        <v>51</v>
      </c>
      <c r="W158">
        <v>4</v>
      </c>
      <c r="X158" t="b">
        <v>0</v>
      </c>
      <c r="Y158" t="s">
        <v>52</v>
      </c>
      <c r="Z158" t="s">
        <v>53</v>
      </c>
      <c r="AA158" t="s">
        <v>54</v>
      </c>
      <c r="AB158">
        <v>0</v>
      </c>
      <c r="AC158" t="s">
        <v>55</v>
      </c>
      <c r="AD158">
        <v>-1</v>
      </c>
      <c r="AE158" t="s">
        <v>64</v>
      </c>
      <c r="AF158">
        <v>0</v>
      </c>
      <c r="AG158" t="b">
        <v>0</v>
      </c>
      <c r="AH158">
        <v>-1</v>
      </c>
      <c r="AI158" t="s">
        <v>64</v>
      </c>
      <c r="AJ158">
        <v>0</v>
      </c>
      <c r="AK158" t="b">
        <v>0</v>
      </c>
      <c r="AM158" t="b">
        <v>0</v>
      </c>
      <c r="AN158">
        <v>0</v>
      </c>
      <c r="AO158" t="b">
        <v>0</v>
      </c>
      <c r="AQ158">
        <v>6705588636.71</v>
      </c>
      <c r="AR158">
        <v>6705588636.71</v>
      </c>
      <c r="AS158">
        <v>0</v>
      </c>
      <c r="AT158" t="b">
        <v>0</v>
      </c>
      <c r="AU158" t="b">
        <v>1</v>
      </c>
      <c r="AV158" t="b">
        <v>1</v>
      </c>
      <c r="AW158" t="b">
        <v>1</v>
      </c>
      <c r="BC158" t="s">
        <v>374</v>
      </c>
    </row>
    <row r="159" spans="1:55" x14ac:dyDescent="0.2">
      <c r="A159" t="s">
        <v>39</v>
      </c>
      <c r="B159" t="s">
        <v>40</v>
      </c>
      <c r="C159">
        <v>20200101</v>
      </c>
      <c r="D159">
        <v>2020</v>
      </c>
      <c r="E159">
        <v>52</v>
      </c>
      <c r="F159" t="s">
        <v>309</v>
      </c>
      <c r="G159">
        <v>384</v>
      </c>
      <c r="H159" t="s">
        <v>163</v>
      </c>
      <c r="I159" t="s">
        <v>164</v>
      </c>
      <c r="J159" t="s">
        <v>44</v>
      </c>
      <c r="K159" t="s">
        <v>45</v>
      </c>
      <c r="L159">
        <v>0</v>
      </c>
      <c r="M159" t="s">
        <v>46</v>
      </c>
      <c r="N159" t="s">
        <v>47</v>
      </c>
      <c r="O159">
        <v>0</v>
      </c>
      <c r="P159" t="s">
        <v>46</v>
      </c>
      <c r="Q159" t="s">
        <v>47</v>
      </c>
      <c r="R159" t="s">
        <v>48</v>
      </c>
      <c r="S159" t="s">
        <v>49</v>
      </c>
      <c r="T159" t="b">
        <v>1</v>
      </c>
      <c r="U159" t="s">
        <v>50</v>
      </c>
      <c r="V159" t="s">
        <v>51</v>
      </c>
      <c r="W159">
        <v>4</v>
      </c>
      <c r="X159" t="b">
        <v>0</v>
      </c>
      <c r="Y159" t="s">
        <v>52</v>
      </c>
      <c r="Z159" t="s">
        <v>53</v>
      </c>
      <c r="AA159" t="s">
        <v>54</v>
      </c>
      <c r="AB159">
        <v>0</v>
      </c>
      <c r="AC159" t="s">
        <v>55</v>
      </c>
      <c r="AD159">
        <v>8</v>
      </c>
      <c r="AE159" t="s">
        <v>56</v>
      </c>
      <c r="AF159">
        <v>38674</v>
      </c>
      <c r="AG159" t="b">
        <v>0</v>
      </c>
      <c r="AH159">
        <v>8</v>
      </c>
      <c r="AI159" t="s">
        <v>56</v>
      </c>
      <c r="AJ159">
        <v>38674</v>
      </c>
      <c r="AK159" t="b">
        <v>0</v>
      </c>
      <c r="AL159">
        <v>38674</v>
      </c>
      <c r="AM159" t="b">
        <v>0</v>
      </c>
      <c r="AN159">
        <v>0</v>
      </c>
      <c r="AO159" t="b">
        <v>0</v>
      </c>
      <c r="AP159">
        <v>0</v>
      </c>
      <c r="AQ159">
        <v>1465345844.6300001</v>
      </c>
      <c r="AR159">
        <v>1465345844.6300001</v>
      </c>
      <c r="AS159">
        <v>0</v>
      </c>
      <c r="AT159" t="b">
        <v>0</v>
      </c>
      <c r="AU159" t="b">
        <v>1</v>
      </c>
      <c r="AV159" t="b">
        <v>1</v>
      </c>
      <c r="AW159" t="b">
        <v>1</v>
      </c>
      <c r="BC159" t="s">
        <v>374</v>
      </c>
    </row>
    <row r="160" spans="1:55" x14ac:dyDescent="0.2">
      <c r="A160" t="s">
        <v>39</v>
      </c>
      <c r="B160" t="s">
        <v>40</v>
      </c>
      <c r="C160">
        <v>20200101</v>
      </c>
      <c r="D160">
        <v>2020</v>
      </c>
      <c r="E160">
        <v>52</v>
      </c>
      <c r="F160" t="s">
        <v>309</v>
      </c>
      <c r="G160">
        <v>398</v>
      </c>
      <c r="H160" t="s">
        <v>167</v>
      </c>
      <c r="I160" t="s">
        <v>168</v>
      </c>
      <c r="J160" t="s">
        <v>44</v>
      </c>
      <c r="K160" t="s">
        <v>45</v>
      </c>
      <c r="L160">
        <v>0</v>
      </c>
      <c r="M160" t="s">
        <v>46</v>
      </c>
      <c r="N160" t="s">
        <v>47</v>
      </c>
      <c r="O160">
        <v>0</v>
      </c>
      <c r="P160" t="s">
        <v>46</v>
      </c>
      <c r="Q160" t="s">
        <v>47</v>
      </c>
      <c r="R160" t="s">
        <v>48</v>
      </c>
      <c r="S160" t="s">
        <v>49</v>
      </c>
      <c r="T160" t="b">
        <v>1</v>
      </c>
      <c r="U160" t="s">
        <v>50</v>
      </c>
      <c r="V160" t="s">
        <v>51</v>
      </c>
      <c r="W160">
        <v>4</v>
      </c>
      <c r="X160" t="b">
        <v>0</v>
      </c>
      <c r="Y160" t="s">
        <v>52</v>
      </c>
      <c r="Z160" t="s">
        <v>53</v>
      </c>
      <c r="AA160" t="s">
        <v>54</v>
      </c>
      <c r="AB160">
        <v>0</v>
      </c>
      <c r="AC160" t="s">
        <v>55</v>
      </c>
      <c r="AD160">
        <v>-1</v>
      </c>
      <c r="AE160" t="s">
        <v>64</v>
      </c>
      <c r="AF160">
        <v>0</v>
      </c>
      <c r="AG160" t="b">
        <v>0</v>
      </c>
      <c r="AH160">
        <v>-1</v>
      </c>
      <c r="AI160" t="s">
        <v>64</v>
      </c>
      <c r="AJ160">
        <v>0</v>
      </c>
      <c r="AK160" t="b">
        <v>0</v>
      </c>
      <c r="AM160" t="b">
        <v>0</v>
      </c>
      <c r="AN160">
        <v>0</v>
      </c>
      <c r="AO160" t="b">
        <v>0</v>
      </c>
      <c r="AQ160">
        <v>6513615.4800000004</v>
      </c>
      <c r="AR160">
        <v>6513615.4800000004</v>
      </c>
      <c r="AS160">
        <v>0</v>
      </c>
      <c r="AT160" t="b">
        <v>0</v>
      </c>
      <c r="AU160" t="b">
        <v>1</v>
      </c>
      <c r="AV160" t="b">
        <v>1</v>
      </c>
      <c r="AW160" t="b">
        <v>1</v>
      </c>
      <c r="BC160" t="s">
        <v>374</v>
      </c>
    </row>
    <row r="161" spans="1:55" x14ac:dyDescent="0.2">
      <c r="A161" t="s">
        <v>39</v>
      </c>
      <c r="B161" t="s">
        <v>40</v>
      </c>
      <c r="C161">
        <v>20200101</v>
      </c>
      <c r="D161">
        <v>2020</v>
      </c>
      <c r="E161">
        <v>52</v>
      </c>
      <c r="F161" t="s">
        <v>309</v>
      </c>
      <c r="G161">
        <v>400</v>
      </c>
      <c r="H161" t="s">
        <v>169</v>
      </c>
      <c r="I161" t="s">
        <v>170</v>
      </c>
      <c r="J161" t="s">
        <v>44</v>
      </c>
      <c r="K161" t="s">
        <v>45</v>
      </c>
      <c r="L161">
        <v>0</v>
      </c>
      <c r="M161" t="s">
        <v>46</v>
      </c>
      <c r="N161" t="s">
        <v>47</v>
      </c>
      <c r="O161">
        <v>0</v>
      </c>
      <c r="P161" t="s">
        <v>46</v>
      </c>
      <c r="Q161" t="s">
        <v>47</v>
      </c>
      <c r="R161" t="s">
        <v>48</v>
      </c>
      <c r="S161" t="s">
        <v>49</v>
      </c>
      <c r="T161" t="b">
        <v>1</v>
      </c>
      <c r="U161" t="s">
        <v>50</v>
      </c>
      <c r="V161" t="s">
        <v>51</v>
      </c>
      <c r="W161">
        <v>4</v>
      </c>
      <c r="X161" t="b">
        <v>0</v>
      </c>
      <c r="Y161" t="s">
        <v>52</v>
      </c>
      <c r="Z161" t="s">
        <v>53</v>
      </c>
      <c r="AA161" t="s">
        <v>54</v>
      </c>
      <c r="AB161">
        <v>0</v>
      </c>
      <c r="AC161" t="s">
        <v>55</v>
      </c>
      <c r="AD161">
        <v>-1</v>
      </c>
      <c r="AE161" t="s">
        <v>64</v>
      </c>
      <c r="AF161">
        <v>0</v>
      </c>
      <c r="AG161" t="b">
        <v>1</v>
      </c>
      <c r="AH161">
        <v>-1</v>
      </c>
      <c r="AI161" t="s">
        <v>64</v>
      </c>
      <c r="AJ161">
        <v>0</v>
      </c>
      <c r="AK161" t="b">
        <v>0</v>
      </c>
      <c r="AL161">
        <v>0</v>
      </c>
      <c r="AM161" t="b">
        <v>1</v>
      </c>
      <c r="AN161">
        <v>0</v>
      </c>
      <c r="AO161" t="b">
        <v>0</v>
      </c>
      <c r="AP161">
        <v>0</v>
      </c>
      <c r="AQ161">
        <v>437815183.49000001</v>
      </c>
      <c r="AR161">
        <v>437815183.49000001</v>
      </c>
      <c r="AS161">
        <v>6</v>
      </c>
      <c r="AT161" t="b">
        <v>0</v>
      </c>
      <c r="AU161" t="b">
        <v>1</v>
      </c>
      <c r="AV161" t="b">
        <v>1</v>
      </c>
      <c r="AW161" t="b">
        <v>1</v>
      </c>
      <c r="BC161" t="s">
        <v>374</v>
      </c>
    </row>
    <row r="162" spans="1:55" x14ac:dyDescent="0.2">
      <c r="A162" t="s">
        <v>39</v>
      </c>
      <c r="B162" t="s">
        <v>40</v>
      </c>
      <c r="C162">
        <v>20200101</v>
      </c>
      <c r="D162">
        <v>2020</v>
      </c>
      <c r="E162">
        <v>52</v>
      </c>
      <c r="F162" t="s">
        <v>309</v>
      </c>
      <c r="G162">
        <v>404</v>
      </c>
      <c r="H162" t="s">
        <v>171</v>
      </c>
      <c r="I162" t="s">
        <v>172</v>
      </c>
      <c r="J162" t="s">
        <v>44</v>
      </c>
      <c r="K162" t="s">
        <v>45</v>
      </c>
      <c r="L162">
        <v>0</v>
      </c>
      <c r="M162" t="s">
        <v>46</v>
      </c>
      <c r="N162" t="s">
        <v>47</v>
      </c>
      <c r="O162">
        <v>0</v>
      </c>
      <c r="P162" t="s">
        <v>46</v>
      </c>
      <c r="Q162" t="s">
        <v>47</v>
      </c>
      <c r="R162" t="s">
        <v>48</v>
      </c>
      <c r="S162" t="s">
        <v>49</v>
      </c>
      <c r="T162" t="b">
        <v>1</v>
      </c>
      <c r="U162" t="s">
        <v>50</v>
      </c>
      <c r="V162" t="s">
        <v>51</v>
      </c>
      <c r="W162">
        <v>4</v>
      </c>
      <c r="X162" t="b">
        <v>0</v>
      </c>
      <c r="Y162" t="s">
        <v>52</v>
      </c>
      <c r="Z162" t="s">
        <v>53</v>
      </c>
      <c r="AA162" t="s">
        <v>54</v>
      </c>
      <c r="AB162">
        <v>0</v>
      </c>
      <c r="AC162" t="s">
        <v>55</v>
      </c>
      <c r="AD162">
        <v>-1</v>
      </c>
      <c r="AE162" t="s">
        <v>64</v>
      </c>
      <c r="AF162">
        <v>0</v>
      </c>
      <c r="AG162" t="b">
        <v>0</v>
      </c>
      <c r="AH162">
        <v>-1</v>
      </c>
      <c r="AI162" t="s">
        <v>64</v>
      </c>
      <c r="AJ162">
        <v>0</v>
      </c>
      <c r="AK162" t="b">
        <v>0</v>
      </c>
      <c r="AM162" t="b">
        <v>0</v>
      </c>
      <c r="AN162">
        <v>0</v>
      </c>
      <c r="AO162" t="b">
        <v>0</v>
      </c>
      <c r="AQ162">
        <v>9719029.2280000001</v>
      </c>
      <c r="AR162">
        <v>9719029.2280000001</v>
      </c>
      <c r="AS162">
        <v>0</v>
      </c>
      <c r="AT162" t="b">
        <v>0</v>
      </c>
      <c r="AU162" t="b">
        <v>1</v>
      </c>
      <c r="AV162" t="b">
        <v>1</v>
      </c>
      <c r="AW162" t="b">
        <v>1</v>
      </c>
      <c r="BC162" t="s">
        <v>374</v>
      </c>
    </row>
    <row r="163" spans="1:55" x14ac:dyDescent="0.2">
      <c r="A163" t="s">
        <v>39</v>
      </c>
      <c r="B163" t="s">
        <v>40</v>
      </c>
      <c r="C163">
        <v>20200101</v>
      </c>
      <c r="D163">
        <v>2020</v>
      </c>
      <c r="E163">
        <v>52</v>
      </c>
      <c r="F163" t="s">
        <v>309</v>
      </c>
      <c r="G163">
        <v>410</v>
      </c>
      <c r="H163" t="s">
        <v>173</v>
      </c>
      <c r="I163" t="s">
        <v>174</v>
      </c>
      <c r="J163" t="s">
        <v>44</v>
      </c>
      <c r="K163" t="s">
        <v>45</v>
      </c>
      <c r="L163">
        <v>0</v>
      </c>
      <c r="M163" t="s">
        <v>46</v>
      </c>
      <c r="N163" t="s">
        <v>47</v>
      </c>
      <c r="O163">
        <v>0</v>
      </c>
      <c r="P163" t="s">
        <v>46</v>
      </c>
      <c r="Q163" t="s">
        <v>47</v>
      </c>
      <c r="R163" t="s">
        <v>48</v>
      </c>
      <c r="S163" t="s">
        <v>49</v>
      </c>
      <c r="T163" t="b">
        <v>1</v>
      </c>
      <c r="U163" t="s">
        <v>50</v>
      </c>
      <c r="V163" t="s">
        <v>51</v>
      </c>
      <c r="W163">
        <v>4</v>
      </c>
      <c r="X163" t="b">
        <v>0</v>
      </c>
      <c r="Y163" t="s">
        <v>52</v>
      </c>
      <c r="Z163" t="s">
        <v>53</v>
      </c>
      <c r="AA163" t="s">
        <v>54</v>
      </c>
      <c r="AB163">
        <v>0</v>
      </c>
      <c r="AC163" t="s">
        <v>55</v>
      </c>
      <c r="AD163">
        <v>-1</v>
      </c>
      <c r="AE163" t="s">
        <v>64</v>
      </c>
      <c r="AF163">
        <v>0</v>
      </c>
      <c r="AG163" t="b">
        <v>0</v>
      </c>
      <c r="AH163">
        <v>-1</v>
      </c>
      <c r="AI163" t="s">
        <v>64</v>
      </c>
      <c r="AJ163">
        <v>0</v>
      </c>
      <c r="AK163" t="b">
        <v>0</v>
      </c>
      <c r="AM163" t="b">
        <v>0</v>
      </c>
      <c r="AN163">
        <v>0</v>
      </c>
      <c r="AO163" t="b">
        <v>0</v>
      </c>
      <c r="AQ163">
        <v>1710140052</v>
      </c>
      <c r="AR163">
        <v>1710140052</v>
      </c>
      <c r="AS163">
        <v>0</v>
      </c>
      <c r="AT163" t="b">
        <v>0</v>
      </c>
      <c r="AU163" t="b">
        <v>1</v>
      </c>
      <c r="AV163" t="b">
        <v>1</v>
      </c>
      <c r="AW163" t="b">
        <v>1</v>
      </c>
      <c r="BC163" t="s">
        <v>374</v>
      </c>
    </row>
    <row r="164" spans="1:55" x14ac:dyDescent="0.2">
      <c r="A164" t="s">
        <v>39</v>
      </c>
      <c r="B164" t="s">
        <v>40</v>
      </c>
      <c r="C164">
        <v>20200101</v>
      </c>
      <c r="D164">
        <v>2020</v>
      </c>
      <c r="E164">
        <v>52</v>
      </c>
      <c r="F164" t="s">
        <v>309</v>
      </c>
      <c r="G164">
        <v>414</v>
      </c>
      <c r="H164" t="s">
        <v>175</v>
      </c>
      <c r="I164" t="s">
        <v>176</v>
      </c>
      <c r="J164" t="s">
        <v>44</v>
      </c>
      <c r="K164" t="s">
        <v>45</v>
      </c>
      <c r="L164">
        <v>0</v>
      </c>
      <c r="M164" t="s">
        <v>46</v>
      </c>
      <c r="N164" t="s">
        <v>47</v>
      </c>
      <c r="O164">
        <v>0</v>
      </c>
      <c r="P164" t="s">
        <v>46</v>
      </c>
      <c r="Q164" t="s">
        <v>47</v>
      </c>
      <c r="R164" t="s">
        <v>48</v>
      </c>
      <c r="S164" t="s">
        <v>49</v>
      </c>
      <c r="T164" t="b">
        <v>1</v>
      </c>
      <c r="U164" t="s">
        <v>50</v>
      </c>
      <c r="V164" t="s">
        <v>51</v>
      </c>
      <c r="W164">
        <v>4</v>
      </c>
      <c r="X164" t="b">
        <v>0</v>
      </c>
      <c r="Y164" t="s">
        <v>52</v>
      </c>
      <c r="Z164" t="s">
        <v>53</v>
      </c>
      <c r="AA164" t="s">
        <v>54</v>
      </c>
      <c r="AB164">
        <v>0</v>
      </c>
      <c r="AC164" t="s">
        <v>55</v>
      </c>
      <c r="AD164">
        <v>8</v>
      </c>
      <c r="AE164" t="s">
        <v>56</v>
      </c>
      <c r="AF164">
        <v>1013.083</v>
      </c>
      <c r="AG164" t="b">
        <v>0</v>
      </c>
      <c r="AH164">
        <v>8</v>
      </c>
      <c r="AI164" t="s">
        <v>56</v>
      </c>
      <c r="AJ164">
        <v>1013.083</v>
      </c>
      <c r="AK164" t="b">
        <v>0</v>
      </c>
      <c r="AL164">
        <v>1013.083</v>
      </c>
      <c r="AM164" t="b">
        <v>0</v>
      </c>
      <c r="AN164">
        <v>0</v>
      </c>
      <c r="AO164" t="b">
        <v>0</v>
      </c>
      <c r="AP164">
        <v>0</v>
      </c>
      <c r="AQ164">
        <v>49223019</v>
      </c>
      <c r="AR164">
        <v>49223019</v>
      </c>
      <c r="AS164">
        <v>0</v>
      </c>
      <c r="AT164" t="b">
        <v>0</v>
      </c>
      <c r="AU164" t="b">
        <v>1</v>
      </c>
      <c r="AV164" t="b">
        <v>1</v>
      </c>
      <c r="AW164" t="b">
        <v>1</v>
      </c>
      <c r="BC164" t="s">
        <v>374</v>
      </c>
    </row>
    <row r="165" spans="1:55" x14ac:dyDescent="0.2">
      <c r="A165" t="s">
        <v>39</v>
      </c>
      <c r="B165" t="s">
        <v>40</v>
      </c>
      <c r="C165">
        <v>20200101</v>
      </c>
      <c r="D165">
        <v>2020</v>
      </c>
      <c r="E165">
        <v>52</v>
      </c>
      <c r="F165" t="s">
        <v>309</v>
      </c>
      <c r="G165">
        <v>417</v>
      </c>
      <c r="H165" t="s">
        <v>177</v>
      </c>
      <c r="I165" t="s">
        <v>178</v>
      </c>
      <c r="J165" t="s">
        <v>44</v>
      </c>
      <c r="K165" t="s">
        <v>45</v>
      </c>
      <c r="L165">
        <v>0</v>
      </c>
      <c r="M165" t="s">
        <v>46</v>
      </c>
      <c r="N165" t="s">
        <v>47</v>
      </c>
      <c r="O165">
        <v>0</v>
      </c>
      <c r="P165" t="s">
        <v>46</v>
      </c>
      <c r="Q165" t="s">
        <v>47</v>
      </c>
      <c r="R165" t="s">
        <v>48</v>
      </c>
      <c r="S165" t="s">
        <v>49</v>
      </c>
      <c r="T165" t="b">
        <v>1</v>
      </c>
      <c r="U165" t="s">
        <v>50</v>
      </c>
      <c r="V165" t="s">
        <v>51</v>
      </c>
      <c r="W165">
        <v>4</v>
      </c>
      <c r="X165" t="b">
        <v>0</v>
      </c>
      <c r="Y165" t="s">
        <v>52</v>
      </c>
      <c r="Z165" t="s">
        <v>53</v>
      </c>
      <c r="AA165" t="s">
        <v>54</v>
      </c>
      <c r="AB165">
        <v>0</v>
      </c>
      <c r="AC165" t="s">
        <v>55</v>
      </c>
      <c r="AD165">
        <v>8</v>
      </c>
      <c r="AE165" t="s">
        <v>56</v>
      </c>
      <c r="AF165">
        <v>9231.7049999999999</v>
      </c>
      <c r="AG165" t="b">
        <v>0</v>
      </c>
      <c r="AH165">
        <v>15</v>
      </c>
      <c r="AI165" t="s">
        <v>59</v>
      </c>
      <c r="AJ165">
        <v>9231705</v>
      </c>
      <c r="AK165" t="b">
        <v>0</v>
      </c>
      <c r="AL165">
        <v>17670</v>
      </c>
      <c r="AM165" t="b">
        <v>0</v>
      </c>
      <c r="AN165">
        <v>0</v>
      </c>
      <c r="AO165" t="b">
        <v>0</v>
      </c>
      <c r="AP165">
        <v>0</v>
      </c>
      <c r="AQ165">
        <v>986997530</v>
      </c>
      <c r="AR165">
        <v>986997530</v>
      </c>
      <c r="AS165">
        <v>0</v>
      </c>
      <c r="AT165" t="b">
        <v>0</v>
      </c>
      <c r="AU165" t="b">
        <v>1</v>
      </c>
      <c r="AV165" t="b">
        <v>1</v>
      </c>
      <c r="AW165" t="b">
        <v>1</v>
      </c>
      <c r="BC165" t="s">
        <v>374</v>
      </c>
    </row>
    <row r="166" spans="1:55" x14ac:dyDescent="0.2">
      <c r="A166" t="s">
        <v>39</v>
      </c>
      <c r="B166" t="s">
        <v>40</v>
      </c>
      <c r="C166">
        <v>20200101</v>
      </c>
      <c r="D166">
        <v>2020</v>
      </c>
      <c r="E166">
        <v>52</v>
      </c>
      <c r="F166" t="s">
        <v>309</v>
      </c>
      <c r="G166">
        <v>418</v>
      </c>
      <c r="H166" t="s">
        <v>179</v>
      </c>
      <c r="I166" t="s">
        <v>180</v>
      </c>
      <c r="J166" t="s">
        <v>44</v>
      </c>
      <c r="K166" t="s">
        <v>45</v>
      </c>
      <c r="L166">
        <v>0</v>
      </c>
      <c r="M166" t="s">
        <v>46</v>
      </c>
      <c r="N166" t="s">
        <v>47</v>
      </c>
      <c r="O166">
        <v>0</v>
      </c>
      <c r="P166" t="s">
        <v>46</v>
      </c>
      <c r="Q166" t="s">
        <v>47</v>
      </c>
      <c r="R166" t="s">
        <v>48</v>
      </c>
      <c r="S166" t="s">
        <v>49</v>
      </c>
      <c r="T166" t="b">
        <v>1</v>
      </c>
      <c r="U166" t="s">
        <v>50</v>
      </c>
      <c r="V166" t="s">
        <v>51</v>
      </c>
      <c r="W166">
        <v>4</v>
      </c>
      <c r="X166" t="b">
        <v>0</v>
      </c>
      <c r="Y166" t="s">
        <v>52</v>
      </c>
      <c r="Z166" t="s">
        <v>53</v>
      </c>
      <c r="AA166" t="s">
        <v>54</v>
      </c>
      <c r="AB166">
        <v>0</v>
      </c>
      <c r="AC166" t="s">
        <v>55</v>
      </c>
      <c r="AD166">
        <v>8</v>
      </c>
      <c r="AE166" t="s">
        <v>56</v>
      </c>
      <c r="AF166">
        <v>29051.964</v>
      </c>
      <c r="AG166" t="b">
        <v>1</v>
      </c>
      <c r="AH166">
        <v>-1</v>
      </c>
      <c r="AI166" t="s">
        <v>64</v>
      </c>
      <c r="AJ166">
        <v>0</v>
      </c>
      <c r="AK166" t="b">
        <v>0</v>
      </c>
      <c r="AL166">
        <v>29051.964</v>
      </c>
      <c r="AM166" t="b">
        <v>1</v>
      </c>
      <c r="AN166">
        <v>0</v>
      </c>
      <c r="AO166" t="b">
        <v>0</v>
      </c>
      <c r="AP166">
        <v>0</v>
      </c>
      <c r="AQ166">
        <v>457051271.88</v>
      </c>
      <c r="AR166">
        <v>457051271.88</v>
      </c>
      <c r="AS166">
        <v>6</v>
      </c>
      <c r="AT166" t="b">
        <v>0</v>
      </c>
      <c r="AU166" t="b">
        <v>1</v>
      </c>
      <c r="AV166" t="b">
        <v>1</v>
      </c>
      <c r="AW166" t="b">
        <v>1</v>
      </c>
      <c r="BC166" t="s">
        <v>374</v>
      </c>
    </row>
    <row r="167" spans="1:55" x14ac:dyDescent="0.2">
      <c r="A167" t="s">
        <v>39</v>
      </c>
      <c r="B167" t="s">
        <v>40</v>
      </c>
      <c r="C167">
        <v>20200101</v>
      </c>
      <c r="D167">
        <v>2020</v>
      </c>
      <c r="E167">
        <v>52</v>
      </c>
      <c r="F167" t="s">
        <v>309</v>
      </c>
      <c r="G167">
        <v>422</v>
      </c>
      <c r="H167" t="s">
        <v>181</v>
      </c>
      <c r="I167" t="s">
        <v>182</v>
      </c>
      <c r="J167" t="s">
        <v>44</v>
      </c>
      <c r="K167" t="s">
        <v>45</v>
      </c>
      <c r="L167">
        <v>0</v>
      </c>
      <c r="M167" t="s">
        <v>46</v>
      </c>
      <c r="N167" t="s">
        <v>47</v>
      </c>
      <c r="O167">
        <v>0</v>
      </c>
      <c r="P167" t="s">
        <v>46</v>
      </c>
      <c r="Q167" t="s">
        <v>47</v>
      </c>
      <c r="R167" t="s">
        <v>48</v>
      </c>
      <c r="S167" t="s">
        <v>49</v>
      </c>
      <c r="T167" t="b">
        <v>1</v>
      </c>
      <c r="U167" t="s">
        <v>50</v>
      </c>
      <c r="V167" t="s">
        <v>51</v>
      </c>
      <c r="W167">
        <v>4</v>
      </c>
      <c r="X167" t="b">
        <v>0</v>
      </c>
      <c r="Y167" t="s">
        <v>52</v>
      </c>
      <c r="Z167" t="s">
        <v>53</v>
      </c>
      <c r="AA167" t="s">
        <v>54</v>
      </c>
      <c r="AB167">
        <v>0</v>
      </c>
      <c r="AC167" t="s">
        <v>55</v>
      </c>
      <c r="AD167">
        <v>8</v>
      </c>
      <c r="AE167" t="s">
        <v>56</v>
      </c>
      <c r="AF167">
        <v>20931</v>
      </c>
      <c r="AG167" t="b">
        <v>0</v>
      </c>
      <c r="AH167">
        <v>8</v>
      </c>
      <c r="AI167" t="s">
        <v>56</v>
      </c>
      <c r="AJ167">
        <v>20931</v>
      </c>
      <c r="AK167" t="b">
        <v>0</v>
      </c>
      <c r="AL167">
        <v>20931</v>
      </c>
      <c r="AM167" t="b">
        <v>0</v>
      </c>
      <c r="AN167">
        <v>0</v>
      </c>
      <c r="AO167" t="b">
        <v>0</v>
      </c>
      <c r="AP167">
        <v>0</v>
      </c>
      <c r="AQ167">
        <v>1090634247</v>
      </c>
      <c r="AR167">
        <v>1090634247</v>
      </c>
      <c r="AS167">
        <v>0</v>
      </c>
      <c r="AT167" t="b">
        <v>0</v>
      </c>
      <c r="AU167" t="b">
        <v>1</v>
      </c>
      <c r="AV167" t="b">
        <v>1</v>
      </c>
      <c r="AW167" t="b">
        <v>1</v>
      </c>
      <c r="BC167" t="s">
        <v>374</v>
      </c>
    </row>
    <row r="168" spans="1:55" x14ac:dyDescent="0.2">
      <c r="A168" t="s">
        <v>39</v>
      </c>
      <c r="B168" t="s">
        <v>40</v>
      </c>
      <c r="C168">
        <v>20200101</v>
      </c>
      <c r="D168">
        <v>2020</v>
      </c>
      <c r="E168">
        <v>52</v>
      </c>
      <c r="F168" t="s">
        <v>309</v>
      </c>
      <c r="G168">
        <v>428</v>
      </c>
      <c r="H168" t="s">
        <v>183</v>
      </c>
      <c r="I168" t="s">
        <v>184</v>
      </c>
      <c r="J168" t="s">
        <v>44</v>
      </c>
      <c r="K168" t="s">
        <v>45</v>
      </c>
      <c r="L168">
        <v>0</v>
      </c>
      <c r="M168" t="s">
        <v>46</v>
      </c>
      <c r="N168" t="s">
        <v>47</v>
      </c>
      <c r="O168">
        <v>0</v>
      </c>
      <c r="P168" t="s">
        <v>46</v>
      </c>
      <c r="Q168" t="s">
        <v>47</v>
      </c>
      <c r="R168" t="s">
        <v>48</v>
      </c>
      <c r="S168" t="s">
        <v>49</v>
      </c>
      <c r="T168" t="b">
        <v>1</v>
      </c>
      <c r="U168" t="s">
        <v>50</v>
      </c>
      <c r="V168" t="s">
        <v>51</v>
      </c>
      <c r="W168">
        <v>4</v>
      </c>
      <c r="X168" t="b">
        <v>0</v>
      </c>
      <c r="Y168" t="s">
        <v>52</v>
      </c>
      <c r="Z168" t="s">
        <v>53</v>
      </c>
      <c r="AA168" t="s">
        <v>54</v>
      </c>
      <c r="AB168">
        <v>0</v>
      </c>
      <c r="AC168" t="s">
        <v>55</v>
      </c>
      <c r="AD168">
        <v>8</v>
      </c>
      <c r="AE168" t="s">
        <v>56</v>
      </c>
      <c r="AF168">
        <v>256.77499999999998</v>
      </c>
      <c r="AG168" t="b">
        <v>0</v>
      </c>
      <c r="AH168">
        <v>15</v>
      </c>
      <c r="AI168" t="s">
        <v>59</v>
      </c>
      <c r="AJ168">
        <v>256775</v>
      </c>
      <c r="AK168" t="b">
        <v>0</v>
      </c>
      <c r="AL168">
        <v>261.202</v>
      </c>
      <c r="AM168" t="b">
        <v>0</v>
      </c>
      <c r="AN168">
        <v>0</v>
      </c>
      <c r="AO168" t="b">
        <v>0</v>
      </c>
      <c r="AQ168">
        <v>7674536.6689999998</v>
      </c>
      <c r="AR168">
        <v>7674536.6689999998</v>
      </c>
      <c r="AS168">
        <v>0</v>
      </c>
      <c r="AT168" t="b">
        <v>0</v>
      </c>
      <c r="AU168" t="b">
        <v>1</v>
      </c>
      <c r="AV168" t="b">
        <v>1</v>
      </c>
      <c r="AW168" t="b">
        <v>1</v>
      </c>
      <c r="BC168" t="s">
        <v>374</v>
      </c>
    </row>
    <row r="169" spans="1:55" x14ac:dyDescent="0.2">
      <c r="A169" t="s">
        <v>39</v>
      </c>
      <c r="B169" t="s">
        <v>40</v>
      </c>
      <c r="C169">
        <v>20200101</v>
      </c>
      <c r="D169">
        <v>2020</v>
      </c>
      <c r="E169">
        <v>52</v>
      </c>
      <c r="F169" t="s">
        <v>309</v>
      </c>
      <c r="G169">
        <v>430</v>
      </c>
      <c r="H169" t="s">
        <v>185</v>
      </c>
      <c r="I169" t="s">
        <v>186</v>
      </c>
      <c r="J169" t="s">
        <v>44</v>
      </c>
      <c r="K169" t="s">
        <v>45</v>
      </c>
      <c r="L169">
        <v>0</v>
      </c>
      <c r="M169" t="s">
        <v>46</v>
      </c>
      <c r="N169" t="s">
        <v>47</v>
      </c>
      <c r="O169">
        <v>0</v>
      </c>
      <c r="P169" t="s">
        <v>46</v>
      </c>
      <c r="Q169" t="s">
        <v>47</v>
      </c>
      <c r="R169" t="s">
        <v>48</v>
      </c>
      <c r="S169" t="s">
        <v>49</v>
      </c>
      <c r="T169" t="b">
        <v>1</v>
      </c>
      <c r="U169" t="s">
        <v>50</v>
      </c>
      <c r="V169" t="s">
        <v>51</v>
      </c>
      <c r="W169">
        <v>4</v>
      </c>
      <c r="X169" t="b">
        <v>0</v>
      </c>
      <c r="Y169" t="s">
        <v>52</v>
      </c>
      <c r="Z169" t="s">
        <v>53</v>
      </c>
      <c r="AA169" t="s">
        <v>54</v>
      </c>
      <c r="AB169">
        <v>0</v>
      </c>
      <c r="AC169" t="s">
        <v>55</v>
      </c>
      <c r="AD169">
        <v>8</v>
      </c>
      <c r="AE169" t="s">
        <v>56</v>
      </c>
      <c r="AF169">
        <v>2179.4299999999998</v>
      </c>
      <c r="AG169" t="b">
        <v>1</v>
      </c>
      <c r="AH169">
        <v>-1</v>
      </c>
      <c r="AI169" t="s">
        <v>64</v>
      </c>
      <c r="AJ169">
        <v>0</v>
      </c>
      <c r="AK169" t="b">
        <v>0</v>
      </c>
      <c r="AL169">
        <v>2179.4299999999998</v>
      </c>
      <c r="AM169" t="b">
        <v>1</v>
      </c>
      <c r="AN169">
        <v>0</v>
      </c>
      <c r="AO169" t="b">
        <v>0</v>
      </c>
      <c r="AQ169">
        <v>117742754.808</v>
      </c>
      <c r="AR169">
        <v>117742754.808</v>
      </c>
      <c r="AS169">
        <v>6</v>
      </c>
      <c r="AT169" t="b">
        <v>0</v>
      </c>
      <c r="AU169" t="b">
        <v>1</v>
      </c>
      <c r="AV169" t="b">
        <v>1</v>
      </c>
      <c r="AW169" t="b">
        <v>1</v>
      </c>
      <c r="BC169" t="s">
        <v>374</v>
      </c>
    </row>
    <row r="170" spans="1:55" x14ac:dyDescent="0.2">
      <c r="A170" t="s">
        <v>39</v>
      </c>
      <c r="B170" t="s">
        <v>40</v>
      </c>
      <c r="C170">
        <v>20200101</v>
      </c>
      <c r="D170">
        <v>2020</v>
      </c>
      <c r="E170">
        <v>52</v>
      </c>
      <c r="F170" t="s">
        <v>309</v>
      </c>
      <c r="G170">
        <v>440</v>
      </c>
      <c r="H170" t="s">
        <v>189</v>
      </c>
      <c r="I170" t="s">
        <v>190</v>
      </c>
      <c r="J170" t="s">
        <v>44</v>
      </c>
      <c r="K170" t="s">
        <v>45</v>
      </c>
      <c r="L170">
        <v>0</v>
      </c>
      <c r="M170" t="s">
        <v>46</v>
      </c>
      <c r="N170" t="s">
        <v>47</v>
      </c>
      <c r="O170">
        <v>0</v>
      </c>
      <c r="P170" t="s">
        <v>46</v>
      </c>
      <c r="Q170" t="s">
        <v>47</v>
      </c>
      <c r="R170" t="s">
        <v>48</v>
      </c>
      <c r="S170" t="s">
        <v>49</v>
      </c>
      <c r="T170" t="b">
        <v>1</v>
      </c>
      <c r="U170" t="s">
        <v>50</v>
      </c>
      <c r="V170" t="s">
        <v>51</v>
      </c>
      <c r="W170">
        <v>4</v>
      </c>
      <c r="X170" t="b">
        <v>0</v>
      </c>
      <c r="Y170" t="s">
        <v>52</v>
      </c>
      <c r="Z170" t="s">
        <v>53</v>
      </c>
      <c r="AA170" t="s">
        <v>54</v>
      </c>
      <c r="AB170">
        <v>0</v>
      </c>
      <c r="AC170" t="s">
        <v>55</v>
      </c>
      <c r="AD170">
        <v>8</v>
      </c>
      <c r="AE170" t="s">
        <v>56</v>
      </c>
      <c r="AF170">
        <v>17.690000000000001</v>
      </c>
      <c r="AG170" t="b">
        <v>0</v>
      </c>
      <c r="AH170">
        <v>15</v>
      </c>
      <c r="AI170" t="s">
        <v>59</v>
      </c>
      <c r="AJ170">
        <v>17689.98</v>
      </c>
      <c r="AK170" t="b">
        <v>0</v>
      </c>
      <c r="AL170">
        <v>17.919</v>
      </c>
      <c r="AM170" t="b">
        <v>0</v>
      </c>
      <c r="AN170">
        <v>0</v>
      </c>
      <c r="AO170" t="b">
        <v>0</v>
      </c>
      <c r="AQ170">
        <v>644454</v>
      </c>
      <c r="AR170">
        <v>644454</v>
      </c>
      <c r="AS170">
        <v>0</v>
      </c>
      <c r="AT170" t="b">
        <v>0</v>
      </c>
      <c r="AU170" t="b">
        <v>1</v>
      </c>
      <c r="AV170" t="b">
        <v>1</v>
      </c>
      <c r="AW170" t="b">
        <v>1</v>
      </c>
      <c r="BC170" t="s">
        <v>374</v>
      </c>
    </row>
    <row r="171" spans="1:55" x14ac:dyDescent="0.2">
      <c r="A171" t="s">
        <v>39</v>
      </c>
      <c r="B171" t="s">
        <v>40</v>
      </c>
      <c r="C171">
        <v>20200101</v>
      </c>
      <c r="D171">
        <v>2020</v>
      </c>
      <c r="E171">
        <v>52</v>
      </c>
      <c r="F171" t="s">
        <v>309</v>
      </c>
      <c r="G171">
        <v>442</v>
      </c>
      <c r="H171" t="s">
        <v>191</v>
      </c>
      <c r="I171" t="s">
        <v>192</v>
      </c>
      <c r="J171" t="s">
        <v>44</v>
      </c>
      <c r="K171" t="s">
        <v>45</v>
      </c>
      <c r="L171">
        <v>0</v>
      </c>
      <c r="M171" t="s">
        <v>46</v>
      </c>
      <c r="N171" t="s">
        <v>47</v>
      </c>
      <c r="O171">
        <v>0</v>
      </c>
      <c r="P171" t="s">
        <v>46</v>
      </c>
      <c r="Q171" t="s">
        <v>47</v>
      </c>
      <c r="R171" t="s">
        <v>48</v>
      </c>
      <c r="S171" t="s">
        <v>49</v>
      </c>
      <c r="T171" t="b">
        <v>1</v>
      </c>
      <c r="U171" t="s">
        <v>50</v>
      </c>
      <c r="V171" t="s">
        <v>51</v>
      </c>
      <c r="W171">
        <v>4</v>
      </c>
      <c r="X171" t="b">
        <v>0</v>
      </c>
      <c r="Y171" t="s">
        <v>52</v>
      </c>
      <c r="Z171" t="s">
        <v>53</v>
      </c>
      <c r="AA171" t="s">
        <v>54</v>
      </c>
      <c r="AB171">
        <v>0</v>
      </c>
      <c r="AC171" t="s">
        <v>55</v>
      </c>
      <c r="AD171">
        <v>8</v>
      </c>
      <c r="AE171" t="s">
        <v>56</v>
      </c>
      <c r="AF171">
        <v>906.03700000000003</v>
      </c>
      <c r="AG171" t="b">
        <v>0</v>
      </c>
      <c r="AH171">
        <v>15</v>
      </c>
      <c r="AI171" t="s">
        <v>59</v>
      </c>
      <c r="AJ171">
        <v>885660.76</v>
      </c>
      <c r="AK171" t="b">
        <v>0</v>
      </c>
      <c r="AL171">
        <v>1974.8119999999999</v>
      </c>
      <c r="AM171" t="b">
        <v>0</v>
      </c>
      <c r="AN171">
        <v>0</v>
      </c>
      <c r="AO171" t="b">
        <v>0</v>
      </c>
      <c r="AP171">
        <v>0</v>
      </c>
      <c r="AQ171">
        <v>52975663.428000003</v>
      </c>
      <c r="AR171">
        <v>52975663.428000003</v>
      </c>
      <c r="AS171">
        <v>0</v>
      </c>
      <c r="AT171" t="b">
        <v>0</v>
      </c>
      <c r="AU171" t="b">
        <v>1</v>
      </c>
      <c r="AV171" t="b">
        <v>1</v>
      </c>
      <c r="AW171" t="b">
        <v>1</v>
      </c>
      <c r="BC171" t="s">
        <v>374</v>
      </c>
    </row>
    <row r="172" spans="1:55" x14ac:dyDescent="0.2">
      <c r="A172" t="s">
        <v>39</v>
      </c>
      <c r="B172" t="s">
        <v>40</v>
      </c>
      <c r="C172">
        <v>20200101</v>
      </c>
      <c r="D172">
        <v>2020</v>
      </c>
      <c r="E172">
        <v>52</v>
      </c>
      <c r="F172" t="s">
        <v>309</v>
      </c>
      <c r="G172">
        <v>446</v>
      </c>
      <c r="H172" t="s">
        <v>323</v>
      </c>
      <c r="I172" t="s">
        <v>324</v>
      </c>
      <c r="J172" t="s">
        <v>44</v>
      </c>
      <c r="K172" t="s">
        <v>45</v>
      </c>
      <c r="L172">
        <v>0</v>
      </c>
      <c r="M172" t="s">
        <v>46</v>
      </c>
      <c r="N172" t="s">
        <v>47</v>
      </c>
      <c r="O172">
        <v>0</v>
      </c>
      <c r="P172" t="s">
        <v>46</v>
      </c>
      <c r="Q172" t="s">
        <v>47</v>
      </c>
      <c r="R172" t="s">
        <v>48</v>
      </c>
      <c r="S172" t="s">
        <v>49</v>
      </c>
      <c r="T172" t="b">
        <v>1</v>
      </c>
      <c r="U172" t="s">
        <v>50</v>
      </c>
      <c r="V172" t="s">
        <v>51</v>
      </c>
      <c r="W172">
        <v>4</v>
      </c>
      <c r="X172" t="b">
        <v>0</v>
      </c>
      <c r="Y172" t="s">
        <v>52</v>
      </c>
      <c r="Z172" t="s">
        <v>53</v>
      </c>
      <c r="AA172" t="s">
        <v>54</v>
      </c>
      <c r="AB172">
        <v>0</v>
      </c>
      <c r="AC172" t="s">
        <v>55</v>
      </c>
      <c r="AD172">
        <v>-1</v>
      </c>
      <c r="AE172" t="s">
        <v>64</v>
      </c>
      <c r="AF172">
        <v>0</v>
      </c>
      <c r="AG172" t="b">
        <v>0</v>
      </c>
      <c r="AH172">
        <v>-1</v>
      </c>
      <c r="AI172" t="s">
        <v>64</v>
      </c>
      <c r="AJ172">
        <v>0</v>
      </c>
      <c r="AK172" t="b">
        <v>0</v>
      </c>
      <c r="AL172">
        <v>0</v>
      </c>
      <c r="AM172" t="b">
        <v>0</v>
      </c>
      <c r="AN172">
        <v>0</v>
      </c>
      <c r="AO172" t="b">
        <v>0</v>
      </c>
      <c r="AQ172">
        <v>3226742.6030000001</v>
      </c>
      <c r="AR172">
        <v>3226742.6030000001</v>
      </c>
      <c r="AS172">
        <v>0</v>
      </c>
      <c r="AT172" t="b">
        <v>0</v>
      </c>
      <c r="AU172" t="b">
        <v>1</v>
      </c>
      <c r="AV172" t="b">
        <v>1</v>
      </c>
      <c r="AW172" t="b">
        <v>1</v>
      </c>
      <c r="BC172" t="s">
        <v>374</v>
      </c>
    </row>
    <row r="173" spans="1:55" x14ac:dyDescent="0.2">
      <c r="A173" t="s">
        <v>39</v>
      </c>
      <c r="B173" t="s">
        <v>40</v>
      </c>
      <c r="C173">
        <v>20200101</v>
      </c>
      <c r="D173">
        <v>2020</v>
      </c>
      <c r="E173">
        <v>52</v>
      </c>
      <c r="F173" t="s">
        <v>309</v>
      </c>
      <c r="G173">
        <v>450</v>
      </c>
      <c r="H173" t="s">
        <v>193</v>
      </c>
      <c r="I173" t="s">
        <v>194</v>
      </c>
      <c r="J173" t="s">
        <v>44</v>
      </c>
      <c r="K173" t="s">
        <v>45</v>
      </c>
      <c r="L173">
        <v>0</v>
      </c>
      <c r="M173" t="s">
        <v>46</v>
      </c>
      <c r="N173" t="s">
        <v>47</v>
      </c>
      <c r="O173">
        <v>0</v>
      </c>
      <c r="P173" t="s">
        <v>46</v>
      </c>
      <c r="Q173" t="s">
        <v>47</v>
      </c>
      <c r="R173" t="s">
        <v>48</v>
      </c>
      <c r="S173" t="s">
        <v>49</v>
      </c>
      <c r="T173" t="b">
        <v>1</v>
      </c>
      <c r="U173" t="s">
        <v>50</v>
      </c>
      <c r="V173" t="s">
        <v>51</v>
      </c>
      <c r="W173">
        <v>4</v>
      </c>
      <c r="X173" t="b">
        <v>0</v>
      </c>
      <c r="Y173" t="s">
        <v>52</v>
      </c>
      <c r="Z173" t="s">
        <v>53</v>
      </c>
      <c r="AA173" t="s">
        <v>54</v>
      </c>
      <c r="AB173">
        <v>0</v>
      </c>
      <c r="AC173" t="s">
        <v>55</v>
      </c>
      <c r="AD173">
        <v>8</v>
      </c>
      <c r="AE173" t="s">
        <v>56</v>
      </c>
      <c r="AF173">
        <v>1531.63</v>
      </c>
      <c r="AG173" t="b">
        <v>0</v>
      </c>
      <c r="AH173">
        <v>8</v>
      </c>
      <c r="AI173" t="s">
        <v>56</v>
      </c>
      <c r="AJ173">
        <v>1531.63</v>
      </c>
      <c r="AK173" t="b">
        <v>0</v>
      </c>
      <c r="AL173">
        <v>1531.63</v>
      </c>
      <c r="AM173" t="b">
        <v>0</v>
      </c>
      <c r="AN173">
        <v>0</v>
      </c>
      <c r="AO173" t="b">
        <v>0</v>
      </c>
      <c r="AQ173">
        <v>68444868.340000004</v>
      </c>
      <c r="AR173">
        <v>68444868.340000004</v>
      </c>
      <c r="AS173">
        <v>0</v>
      </c>
      <c r="AT173" t="b">
        <v>0</v>
      </c>
      <c r="AU173" t="b">
        <v>1</v>
      </c>
      <c r="AV173" t="b">
        <v>1</v>
      </c>
      <c r="AW173" t="b">
        <v>1</v>
      </c>
      <c r="BC173" t="s">
        <v>374</v>
      </c>
    </row>
    <row r="174" spans="1:55" x14ac:dyDescent="0.2">
      <c r="A174" t="s">
        <v>39</v>
      </c>
      <c r="B174" t="s">
        <v>40</v>
      </c>
      <c r="C174">
        <v>20200101</v>
      </c>
      <c r="D174">
        <v>2020</v>
      </c>
      <c r="E174">
        <v>52</v>
      </c>
      <c r="F174" t="s">
        <v>309</v>
      </c>
      <c r="G174">
        <v>458</v>
      </c>
      <c r="H174" t="s">
        <v>195</v>
      </c>
      <c r="I174" t="s">
        <v>196</v>
      </c>
      <c r="J174" t="s">
        <v>44</v>
      </c>
      <c r="K174" t="s">
        <v>45</v>
      </c>
      <c r="L174">
        <v>0</v>
      </c>
      <c r="M174" t="s">
        <v>46</v>
      </c>
      <c r="N174" t="s">
        <v>47</v>
      </c>
      <c r="O174">
        <v>0</v>
      </c>
      <c r="P174" t="s">
        <v>46</v>
      </c>
      <c r="Q174" t="s">
        <v>47</v>
      </c>
      <c r="R174" t="s">
        <v>48</v>
      </c>
      <c r="S174" t="s">
        <v>49</v>
      </c>
      <c r="T174" t="b">
        <v>1</v>
      </c>
      <c r="U174" t="s">
        <v>50</v>
      </c>
      <c r="V174" t="s">
        <v>51</v>
      </c>
      <c r="W174">
        <v>4</v>
      </c>
      <c r="X174" t="b">
        <v>0</v>
      </c>
      <c r="Y174" t="s">
        <v>52</v>
      </c>
      <c r="Z174" t="s">
        <v>53</v>
      </c>
      <c r="AA174" t="s">
        <v>54</v>
      </c>
      <c r="AB174">
        <v>0</v>
      </c>
      <c r="AC174" t="s">
        <v>55</v>
      </c>
      <c r="AD174">
        <v>8</v>
      </c>
      <c r="AE174" t="s">
        <v>56</v>
      </c>
      <c r="AF174">
        <v>3584.77</v>
      </c>
      <c r="AG174" t="b">
        <v>0</v>
      </c>
      <c r="AH174">
        <v>8</v>
      </c>
      <c r="AI174" t="s">
        <v>56</v>
      </c>
      <c r="AJ174">
        <v>3584.77</v>
      </c>
      <c r="AK174" t="b">
        <v>0</v>
      </c>
      <c r="AL174">
        <v>3584.77</v>
      </c>
      <c r="AM174" t="b">
        <v>0</v>
      </c>
      <c r="AN174">
        <v>0</v>
      </c>
      <c r="AO174" t="b">
        <v>0</v>
      </c>
      <c r="AP174">
        <v>0</v>
      </c>
      <c r="AQ174">
        <v>159655958.96799999</v>
      </c>
      <c r="AR174">
        <v>159655958.96799999</v>
      </c>
      <c r="AS174">
        <v>0</v>
      </c>
      <c r="AT174" t="b">
        <v>0</v>
      </c>
      <c r="AU174" t="b">
        <v>1</v>
      </c>
      <c r="AV174" t="b">
        <v>1</v>
      </c>
      <c r="AW174" t="b">
        <v>1</v>
      </c>
      <c r="BC174" t="s">
        <v>374</v>
      </c>
    </row>
    <row r="175" spans="1:55" x14ac:dyDescent="0.2">
      <c r="A175" t="s">
        <v>39</v>
      </c>
      <c r="B175" t="s">
        <v>40</v>
      </c>
      <c r="C175">
        <v>20200101</v>
      </c>
      <c r="D175">
        <v>2020</v>
      </c>
      <c r="E175">
        <v>52</v>
      </c>
      <c r="F175" t="s">
        <v>309</v>
      </c>
      <c r="G175">
        <v>466</v>
      </c>
      <c r="H175" t="s">
        <v>197</v>
      </c>
      <c r="I175" t="s">
        <v>198</v>
      </c>
      <c r="J175" t="s">
        <v>44</v>
      </c>
      <c r="K175" t="s">
        <v>45</v>
      </c>
      <c r="L175">
        <v>0</v>
      </c>
      <c r="M175" t="s">
        <v>46</v>
      </c>
      <c r="N175" t="s">
        <v>47</v>
      </c>
      <c r="O175">
        <v>0</v>
      </c>
      <c r="P175" t="s">
        <v>46</v>
      </c>
      <c r="Q175" t="s">
        <v>47</v>
      </c>
      <c r="R175" t="s">
        <v>48</v>
      </c>
      <c r="S175" t="s">
        <v>49</v>
      </c>
      <c r="T175" t="b">
        <v>1</v>
      </c>
      <c r="U175" t="s">
        <v>50</v>
      </c>
      <c r="V175" t="s">
        <v>51</v>
      </c>
      <c r="W175">
        <v>4</v>
      </c>
      <c r="X175" t="b">
        <v>0</v>
      </c>
      <c r="Y175" t="s">
        <v>52</v>
      </c>
      <c r="Z175" t="s">
        <v>53</v>
      </c>
      <c r="AA175" t="s">
        <v>54</v>
      </c>
      <c r="AB175">
        <v>0</v>
      </c>
      <c r="AC175" t="s">
        <v>55</v>
      </c>
      <c r="AD175">
        <v>8</v>
      </c>
      <c r="AE175" t="s">
        <v>56</v>
      </c>
      <c r="AF175">
        <v>65422.506000000001</v>
      </c>
      <c r="AG175" t="b">
        <v>0</v>
      </c>
      <c r="AH175">
        <v>8</v>
      </c>
      <c r="AI175" t="s">
        <v>56</v>
      </c>
      <c r="AJ175">
        <v>65422.506000000001</v>
      </c>
      <c r="AK175" t="b">
        <v>0</v>
      </c>
      <c r="AL175">
        <v>65422.506000000001</v>
      </c>
      <c r="AM175" t="b">
        <v>0</v>
      </c>
      <c r="AN175">
        <v>0</v>
      </c>
      <c r="AO175" t="b">
        <v>0</v>
      </c>
      <c r="AQ175">
        <v>3287657459.5809999</v>
      </c>
      <c r="AR175">
        <v>3287657459.5809999</v>
      </c>
      <c r="AS175">
        <v>0</v>
      </c>
      <c r="AT175" t="b">
        <v>0</v>
      </c>
      <c r="AU175" t="b">
        <v>1</v>
      </c>
      <c r="AV175" t="b">
        <v>1</v>
      </c>
      <c r="AW175" t="b">
        <v>1</v>
      </c>
      <c r="BC175" t="s">
        <v>374</v>
      </c>
    </row>
    <row r="176" spans="1:55" x14ac:dyDescent="0.2">
      <c r="A176" t="s">
        <v>39</v>
      </c>
      <c r="B176" t="s">
        <v>40</v>
      </c>
      <c r="C176">
        <v>20200101</v>
      </c>
      <c r="D176">
        <v>2020</v>
      </c>
      <c r="E176">
        <v>52</v>
      </c>
      <c r="F176" t="s">
        <v>309</v>
      </c>
      <c r="G176">
        <v>470</v>
      </c>
      <c r="H176" t="s">
        <v>199</v>
      </c>
      <c r="I176" t="s">
        <v>200</v>
      </c>
      <c r="J176" t="s">
        <v>44</v>
      </c>
      <c r="K176" t="s">
        <v>45</v>
      </c>
      <c r="L176">
        <v>0</v>
      </c>
      <c r="M176" t="s">
        <v>46</v>
      </c>
      <c r="N176" t="s">
        <v>47</v>
      </c>
      <c r="O176">
        <v>0</v>
      </c>
      <c r="P176" t="s">
        <v>46</v>
      </c>
      <c r="Q176" t="s">
        <v>47</v>
      </c>
      <c r="R176" t="s">
        <v>48</v>
      </c>
      <c r="S176" t="s">
        <v>49</v>
      </c>
      <c r="T176" t="b">
        <v>1</v>
      </c>
      <c r="U176" t="s">
        <v>50</v>
      </c>
      <c r="V176" t="s">
        <v>51</v>
      </c>
      <c r="W176">
        <v>4</v>
      </c>
      <c r="X176" t="b">
        <v>0</v>
      </c>
      <c r="Y176" t="s">
        <v>52</v>
      </c>
      <c r="Z176" t="s">
        <v>53</v>
      </c>
      <c r="AA176" t="s">
        <v>54</v>
      </c>
      <c r="AB176">
        <v>0</v>
      </c>
      <c r="AC176" t="s">
        <v>55</v>
      </c>
      <c r="AD176">
        <v>8</v>
      </c>
      <c r="AE176" t="s">
        <v>56</v>
      </c>
      <c r="AF176">
        <v>62.908999999999999</v>
      </c>
      <c r="AG176" t="b">
        <v>0</v>
      </c>
      <c r="AH176">
        <v>15</v>
      </c>
      <c r="AI176" t="s">
        <v>59</v>
      </c>
      <c r="AJ176">
        <v>62909</v>
      </c>
      <c r="AK176" t="b">
        <v>0</v>
      </c>
      <c r="AL176">
        <v>69</v>
      </c>
      <c r="AM176" t="b">
        <v>0</v>
      </c>
      <c r="AN176">
        <v>0</v>
      </c>
      <c r="AO176" t="b">
        <v>0</v>
      </c>
      <c r="AQ176">
        <v>2176572.1239999998</v>
      </c>
      <c r="AR176">
        <v>2176572.1239999998</v>
      </c>
      <c r="AS176">
        <v>0</v>
      </c>
      <c r="AT176" t="b">
        <v>0</v>
      </c>
      <c r="AU176" t="b">
        <v>1</v>
      </c>
      <c r="AV176" t="b">
        <v>1</v>
      </c>
      <c r="AW176" t="b">
        <v>1</v>
      </c>
      <c r="BC176" t="s">
        <v>374</v>
      </c>
    </row>
    <row r="177" spans="1:55" x14ac:dyDescent="0.2">
      <c r="A177" t="s">
        <v>39</v>
      </c>
      <c r="B177" t="s">
        <v>40</v>
      </c>
      <c r="C177">
        <v>20200101</v>
      </c>
      <c r="D177">
        <v>2020</v>
      </c>
      <c r="E177">
        <v>52</v>
      </c>
      <c r="F177" t="s">
        <v>309</v>
      </c>
      <c r="G177">
        <v>478</v>
      </c>
      <c r="H177" t="s">
        <v>325</v>
      </c>
      <c r="I177" t="s">
        <v>326</v>
      </c>
      <c r="J177" t="s">
        <v>44</v>
      </c>
      <c r="K177" t="s">
        <v>45</v>
      </c>
      <c r="L177">
        <v>0</v>
      </c>
      <c r="M177" t="s">
        <v>46</v>
      </c>
      <c r="N177" t="s">
        <v>47</v>
      </c>
      <c r="O177">
        <v>0</v>
      </c>
      <c r="P177" t="s">
        <v>46</v>
      </c>
      <c r="Q177" t="s">
        <v>47</v>
      </c>
      <c r="R177" t="s">
        <v>48</v>
      </c>
      <c r="S177" t="s">
        <v>49</v>
      </c>
      <c r="T177" t="b">
        <v>1</v>
      </c>
      <c r="U177" t="s">
        <v>50</v>
      </c>
      <c r="V177" t="s">
        <v>51</v>
      </c>
      <c r="W177">
        <v>4</v>
      </c>
      <c r="X177" t="b">
        <v>0</v>
      </c>
      <c r="Y177" t="s">
        <v>52</v>
      </c>
      <c r="Z177" t="s">
        <v>53</v>
      </c>
      <c r="AA177" t="s">
        <v>54</v>
      </c>
      <c r="AB177">
        <v>0</v>
      </c>
      <c r="AC177" t="s">
        <v>55</v>
      </c>
      <c r="AD177">
        <v>8</v>
      </c>
      <c r="AE177" t="s">
        <v>56</v>
      </c>
      <c r="AF177">
        <v>14415.963</v>
      </c>
      <c r="AG177" t="b">
        <v>0</v>
      </c>
      <c r="AH177">
        <v>8</v>
      </c>
      <c r="AI177" t="s">
        <v>56</v>
      </c>
      <c r="AJ177">
        <v>14415.963</v>
      </c>
      <c r="AK177" t="b">
        <v>0</v>
      </c>
      <c r="AL177">
        <v>14415.963</v>
      </c>
      <c r="AM177" t="b">
        <v>0</v>
      </c>
      <c r="AN177">
        <v>0</v>
      </c>
      <c r="AO177" t="b">
        <v>0</v>
      </c>
      <c r="AQ177">
        <v>738326833.72899997</v>
      </c>
      <c r="AR177">
        <v>738326833.72899997</v>
      </c>
      <c r="AS177">
        <v>0</v>
      </c>
      <c r="AT177" t="b">
        <v>0</v>
      </c>
      <c r="AU177" t="b">
        <v>1</v>
      </c>
      <c r="AV177" t="b">
        <v>1</v>
      </c>
      <c r="AW177" t="b">
        <v>1</v>
      </c>
      <c r="BC177" t="s">
        <v>374</v>
      </c>
    </row>
    <row r="178" spans="1:55" x14ac:dyDescent="0.2">
      <c r="A178" t="s">
        <v>39</v>
      </c>
      <c r="B178" t="s">
        <v>40</v>
      </c>
      <c r="C178">
        <v>20200101</v>
      </c>
      <c r="D178">
        <v>2020</v>
      </c>
      <c r="E178">
        <v>52</v>
      </c>
      <c r="F178" t="s">
        <v>309</v>
      </c>
      <c r="G178">
        <v>480</v>
      </c>
      <c r="H178" t="s">
        <v>201</v>
      </c>
      <c r="I178" t="s">
        <v>202</v>
      </c>
      <c r="J178" t="s">
        <v>44</v>
      </c>
      <c r="K178" t="s">
        <v>45</v>
      </c>
      <c r="L178">
        <v>0</v>
      </c>
      <c r="M178" t="s">
        <v>46</v>
      </c>
      <c r="N178" t="s">
        <v>47</v>
      </c>
      <c r="O178">
        <v>0</v>
      </c>
      <c r="P178" t="s">
        <v>46</v>
      </c>
      <c r="Q178" t="s">
        <v>47</v>
      </c>
      <c r="R178" t="s">
        <v>48</v>
      </c>
      <c r="S178" t="s">
        <v>49</v>
      </c>
      <c r="T178" t="b">
        <v>1</v>
      </c>
      <c r="U178" t="s">
        <v>50</v>
      </c>
      <c r="V178" t="s">
        <v>51</v>
      </c>
      <c r="W178">
        <v>4</v>
      </c>
      <c r="X178" t="b">
        <v>0</v>
      </c>
      <c r="Y178" t="s">
        <v>52</v>
      </c>
      <c r="Z178" t="s">
        <v>53</v>
      </c>
      <c r="AA178" t="s">
        <v>54</v>
      </c>
      <c r="AB178">
        <v>0</v>
      </c>
      <c r="AC178" t="s">
        <v>55</v>
      </c>
      <c r="AD178">
        <v>8</v>
      </c>
      <c r="AE178" t="s">
        <v>56</v>
      </c>
      <c r="AF178">
        <v>1</v>
      </c>
      <c r="AG178" t="b">
        <v>0</v>
      </c>
      <c r="AH178">
        <v>8</v>
      </c>
      <c r="AI178" t="s">
        <v>56</v>
      </c>
      <c r="AJ178">
        <v>1</v>
      </c>
      <c r="AK178" t="b">
        <v>0</v>
      </c>
      <c r="AL178">
        <v>1</v>
      </c>
      <c r="AM178" t="b">
        <v>0</v>
      </c>
      <c r="AN178">
        <v>0</v>
      </c>
      <c r="AO178" t="b">
        <v>0</v>
      </c>
      <c r="AP178">
        <v>0</v>
      </c>
      <c r="AQ178">
        <v>16235.513000000001</v>
      </c>
      <c r="AR178">
        <v>16235.513000000001</v>
      </c>
      <c r="AS178">
        <v>0</v>
      </c>
      <c r="AT178" t="b">
        <v>0</v>
      </c>
      <c r="AU178" t="b">
        <v>1</v>
      </c>
      <c r="AV178" t="b">
        <v>1</v>
      </c>
      <c r="AW178" t="b">
        <v>1</v>
      </c>
      <c r="BC178" t="s">
        <v>374</v>
      </c>
    </row>
    <row r="179" spans="1:55" x14ac:dyDescent="0.2">
      <c r="A179" t="s">
        <v>39</v>
      </c>
      <c r="B179" t="s">
        <v>40</v>
      </c>
      <c r="C179">
        <v>20200101</v>
      </c>
      <c r="D179">
        <v>2020</v>
      </c>
      <c r="E179">
        <v>52</v>
      </c>
      <c r="F179" t="s">
        <v>309</v>
      </c>
      <c r="G179">
        <v>484</v>
      </c>
      <c r="H179" t="s">
        <v>203</v>
      </c>
      <c r="I179" t="s">
        <v>204</v>
      </c>
      <c r="J179" t="s">
        <v>44</v>
      </c>
      <c r="K179" t="s">
        <v>45</v>
      </c>
      <c r="L179">
        <v>0</v>
      </c>
      <c r="M179" t="s">
        <v>46</v>
      </c>
      <c r="N179" t="s">
        <v>47</v>
      </c>
      <c r="O179">
        <v>0</v>
      </c>
      <c r="P179" t="s">
        <v>46</v>
      </c>
      <c r="Q179" t="s">
        <v>47</v>
      </c>
      <c r="R179" t="s">
        <v>95</v>
      </c>
      <c r="S179" t="s">
        <v>49</v>
      </c>
      <c r="T179" t="b">
        <v>1</v>
      </c>
      <c r="U179" t="s">
        <v>50</v>
      </c>
      <c r="V179" t="s">
        <v>51</v>
      </c>
      <c r="W179">
        <v>4</v>
      </c>
      <c r="X179" t="b">
        <v>0</v>
      </c>
      <c r="Y179" t="s">
        <v>52</v>
      </c>
      <c r="Z179" t="s">
        <v>53</v>
      </c>
      <c r="AA179" t="s">
        <v>54</v>
      </c>
      <c r="AB179">
        <v>0</v>
      </c>
      <c r="AC179" t="s">
        <v>55</v>
      </c>
      <c r="AD179">
        <v>-1</v>
      </c>
      <c r="AE179" t="s">
        <v>64</v>
      </c>
      <c r="AF179">
        <v>0</v>
      </c>
      <c r="AG179" t="b">
        <v>1</v>
      </c>
      <c r="AH179">
        <v>-1</v>
      </c>
      <c r="AI179" t="s">
        <v>64</v>
      </c>
      <c r="AJ179">
        <v>0</v>
      </c>
      <c r="AK179" t="b">
        <v>0</v>
      </c>
      <c r="AL179">
        <v>0</v>
      </c>
      <c r="AM179" t="b">
        <v>1</v>
      </c>
      <c r="AN179">
        <v>0</v>
      </c>
      <c r="AO179" t="b">
        <v>0</v>
      </c>
      <c r="AQ179">
        <v>3488850587</v>
      </c>
      <c r="AR179">
        <v>3488850587</v>
      </c>
      <c r="AS179">
        <v>6</v>
      </c>
      <c r="AT179" t="b">
        <v>0</v>
      </c>
      <c r="AU179" t="b">
        <v>1</v>
      </c>
      <c r="AV179" t="b">
        <v>1</v>
      </c>
      <c r="AW179" t="b">
        <v>1</v>
      </c>
      <c r="BC179" t="s">
        <v>374</v>
      </c>
    </row>
    <row r="180" spans="1:55" x14ac:dyDescent="0.2">
      <c r="A180" t="s">
        <v>39</v>
      </c>
      <c r="B180" t="s">
        <v>40</v>
      </c>
      <c r="C180">
        <v>20200101</v>
      </c>
      <c r="D180">
        <v>2020</v>
      </c>
      <c r="E180">
        <v>52</v>
      </c>
      <c r="F180" t="s">
        <v>309</v>
      </c>
      <c r="G180">
        <v>490</v>
      </c>
      <c r="H180" t="s">
        <v>205</v>
      </c>
      <c r="I180" t="s">
        <v>206</v>
      </c>
      <c r="J180" t="s">
        <v>44</v>
      </c>
      <c r="K180" t="s">
        <v>45</v>
      </c>
      <c r="L180">
        <v>0</v>
      </c>
      <c r="M180" t="s">
        <v>46</v>
      </c>
      <c r="N180" t="s">
        <v>47</v>
      </c>
      <c r="O180">
        <v>0</v>
      </c>
      <c r="P180" t="s">
        <v>46</v>
      </c>
      <c r="Q180" t="s">
        <v>47</v>
      </c>
      <c r="R180" t="s">
        <v>48</v>
      </c>
      <c r="S180" t="s">
        <v>49</v>
      </c>
      <c r="T180" t="b">
        <v>1</v>
      </c>
      <c r="U180" t="s">
        <v>50</v>
      </c>
      <c r="V180" t="s">
        <v>51</v>
      </c>
      <c r="W180">
        <v>4</v>
      </c>
      <c r="X180" t="b">
        <v>0</v>
      </c>
      <c r="Y180" t="s">
        <v>52</v>
      </c>
      <c r="Z180" t="s">
        <v>53</v>
      </c>
      <c r="AA180" t="s">
        <v>54</v>
      </c>
      <c r="AB180">
        <v>0</v>
      </c>
      <c r="AC180" t="s">
        <v>55</v>
      </c>
      <c r="AD180">
        <v>8</v>
      </c>
      <c r="AE180" t="s">
        <v>56</v>
      </c>
      <c r="AF180">
        <v>38604.688000000002</v>
      </c>
      <c r="AG180" t="b">
        <v>1</v>
      </c>
      <c r="AH180">
        <v>-1</v>
      </c>
      <c r="AI180" t="s">
        <v>64</v>
      </c>
      <c r="AJ180">
        <v>0</v>
      </c>
      <c r="AK180" t="b">
        <v>0</v>
      </c>
      <c r="AL180">
        <v>38604.688000000002</v>
      </c>
      <c r="AM180" t="b">
        <v>1</v>
      </c>
      <c r="AN180">
        <v>0</v>
      </c>
      <c r="AO180" t="b">
        <v>0</v>
      </c>
      <c r="AP180">
        <v>0</v>
      </c>
      <c r="AQ180">
        <v>2137023087.247</v>
      </c>
      <c r="AR180">
        <v>2137023087.247</v>
      </c>
      <c r="AS180">
        <v>6</v>
      </c>
      <c r="AT180" t="b">
        <v>0</v>
      </c>
      <c r="AU180" t="b">
        <v>1</v>
      </c>
      <c r="AV180" t="b">
        <v>1</v>
      </c>
      <c r="AW180" t="b">
        <v>1</v>
      </c>
      <c r="BC180" t="s">
        <v>374</v>
      </c>
    </row>
    <row r="181" spans="1:55" x14ac:dyDescent="0.2">
      <c r="A181" t="s">
        <v>39</v>
      </c>
      <c r="B181" t="s">
        <v>40</v>
      </c>
      <c r="C181">
        <v>20200101</v>
      </c>
      <c r="D181">
        <v>2020</v>
      </c>
      <c r="E181">
        <v>52</v>
      </c>
      <c r="F181" t="s">
        <v>309</v>
      </c>
      <c r="G181">
        <v>496</v>
      </c>
      <c r="H181" t="s">
        <v>207</v>
      </c>
      <c r="I181" t="s">
        <v>208</v>
      </c>
      <c r="J181" t="s">
        <v>44</v>
      </c>
      <c r="K181" t="s">
        <v>45</v>
      </c>
      <c r="L181">
        <v>0</v>
      </c>
      <c r="M181" t="s">
        <v>46</v>
      </c>
      <c r="N181" t="s">
        <v>47</v>
      </c>
      <c r="O181">
        <v>0</v>
      </c>
      <c r="P181" t="s">
        <v>46</v>
      </c>
      <c r="Q181" t="s">
        <v>47</v>
      </c>
      <c r="R181" t="s">
        <v>48</v>
      </c>
      <c r="S181" t="s">
        <v>49</v>
      </c>
      <c r="T181" t="b">
        <v>1</v>
      </c>
      <c r="U181" t="s">
        <v>50</v>
      </c>
      <c r="V181" t="s">
        <v>51</v>
      </c>
      <c r="W181">
        <v>4</v>
      </c>
      <c r="X181" t="b">
        <v>0</v>
      </c>
      <c r="Y181" t="s">
        <v>52</v>
      </c>
      <c r="Z181" t="s">
        <v>53</v>
      </c>
      <c r="AA181" t="s">
        <v>54</v>
      </c>
      <c r="AB181">
        <v>0</v>
      </c>
      <c r="AC181" t="s">
        <v>55</v>
      </c>
      <c r="AD181">
        <v>8</v>
      </c>
      <c r="AE181" t="s">
        <v>56</v>
      </c>
      <c r="AF181">
        <v>30491</v>
      </c>
      <c r="AG181" t="b">
        <v>0</v>
      </c>
      <c r="AH181">
        <v>8</v>
      </c>
      <c r="AI181" t="s">
        <v>56</v>
      </c>
      <c r="AJ181">
        <v>30491</v>
      </c>
      <c r="AK181" t="b">
        <v>0</v>
      </c>
      <c r="AL181">
        <v>30491</v>
      </c>
      <c r="AM181" t="b">
        <v>0</v>
      </c>
      <c r="AN181">
        <v>0</v>
      </c>
      <c r="AO181" t="b">
        <v>0</v>
      </c>
      <c r="AP181">
        <v>0</v>
      </c>
      <c r="AQ181">
        <v>1787652240.2</v>
      </c>
      <c r="AR181">
        <v>1787652240.2</v>
      </c>
      <c r="AS181">
        <v>0</v>
      </c>
      <c r="AT181" t="b">
        <v>0</v>
      </c>
      <c r="AU181" t="b">
        <v>1</v>
      </c>
      <c r="AV181" t="b">
        <v>1</v>
      </c>
      <c r="AW181" t="b">
        <v>1</v>
      </c>
      <c r="BC181" t="s">
        <v>374</v>
      </c>
    </row>
    <row r="182" spans="1:55" x14ac:dyDescent="0.2">
      <c r="A182" t="s">
        <v>39</v>
      </c>
      <c r="B182" t="s">
        <v>40</v>
      </c>
      <c r="C182">
        <v>20200101</v>
      </c>
      <c r="D182">
        <v>2020</v>
      </c>
      <c r="E182">
        <v>52</v>
      </c>
      <c r="F182" t="s">
        <v>309</v>
      </c>
      <c r="G182">
        <v>498</v>
      </c>
      <c r="H182" t="s">
        <v>209</v>
      </c>
      <c r="I182" t="s">
        <v>210</v>
      </c>
      <c r="J182" t="s">
        <v>44</v>
      </c>
      <c r="K182" t="s">
        <v>45</v>
      </c>
      <c r="L182">
        <v>0</v>
      </c>
      <c r="M182" t="s">
        <v>46</v>
      </c>
      <c r="N182" t="s">
        <v>47</v>
      </c>
      <c r="O182">
        <v>0</v>
      </c>
      <c r="P182" t="s">
        <v>46</v>
      </c>
      <c r="Q182" t="s">
        <v>47</v>
      </c>
      <c r="R182" t="s">
        <v>48</v>
      </c>
      <c r="S182" t="s">
        <v>49</v>
      </c>
      <c r="T182" t="b">
        <v>1</v>
      </c>
      <c r="U182" t="s">
        <v>50</v>
      </c>
      <c r="V182" t="s">
        <v>51</v>
      </c>
      <c r="W182">
        <v>4</v>
      </c>
      <c r="X182" t="b">
        <v>0</v>
      </c>
      <c r="Y182" t="s">
        <v>52</v>
      </c>
      <c r="Z182" t="s">
        <v>53</v>
      </c>
      <c r="AA182" t="s">
        <v>54</v>
      </c>
      <c r="AB182">
        <v>0</v>
      </c>
      <c r="AC182" t="s">
        <v>55</v>
      </c>
      <c r="AD182">
        <v>8</v>
      </c>
      <c r="AE182" t="s">
        <v>56</v>
      </c>
      <c r="AF182">
        <v>21.004999999999999</v>
      </c>
      <c r="AG182" t="b">
        <v>0</v>
      </c>
      <c r="AH182">
        <v>15</v>
      </c>
      <c r="AI182" t="s">
        <v>59</v>
      </c>
      <c r="AJ182">
        <v>21005</v>
      </c>
      <c r="AK182" t="b">
        <v>0</v>
      </c>
      <c r="AL182">
        <v>22</v>
      </c>
      <c r="AM182" t="b">
        <v>0</v>
      </c>
      <c r="AN182">
        <v>0</v>
      </c>
      <c r="AO182" t="b">
        <v>0</v>
      </c>
      <c r="AP182">
        <v>0</v>
      </c>
      <c r="AQ182">
        <v>613103</v>
      </c>
      <c r="AR182">
        <v>613103</v>
      </c>
      <c r="AS182">
        <v>0</v>
      </c>
      <c r="AT182" t="b">
        <v>0</v>
      </c>
      <c r="AU182" t="b">
        <v>1</v>
      </c>
      <c r="AV182" t="b">
        <v>1</v>
      </c>
      <c r="AW182" t="b">
        <v>1</v>
      </c>
      <c r="BC182" t="s">
        <v>374</v>
      </c>
    </row>
    <row r="183" spans="1:55" x14ac:dyDescent="0.2">
      <c r="A183" t="s">
        <v>39</v>
      </c>
      <c r="B183" t="s">
        <v>40</v>
      </c>
      <c r="C183">
        <v>20200101</v>
      </c>
      <c r="D183">
        <v>2020</v>
      </c>
      <c r="E183">
        <v>52</v>
      </c>
      <c r="F183" t="s">
        <v>309</v>
      </c>
      <c r="G183">
        <v>504</v>
      </c>
      <c r="H183" t="s">
        <v>211</v>
      </c>
      <c r="I183" t="s">
        <v>212</v>
      </c>
      <c r="J183" t="s">
        <v>44</v>
      </c>
      <c r="K183" t="s">
        <v>45</v>
      </c>
      <c r="L183">
        <v>0</v>
      </c>
      <c r="M183" t="s">
        <v>46</v>
      </c>
      <c r="N183" t="s">
        <v>47</v>
      </c>
      <c r="O183">
        <v>0</v>
      </c>
      <c r="P183" t="s">
        <v>46</v>
      </c>
      <c r="Q183" t="s">
        <v>47</v>
      </c>
      <c r="R183" t="s">
        <v>48</v>
      </c>
      <c r="S183" t="s">
        <v>49</v>
      </c>
      <c r="T183" t="b">
        <v>1</v>
      </c>
      <c r="U183" t="s">
        <v>50</v>
      </c>
      <c r="V183" t="s">
        <v>51</v>
      </c>
      <c r="W183">
        <v>4</v>
      </c>
      <c r="X183" t="b">
        <v>0</v>
      </c>
      <c r="Y183" t="s">
        <v>52</v>
      </c>
      <c r="Z183" t="s">
        <v>53</v>
      </c>
      <c r="AA183" t="s">
        <v>54</v>
      </c>
      <c r="AB183">
        <v>0</v>
      </c>
      <c r="AC183" t="s">
        <v>55</v>
      </c>
      <c r="AD183">
        <v>8</v>
      </c>
      <c r="AE183" t="s">
        <v>56</v>
      </c>
      <c r="AF183">
        <v>899.61699999999996</v>
      </c>
      <c r="AG183" t="b">
        <v>0</v>
      </c>
      <c r="AH183">
        <v>15</v>
      </c>
      <c r="AI183" t="s">
        <v>59</v>
      </c>
      <c r="AJ183">
        <v>899617</v>
      </c>
      <c r="AK183" t="b">
        <v>0</v>
      </c>
      <c r="AL183">
        <v>899.54</v>
      </c>
      <c r="AM183" t="b">
        <v>0</v>
      </c>
      <c r="AN183">
        <v>0</v>
      </c>
      <c r="AO183" t="b">
        <v>0</v>
      </c>
      <c r="AP183">
        <v>0</v>
      </c>
      <c r="AQ183">
        <v>45327796.715999998</v>
      </c>
      <c r="AR183">
        <v>45327796.715999998</v>
      </c>
      <c r="AS183">
        <v>0</v>
      </c>
      <c r="AT183" t="b">
        <v>0</v>
      </c>
      <c r="AU183" t="b">
        <v>1</v>
      </c>
      <c r="AV183" t="b">
        <v>1</v>
      </c>
      <c r="AW183" t="b">
        <v>1</v>
      </c>
      <c r="BC183" t="s">
        <v>374</v>
      </c>
    </row>
    <row r="184" spans="1:55" x14ac:dyDescent="0.2">
      <c r="A184" t="s">
        <v>39</v>
      </c>
      <c r="B184" t="s">
        <v>40</v>
      </c>
      <c r="C184">
        <v>20200101</v>
      </c>
      <c r="D184">
        <v>2020</v>
      </c>
      <c r="E184">
        <v>52</v>
      </c>
      <c r="F184" t="s">
        <v>309</v>
      </c>
      <c r="G184">
        <v>508</v>
      </c>
      <c r="H184" t="s">
        <v>213</v>
      </c>
      <c r="I184" t="s">
        <v>214</v>
      </c>
      <c r="J184" t="s">
        <v>44</v>
      </c>
      <c r="K184" t="s">
        <v>45</v>
      </c>
      <c r="L184">
        <v>0</v>
      </c>
      <c r="M184" t="s">
        <v>46</v>
      </c>
      <c r="N184" t="s">
        <v>47</v>
      </c>
      <c r="O184">
        <v>0</v>
      </c>
      <c r="P184" t="s">
        <v>46</v>
      </c>
      <c r="Q184" t="s">
        <v>47</v>
      </c>
      <c r="R184" t="s">
        <v>48</v>
      </c>
      <c r="S184" t="s">
        <v>49</v>
      </c>
      <c r="T184" t="b">
        <v>1</v>
      </c>
      <c r="U184" t="s">
        <v>50</v>
      </c>
      <c r="V184" t="s">
        <v>51</v>
      </c>
      <c r="W184">
        <v>4</v>
      </c>
      <c r="X184" t="b">
        <v>0</v>
      </c>
      <c r="Y184" t="s">
        <v>52</v>
      </c>
      <c r="Z184" t="s">
        <v>53</v>
      </c>
      <c r="AA184" t="s">
        <v>54</v>
      </c>
      <c r="AB184">
        <v>0</v>
      </c>
      <c r="AC184" t="s">
        <v>55</v>
      </c>
      <c r="AD184">
        <v>8</v>
      </c>
      <c r="AE184" t="s">
        <v>56</v>
      </c>
      <c r="AF184">
        <v>33.844999999999999</v>
      </c>
      <c r="AG184" t="b">
        <v>1</v>
      </c>
      <c r="AH184">
        <v>-1</v>
      </c>
      <c r="AI184" t="s">
        <v>64</v>
      </c>
      <c r="AJ184">
        <v>0</v>
      </c>
      <c r="AK184" t="b">
        <v>0</v>
      </c>
      <c r="AM184" t="b">
        <v>0</v>
      </c>
      <c r="AN184">
        <v>0</v>
      </c>
      <c r="AO184" t="b">
        <v>0</v>
      </c>
      <c r="AQ184">
        <v>1783198.49</v>
      </c>
      <c r="AR184">
        <v>1783198.49</v>
      </c>
      <c r="AS184">
        <v>2</v>
      </c>
      <c r="AT184" t="b">
        <v>0</v>
      </c>
      <c r="AU184" t="b">
        <v>1</v>
      </c>
      <c r="AV184" t="b">
        <v>1</v>
      </c>
      <c r="AW184" t="b">
        <v>1</v>
      </c>
      <c r="BC184" t="s">
        <v>374</v>
      </c>
    </row>
    <row r="185" spans="1:55" x14ac:dyDescent="0.2">
      <c r="A185" t="s">
        <v>39</v>
      </c>
      <c r="B185" t="s">
        <v>40</v>
      </c>
      <c r="C185">
        <v>20200101</v>
      </c>
      <c r="D185">
        <v>2020</v>
      </c>
      <c r="E185">
        <v>52</v>
      </c>
      <c r="F185" t="s">
        <v>309</v>
      </c>
      <c r="G185">
        <v>512</v>
      </c>
      <c r="H185" t="s">
        <v>215</v>
      </c>
      <c r="I185" t="s">
        <v>216</v>
      </c>
      <c r="J185" t="s">
        <v>44</v>
      </c>
      <c r="K185" t="s">
        <v>45</v>
      </c>
      <c r="L185">
        <v>0</v>
      </c>
      <c r="M185" t="s">
        <v>46</v>
      </c>
      <c r="N185" t="s">
        <v>47</v>
      </c>
      <c r="O185">
        <v>0</v>
      </c>
      <c r="P185" t="s">
        <v>46</v>
      </c>
      <c r="Q185" t="s">
        <v>47</v>
      </c>
      <c r="R185" t="s">
        <v>48</v>
      </c>
      <c r="S185" t="s">
        <v>49</v>
      </c>
      <c r="T185" t="b">
        <v>1</v>
      </c>
      <c r="U185" t="s">
        <v>50</v>
      </c>
      <c r="V185" t="s">
        <v>51</v>
      </c>
      <c r="W185">
        <v>4</v>
      </c>
      <c r="X185" t="b">
        <v>0</v>
      </c>
      <c r="Y185" t="s">
        <v>52</v>
      </c>
      <c r="Z185" t="s">
        <v>53</v>
      </c>
      <c r="AA185" t="s">
        <v>54</v>
      </c>
      <c r="AB185">
        <v>0</v>
      </c>
      <c r="AC185" t="s">
        <v>55</v>
      </c>
      <c r="AD185">
        <v>8</v>
      </c>
      <c r="AE185" t="s">
        <v>56</v>
      </c>
      <c r="AF185">
        <v>5114</v>
      </c>
      <c r="AG185" t="b">
        <v>0</v>
      </c>
      <c r="AH185">
        <v>8</v>
      </c>
      <c r="AI185" t="s">
        <v>56</v>
      </c>
      <c r="AJ185">
        <v>5114</v>
      </c>
      <c r="AK185" t="b">
        <v>0</v>
      </c>
      <c r="AL185">
        <v>5114</v>
      </c>
      <c r="AM185" t="b">
        <v>0</v>
      </c>
      <c r="AN185">
        <v>0</v>
      </c>
      <c r="AO185" t="b">
        <v>0</v>
      </c>
      <c r="AQ185">
        <v>238400631.34</v>
      </c>
      <c r="AR185">
        <v>238400631.34</v>
      </c>
      <c r="AS185">
        <v>0</v>
      </c>
      <c r="AT185" t="b">
        <v>0</v>
      </c>
      <c r="AU185" t="b">
        <v>1</v>
      </c>
      <c r="AV185" t="b">
        <v>1</v>
      </c>
      <c r="AW185" t="b">
        <v>1</v>
      </c>
      <c r="BC185" t="s">
        <v>374</v>
      </c>
    </row>
    <row r="186" spans="1:55" x14ac:dyDescent="0.2">
      <c r="A186" t="s">
        <v>39</v>
      </c>
      <c r="B186" t="s">
        <v>40</v>
      </c>
      <c r="C186">
        <v>20200101</v>
      </c>
      <c r="D186">
        <v>2020</v>
      </c>
      <c r="E186">
        <v>52</v>
      </c>
      <c r="F186" t="s">
        <v>309</v>
      </c>
      <c r="G186">
        <v>516</v>
      </c>
      <c r="H186" t="s">
        <v>217</v>
      </c>
      <c r="I186" t="s">
        <v>218</v>
      </c>
      <c r="J186" t="s">
        <v>44</v>
      </c>
      <c r="K186" t="s">
        <v>45</v>
      </c>
      <c r="L186">
        <v>0</v>
      </c>
      <c r="M186" t="s">
        <v>46</v>
      </c>
      <c r="N186" t="s">
        <v>47</v>
      </c>
      <c r="O186">
        <v>0</v>
      </c>
      <c r="P186" t="s">
        <v>46</v>
      </c>
      <c r="Q186" t="s">
        <v>47</v>
      </c>
      <c r="R186" t="s">
        <v>48</v>
      </c>
      <c r="S186" t="s">
        <v>49</v>
      </c>
      <c r="T186" t="b">
        <v>1</v>
      </c>
      <c r="U186" t="s">
        <v>50</v>
      </c>
      <c r="V186" t="s">
        <v>51</v>
      </c>
      <c r="W186">
        <v>4</v>
      </c>
      <c r="X186" t="b">
        <v>0</v>
      </c>
      <c r="Y186" t="s">
        <v>52</v>
      </c>
      <c r="Z186" t="s">
        <v>53</v>
      </c>
      <c r="AA186" t="s">
        <v>54</v>
      </c>
      <c r="AB186">
        <v>0</v>
      </c>
      <c r="AC186" t="s">
        <v>55</v>
      </c>
      <c r="AD186">
        <v>8</v>
      </c>
      <c r="AE186" t="s">
        <v>56</v>
      </c>
      <c r="AF186">
        <v>7562.5</v>
      </c>
      <c r="AG186" t="b">
        <v>0</v>
      </c>
      <c r="AH186">
        <v>8</v>
      </c>
      <c r="AI186" t="s">
        <v>56</v>
      </c>
      <c r="AJ186">
        <v>7562.5</v>
      </c>
      <c r="AK186" t="b">
        <v>0</v>
      </c>
      <c r="AL186">
        <v>7562.5</v>
      </c>
      <c r="AM186" t="b">
        <v>0</v>
      </c>
      <c r="AN186">
        <v>0</v>
      </c>
      <c r="AO186" t="b">
        <v>0</v>
      </c>
      <c r="AQ186">
        <v>398469045.37699997</v>
      </c>
      <c r="AR186">
        <v>398469045.37699997</v>
      </c>
      <c r="AS186">
        <v>0</v>
      </c>
      <c r="AT186" t="b">
        <v>0</v>
      </c>
      <c r="AU186" t="b">
        <v>1</v>
      </c>
      <c r="AV186" t="b">
        <v>1</v>
      </c>
      <c r="AW186" t="b">
        <v>1</v>
      </c>
      <c r="BC186" t="s">
        <v>374</v>
      </c>
    </row>
    <row r="187" spans="1:55" x14ac:dyDescent="0.2">
      <c r="A187" t="s">
        <v>39</v>
      </c>
      <c r="B187" t="s">
        <v>40</v>
      </c>
      <c r="C187">
        <v>20200101</v>
      </c>
      <c r="D187">
        <v>2020</v>
      </c>
      <c r="E187">
        <v>52</v>
      </c>
      <c r="F187" t="s">
        <v>309</v>
      </c>
      <c r="G187">
        <v>528</v>
      </c>
      <c r="H187" t="s">
        <v>219</v>
      </c>
      <c r="I187" t="s">
        <v>220</v>
      </c>
      <c r="J187" t="s">
        <v>44</v>
      </c>
      <c r="K187" t="s">
        <v>45</v>
      </c>
      <c r="L187">
        <v>0</v>
      </c>
      <c r="M187" t="s">
        <v>46</v>
      </c>
      <c r="N187" t="s">
        <v>47</v>
      </c>
      <c r="O187">
        <v>0</v>
      </c>
      <c r="P187" t="s">
        <v>46</v>
      </c>
      <c r="Q187" t="s">
        <v>47</v>
      </c>
      <c r="R187" t="s">
        <v>48</v>
      </c>
      <c r="S187" t="s">
        <v>49</v>
      </c>
      <c r="T187" t="b">
        <v>1</v>
      </c>
      <c r="U187" t="s">
        <v>50</v>
      </c>
      <c r="V187" t="s">
        <v>51</v>
      </c>
      <c r="W187">
        <v>4</v>
      </c>
      <c r="X187" t="b">
        <v>0</v>
      </c>
      <c r="Y187" t="s">
        <v>52</v>
      </c>
      <c r="Z187" t="s">
        <v>53</v>
      </c>
      <c r="AA187" t="s">
        <v>54</v>
      </c>
      <c r="AB187">
        <v>0</v>
      </c>
      <c r="AC187" t="s">
        <v>55</v>
      </c>
      <c r="AD187">
        <v>-1</v>
      </c>
      <c r="AE187" t="s">
        <v>64</v>
      </c>
      <c r="AF187">
        <v>0</v>
      </c>
      <c r="AG187" t="b">
        <v>1</v>
      </c>
      <c r="AH187">
        <v>-1</v>
      </c>
      <c r="AI187" t="s">
        <v>64</v>
      </c>
      <c r="AJ187">
        <v>0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P187">
        <v>0</v>
      </c>
      <c r="AQ187">
        <v>294728627.083</v>
      </c>
      <c r="AR187">
        <v>294728627.083</v>
      </c>
      <c r="AS187">
        <v>6</v>
      </c>
      <c r="AT187" t="b">
        <v>0</v>
      </c>
      <c r="AU187" t="b">
        <v>1</v>
      </c>
      <c r="AV187" t="b">
        <v>1</v>
      </c>
      <c r="AW187" t="b">
        <v>1</v>
      </c>
      <c r="BC187" t="s">
        <v>374</v>
      </c>
    </row>
    <row r="188" spans="1:55" x14ac:dyDescent="0.2">
      <c r="A188" t="s">
        <v>39</v>
      </c>
      <c r="B188" t="s">
        <v>40</v>
      </c>
      <c r="C188">
        <v>20200101</v>
      </c>
      <c r="D188">
        <v>2020</v>
      </c>
      <c r="E188">
        <v>52</v>
      </c>
      <c r="F188" t="s">
        <v>309</v>
      </c>
      <c r="G188">
        <v>533</v>
      </c>
      <c r="H188" t="s">
        <v>327</v>
      </c>
      <c r="I188" t="s">
        <v>328</v>
      </c>
      <c r="J188" t="s">
        <v>44</v>
      </c>
      <c r="K188" t="s">
        <v>45</v>
      </c>
      <c r="L188">
        <v>0</v>
      </c>
      <c r="M188" t="s">
        <v>46</v>
      </c>
      <c r="N188" t="s">
        <v>47</v>
      </c>
      <c r="O188">
        <v>0</v>
      </c>
      <c r="P188" t="s">
        <v>46</v>
      </c>
      <c r="Q188" t="s">
        <v>47</v>
      </c>
      <c r="R188" t="s">
        <v>95</v>
      </c>
      <c r="S188" t="s">
        <v>49</v>
      </c>
      <c r="T188" t="b">
        <v>1</v>
      </c>
      <c r="U188" t="s">
        <v>50</v>
      </c>
      <c r="V188" t="s">
        <v>51</v>
      </c>
      <c r="W188">
        <v>4</v>
      </c>
      <c r="X188" t="b">
        <v>0</v>
      </c>
      <c r="Y188" t="s">
        <v>52</v>
      </c>
      <c r="Z188" t="s">
        <v>53</v>
      </c>
      <c r="AA188" t="s">
        <v>54</v>
      </c>
      <c r="AB188">
        <v>0</v>
      </c>
      <c r="AC188" t="s">
        <v>55</v>
      </c>
      <c r="AD188">
        <v>8</v>
      </c>
      <c r="AE188" t="s">
        <v>56</v>
      </c>
      <c r="AF188">
        <v>3</v>
      </c>
      <c r="AG188" t="b">
        <v>0</v>
      </c>
      <c r="AH188">
        <v>8</v>
      </c>
      <c r="AI188" t="s">
        <v>56</v>
      </c>
      <c r="AJ188">
        <v>3</v>
      </c>
      <c r="AK188" t="b">
        <v>0</v>
      </c>
      <c r="AL188">
        <v>3</v>
      </c>
      <c r="AM188" t="b">
        <v>0</v>
      </c>
      <c r="AN188">
        <v>0</v>
      </c>
      <c r="AO188" t="b">
        <v>0</v>
      </c>
      <c r="AP188">
        <v>0</v>
      </c>
      <c r="AQ188">
        <v>20156.423999999999</v>
      </c>
      <c r="AR188">
        <v>20156.423999999999</v>
      </c>
      <c r="AS188">
        <v>0</v>
      </c>
      <c r="AT188" t="b">
        <v>0</v>
      </c>
      <c r="AU188" t="b">
        <v>1</v>
      </c>
      <c r="AV188" t="b">
        <v>1</v>
      </c>
      <c r="AW188" t="b">
        <v>1</v>
      </c>
      <c r="BC188" t="s">
        <v>374</v>
      </c>
    </row>
    <row r="189" spans="1:55" x14ac:dyDescent="0.2">
      <c r="A189" t="s">
        <v>39</v>
      </c>
      <c r="B189" t="s">
        <v>40</v>
      </c>
      <c r="C189">
        <v>20200101</v>
      </c>
      <c r="D189">
        <v>2020</v>
      </c>
      <c r="E189">
        <v>52</v>
      </c>
      <c r="F189" t="s">
        <v>309</v>
      </c>
      <c r="G189">
        <v>554</v>
      </c>
      <c r="H189" t="s">
        <v>223</v>
      </c>
      <c r="I189" t="s">
        <v>224</v>
      </c>
      <c r="J189" t="s">
        <v>44</v>
      </c>
      <c r="K189" t="s">
        <v>45</v>
      </c>
      <c r="L189">
        <v>0</v>
      </c>
      <c r="M189" t="s">
        <v>46</v>
      </c>
      <c r="N189" t="s">
        <v>47</v>
      </c>
      <c r="O189">
        <v>0</v>
      </c>
      <c r="P189" t="s">
        <v>46</v>
      </c>
      <c r="Q189" t="s">
        <v>47</v>
      </c>
      <c r="R189" t="s">
        <v>48</v>
      </c>
      <c r="S189" t="s">
        <v>49</v>
      </c>
      <c r="T189" t="b">
        <v>1</v>
      </c>
      <c r="U189" t="s">
        <v>50</v>
      </c>
      <c r="V189" t="s">
        <v>51</v>
      </c>
      <c r="W189">
        <v>4</v>
      </c>
      <c r="X189" t="b">
        <v>0</v>
      </c>
      <c r="Y189" t="s">
        <v>52</v>
      </c>
      <c r="Z189" t="s">
        <v>53</v>
      </c>
      <c r="AA189" t="s">
        <v>54</v>
      </c>
      <c r="AB189">
        <v>0</v>
      </c>
      <c r="AC189" t="s">
        <v>55</v>
      </c>
      <c r="AD189">
        <v>8</v>
      </c>
      <c r="AE189" t="s">
        <v>56</v>
      </c>
      <c r="AF189">
        <v>7485.2820000000002</v>
      </c>
      <c r="AG189" t="b">
        <v>0</v>
      </c>
      <c r="AH189">
        <v>15</v>
      </c>
      <c r="AI189" t="s">
        <v>59</v>
      </c>
      <c r="AJ189">
        <v>7485282</v>
      </c>
      <c r="AK189" t="b">
        <v>0</v>
      </c>
      <c r="AL189">
        <v>7485.2820000000002</v>
      </c>
      <c r="AM189" t="b">
        <v>0</v>
      </c>
      <c r="AN189">
        <v>0</v>
      </c>
      <c r="AO189" t="b">
        <v>0</v>
      </c>
      <c r="AQ189">
        <v>334265455.39999998</v>
      </c>
      <c r="AR189">
        <v>334265455.39999998</v>
      </c>
      <c r="AS189">
        <v>0</v>
      </c>
      <c r="AT189" t="b">
        <v>0</v>
      </c>
      <c r="AU189" t="b">
        <v>1</v>
      </c>
      <c r="AV189" t="b">
        <v>1</v>
      </c>
      <c r="AW189" t="b">
        <v>1</v>
      </c>
      <c r="BC189" t="s">
        <v>374</v>
      </c>
    </row>
    <row r="190" spans="1:55" x14ac:dyDescent="0.2">
      <c r="A190" t="s">
        <v>39</v>
      </c>
      <c r="B190" t="s">
        <v>40</v>
      </c>
      <c r="C190">
        <v>20200101</v>
      </c>
      <c r="D190">
        <v>2020</v>
      </c>
      <c r="E190">
        <v>52</v>
      </c>
      <c r="F190" t="s">
        <v>309</v>
      </c>
      <c r="G190">
        <v>558</v>
      </c>
      <c r="H190" t="s">
        <v>225</v>
      </c>
      <c r="I190" t="s">
        <v>226</v>
      </c>
      <c r="J190" t="s">
        <v>44</v>
      </c>
      <c r="K190" t="s">
        <v>45</v>
      </c>
      <c r="L190">
        <v>0</v>
      </c>
      <c r="M190" t="s">
        <v>46</v>
      </c>
      <c r="N190" t="s">
        <v>47</v>
      </c>
      <c r="O190">
        <v>0</v>
      </c>
      <c r="P190" t="s">
        <v>46</v>
      </c>
      <c r="Q190" t="s">
        <v>47</v>
      </c>
      <c r="R190" t="s">
        <v>48</v>
      </c>
      <c r="S190" t="s">
        <v>49</v>
      </c>
      <c r="T190" t="b">
        <v>1</v>
      </c>
      <c r="U190" t="s">
        <v>50</v>
      </c>
      <c r="V190" t="s">
        <v>51</v>
      </c>
      <c r="W190">
        <v>4</v>
      </c>
      <c r="X190" t="b">
        <v>0</v>
      </c>
      <c r="Y190" t="s">
        <v>52</v>
      </c>
      <c r="Z190" t="s">
        <v>53</v>
      </c>
      <c r="AA190" t="s">
        <v>54</v>
      </c>
      <c r="AB190">
        <v>0</v>
      </c>
      <c r="AC190" t="s">
        <v>55</v>
      </c>
      <c r="AD190">
        <v>8</v>
      </c>
      <c r="AE190" t="s">
        <v>56</v>
      </c>
      <c r="AF190">
        <v>20816.669999999998</v>
      </c>
      <c r="AG190" t="b">
        <v>0</v>
      </c>
      <c r="AH190">
        <v>8</v>
      </c>
      <c r="AI190" t="s">
        <v>56</v>
      </c>
      <c r="AJ190">
        <v>20816.669999999998</v>
      </c>
      <c r="AK190" t="b">
        <v>0</v>
      </c>
      <c r="AL190">
        <v>20816.669999999998</v>
      </c>
      <c r="AM190" t="b">
        <v>0</v>
      </c>
      <c r="AN190">
        <v>0</v>
      </c>
      <c r="AO190" t="b">
        <v>0</v>
      </c>
      <c r="AP190">
        <v>0</v>
      </c>
      <c r="AQ190">
        <v>666642229.12</v>
      </c>
      <c r="AR190">
        <v>666642229.12</v>
      </c>
      <c r="AS190">
        <v>0</v>
      </c>
      <c r="AT190" t="b">
        <v>0</v>
      </c>
      <c r="AU190" t="b">
        <v>1</v>
      </c>
      <c r="AV190" t="b">
        <v>1</v>
      </c>
      <c r="AW190" t="b">
        <v>1</v>
      </c>
      <c r="BC190" t="s">
        <v>374</v>
      </c>
    </row>
    <row r="191" spans="1:55" x14ac:dyDescent="0.2">
      <c r="A191" t="s">
        <v>39</v>
      </c>
      <c r="B191" t="s">
        <v>40</v>
      </c>
      <c r="C191">
        <v>20200101</v>
      </c>
      <c r="D191">
        <v>2020</v>
      </c>
      <c r="E191">
        <v>52</v>
      </c>
      <c r="F191" t="s">
        <v>309</v>
      </c>
      <c r="G191">
        <v>562</v>
      </c>
      <c r="H191" t="s">
        <v>227</v>
      </c>
      <c r="I191" t="s">
        <v>228</v>
      </c>
      <c r="J191" t="s">
        <v>44</v>
      </c>
      <c r="K191" t="s">
        <v>45</v>
      </c>
      <c r="L191">
        <v>0</v>
      </c>
      <c r="M191" t="s">
        <v>46</v>
      </c>
      <c r="N191" t="s">
        <v>47</v>
      </c>
      <c r="O191">
        <v>0</v>
      </c>
      <c r="P191" t="s">
        <v>46</v>
      </c>
      <c r="Q191" t="s">
        <v>47</v>
      </c>
      <c r="R191" t="s">
        <v>48</v>
      </c>
      <c r="S191" t="s">
        <v>49</v>
      </c>
      <c r="T191" t="b">
        <v>1</v>
      </c>
      <c r="U191" t="s">
        <v>50</v>
      </c>
      <c r="V191" t="s">
        <v>51</v>
      </c>
      <c r="W191">
        <v>4</v>
      </c>
      <c r="X191" t="b">
        <v>0</v>
      </c>
      <c r="Y191" t="s">
        <v>52</v>
      </c>
      <c r="Z191" t="s">
        <v>53</v>
      </c>
      <c r="AA191" t="s">
        <v>54</v>
      </c>
      <c r="AB191">
        <v>0</v>
      </c>
      <c r="AC191" t="s">
        <v>55</v>
      </c>
      <c r="AD191">
        <v>8</v>
      </c>
      <c r="AE191" t="s">
        <v>56</v>
      </c>
      <c r="AF191">
        <v>2281</v>
      </c>
      <c r="AG191" t="b">
        <v>0</v>
      </c>
      <c r="AH191">
        <v>8</v>
      </c>
      <c r="AI191" t="s">
        <v>56</v>
      </c>
      <c r="AJ191">
        <v>2281</v>
      </c>
      <c r="AK191" t="b">
        <v>0</v>
      </c>
      <c r="AL191">
        <v>2281</v>
      </c>
      <c r="AM191" t="b">
        <v>0</v>
      </c>
      <c r="AN191">
        <v>0</v>
      </c>
      <c r="AO191" t="b">
        <v>0</v>
      </c>
      <c r="AQ191">
        <v>72606624.018000007</v>
      </c>
      <c r="AR191">
        <v>72606624.018000007</v>
      </c>
      <c r="AS191">
        <v>0</v>
      </c>
      <c r="AT191" t="b">
        <v>0</v>
      </c>
      <c r="AU191" t="b">
        <v>1</v>
      </c>
      <c r="AV191" t="b">
        <v>1</v>
      </c>
      <c r="AW191" t="b">
        <v>1</v>
      </c>
      <c r="BC191" t="s">
        <v>374</v>
      </c>
    </row>
    <row r="192" spans="1:55" x14ac:dyDescent="0.2">
      <c r="A192" t="s">
        <v>39</v>
      </c>
      <c r="B192" t="s">
        <v>40</v>
      </c>
      <c r="C192">
        <v>20200101</v>
      </c>
      <c r="D192">
        <v>2020</v>
      </c>
      <c r="E192">
        <v>52</v>
      </c>
      <c r="F192" t="s">
        <v>309</v>
      </c>
      <c r="G192">
        <v>566</v>
      </c>
      <c r="H192" t="s">
        <v>329</v>
      </c>
      <c r="I192" t="s">
        <v>330</v>
      </c>
      <c r="J192" t="s">
        <v>44</v>
      </c>
      <c r="K192" t="s">
        <v>45</v>
      </c>
      <c r="L192">
        <v>0</v>
      </c>
      <c r="M192" t="s">
        <v>46</v>
      </c>
      <c r="N192" t="s">
        <v>47</v>
      </c>
      <c r="O192">
        <v>0</v>
      </c>
      <c r="P192" t="s">
        <v>46</v>
      </c>
      <c r="Q192" t="s">
        <v>47</v>
      </c>
      <c r="R192" t="s">
        <v>95</v>
      </c>
      <c r="S192" t="s">
        <v>49</v>
      </c>
      <c r="T192" t="b">
        <v>1</v>
      </c>
      <c r="U192" t="s">
        <v>50</v>
      </c>
      <c r="V192" t="s">
        <v>51</v>
      </c>
      <c r="W192">
        <v>4</v>
      </c>
      <c r="X192" t="b">
        <v>0</v>
      </c>
      <c r="Y192" t="s">
        <v>52</v>
      </c>
      <c r="Z192" t="s">
        <v>53</v>
      </c>
      <c r="AA192" t="s">
        <v>54</v>
      </c>
      <c r="AB192">
        <v>0</v>
      </c>
      <c r="AC192" t="s">
        <v>55</v>
      </c>
      <c r="AD192">
        <v>-1</v>
      </c>
      <c r="AE192" t="s">
        <v>64</v>
      </c>
      <c r="AF192">
        <v>0</v>
      </c>
      <c r="AG192" t="b">
        <v>1</v>
      </c>
      <c r="AH192">
        <v>-1</v>
      </c>
      <c r="AI192" t="s">
        <v>64</v>
      </c>
      <c r="AJ192">
        <v>0</v>
      </c>
      <c r="AK192" t="b">
        <v>0</v>
      </c>
      <c r="AL192">
        <v>0</v>
      </c>
      <c r="AM192" t="b">
        <v>1</v>
      </c>
      <c r="AN192">
        <v>0</v>
      </c>
      <c r="AO192" t="b">
        <v>0</v>
      </c>
      <c r="AP192">
        <v>0</v>
      </c>
      <c r="AQ192">
        <v>2066218.4550000001</v>
      </c>
      <c r="AR192">
        <v>2066218.4550000001</v>
      </c>
      <c r="AS192">
        <v>6</v>
      </c>
      <c r="AT192" t="b">
        <v>0</v>
      </c>
      <c r="AU192" t="b">
        <v>1</v>
      </c>
      <c r="AV192" t="b">
        <v>1</v>
      </c>
      <c r="AW192" t="b">
        <v>1</v>
      </c>
      <c r="BC192" t="s">
        <v>374</v>
      </c>
    </row>
    <row r="193" spans="1:55" x14ac:dyDescent="0.2">
      <c r="A193" t="s">
        <v>39</v>
      </c>
      <c r="B193" t="s">
        <v>40</v>
      </c>
      <c r="C193">
        <v>20200101</v>
      </c>
      <c r="D193">
        <v>2020</v>
      </c>
      <c r="E193">
        <v>52</v>
      </c>
      <c r="F193" t="s">
        <v>309</v>
      </c>
      <c r="G193">
        <v>579</v>
      </c>
      <c r="H193" t="s">
        <v>229</v>
      </c>
      <c r="I193" t="s">
        <v>230</v>
      </c>
      <c r="J193" t="s">
        <v>44</v>
      </c>
      <c r="K193" t="s">
        <v>45</v>
      </c>
      <c r="L193">
        <v>0</v>
      </c>
      <c r="M193" t="s">
        <v>46</v>
      </c>
      <c r="N193" t="s">
        <v>47</v>
      </c>
      <c r="O193">
        <v>0</v>
      </c>
      <c r="P193" t="s">
        <v>46</v>
      </c>
      <c r="Q193" t="s">
        <v>47</v>
      </c>
      <c r="R193" t="s">
        <v>48</v>
      </c>
      <c r="S193" t="s">
        <v>49</v>
      </c>
      <c r="T193" t="b">
        <v>1</v>
      </c>
      <c r="U193" t="s">
        <v>50</v>
      </c>
      <c r="V193" t="s">
        <v>51</v>
      </c>
      <c r="W193">
        <v>4</v>
      </c>
      <c r="X193" t="b">
        <v>0</v>
      </c>
      <c r="Y193" t="s">
        <v>52</v>
      </c>
      <c r="Z193" t="s">
        <v>53</v>
      </c>
      <c r="AA193" t="s">
        <v>54</v>
      </c>
      <c r="AB193">
        <v>0</v>
      </c>
      <c r="AC193" t="s">
        <v>55</v>
      </c>
      <c r="AD193">
        <v>8</v>
      </c>
      <c r="AE193" t="s">
        <v>56</v>
      </c>
      <c r="AF193">
        <v>2648</v>
      </c>
      <c r="AG193" t="b">
        <v>0</v>
      </c>
      <c r="AH193">
        <v>8</v>
      </c>
      <c r="AI193" t="s">
        <v>56</v>
      </c>
      <c r="AJ193">
        <v>2648</v>
      </c>
      <c r="AK193" t="b">
        <v>0</v>
      </c>
      <c r="AL193">
        <v>2648</v>
      </c>
      <c r="AM193" t="b">
        <v>0</v>
      </c>
      <c r="AN193">
        <v>0</v>
      </c>
      <c r="AO193" t="b">
        <v>0</v>
      </c>
      <c r="AP193">
        <v>0</v>
      </c>
      <c r="AQ193">
        <v>147477144.22999999</v>
      </c>
      <c r="AR193">
        <v>147477144.22999999</v>
      </c>
      <c r="AS193">
        <v>0</v>
      </c>
      <c r="AT193" t="b">
        <v>0</v>
      </c>
      <c r="AU193" t="b">
        <v>1</v>
      </c>
      <c r="AV193" t="b">
        <v>1</v>
      </c>
      <c r="AW193" t="b">
        <v>1</v>
      </c>
      <c r="BC193" t="s">
        <v>374</v>
      </c>
    </row>
    <row r="194" spans="1:55" x14ac:dyDescent="0.2">
      <c r="A194" t="s">
        <v>39</v>
      </c>
      <c r="B194" t="s">
        <v>40</v>
      </c>
      <c r="C194">
        <v>20200101</v>
      </c>
      <c r="D194">
        <v>2020</v>
      </c>
      <c r="E194">
        <v>52</v>
      </c>
      <c r="F194" t="s">
        <v>309</v>
      </c>
      <c r="G194">
        <v>591</v>
      </c>
      <c r="H194" t="s">
        <v>231</v>
      </c>
      <c r="I194" t="s">
        <v>232</v>
      </c>
      <c r="J194" t="s">
        <v>44</v>
      </c>
      <c r="K194" t="s">
        <v>45</v>
      </c>
      <c r="L194">
        <v>0</v>
      </c>
      <c r="M194" t="s">
        <v>46</v>
      </c>
      <c r="N194" t="s">
        <v>47</v>
      </c>
      <c r="O194">
        <v>0</v>
      </c>
      <c r="P194" t="s">
        <v>46</v>
      </c>
      <c r="Q194" t="s">
        <v>47</v>
      </c>
      <c r="R194" t="s">
        <v>48</v>
      </c>
      <c r="S194" t="s">
        <v>49</v>
      </c>
      <c r="T194" t="b">
        <v>1</v>
      </c>
      <c r="U194" t="s">
        <v>50</v>
      </c>
      <c r="V194" t="s">
        <v>51</v>
      </c>
      <c r="W194">
        <v>4</v>
      </c>
      <c r="X194" t="b">
        <v>0</v>
      </c>
      <c r="Y194" t="s">
        <v>52</v>
      </c>
      <c r="Z194" t="s">
        <v>53</v>
      </c>
      <c r="AA194" t="s">
        <v>54</v>
      </c>
      <c r="AB194">
        <v>0</v>
      </c>
      <c r="AC194" t="s">
        <v>55</v>
      </c>
      <c r="AD194">
        <v>8</v>
      </c>
      <c r="AE194" t="s">
        <v>56</v>
      </c>
      <c r="AF194">
        <v>568.40300000000002</v>
      </c>
      <c r="AG194" t="b">
        <v>1</v>
      </c>
      <c r="AH194">
        <v>-1</v>
      </c>
      <c r="AI194" t="s">
        <v>64</v>
      </c>
      <c r="AJ194">
        <v>0</v>
      </c>
      <c r="AK194" t="b">
        <v>0</v>
      </c>
      <c r="AL194">
        <v>568.40300000000002</v>
      </c>
      <c r="AM194" t="b">
        <v>1</v>
      </c>
      <c r="AN194">
        <v>1079</v>
      </c>
      <c r="AO194" t="b">
        <v>0</v>
      </c>
      <c r="AP194">
        <v>0</v>
      </c>
      <c r="AQ194">
        <v>30765446</v>
      </c>
      <c r="AR194">
        <v>30765446</v>
      </c>
      <c r="AS194">
        <v>6</v>
      </c>
      <c r="AT194" t="b">
        <v>0</v>
      </c>
      <c r="AU194" t="b">
        <v>1</v>
      </c>
      <c r="AV194" t="b">
        <v>1</v>
      </c>
      <c r="AW194" t="b">
        <v>1</v>
      </c>
      <c r="BC194" t="s">
        <v>374</v>
      </c>
    </row>
    <row r="195" spans="1:55" x14ac:dyDescent="0.2">
      <c r="A195" t="s">
        <v>39</v>
      </c>
      <c r="B195" t="s">
        <v>40</v>
      </c>
      <c r="C195">
        <v>20200101</v>
      </c>
      <c r="D195">
        <v>2020</v>
      </c>
      <c r="E195">
        <v>52</v>
      </c>
      <c r="F195" t="s">
        <v>309</v>
      </c>
      <c r="G195">
        <v>600</v>
      </c>
      <c r="H195" t="s">
        <v>233</v>
      </c>
      <c r="I195" t="s">
        <v>234</v>
      </c>
      <c r="J195" t="s">
        <v>44</v>
      </c>
      <c r="K195" t="s">
        <v>45</v>
      </c>
      <c r="L195">
        <v>0</v>
      </c>
      <c r="M195" t="s">
        <v>46</v>
      </c>
      <c r="N195" t="s">
        <v>47</v>
      </c>
      <c r="O195">
        <v>0</v>
      </c>
      <c r="P195" t="s">
        <v>46</v>
      </c>
      <c r="Q195" t="s">
        <v>47</v>
      </c>
      <c r="R195" t="s">
        <v>48</v>
      </c>
      <c r="S195" t="s">
        <v>49</v>
      </c>
      <c r="T195" t="b">
        <v>1</v>
      </c>
      <c r="U195" t="s">
        <v>50</v>
      </c>
      <c r="V195" t="s">
        <v>51</v>
      </c>
      <c r="W195">
        <v>4</v>
      </c>
      <c r="X195" t="b">
        <v>0</v>
      </c>
      <c r="Y195" t="s">
        <v>52</v>
      </c>
      <c r="Z195" t="s">
        <v>53</v>
      </c>
      <c r="AA195" t="s">
        <v>54</v>
      </c>
      <c r="AB195">
        <v>0</v>
      </c>
      <c r="AC195" t="s">
        <v>55</v>
      </c>
      <c r="AD195">
        <v>8</v>
      </c>
      <c r="AE195" t="s">
        <v>56</v>
      </c>
      <c r="AF195">
        <v>72</v>
      </c>
      <c r="AG195" t="b">
        <v>0</v>
      </c>
      <c r="AH195">
        <v>8</v>
      </c>
      <c r="AI195" t="s">
        <v>56</v>
      </c>
      <c r="AJ195">
        <v>72</v>
      </c>
      <c r="AK195" t="b">
        <v>0</v>
      </c>
      <c r="AL195">
        <v>72</v>
      </c>
      <c r="AM195" t="b">
        <v>0</v>
      </c>
      <c r="AN195">
        <v>0</v>
      </c>
      <c r="AO195" t="b">
        <v>0</v>
      </c>
      <c r="AP195">
        <v>0</v>
      </c>
      <c r="AQ195">
        <v>3381651</v>
      </c>
      <c r="AR195">
        <v>3381651</v>
      </c>
      <c r="AS195">
        <v>0</v>
      </c>
      <c r="AT195" t="b">
        <v>0</v>
      </c>
      <c r="AU195" t="b">
        <v>1</v>
      </c>
      <c r="AV195" t="b">
        <v>1</v>
      </c>
      <c r="AW195" t="b">
        <v>1</v>
      </c>
      <c r="BC195" t="s">
        <v>374</v>
      </c>
    </row>
    <row r="196" spans="1:55" x14ac:dyDescent="0.2">
      <c r="A196" t="s">
        <v>39</v>
      </c>
      <c r="B196" t="s">
        <v>40</v>
      </c>
      <c r="C196">
        <v>20200101</v>
      </c>
      <c r="D196">
        <v>2020</v>
      </c>
      <c r="E196">
        <v>52</v>
      </c>
      <c r="F196" t="s">
        <v>309</v>
      </c>
      <c r="G196">
        <v>616</v>
      </c>
      <c r="H196" t="s">
        <v>239</v>
      </c>
      <c r="I196" t="s">
        <v>240</v>
      </c>
      <c r="J196" t="s">
        <v>44</v>
      </c>
      <c r="K196" t="s">
        <v>45</v>
      </c>
      <c r="L196">
        <v>0</v>
      </c>
      <c r="M196" t="s">
        <v>46</v>
      </c>
      <c r="N196" t="s">
        <v>47</v>
      </c>
      <c r="O196">
        <v>0</v>
      </c>
      <c r="P196" t="s">
        <v>46</v>
      </c>
      <c r="Q196" t="s">
        <v>47</v>
      </c>
      <c r="R196" t="s">
        <v>48</v>
      </c>
      <c r="S196" t="s">
        <v>49</v>
      </c>
      <c r="T196" t="b">
        <v>1</v>
      </c>
      <c r="U196" t="s">
        <v>50</v>
      </c>
      <c r="V196" t="s">
        <v>51</v>
      </c>
      <c r="W196">
        <v>4</v>
      </c>
      <c r="X196" t="b">
        <v>0</v>
      </c>
      <c r="Y196" t="s">
        <v>52</v>
      </c>
      <c r="Z196" t="s">
        <v>53</v>
      </c>
      <c r="AA196" t="s">
        <v>54</v>
      </c>
      <c r="AB196">
        <v>0</v>
      </c>
      <c r="AC196" t="s">
        <v>55</v>
      </c>
      <c r="AD196">
        <v>8</v>
      </c>
      <c r="AE196" t="s">
        <v>56</v>
      </c>
      <c r="AF196">
        <v>3841.6109999999999</v>
      </c>
      <c r="AG196" t="b">
        <v>0</v>
      </c>
      <c r="AH196">
        <v>15</v>
      </c>
      <c r="AI196" t="s">
        <v>59</v>
      </c>
      <c r="AJ196">
        <v>3841611</v>
      </c>
      <c r="AK196" t="b">
        <v>0</v>
      </c>
      <c r="AL196">
        <v>3840.5839999999998</v>
      </c>
      <c r="AM196" t="b">
        <v>0</v>
      </c>
      <c r="AN196">
        <v>0</v>
      </c>
      <c r="AO196" t="b">
        <v>0</v>
      </c>
      <c r="AP196">
        <v>0</v>
      </c>
      <c r="AQ196">
        <v>167155463</v>
      </c>
      <c r="AR196">
        <v>167155463</v>
      </c>
      <c r="AS196">
        <v>0</v>
      </c>
      <c r="AT196" t="b">
        <v>0</v>
      </c>
      <c r="AU196" t="b">
        <v>1</v>
      </c>
      <c r="AV196" t="b">
        <v>1</v>
      </c>
      <c r="AW196" t="b">
        <v>1</v>
      </c>
      <c r="BC196" t="s">
        <v>374</v>
      </c>
    </row>
    <row r="197" spans="1:55" x14ac:dyDescent="0.2">
      <c r="A197" t="s">
        <v>39</v>
      </c>
      <c r="B197" t="s">
        <v>40</v>
      </c>
      <c r="C197">
        <v>20200101</v>
      </c>
      <c r="D197">
        <v>2020</v>
      </c>
      <c r="E197">
        <v>52</v>
      </c>
      <c r="F197" t="s">
        <v>309</v>
      </c>
      <c r="G197">
        <v>620</v>
      </c>
      <c r="H197" t="s">
        <v>241</v>
      </c>
      <c r="I197" t="s">
        <v>242</v>
      </c>
      <c r="J197" t="s">
        <v>44</v>
      </c>
      <c r="K197" t="s">
        <v>45</v>
      </c>
      <c r="L197">
        <v>0</v>
      </c>
      <c r="M197" t="s">
        <v>46</v>
      </c>
      <c r="N197" t="s">
        <v>47</v>
      </c>
      <c r="O197">
        <v>0</v>
      </c>
      <c r="P197" t="s">
        <v>46</v>
      </c>
      <c r="Q197" t="s">
        <v>47</v>
      </c>
      <c r="R197" t="s">
        <v>48</v>
      </c>
      <c r="S197" t="s">
        <v>49</v>
      </c>
      <c r="T197" t="b">
        <v>1</v>
      </c>
      <c r="U197" t="s">
        <v>50</v>
      </c>
      <c r="V197" t="s">
        <v>51</v>
      </c>
      <c r="W197">
        <v>4</v>
      </c>
      <c r="X197" t="b">
        <v>0</v>
      </c>
      <c r="Y197" t="s">
        <v>52</v>
      </c>
      <c r="Z197" t="s">
        <v>53</v>
      </c>
      <c r="AA197" t="s">
        <v>54</v>
      </c>
      <c r="AB197">
        <v>0</v>
      </c>
      <c r="AC197" t="s">
        <v>55</v>
      </c>
      <c r="AD197">
        <v>8</v>
      </c>
      <c r="AE197" t="s">
        <v>56</v>
      </c>
      <c r="AF197">
        <v>4270.6329999999998</v>
      </c>
      <c r="AG197" t="b">
        <v>0</v>
      </c>
      <c r="AH197">
        <v>15</v>
      </c>
      <c r="AI197" t="s">
        <v>59</v>
      </c>
      <c r="AJ197">
        <v>4270633</v>
      </c>
      <c r="AK197" t="b">
        <v>0</v>
      </c>
      <c r="AL197">
        <v>4273.7129999999997</v>
      </c>
      <c r="AM197" t="b">
        <v>0</v>
      </c>
      <c r="AN197">
        <v>0</v>
      </c>
      <c r="AO197" t="b">
        <v>0</v>
      </c>
      <c r="AQ197">
        <v>223260941.35699999</v>
      </c>
      <c r="AR197">
        <v>223260941.35699999</v>
      </c>
      <c r="AS197">
        <v>0</v>
      </c>
      <c r="AT197" t="b">
        <v>0</v>
      </c>
      <c r="AU197" t="b">
        <v>1</v>
      </c>
      <c r="AV197" t="b">
        <v>1</v>
      </c>
      <c r="AW197" t="b">
        <v>1</v>
      </c>
      <c r="BC197" t="s">
        <v>374</v>
      </c>
    </row>
    <row r="198" spans="1:55" x14ac:dyDescent="0.2">
      <c r="A198" t="s">
        <v>39</v>
      </c>
      <c r="B198" t="s">
        <v>40</v>
      </c>
      <c r="C198">
        <v>20200101</v>
      </c>
      <c r="D198">
        <v>2020</v>
      </c>
      <c r="E198">
        <v>52</v>
      </c>
      <c r="F198" t="s">
        <v>309</v>
      </c>
      <c r="G198">
        <v>634</v>
      </c>
      <c r="H198" t="s">
        <v>243</v>
      </c>
      <c r="I198" t="s">
        <v>244</v>
      </c>
      <c r="J198" t="s">
        <v>44</v>
      </c>
      <c r="K198" t="s">
        <v>45</v>
      </c>
      <c r="L198">
        <v>0</v>
      </c>
      <c r="M198" t="s">
        <v>46</v>
      </c>
      <c r="N198" t="s">
        <v>47</v>
      </c>
      <c r="O198">
        <v>0</v>
      </c>
      <c r="P198" t="s">
        <v>46</v>
      </c>
      <c r="Q198" t="s">
        <v>47</v>
      </c>
      <c r="R198" t="s">
        <v>48</v>
      </c>
      <c r="S198" t="s">
        <v>49</v>
      </c>
      <c r="T198" t="b">
        <v>1</v>
      </c>
      <c r="U198" t="s">
        <v>50</v>
      </c>
      <c r="V198" t="s">
        <v>51</v>
      </c>
      <c r="W198">
        <v>4</v>
      </c>
      <c r="X198" t="b">
        <v>0</v>
      </c>
      <c r="Y198" t="s">
        <v>52</v>
      </c>
      <c r="Z198" t="s">
        <v>53</v>
      </c>
      <c r="AA198" t="s">
        <v>54</v>
      </c>
      <c r="AB198">
        <v>0</v>
      </c>
      <c r="AC198" t="s">
        <v>55</v>
      </c>
      <c r="AD198">
        <v>-1</v>
      </c>
      <c r="AE198" t="s">
        <v>64</v>
      </c>
      <c r="AF198">
        <v>0</v>
      </c>
      <c r="AG198" t="b">
        <v>0</v>
      </c>
      <c r="AH198">
        <v>-1</v>
      </c>
      <c r="AI198" t="s">
        <v>64</v>
      </c>
      <c r="AJ198">
        <v>0</v>
      </c>
      <c r="AK198" t="b">
        <v>0</v>
      </c>
      <c r="AL198">
        <v>0</v>
      </c>
      <c r="AM198" t="b">
        <v>0</v>
      </c>
      <c r="AN198">
        <v>0</v>
      </c>
      <c r="AO198" t="b">
        <v>0</v>
      </c>
      <c r="AP198">
        <v>0</v>
      </c>
      <c r="AQ198">
        <v>41015958.457999997</v>
      </c>
      <c r="AR198">
        <v>41015958.457999997</v>
      </c>
      <c r="AS198">
        <v>0</v>
      </c>
      <c r="AT198" t="b">
        <v>0</v>
      </c>
      <c r="AU198" t="b">
        <v>1</v>
      </c>
      <c r="AV198" t="b">
        <v>1</v>
      </c>
      <c r="AW198" t="b">
        <v>1</v>
      </c>
      <c r="BC198" t="s">
        <v>374</v>
      </c>
    </row>
    <row r="199" spans="1:55" x14ac:dyDescent="0.2">
      <c r="A199" t="s">
        <v>39</v>
      </c>
      <c r="B199" t="s">
        <v>40</v>
      </c>
      <c r="C199">
        <v>20200101</v>
      </c>
      <c r="D199">
        <v>2020</v>
      </c>
      <c r="E199">
        <v>52</v>
      </c>
      <c r="F199" t="s">
        <v>309</v>
      </c>
      <c r="G199">
        <v>646</v>
      </c>
      <c r="H199" t="s">
        <v>247</v>
      </c>
      <c r="I199" t="s">
        <v>248</v>
      </c>
      <c r="J199" t="s">
        <v>44</v>
      </c>
      <c r="K199" t="s">
        <v>45</v>
      </c>
      <c r="L199">
        <v>0</v>
      </c>
      <c r="M199" t="s">
        <v>46</v>
      </c>
      <c r="N199" t="s">
        <v>47</v>
      </c>
      <c r="O199">
        <v>0</v>
      </c>
      <c r="P199" t="s">
        <v>46</v>
      </c>
      <c r="Q199" t="s">
        <v>47</v>
      </c>
      <c r="R199" t="s">
        <v>95</v>
      </c>
      <c r="S199" t="s">
        <v>49</v>
      </c>
      <c r="T199" t="b">
        <v>1</v>
      </c>
      <c r="U199" t="s">
        <v>50</v>
      </c>
      <c r="V199" t="s">
        <v>51</v>
      </c>
      <c r="W199">
        <v>4</v>
      </c>
      <c r="X199" t="b">
        <v>0</v>
      </c>
      <c r="Y199" t="s">
        <v>52</v>
      </c>
      <c r="Z199" t="s">
        <v>53</v>
      </c>
      <c r="AA199" t="s">
        <v>54</v>
      </c>
      <c r="AB199">
        <v>0</v>
      </c>
      <c r="AC199" t="s">
        <v>55</v>
      </c>
      <c r="AD199">
        <v>8</v>
      </c>
      <c r="AE199" t="s">
        <v>56</v>
      </c>
      <c r="AF199">
        <v>11784.38</v>
      </c>
      <c r="AG199" t="b">
        <v>0</v>
      </c>
      <c r="AH199">
        <v>8</v>
      </c>
      <c r="AI199" t="s">
        <v>56</v>
      </c>
      <c r="AJ199">
        <v>11784.38</v>
      </c>
      <c r="AK199" t="b">
        <v>0</v>
      </c>
      <c r="AL199">
        <v>11784.38</v>
      </c>
      <c r="AM199" t="b">
        <v>0</v>
      </c>
      <c r="AN199">
        <v>0</v>
      </c>
      <c r="AO199" t="b">
        <v>0</v>
      </c>
      <c r="AQ199">
        <v>665536303.63</v>
      </c>
      <c r="AR199">
        <v>665536303.63</v>
      </c>
      <c r="AS199">
        <v>0</v>
      </c>
      <c r="AT199" t="b">
        <v>0</v>
      </c>
      <c r="AU199" t="b">
        <v>1</v>
      </c>
      <c r="AV199" t="b">
        <v>1</v>
      </c>
      <c r="AW199" t="b">
        <v>1</v>
      </c>
      <c r="BC199" t="s">
        <v>374</v>
      </c>
    </row>
    <row r="200" spans="1:55" x14ac:dyDescent="0.2">
      <c r="A200" t="s">
        <v>39</v>
      </c>
      <c r="B200" t="s">
        <v>40</v>
      </c>
      <c r="C200">
        <v>20200101</v>
      </c>
      <c r="D200">
        <v>2020</v>
      </c>
      <c r="E200">
        <v>52</v>
      </c>
      <c r="F200" t="s">
        <v>309</v>
      </c>
      <c r="G200">
        <v>682</v>
      </c>
      <c r="H200" t="s">
        <v>249</v>
      </c>
      <c r="I200" t="s">
        <v>250</v>
      </c>
      <c r="J200" t="s">
        <v>44</v>
      </c>
      <c r="K200" t="s">
        <v>45</v>
      </c>
      <c r="L200">
        <v>0</v>
      </c>
      <c r="M200" t="s">
        <v>46</v>
      </c>
      <c r="N200" t="s">
        <v>47</v>
      </c>
      <c r="O200">
        <v>0</v>
      </c>
      <c r="P200" t="s">
        <v>46</v>
      </c>
      <c r="Q200" t="s">
        <v>47</v>
      </c>
      <c r="R200" t="s">
        <v>95</v>
      </c>
      <c r="S200" t="s">
        <v>49</v>
      </c>
      <c r="T200" t="b">
        <v>1</v>
      </c>
      <c r="U200" t="s">
        <v>50</v>
      </c>
      <c r="V200" t="s">
        <v>51</v>
      </c>
      <c r="W200">
        <v>4</v>
      </c>
      <c r="X200" t="b">
        <v>0</v>
      </c>
      <c r="Y200" t="s">
        <v>52</v>
      </c>
      <c r="Z200" t="s">
        <v>53</v>
      </c>
      <c r="AA200" t="s">
        <v>54</v>
      </c>
      <c r="AB200">
        <v>0</v>
      </c>
      <c r="AC200" t="s">
        <v>55</v>
      </c>
      <c r="AD200">
        <v>8</v>
      </c>
      <c r="AE200" t="s">
        <v>56</v>
      </c>
      <c r="AF200">
        <v>37733</v>
      </c>
      <c r="AG200" t="b">
        <v>0</v>
      </c>
      <c r="AH200">
        <v>8</v>
      </c>
      <c r="AI200" t="s">
        <v>56</v>
      </c>
      <c r="AJ200">
        <v>37733</v>
      </c>
      <c r="AK200" t="b">
        <v>0</v>
      </c>
      <c r="AL200">
        <v>37733</v>
      </c>
      <c r="AM200" t="b">
        <v>0</v>
      </c>
      <c r="AN200">
        <v>0</v>
      </c>
      <c r="AO200" t="b">
        <v>0</v>
      </c>
      <c r="AQ200">
        <v>1973308457.0669999</v>
      </c>
      <c r="AR200">
        <v>1973308457.0669999</v>
      </c>
      <c r="AS200">
        <v>0</v>
      </c>
      <c r="AT200" t="b">
        <v>0</v>
      </c>
      <c r="AU200" t="b">
        <v>1</v>
      </c>
      <c r="AV200" t="b">
        <v>1</v>
      </c>
      <c r="AW200" t="b">
        <v>1</v>
      </c>
      <c r="BC200" t="s">
        <v>374</v>
      </c>
    </row>
    <row r="201" spans="1:55" x14ac:dyDescent="0.2">
      <c r="A201" t="s">
        <v>39</v>
      </c>
      <c r="B201" t="s">
        <v>40</v>
      </c>
      <c r="C201">
        <v>20200101</v>
      </c>
      <c r="D201">
        <v>2020</v>
      </c>
      <c r="E201">
        <v>52</v>
      </c>
      <c r="F201" t="s">
        <v>309</v>
      </c>
      <c r="G201">
        <v>686</v>
      </c>
      <c r="H201" t="s">
        <v>251</v>
      </c>
      <c r="I201" t="s">
        <v>252</v>
      </c>
      <c r="J201" t="s">
        <v>44</v>
      </c>
      <c r="K201" t="s">
        <v>45</v>
      </c>
      <c r="L201">
        <v>0</v>
      </c>
      <c r="M201" t="s">
        <v>46</v>
      </c>
      <c r="N201" t="s">
        <v>47</v>
      </c>
      <c r="O201">
        <v>0</v>
      </c>
      <c r="P201" t="s">
        <v>46</v>
      </c>
      <c r="Q201" t="s">
        <v>47</v>
      </c>
      <c r="R201" t="s">
        <v>48</v>
      </c>
      <c r="S201" t="s">
        <v>49</v>
      </c>
      <c r="T201" t="b">
        <v>1</v>
      </c>
      <c r="U201" t="s">
        <v>50</v>
      </c>
      <c r="V201" t="s">
        <v>51</v>
      </c>
      <c r="W201">
        <v>4</v>
      </c>
      <c r="X201" t="b">
        <v>0</v>
      </c>
      <c r="Y201" t="s">
        <v>52</v>
      </c>
      <c r="Z201" t="s">
        <v>53</v>
      </c>
      <c r="AA201" t="s">
        <v>54</v>
      </c>
      <c r="AB201">
        <v>0</v>
      </c>
      <c r="AC201" t="s">
        <v>55</v>
      </c>
      <c r="AD201">
        <v>8</v>
      </c>
      <c r="AE201" t="s">
        <v>56</v>
      </c>
      <c r="AF201">
        <v>14594</v>
      </c>
      <c r="AG201" t="b">
        <v>0</v>
      </c>
      <c r="AH201">
        <v>8</v>
      </c>
      <c r="AI201" t="s">
        <v>56</v>
      </c>
      <c r="AJ201">
        <v>14594</v>
      </c>
      <c r="AK201" t="b">
        <v>0</v>
      </c>
      <c r="AL201">
        <v>14594</v>
      </c>
      <c r="AM201" t="b">
        <v>0</v>
      </c>
      <c r="AN201">
        <v>0</v>
      </c>
      <c r="AO201" t="b">
        <v>0</v>
      </c>
      <c r="AP201">
        <v>0</v>
      </c>
      <c r="AQ201">
        <v>734489311.26100004</v>
      </c>
      <c r="AR201">
        <v>734489311.26100004</v>
      </c>
      <c r="AS201">
        <v>0</v>
      </c>
      <c r="AT201" t="b">
        <v>0</v>
      </c>
      <c r="AU201" t="b">
        <v>1</v>
      </c>
      <c r="AV201" t="b">
        <v>1</v>
      </c>
      <c r="AW201" t="b">
        <v>1</v>
      </c>
      <c r="BC201" t="s">
        <v>374</v>
      </c>
    </row>
    <row r="202" spans="1:55" x14ac:dyDescent="0.2">
      <c r="A202" t="s">
        <v>39</v>
      </c>
      <c r="B202" t="s">
        <v>40</v>
      </c>
      <c r="C202">
        <v>20200101</v>
      </c>
      <c r="D202">
        <v>2020</v>
      </c>
      <c r="E202">
        <v>52</v>
      </c>
      <c r="F202" t="s">
        <v>309</v>
      </c>
      <c r="G202">
        <v>688</v>
      </c>
      <c r="H202" t="s">
        <v>253</v>
      </c>
      <c r="I202" t="s">
        <v>254</v>
      </c>
      <c r="J202" t="s">
        <v>44</v>
      </c>
      <c r="K202" t="s">
        <v>45</v>
      </c>
      <c r="L202">
        <v>0</v>
      </c>
      <c r="M202" t="s">
        <v>46</v>
      </c>
      <c r="N202" t="s">
        <v>47</v>
      </c>
      <c r="O202">
        <v>0</v>
      </c>
      <c r="P202" t="s">
        <v>46</v>
      </c>
      <c r="Q202" t="s">
        <v>47</v>
      </c>
      <c r="R202" t="s">
        <v>48</v>
      </c>
      <c r="S202" t="s">
        <v>49</v>
      </c>
      <c r="T202" t="b">
        <v>1</v>
      </c>
      <c r="U202" t="s">
        <v>50</v>
      </c>
      <c r="V202" t="s">
        <v>51</v>
      </c>
      <c r="W202">
        <v>4</v>
      </c>
      <c r="X202" t="b">
        <v>0</v>
      </c>
      <c r="Y202" t="s">
        <v>52</v>
      </c>
      <c r="Z202" t="s">
        <v>53</v>
      </c>
      <c r="AA202" t="s">
        <v>54</v>
      </c>
      <c r="AB202">
        <v>0</v>
      </c>
      <c r="AC202" t="s">
        <v>55</v>
      </c>
      <c r="AD202">
        <v>8</v>
      </c>
      <c r="AE202" t="s">
        <v>56</v>
      </c>
      <c r="AF202">
        <v>494.11</v>
      </c>
      <c r="AG202" t="b">
        <v>0</v>
      </c>
      <c r="AH202">
        <v>15</v>
      </c>
      <c r="AI202" t="s">
        <v>59</v>
      </c>
      <c r="AJ202">
        <v>494110</v>
      </c>
      <c r="AK202" t="b">
        <v>0</v>
      </c>
      <c r="AL202">
        <v>493.21</v>
      </c>
      <c r="AM202" t="b">
        <v>0</v>
      </c>
      <c r="AN202">
        <v>0</v>
      </c>
      <c r="AO202" t="b">
        <v>0</v>
      </c>
      <c r="AP202">
        <v>17462300</v>
      </c>
      <c r="AQ202">
        <v>17082184</v>
      </c>
      <c r="AR202">
        <v>17082184</v>
      </c>
      <c r="AS202">
        <v>0</v>
      </c>
      <c r="AT202" t="b">
        <v>0</v>
      </c>
      <c r="AU202" t="b">
        <v>1</v>
      </c>
      <c r="AV202" t="b">
        <v>1</v>
      </c>
      <c r="AW202" t="b">
        <v>1</v>
      </c>
      <c r="BC202" t="s">
        <v>374</v>
      </c>
    </row>
    <row r="203" spans="1:55" x14ac:dyDescent="0.2">
      <c r="A203" t="s">
        <v>39</v>
      </c>
      <c r="B203" t="s">
        <v>40</v>
      </c>
      <c r="C203">
        <v>20200101</v>
      </c>
      <c r="D203">
        <v>2020</v>
      </c>
      <c r="E203">
        <v>52</v>
      </c>
      <c r="F203" t="s">
        <v>309</v>
      </c>
      <c r="G203">
        <v>699</v>
      </c>
      <c r="H203" t="s">
        <v>255</v>
      </c>
      <c r="I203" t="s">
        <v>256</v>
      </c>
      <c r="J203" t="s">
        <v>44</v>
      </c>
      <c r="K203" t="s">
        <v>45</v>
      </c>
      <c r="L203">
        <v>0</v>
      </c>
      <c r="M203" t="s">
        <v>46</v>
      </c>
      <c r="N203" t="s">
        <v>47</v>
      </c>
      <c r="O203">
        <v>0</v>
      </c>
      <c r="P203" t="s">
        <v>46</v>
      </c>
      <c r="Q203" t="s">
        <v>47</v>
      </c>
      <c r="R203" t="s">
        <v>48</v>
      </c>
      <c r="S203" t="s">
        <v>49</v>
      </c>
      <c r="T203" t="b">
        <v>1</v>
      </c>
      <c r="U203" t="s">
        <v>50</v>
      </c>
      <c r="V203" t="s">
        <v>51</v>
      </c>
      <c r="W203">
        <v>4</v>
      </c>
      <c r="X203" t="b">
        <v>0</v>
      </c>
      <c r="Y203" t="s">
        <v>52</v>
      </c>
      <c r="Z203" t="s">
        <v>53</v>
      </c>
      <c r="AA203" t="s">
        <v>54</v>
      </c>
      <c r="AB203">
        <v>0</v>
      </c>
      <c r="AC203" t="s">
        <v>55</v>
      </c>
      <c r="AD203">
        <v>8</v>
      </c>
      <c r="AE203" t="s">
        <v>56</v>
      </c>
      <c r="AF203">
        <v>4185.1270000000004</v>
      </c>
      <c r="AG203" t="b">
        <v>1</v>
      </c>
      <c r="AH203">
        <v>-1</v>
      </c>
      <c r="AI203" t="s">
        <v>64</v>
      </c>
      <c r="AJ203">
        <v>0</v>
      </c>
      <c r="AK203" t="b">
        <v>0</v>
      </c>
      <c r="AL203">
        <v>0</v>
      </c>
      <c r="AM203" t="b">
        <v>1</v>
      </c>
      <c r="AN203">
        <v>0</v>
      </c>
      <c r="AO203" t="b">
        <v>0</v>
      </c>
      <c r="AP203">
        <v>0</v>
      </c>
      <c r="AQ203">
        <v>255352177.236</v>
      </c>
      <c r="AR203">
        <v>255352177.236</v>
      </c>
      <c r="AS203">
        <v>6</v>
      </c>
      <c r="AT203" t="b">
        <v>0</v>
      </c>
      <c r="AU203" t="b">
        <v>1</v>
      </c>
      <c r="AV203" t="b">
        <v>1</v>
      </c>
      <c r="AW203" t="b">
        <v>1</v>
      </c>
      <c r="BC203" t="s">
        <v>374</v>
      </c>
    </row>
    <row r="204" spans="1:55" x14ac:dyDescent="0.2">
      <c r="A204" t="s">
        <v>39</v>
      </c>
      <c r="B204" t="s">
        <v>40</v>
      </c>
      <c r="C204">
        <v>20200101</v>
      </c>
      <c r="D204">
        <v>2020</v>
      </c>
      <c r="E204">
        <v>52</v>
      </c>
      <c r="F204" t="s">
        <v>309</v>
      </c>
      <c r="G204">
        <v>703</v>
      </c>
      <c r="H204" t="s">
        <v>259</v>
      </c>
      <c r="I204" t="s">
        <v>260</v>
      </c>
      <c r="J204" t="s">
        <v>44</v>
      </c>
      <c r="K204" t="s">
        <v>45</v>
      </c>
      <c r="L204">
        <v>0</v>
      </c>
      <c r="M204" t="s">
        <v>46</v>
      </c>
      <c r="N204" t="s">
        <v>47</v>
      </c>
      <c r="O204">
        <v>0</v>
      </c>
      <c r="P204" t="s">
        <v>46</v>
      </c>
      <c r="Q204" t="s">
        <v>47</v>
      </c>
      <c r="R204" t="s">
        <v>48</v>
      </c>
      <c r="S204" t="s">
        <v>49</v>
      </c>
      <c r="T204" t="b">
        <v>1</v>
      </c>
      <c r="U204" t="s">
        <v>50</v>
      </c>
      <c r="V204" t="s">
        <v>51</v>
      </c>
      <c r="W204">
        <v>4</v>
      </c>
      <c r="X204" t="b">
        <v>0</v>
      </c>
      <c r="Y204" t="s">
        <v>52</v>
      </c>
      <c r="Z204" t="s">
        <v>53</v>
      </c>
      <c r="AA204" t="s">
        <v>54</v>
      </c>
      <c r="AB204">
        <v>0</v>
      </c>
      <c r="AC204" t="s">
        <v>55</v>
      </c>
      <c r="AD204">
        <v>8</v>
      </c>
      <c r="AE204" t="s">
        <v>56</v>
      </c>
      <c r="AF204">
        <v>1579.963</v>
      </c>
      <c r="AG204" t="b">
        <v>0</v>
      </c>
      <c r="AH204">
        <v>15</v>
      </c>
      <c r="AI204" t="s">
        <v>59</v>
      </c>
      <c r="AJ204">
        <v>1579963</v>
      </c>
      <c r="AK204" t="b">
        <v>0</v>
      </c>
      <c r="AM204" t="b">
        <v>0</v>
      </c>
      <c r="AN204">
        <v>0</v>
      </c>
      <c r="AO204" t="b">
        <v>0</v>
      </c>
      <c r="AQ204">
        <v>76548928.525999993</v>
      </c>
      <c r="AR204">
        <v>76548928.525999993</v>
      </c>
      <c r="AS204">
        <v>0</v>
      </c>
      <c r="AT204" t="b">
        <v>0</v>
      </c>
      <c r="AU204" t="b">
        <v>1</v>
      </c>
      <c r="AV204" t="b">
        <v>1</v>
      </c>
      <c r="AW204" t="b">
        <v>1</v>
      </c>
      <c r="BC204" t="s">
        <v>374</v>
      </c>
    </row>
    <row r="205" spans="1:55" x14ac:dyDescent="0.2">
      <c r="A205" t="s">
        <v>39</v>
      </c>
      <c r="B205" t="s">
        <v>40</v>
      </c>
      <c r="C205">
        <v>20200101</v>
      </c>
      <c r="D205">
        <v>2020</v>
      </c>
      <c r="E205">
        <v>52</v>
      </c>
      <c r="F205" t="s">
        <v>309</v>
      </c>
      <c r="G205">
        <v>704</v>
      </c>
      <c r="H205" t="s">
        <v>261</v>
      </c>
      <c r="I205" t="s">
        <v>262</v>
      </c>
      <c r="J205" t="s">
        <v>44</v>
      </c>
      <c r="K205" t="s">
        <v>45</v>
      </c>
      <c r="L205">
        <v>0</v>
      </c>
      <c r="M205" t="s">
        <v>46</v>
      </c>
      <c r="N205" t="s">
        <v>47</v>
      </c>
      <c r="O205">
        <v>0</v>
      </c>
      <c r="P205" t="s">
        <v>46</v>
      </c>
      <c r="Q205" t="s">
        <v>47</v>
      </c>
      <c r="R205" t="s">
        <v>48</v>
      </c>
      <c r="S205" t="s">
        <v>49</v>
      </c>
      <c r="T205" t="b">
        <v>1</v>
      </c>
      <c r="U205" t="s">
        <v>50</v>
      </c>
      <c r="V205" t="s">
        <v>51</v>
      </c>
      <c r="W205">
        <v>4</v>
      </c>
      <c r="X205" t="b">
        <v>0</v>
      </c>
      <c r="Y205" t="s">
        <v>52</v>
      </c>
      <c r="Z205" t="s">
        <v>53</v>
      </c>
      <c r="AA205" t="s">
        <v>54</v>
      </c>
      <c r="AB205">
        <v>0</v>
      </c>
      <c r="AC205" t="s">
        <v>55</v>
      </c>
      <c r="AD205">
        <v>8</v>
      </c>
      <c r="AE205" t="s">
        <v>56</v>
      </c>
      <c r="AF205">
        <v>127.687</v>
      </c>
      <c r="AG205" t="b">
        <v>1</v>
      </c>
      <c r="AH205">
        <v>-1</v>
      </c>
      <c r="AI205" t="s">
        <v>64</v>
      </c>
      <c r="AJ205">
        <v>0</v>
      </c>
      <c r="AK205" t="b">
        <v>0</v>
      </c>
      <c r="AL205">
        <v>0</v>
      </c>
      <c r="AM205" t="b">
        <v>1</v>
      </c>
      <c r="AN205">
        <v>0</v>
      </c>
      <c r="AO205" t="b">
        <v>0</v>
      </c>
      <c r="AP205">
        <v>0</v>
      </c>
      <c r="AQ205">
        <v>6575403.7520000003</v>
      </c>
      <c r="AR205">
        <v>6575403.7520000003</v>
      </c>
      <c r="AS205">
        <v>6</v>
      </c>
      <c r="AT205" t="b">
        <v>0</v>
      </c>
      <c r="AU205" t="b">
        <v>1</v>
      </c>
      <c r="AV205" t="b">
        <v>1</v>
      </c>
      <c r="AW205" t="b">
        <v>1</v>
      </c>
      <c r="BC205" t="s">
        <v>374</v>
      </c>
    </row>
    <row r="206" spans="1:55" x14ac:dyDescent="0.2">
      <c r="A206" t="s">
        <v>39</v>
      </c>
      <c r="B206" t="s">
        <v>40</v>
      </c>
      <c r="C206">
        <v>20200101</v>
      </c>
      <c r="D206">
        <v>2020</v>
      </c>
      <c r="E206">
        <v>52</v>
      </c>
      <c r="F206" t="s">
        <v>309</v>
      </c>
      <c r="G206">
        <v>705</v>
      </c>
      <c r="H206" t="s">
        <v>263</v>
      </c>
      <c r="I206" t="s">
        <v>264</v>
      </c>
      <c r="J206" t="s">
        <v>44</v>
      </c>
      <c r="K206" t="s">
        <v>45</v>
      </c>
      <c r="L206">
        <v>0</v>
      </c>
      <c r="M206" t="s">
        <v>46</v>
      </c>
      <c r="N206" t="s">
        <v>47</v>
      </c>
      <c r="O206">
        <v>0</v>
      </c>
      <c r="P206" t="s">
        <v>46</v>
      </c>
      <c r="Q206" t="s">
        <v>47</v>
      </c>
      <c r="R206" t="s">
        <v>48</v>
      </c>
      <c r="S206" t="s">
        <v>49</v>
      </c>
      <c r="T206" t="b">
        <v>1</v>
      </c>
      <c r="U206" t="s">
        <v>50</v>
      </c>
      <c r="V206" t="s">
        <v>51</v>
      </c>
      <c r="W206">
        <v>4</v>
      </c>
      <c r="X206" t="b">
        <v>0</v>
      </c>
      <c r="Y206" t="s">
        <v>52</v>
      </c>
      <c r="Z206" t="s">
        <v>53</v>
      </c>
      <c r="AA206" t="s">
        <v>54</v>
      </c>
      <c r="AB206">
        <v>0</v>
      </c>
      <c r="AC206" t="s">
        <v>55</v>
      </c>
      <c r="AD206">
        <v>8</v>
      </c>
      <c r="AE206" t="s">
        <v>56</v>
      </c>
      <c r="AF206">
        <v>591.45600000000002</v>
      </c>
      <c r="AG206" t="b">
        <v>0</v>
      </c>
      <c r="AH206">
        <v>15</v>
      </c>
      <c r="AI206" t="s">
        <v>59</v>
      </c>
      <c r="AJ206">
        <v>591455.6</v>
      </c>
      <c r="AK206" t="b">
        <v>0</v>
      </c>
      <c r="AL206">
        <v>686.06899999999996</v>
      </c>
      <c r="AM206" t="b">
        <v>0</v>
      </c>
      <c r="AN206">
        <v>0</v>
      </c>
      <c r="AO206" t="b">
        <v>0</v>
      </c>
      <c r="AP206">
        <v>0</v>
      </c>
      <c r="AQ206">
        <v>32968171.940000001</v>
      </c>
      <c r="AR206">
        <v>32968171.940000001</v>
      </c>
      <c r="AS206">
        <v>0</v>
      </c>
      <c r="AT206" t="b">
        <v>0</v>
      </c>
      <c r="AU206" t="b">
        <v>1</v>
      </c>
      <c r="AV206" t="b">
        <v>1</v>
      </c>
      <c r="AW206" t="b">
        <v>1</v>
      </c>
      <c r="BC206" t="s">
        <v>374</v>
      </c>
    </row>
    <row r="207" spans="1:55" x14ac:dyDescent="0.2">
      <c r="A207" t="s">
        <v>39</v>
      </c>
      <c r="B207" t="s">
        <v>40</v>
      </c>
      <c r="C207">
        <v>20200101</v>
      </c>
      <c r="D207">
        <v>2020</v>
      </c>
      <c r="E207">
        <v>52</v>
      </c>
      <c r="F207" t="s">
        <v>309</v>
      </c>
      <c r="G207">
        <v>710</v>
      </c>
      <c r="H207" t="s">
        <v>265</v>
      </c>
      <c r="I207" t="s">
        <v>266</v>
      </c>
      <c r="J207" t="s">
        <v>44</v>
      </c>
      <c r="K207" t="s">
        <v>45</v>
      </c>
      <c r="L207">
        <v>0</v>
      </c>
      <c r="M207" t="s">
        <v>46</v>
      </c>
      <c r="N207" t="s">
        <v>47</v>
      </c>
      <c r="O207">
        <v>0</v>
      </c>
      <c r="P207" t="s">
        <v>46</v>
      </c>
      <c r="Q207" t="s">
        <v>47</v>
      </c>
      <c r="R207" t="s">
        <v>48</v>
      </c>
      <c r="S207" t="s">
        <v>49</v>
      </c>
      <c r="T207" t="b">
        <v>1</v>
      </c>
      <c r="U207" t="s">
        <v>50</v>
      </c>
      <c r="V207" t="s">
        <v>51</v>
      </c>
      <c r="W207">
        <v>4</v>
      </c>
      <c r="X207" t="b">
        <v>0</v>
      </c>
      <c r="Y207" t="s">
        <v>52</v>
      </c>
      <c r="Z207" t="s">
        <v>53</v>
      </c>
      <c r="AA207" t="s">
        <v>54</v>
      </c>
      <c r="AB207">
        <v>0</v>
      </c>
      <c r="AC207" t="s">
        <v>55</v>
      </c>
      <c r="AD207">
        <v>-1</v>
      </c>
      <c r="AE207" t="s">
        <v>64</v>
      </c>
      <c r="AF207">
        <v>0</v>
      </c>
      <c r="AG207" t="b">
        <v>1</v>
      </c>
      <c r="AH207">
        <v>-1</v>
      </c>
      <c r="AI207" t="s">
        <v>64</v>
      </c>
      <c r="AJ207">
        <v>0</v>
      </c>
      <c r="AK207" t="b">
        <v>0</v>
      </c>
      <c r="AL207">
        <v>0</v>
      </c>
      <c r="AM207" t="b">
        <v>1</v>
      </c>
      <c r="AN207">
        <v>0</v>
      </c>
      <c r="AO207" t="b">
        <v>0</v>
      </c>
      <c r="AP207">
        <v>0</v>
      </c>
      <c r="AQ207">
        <v>6717385742.9729996</v>
      </c>
      <c r="AR207">
        <v>6717385742.9729996</v>
      </c>
      <c r="AS207">
        <v>6</v>
      </c>
      <c r="AT207" t="b">
        <v>0</v>
      </c>
      <c r="AU207" t="b">
        <v>1</v>
      </c>
      <c r="AV207" t="b">
        <v>1</v>
      </c>
      <c r="AW207" t="b">
        <v>1</v>
      </c>
      <c r="BC207" t="s">
        <v>374</v>
      </c>
    </row>
    <row r="208" spans="1:55" x14ac:dyDescent="0.2">
      <c r="A208" t="s">
        <v>39</v>
      </c>
      <c r="B208" t="s">
        <v>40</v>
      </c>
      <c r="C208">
        <v>20200101</v>
      </c>
      <c r="D208">
        <v>2020</v>
      </c>
      <c r="E208">
        <v>52</v>
      </c>
      <c r="F208" t="s">
        <v>309</v>
      </c>
      <c r="G208">
        <v>716</v>
      </c>
      <c r="H208" t="s">
        <v>267</v>
      </c>
      <c r="I208" t="s">
        <v>268</v>
      </c>
      <c r="J208" t="s">
        <v>44</v>
      </c>
      <c r="K208" t="s">
        <v>45</v>
      </c>
      <c r="L208">
        <v>0</v>
      </c>
      <c r="M208" t="s">
        <v>46</v>
      </c>
      <c r="N208" t="s">
        <v>47</v>
      </c>
      <c r="O208">
        <v>0</v>
      </c>
      <c r="P208" t="s">
        <v>46</v>
      </c>
      <c r="Q208" t="s">
        <v>47</v>
      </c>
      <c r="R208" t="s">
        <v>48</v>
      </c>
      <c r="S208" t="s">
        <v>49</v>
      </c>
      <c r="T208" t="b">
        <v>1</v>
      </c>
      <c r="U208" t="s">
        <v>50</v>
      </c>
      <c r="V208" t="s">
        <v>51</v>
      </c>
      <c r="W208">
        <v>4</v>
      </c>
      <c r="X208" t="b">
        <v>0</v>
      </c>
      <c r="Y208" t="s">
        <v>52</v>
      </c>
      <c r="Z208" t="s">
        <v>53</v>
      </c>
      <c r="AA208" t="s">
        <v>54</v>
      </c>
      <c r="AB208">
        <v>0</v>
      </c>
      <c r="AC208" t="s">
        <v>55</v>
      </c>
      <c r="AD208">
        <v>-1</v>
      </c>
      <c r="AE208" t="s">
        <v>64</v>
      </c>
      <c r="AF208">
        <v>0</v>
      </c>
      <c r="AG208" t="b">
        <v>0</v>
      </c>
      <c r="AH208">
        <v>15</v>
      </c>
      <c r="AI208" t="s">
        <v>59</v>
      </c>
      <c r="AJ208">
        <v>76808.100000000006</v>
      </c>
      <c r="AK208" t="b">
        <v>0</v>
      </c>
      <c r="AM208" t="b">
        <v>0</v>
      </c>
      <c r="AN208">
        <v>0</v>
      </c>
      <c r="AO208" t="b">
        <v>0</v>
      </c>
      <c r="AQ208">
        <v>982257743.42999995</v>
      </c>
      <c r="AR208">
        <v>982257743.42999995</v>
      </c>
      <c r="AS208">
        <v>0</v>
      </c>
      <c r="AT208" t="b">
        <v>0</v>
      </c>
      <c r="AU208" t="b">
        <v>1</v>
      </c>
      <c r="AV208" t="b">
        <v>1</v>
      </c>
      <c r="AW208" t="b">
        <v>1</v>
      </c>
      <c r="BC208" t="s">
        <v>374</v>
      </c>
    </row>
    <row r="209" spans="1:55" x14ac:dyDescent="0.2">
      <c r="A209" t="s">
        <v>39</v>
      </c>
      <c r="B209" t="s">
        <v>40</v>
      </c>
      <c r="C209">
        <v>20200101</v>
      </c>
      <c r="D209">
        <v>2020</v>
      </c>
      <c r="E209">
        <v>52</v>
      </c>
      <c r="F209" t="s">
        <v>309</v>
      </c>
      <c r="G209">
        <v>724</v>
      </c>
      <c r="H209" t="s">
        <v>269</v>
      </c>
      <c r="I209" t="s">
        <v>270</v>
      </c>
      <c r="J209" t="s">
        <v>44</v>
      </c>
      <c r="K209" t="s">
        <v>45</v>
      </c>
      <c r="L209">
        <v>0</v>
      </c>
      <c r="M209" t="s">
        <v>46</v>
      </c>
      <c r="N209" t="s">
        <v>47</v>
      </c>
      <c r="O209">
        <v>0</v>
      </c>
      <c r="P209" t="s">
        <v>46</v>
      </c>
      <c r="Q209" t="s">
        <v>47</v>
      </c>
      <c r="R209" t="s">
        <v>48</v>
      </c>
      <c r="S209" t="s">
        <v>49</v>
      </c>
      <c r="T209" t="b">
        <v>1</v>
      </c>
      <c r="U209" t="s">
        <v>50</v>
      </c>
      <c r="V209" t="s">
        <v>51</v>
      </c>
      <c r="W209">
        <v>4</v>
      </c>
      <c r="X209" t="b">
        <v>0</v>
      </c>
      <c r="Y209" t="s">
        <v>52</v>
      </c>
      <c r="Z209" t="s">
        <v>53</v>
      </c>
      <c r="AA209" t="s">
        <v>54</v>
      </c>
      <c r="AB209">
        <v>0</v>
      </c>
      <c r="AC209" t="s">
        <v>55</v>
      </c>
      <c r="AD209">
        <v>-1</v>
      </c>
      <c r="AE209" t="s">
        <v>64</v>
      </c>
      <c r="AF209">
        <v>0</v>
      </c>
      <c r="AG209" t="b">
        <v>1</v>
      </c>
      <c r="AH209">
        <v>-1</v>
      </c>
      <c r="AI209" t="s">
        <v>64</v>
      </c>
      <c r="AJ209">
        <v>0</v>
      </c>
      <c r="AK209" t="b">
        <v>0</v>
      </c>
      <c r="AL209">
        <v>0</v>
      </c>
      <c r="AM209" t="b">
        <v>1</v>
      </c>
      <c r="AN209">
        <v>0</v>
      </c>
      <c r="AO209" t="b">
        <v>0</v>
      </c>
      <c r="AP209">
        <v>0</v>
      </c>
      <c r="AQ209">
        <v>954841770.88800001</v>
      </c>
      <c r="AR209">
        <v>954841770.88800001</v>
      </c>
      <c r="AS209">
        <v>6</v>
      </c>
      <c r="AT209" t="b">
        <v>0</v>
      </c>
      <c r="AU209" t="b">
        <v>1</v>
      </c>
      <c r="AV209" t="b">
        <v>1</v>
      </c>
      <c r="AW209" t="b">
        <v>1</v>
      </c>
      <c r="BC209" t="s">
        <v>374</v>
      </c>
    </row>
    <row r="210" spans="1:55" x14ac:dyDescent="0.2">
      <c r="A210" t="s">
        <v>39</v>
      </c>
      <c r="B210" t="s">
        <v>40</v>
      </c>
      <c r="C210">
        <v>20200101</v>
      </c>
      <c r="D210">
        <v>2020</v>
      </c>
      <c r="E210">
        <v>52</v>
      </c>
      <c r="F210" t="s">
        <v>309</v>
      </c>
      <c r="G210">
        <v>740</v>
      </c>
      <c r="H210" t="s">
        <v>271</v>
      </c>
      <c r="I210" t="s">
        <v>272</v>
      </c>
      <c r="J210" t="s">
        <v>44</v>
      </c>
      <c r="K210" t="s">
        <v>45</v>
      </c>
      <c r="L210">
        <v>0</v>
      </c>
      <c r="M210" t="s">
        <v>46</v>
      </c>
      <c r="N210" t="s">
        <v>47</v>
      </c>
      <c r="O210">
        <v>0</v>
      </c>
      <c r="P210" t="s">
        <v>46</v>
      </c>
      <c r="Q210" t="s">
        <v>47</v>
      </c>
      <c r="R210" t="s">
        <v>136</v>
      </c>
      <c r="S210" t="s">
        <v>49</v>
      </c>
      <c r="T210" t="b">
        <v>1</v>
      </c>
      <c r="U210" t="s">
        <v>50</v>
      </c>
      <c r="V210" t="s">
        <v>51</v>
      </c>
      <c r="W210">
        <v>4</v>
      </c>
      <c r="X210" t="b">
        <v>0</v>
      </c>
      <c r="Y210" t="s">
        <v>52</v>
      </c>
      <c r="Z210" t="s">
        <v>53</v>
      </c>
      <c r="AA210" t="s">
        <v>54</v>
      </c>
      <c r="AB210">
        <v>0</v>
      </c>
      <c r="AC210" t="s">
        <v>55</v>
      </c>
      <c r="AD210">
        <v>8</v>
      </c>
      <c r="AE210" t="s">
        <v>56</v>
      </c>
      <c r="AF210">
        <v>28151.57</v>
      </c>
      <c r="AG210" t="b">
        <v>0</v>
      </c>
      <c r="AH210">
        <v>8</v>
      </c>
      <c r="AI210" t="s">
        <v>56</v>
      </c>
      <c r="AJ210">
        <v>28151.57</v>
      </c>
      <c r="AK210" t="b">
        <v>0</v>
      </c>
      <c r="AL210">
        <v>28151.57</v>
      </c>
      <c r="AM210" t="b">
        <v>0</v>
      </c>
      <c r="AN210">
        <v>29816.47</v>
      </c>
      <c r="AO210" t="b">
        <v>0</v>
      </c>
      <c r="AP210">
        <v>0</v>
      </c>
      <c r="AQ210">
        <v>1558336033.5999999</v>
      </c>
      <c r="AR210">
        <v>1558336033.5999999</v>
      </c>
      <c r="AS210">
        <v>0</v>
      </c>
      <c r="AT210" t="b">
        <v>0</v>
      </c>
      <c r="AU210" t="b">
        <v>1</v>
      </c>
      <c r="AV210" t="b">
        <v>1</v>
      </c>
      <c r="AW210" t="b">
        <v>1</v>
      </c>
      <c r="BC210" t="s">
        <v>374</v>
      </c>
    </row>
    <row r="211" spans="1:55" x14ac:dyDescent="0.2">
      <c r="A211" t="s">
        <v>39</v>
      </c>
      <c r="B211" t="s">
        <v>40</v>
      </c>
      <c r="C211">
        <v>20200101</v>
      </c>
      <c r="D211">
        <v>2020</v>
      </c>
      <c r="E211">
        <v>52</v>
      </c>
      <c r="F211" t="s">
        <v>309</v>
      </c>
      <c r="G211">
        <v>748</v>
      </c>
      <c r="H211" t="s">
        <v>273</v>
      </c>
      <c r="I211" t="s">
        <v>274</v>
      </c>
      <c r="J211" t="s">
        <v>44</v>
      </c>
      <c r="K211" t="s">
        <v>45</v>
      </c>
      <c r="L211">
        <v>0</v>
      </c>
      <c r="M211" t="s">
        <v>46</v>
      </c>
      <c r="N211" t="s">
        <v>47</v>
      </c>
      <c r="O211">
        <v>0</v>
      </c>
      <c r="P211" t="s">
        <v>46</v>
      </c>
      <c r="Q211" t="s">
        <v>47</v>
      </c>
      <c r="R211" t="s">
        <v>48</v>
      </c>
      <c r="S211" t="s">
        <v>49</v>
      </c>
      <c r="T211" t="b">
        <v>1</v>
      </c>
      <c r="U211" t="s">
        <v>50</v>
      </c>
      <c r="V211" t="s">
        <v>51</v>
      </c>
      <c r="W211">
        <v>4</v>
      </c>
      <c r="X211" t="b">
        <v>0</v>
      </c>
      <c r="Y211" t="s">
        <v>52</v>
      </c>
      <c r="Z211" t="s">
        <v>53</v>
      </c>
      <c r="AA211" t="s">
        <v>54</v>
      </c>
      <c r="AB211">
        <v>0</v>
      </c>
      <c r="AC211" t="s">
        <v>55</v>
      </c>
      <c r="AD211">
        <v>-1</v>
      </c>
      <c r="AE211" t="s">
        <v>64</v>
      </c>
      <c r="AF211">
        <v>0</v>
      </c>
      <c r="AG211" t="b">
        <v>1</v>
      </c>
      <c r="AH211">
        <v>-1</v>
      </c>
      <c r="AI211" t="s">
        <v>64</v>
      </c>
      <c r="AJ211">
        <v>0</v>
      </c>
      <c r="AK211" t="b">
        <v>0</v>
      </c>
      <c r="AL211">
        <v>0</v>
      </c>
      <c r="AM211" t="b">
        <v>1</v>
      </c>
      <c r="AN211">
        <v>0</v>
      </c>
      <c r="AO211" t="b">
        <v>0</v>
      </c>
      <c r="AP211">
        <v>0</v>
      </c>
      <c r="AQ211">
        <v>92131.85</v>
      </c>
      <c r="AR211">
        <v>92131.85</v>
      </c>
      <c r="AS211">
        <v>6</v>
      </c>
      <c r="AT211" t="b">
        <v>0</v>
      </c>
      <c r="AU211" t="b">
        <v>1</v>
      </c>
      <c r="AV211" t="b">
        <v>1</v>
      </c>
      <c r="AW211" t="b">
        <v>1</v>
      </c>
      <c r="BC211" t="s">
        <v>374</v>
      </c>
    </row>
    <row r="212" spans="1:55" x14ac:dyDescent="0.2">
      <c r="A212" t="s">
        <v>39</v>
      </c>
      <c r="B212" t="s">
        <v>40</v>
      </c>
      <c r="C212">
        <v>20200101</v>
      </c>
      <c r="D212">
        <v>2020</v>
      </c>
      <c r="E212">
        <v>52</v>
      </c>
      <c r="F212" t="s">
        <v>309</v>
      </c>
      <c r="G212">
        <v>752</v>
      </c>
      <c r="H212" t="s">
        <v>275</v>
      </c>
      <c r="I212" t="s">
        <v>276</v>
      </c>
      <c r="J212" t="s">
        <v>44</v>
      </c>
      <c r="K212" t="s">
        <v>45</v>
      </c>
      <c r="L212">
        <v>0</v>
      </c>
      <c r="M212" t="s">
        <v>46</v>
      </c>
      <c r="N212" t="s">
        <v>47</v>
      </c>
      <c r="O212">
        <v>0</v>
      </c>
      <c r="P212" t="s">
        <v>46</v>
      </c>
      <c r="Q212" t="s">
        <v>47</v>
      </c>
      <c r="R212" t="s">
        <v>48</v>
      </c>
      <c r="S212" t="s">
        <v>49</v>
      </c>
      <c r="T212" t="b">
        <v>1</v>
      </c>
      <c r="U212" t="s">
        <v>50</v>
      </c>
      <c r="V212" t="s">
        <v>51</v>
      </c>
      <c r="W212">
        <v>4</v>
      </c>
      <c r="X212" t="b">
        <v>0</v>
      </c>
      <c r="Y212" t="s">
        <v>52</v>
      </c>
      <c r="Z212" t="s">
        <v>53</v>
      </c>
      <c r="AA212" t="s">
        <v>54</v>
      </c>
      <c r="AB212">
        <v>0</v>
      </c>
      <c r="AC212" t="s">
        <v>55</v>
      </c>
      <c r="AD212">
        <v>8</v>
      </c>
      <c r="AE212" t="s">
        <v>56</v>
      </c>
      <c r="AF212">
        <v>15903.054</v>
      </c>
      <c r="AG212" t="b">
        <v>1</v>
      </c>
      <c r="AH212">
        <v>-1</v>
      </c>
      <c r="AI212" t="s">
        <v>64</v>
      </c>
      <c r="AJ212">
        <v>0</v>
      </c>
      <c r="AK212" t="b">
        <v>0</v>
      </c>
      <c r="AL212">
        <v>15226.084000000001</v>
      </c>
      <c r="AM212" t="b">
        <v>1</v>
      </c>
      <c r="AN212">
        <v>0</v>
      </c>
      <c r="AO212" t="b">
        <v>0</v>
      </c>
      <c r="AP212">
        <v>0</v>
      </c>
      <c r="AQ212">
        <v>915406285.87600005</v>
      </c>
      <c r="AR212">
        <v>915406285.87600005</v>
      </c>
      <c r="AS212">
        <v>6</v>
      </c>
      <c r="AT212" t="b">
        <v>0</v>
      </c>
      <c r="AU212" t="b">
        <v>1</v>
      </c>
      <c r="AV212" t="b">
        <v>1</v>
      </c>
      <c r="AW212" t="b">
        <v>1</v>
      </c>
      <c r="BC212" t="s">
        <v>374</v>
      </c>
    </row>
    <row r="213" spans="1:55" x14ac:dyDescent="0.2">
      <c r="A213" t="s">
        <v>39</v>
      </c>
      <c r="B213" t="s">
        <v>40</v>
      </c>
      <c r="C213">
        <v>20200101</v>
      </c>
      <c r="D213">
        <v>2020</v>
      </c>
      <c r="E213">
        <v>52</v>
      </c>
      <c r="F213" t="s">
        <v>309</v>
      </c>
      <c r="G213">
        <v>764</v>
      </c>
      <c r="H213" t="s">
        <v>279</v>
      </c>
      <c r="I213" t="s">
        <v>280</v>
      </c>
      <c r="J213" t="s">
        <v>44</v>
      </c>
      <c r="K213" t="s">
        <v>45</v>
      </c>
      <c r="L213">
        <v>0</v>
      </c>
      <c r="M213" t="s">
        <v>46</v>
      </c>
      <c r="N213" t="s">
        <v>47</v>
      </c>
      <c r="O213">
        <v>0</v>
      </c>
      <c r="P213" t="s">
        <v>46</v>
      </c>
      <c r="Q213" t="s">
        <v>47</v>
      </c>
      <c r="R213" t="s">
        <v>48</v>
      </c>
      <c r="S213" t="s">
        <v>49</v>
      </c>
      <c r="T213" t="b">
        <v>1</v>
      </c>
      <c r="U213" t="s">
        <v>50</v>
      </c>
      <c r="V213" t="s">
        <v>51</v>
      </c>
      <c r="W213">
        <v>4</v>
      </c>
      <c r="X213" t="b">
        <v>0</v>
      </c>
      <c r="Y213" t="s">
        <v>52</v>
      </c>
      <c r="Z213" t="s">
        <v>53</v>
      </c>
      <c r="AA213" t="s">
        <v>54</v>
      </c>
      <c r="AB213">
        <v>0</v>
      </c>
      <c r="AC213" t="s">
        <v>55</v>
      </c>
      <c r="AD213">
        <v>-1</v>
      </c>
      <c r="AE213" t="s">
        <v>64</v>
      </c>
      <c r="AF213">
        <v>0</v>
      </c>
      <c r="AG213" t="b">
        <v>0</v>
      </c>
      <c r="AH213">
        <v>-1</v>
      </c>
      <c r="AI213" t="s">
        <v>64</v>
      </c>
      <c r="AJ213">
        <v>0</v>
      </c>
      <c r="AK213" t="b">
        <v>0</v>
      </c>
      <c r="AM213" t="b">
        <v>0</v>
      </c>
      <c r="AN213">
        <v>0</v>
      </c>
      <c r="AO213" t="b">
        <v>0</v>
      </c>
      <c r="AQ213">
        <v>13339920810.617001</v>
      </c>
      <c r="AR213">
        <v>13339920810.617001</v>
      </c>
      <c r="AS213">
        <v>0</v>
      </c>
      <c r="AT213" t="b">
        <v>0</v>
      </c>
      <c r="AU213" t="b">
        <v>1</v>
      </c>
      <c r="AV213" t="b">
        <v>1</v>
      </c>
      <c r="AW213" t="b">
        <v>1</v>
      </c>
      <c r="BC213" t="s">
        <v>374</v>
      </c>
    </row>
    <row r="214" spans="1:55" x14ac:dyDescent="0.2">
      <c r="A214" t="s">
        <v>39</v>
      </c>
      <c r="B214" t="s">
        <v>40</v>
      </c>
      <c r="C214">
        <v>20200101</v>
      </c>
      <c r="D214">
        <v>2020</v>
      </c>
      <c r="E214">
        <v>52</v>
      </c>
      <c r="F214" t="s">
        <v>309</v>
      </c>
      <c r="G214">
        <v>768</v>
      </c>
      <c r="H214" t="s">
        <v>281</v>
      </c>
      <c r="I214" t="s">
        <v>282</v>
      </c>
      <c r="J214" t="s">
        <v>44</v>
      </c>
      <c r="K214" t="s">
        <v>45</v>
      </c>
      <c r="L214">
        <v>0</v>
      </c>
      <c r="M214" t="s">
        <v>46</v>
      </c>
      <c r="N214" t="s">
        <v>47</v>
      </c>
      <c r="O214">
        <v>0</v>
      </c>
      <c r="P214" t="s">
        <v>46</v>
      </c>
      <c r="Q214" t="s">
        <v>47</v>
      </c>
      <c r="R214" t="s">
        <v>48</v>
      </c>
      <c r="S214" t="s">
        <v>49</v>
      </c>
      <c r="T214" t="b">
        <v>1</v>
      </c>
      <c r="U214" t="s">
        <v>50</v>
      </c>
      <c r="V214" t="s">
        <v>51</v>
      </c>
      <c r="W214">
        <v>4</v>
      </c>
      <c r="X214" t="b">
        <v>0</v>
      </c>
      <c r="Y214" t="s">
        <v>52</v>
      </c>
      <c r="Z214" t="s">
        <v>53</v>
      </c>
      <c r="AA214" t="s">
        <v>54</v>
      </c>
      <c r="AB214">
        <v>0</v>
      </c>
      <c r="AC214" t="s">
        <v>55</v>
      </c>
      <c r="AD214">
        <v>8</v>
      </c>
      <c r="AE214" t="s">
        <v>56</v>
      </c>
      <c r="AF214">
        <v>1</v>
      </c>
      <c r="AG214" t="b">
        <v>0</v>
      </c>
      <c r="AH214">
        <v>8</v>
      </c>
      <c r="AI214" t="s">
        <v>56</v>
      </c>
      <c r="AJ214">
        <v>1</v>
      </c>
      <c r="AK214" t="b">
        <v>0</v>
      </c>
      <c r="AL214">
        <v>1</v>
      </c>
      <c r="AM214" t="b">
        <v>0</v>
      </c>
      <c r="AN214">
        <v>0</v>
      </c>
      <c r="AO214" t="b">
        <v>0</v>
      </c>
      <c r="AQ214">
        <v>1738.35</v>
      </c>
      <c r="AR214">
        <v>1738.35</v>
      </c>
      <c r="AS214">
        <v>0</v>
      </c>
      <c r="AT214" t="b">
        <v>0</v>
      </c>
      <c r="AU214" t="b">
        <v>1</v>
      </c>
      <c r="AV214" t="b">
        <v>1</v>
      </c>
      <c r="AW214" t="b">
        <v>1</v>
      </c>
      <c r="BC214" t="s">
        <v>374</v>
      </c>
    </row>
    <row r="215" spans="1:55" x14ac:dyDescent="0.2">
      <c r="A215" t="s">
        <v>39</v>
      </c>
      <c r="B215" t="s">
        <v>40</v>
      </c>
      <c r="C215">
        <v>20200101</v>
      </c>
      <c r="D215">
        <v>2020</v>
      </c>
      <c r="E215">
        <v>52</v>
      </c>
      <c r="F215" t="s">
        <v>309</v>
      </c>
      <c r="G215">
        <v>780</v>
      </c>
      <c r="H215" t="s">
        <v>283</v>
      </c>
      <c r="I215" t="s">
        <v>284</v>
      </c>
      <c r="J215" t="s">
        <v>44</v>
      </c>
      <c r="K215" t="s">
        <v>45</v>
      </c>
      <c r="L215">
        <v>0</v>
      </c>
      <c r="M215" t="s">
        <v>46</v>
      </c>
      <c r="N215" t="s">
        <v>47</v>
      </c>
      <c r="O215">
        <v>0</v>
      </c>
      <c r="P215" t="s">
        <v>46</v>
      </c>
      <c r="Q215" t="s">
        <v>47</v>
      </c>
      <c r="R215" t="s">
        <v>95</v>
      </c>
      <c r="S215" t="s">
        <v>49</v>
      </c>
      <c r="T215" t="b">
        <v>1</v>
      </c>
      <c r="U215" t="s">
        <v>50</v>
      </c>
      <c r="V215" t="s">
        <v>51</v>
      </c>
      <c r="W215">
        <v>4</v>
      </c>
      <c r="X215" t="b">
        <v>0</v>
      </c>
      <c r="Y215" t="s">
        <v>52</v>
      </c>
      <c r="Z215" t="s">
        <v>53</v>
      </c>
      <c r="AA215" t="s">
        <v>54</v>
      </c>
      <c r="AB215">
        <v>0</v>
      </c>
      <c r="AC215" t="s">
        <v>55</v>
      </c>
      <c r="AD215">
        <v>8</v>
      </c>
      <c r="AE215" t="s">
        <v>56</v>
      </c>
      <c r="AF215">
        <v>1</v>
      </c>
      <c r="AG215" t="b">
        <v>0</v>
      </c>
      <c r="AH215">
        <v>8</v>
      </c>
      <c r="AI215" t="s">
        <v>56</v>
      </c>
      <c r="AJ215">
        <v>1</v>
      </c>
      <c r="AK215" t="b">
        <v>0</v>
      </c>
      <c r="AL215">
        <v>1</v>
      </c>
      <c r="AM215" t="b">
        <v>0</v>
      </c>
      <c r="AN215">
        <v>0</v>
      </c>
      <c r="AO215" t="b">
        <v>0</v>
      </c>
      <c r="AP215">
        <v>0</v>
      </c>
      <c r="AQ215">
        <v>34556.845000000001</v>
      </c>
      <c r="AR215">
        <v>34556.845000000001</v>
      </c>
      <c r="AS215">
        <v>0</v>
      </c>
      <c r="AT215" t="b">
        <v>0</v>
      </c>
      <c r="AU215" t="b">
        <v>1</v>
      </c>
      <c r="AV215" t="b">
        <v>1</v>
      </c>
      <c r="AW215" t="b">
        <v>1</v>
      </c>
      <c r="BC215" t="s">
        <v>374</v>
      </c>
    </row>
    <row r="216" spans="1:55" x14ac:dyDescent="0.2">
      <c r="A216" t="s">
        <v>39</v>
      </c>
      <c r="B216" t="s">
        <v>40</v>
      </c>
      <c r="C216">
        <v>20200101</v>
      </c>
      <c r="D216">
        <v>2020</v>
      </c>
      <c r="E216">
        <v>52</v>
      </c>
      <c r="F216" t="s">
        <v>309</v>
      </c>
      <c r="G216">
        <v>792</v>
      </c>
      <c r="H216" t="s">
        <v>287</v>
      </c>
      <c r="I216" t="s">
        <v>288</v>
      </c>
      <c r="J216" t="s">
        <v>44</v>
      </c>
      <c r="K216" t="s">
        <v>45</v>
      </c>
      <c r="L216">
        <v>0</v>
      </c>
      <c r="M216" t="s">
        <v>46</v>
      </c>
      <c r="N216" t="s">
        <v>47</v>
      </c>
      <c r="O216">
        <v>0</v>
      </c>
      <c r="P216" t="s">
        <v>46</v>
      </c>
      <c r="Q216" t="s">
        <v>47</v>
      </c>
      <c r="R216" t="s">
        <v>48</v>
      </c>
      <c r="S216" t="s">
        <v>49</v>
      </c>
      <c r="T216" t="b">
        <v>1</v>
      </c>
      <c r="U216" t="s">
        <v>50</v>
      </c>
      <c r="V216" t="s">
        <v>51</v>
      </c>
      <c r="W216">
        <v>4</v>
      </c>
      <c r="X216" t="b">
        <v>0</v>
      </c>
      <c r="Y216" t="s">
        <v>52</v>
      </c>
      <c r="Z216" t="s">
        <v>53</v>
      </c>
      <c r="AA216" t="s">
        <v>54</v>
      </c>
      <c r="AB216">
        <v>0</v>
      </c>
      <c r="AC216" t="s">
        <v>55</v>
      </c>
      <c r="AD216">
        <v>8</v>
      </c>
      <c r="AE216" t="s">
        <v>56</v>
      </c>
      <c r="AF216">
        <v>49663.095999999998</v>
      </c>
      <c r="AG216" t="b">
        <v>0</v>
      </c>
      <c r="AH216">
        <v>15</v>
      </c>
      <c r="AI216" t="s">
        <v>59</v>
      </c>
      <c r="AJ216">
        <v>49663096</v>
      </c>
      <c r="AK216" t="b">
        <v>0</v>
      </c>
      <c r="AL216">
        <v>0</v>
      </c>
      <c r="AM216" t="b">
        <v>0</v>
      </c>
      <c r="AN216">
        <v>0</v>
      </c>
      <c r="AO216" t="b">
        <v>0</v>
      </c>
      <c r="AP216">
        <v>0</v>
      </c>
      <c r="AQ216">
        <v>2779978131</v>
      </c>
      <c r="AR216">
        <v>2779978131</v>
      </c>
      <c r="AS216">
        <v>0</v>
      </c>
      <c r="AT216" t="b">
        <v>0</v>
      </c>
      <c r="AU216" t="b">
        <v>1</v>
      </c>
      <c r="AV216" t="b">
        <v>1</v>
      </c>
      <c r="AW216" t="b">
        <v>1</v>
      </c>
      <c r="BC216" t="s">
        <v>374</v>
      </c>
    </row>
    <row r="217" spans="1:55" x14ac:dyDescent="0.2">
      <c r="A217" t="s">
        <v>39</v>
      </c>
      <c r="B217" t="s">
        <v>40</v>
      </c>
      <c r="C217">
        <v>20200101</v>
      </c>
      <c r="D217">
        <v>2020</v>
      </c>
      <c r="E217">
        <v>52</v>
      </c>
      <c r="F217" t="s">
        <v>309</v>
      </c>
      <c r="G217">
        <v>800</v>
      </c>
      <c r="H217" t="s">
        <v>289</v>
      </c>
      <c r="I217" t="s">
        <v>290</v>
      </c>
      <c r="J217" t="s">
        <v>44</v>
      </c>
      <c r="K217" t="s">
        <v>45</v>
      </c>
      <c r="L217">
        <v>0</v>
      </c>
      <c r="M217" t="s">
        <v>46</v>
      </c>
      <c r="N217" t="s">
        <v>47</v>
      </c>
      <c r="O217">
        <v>0</v>
      </c>
      <c r="P217" t="s">
        <v>46</v>
      </c>
      <c r="Q217" t="s">
        <v>47</v>
      </c>
      <c r="R217" t="s">
        <v>48</v>
      </c>
      <c r="S217" t="s">
        <v>49</v>
      </c>
      <c r="T217" t="b">
        <v>1</v>
      </c>
      <c r="U217" t="s">
        <v>50</v>
      </c>
      <c r="V217" t="s">
        <v>51</v>
      </c>
      <c r="W217">
        <v>4</v>
      </c>
      <c r="X217" t="b">
        <v>0</v>
      </c>
      <c r="Y217" t="s">
        <v>52</v>
      </c>
      <c r="Z217" t="s">
        <v>53</v>
      </c>
      <c r="AA217" t="s">
        <v>54</v>
      </c>
      <c r="AB217">
        <v>0</v>
      </c>
      <c r="AC217" t="s">
        <v>55</v>
      </c>
      <c r="AD217">
        <v>-1</v>
      </c>
      <c r="AE217" t="s">
        <v>64</v>
      </c>
      <c r="AF217">
        <v>0</v>
      </c>
      <c r="AG217" t="b">
        <v>1</v>
      </c>
      <c r="AH217">
        <v>-1</v>
      </c>
      <c r="AI217" t="s">
        <v>64</v>
      </c>
      <c r="AJ217">
        <v>0</v>
      </c>
      <c r="AK217" t="b">
        <v>0</v>
      </c>
      <c r="AL217">
        <v>0</v>
      </c>
      <c r="AM217" t="b">
        <v>1</v>
      </c>
      <c r="AN217">
        <v>0</v>
      </c>
      <c r="AO217" t="b">
        <v>0</v>
      </c>
      <c r="AP217">
        <v>0</v>
      </c>
      <c r="AQ217">
        <v>1818003348</v>
      </c>
      <c r="AR217">
        <v>1818003348</v>
      </c>
      <c r="AS217">
        <v>6</v>
      </c>
      <c r="AT217" t="b">
        <v>0</v>
      </c>
      <c r="AU217" t="b">
        <v>1</v>
      </c>
      <c r="AV217" t="b">
        <v>1</v>
      </c>
      <c r="AW217" t="b">
        <v>1</v>
      </c>
      <c r="BC217" t="s">
        <v>374</v>
      </c>
    </row>
    <row r="218" spans="1:55" x14ac:dyDescent="0.2">
      <c r="A218" t="s">
        <v>39</v>
      </c>
      <c r="B218" t="s">
        <v>40</v>
      </c>
      <c r="C218">
        <v>20200101</v>
      </c>
      <c r="D218">
        <v>2020</v>
      </c>
      <c r="E218">
        <v>52</v>
      </c>
      <c r="F218" t="s">
        <v>309</v>
      </c>
      <c r="G218">
        <v>804</v>
      </c>
      <c r="H218" t="s">
        <v>291</v>
      </c>
      <c r="I218" t="s">
        <v>292</v>
      </c>
      <c r="J218" t="s">
        <v>44</v>
      </c>
      <c r="K218" t="s">
        <v>45</v>
      </c>
      <c r="L218">
        <v>0</v>
      </c>
      <c r="M218" t="s">
        <v>46</v>
      </c>
      <c r="N218" t="s">
        <v>47</v>
      </c>
      <c r="O218">
        <v>0</v>
      </c>
      <c r="P218" t="s">
        <v>46</v>
      </c>
      <c r="Q218" t="s">
        <v>47</v>
      </c>
      <c r="R218" t="s">
        <v>48</v>
      </c>
      <c r="S218" t="s">
        <v>49</v>
      </c>
      <c r="T218" t="b">
        <v>1</v>
      </c>
      <c r="U218" t="s">
        <v>50</v>
      </c>
      <c r="V218" t="s">
        <v>51</v>
      </c>
      <c r="W218">
        <v>4</v>
      </c>
      <c r="X218" t="b">
        <v>0</v>
      </c>
      <c r="Y218" t="s">
        <v>52</v>
      </c>
      <c r="Z218" t="s">
        <v>53</v>
      </c>
      <c r="AA218" t="s">
        <v>54</v>
      </c>
      <c r="AB218">
        <v>0</v>
      </c>
      <c r="AC218" t="s">
        <v>55</v>
      </c>
      <c r="AD218">
        <v>8</v>
      </c>
      <c r="AE218" t="s">
        <v>56</v>
      </c>
      <c r="AF218">
        <v>679.05799999999999</v>
      </c>
      <c r="AG218" t="b">
        <v>0</v>
      </c>
      <c r="AH218">
        <v>15</v>
      </c>
      <c r="AI218" t="s">
        <v>59</v>
      </c>
      <c r="AJ218">
        <v>679057.81</v>
      </c>
      <c r="AK218" t="b">
        <v>0</v>
      </c>
      <c r="AL218">
        <v>689.06600000000003</v>
      </c>
      <c r="AM218" t="b">
        <v>0</v>
      </c>
      <c r="AN218">
        <v>0</v>
      </c>
      <c r="AO218" t="b">
        <v>0</v>
      </c>
      <c r="AP218">
        <v>0</v>
      </c>
      <c r="AQ218">
        <v>40392231.490000002</v>
      </c>
      <c r="AR218">
        <v>40392231.490000002</v>
      </c>
      <c r="AS218">
        <v>0</v>
      </c>
      <c r="AT218" t="b">
        <v>0</v>
      </c>
      <c r="AU218" t="b">
        <v>1</v>
      </c>
      <c r="AV218" t="b">
        <v>1</v>
      </c>
      <c r="AW218" t="b">
        <v>1</v>
      </c>
      <c r="BC218" t="s">
        <v>374</v>
      </c>
    </row>
    <row r="219" spans="1:55" x14ac:dyDescent="0.2">
      <c r="A219" t="s">
        <v>39</v>
      </c>
      <c r="B219" t="s">
        <v>40</v>
      </c>
      <c r="C219">
        <v>20200101</v>
      </c>
      <c r="D219">
        <v>2020</v>
      </c>
      <c r="E219">
        <v>52</v>
      </c>
      <c r="F219" t="s">
        <v>309</v>
      </c>
      <c r="G219">
        <v>807</v>
      </c>
      <c r="H219" t="s">
        <v>331</v>
      </c>
      <c r="I219" t="s">
        <v>332</v>
      </c>
      <c r="J219" t="s">
        <v>44</v>
      </c>
      <c r="K219" t="s">
        <v>45</v>
      </c>
      <c r="L219">
        <v>0</v>
      </c>
      <c r="M219" t="s">
        <v>46</v>
      </c>
      <c r="N219" t="s">
        <v>47</v>
      </c>
      <c r="O219">
        <v>0</v>
      </c>
      <c r="P219" t="s">
        <v>46</v>
      </c>
      <c r="Q219" t="s">
        <v>47</v>
      </c>
      <c r="R219" t="s">
        <v>48</v>
      </c>
      <c r="S219" t="s">
        <v>49</v>
      </c>
      <c r="T219" t="b">
        <v>1</v>
      </c>
      <c r="U219" t="s">
        <v>50</v>
      </c>
      <c r="V219" t="s">
        <v>51</v>
      </c>
      <c r="W219">
        <v>4</v>
      </c>
      <c r="X219" t="b">
        <v>0</v>
      </c>
      <c r="Y219" t="s">
        <v>52</v>
      </c>
      <c r="Z219" t="s">
        <v>53</v>
      </c>
      <c r="AA219" t="s">
        <v>54</v>
      </c>
      <c r="AB219">
        <v>0</v>
      </c>
      <c r="AC219" t="s">
        <v>55</v>
      </c>
      <c r="AD219">
        <v>8</v>
      </c>
      <c r="AE219" t="s">
        <v>56</v>
      </c>
      <c r="AF219">
        <v>59.436999999999998</v>
      </c>
      <c r="AG219" t="b">
        <v>0</v>
      </c>
      <c r="AH219">
        <v>15</v>
      </c>
      <c r="AI219" t="s">
        <v>59</v>
      </c>
      <c r="AJ219">
        <v>59437</v>
      </c>
      <c r="AK219" t="b">
        <v>0</v>
      </c>
      <c r="AL219">
        <v>60</v>
      </c>
      <c r="AM219" t="b">
        <v>0</v>
      </c>
      <c r="AN219">
        <v>0</v>
      </c>
      <c r="AO219" t="b">
        <v>0</v>
      </c>
      <c r="AP219">
        <v>0</v>
      </c>
      <c r="AQ219">
        <v>831099.32</v>
      </c>
      <c r="AR219">
        <v>831099.32</v>
      </c>
      <c r="AS219">
        <v>0</v>
      </c>
      <c r="AT219" t="b">
        <v>0</v>
      </c>
      <c r="AU219" t="b">
        <v>1</v>
      </c>
      <c r="AV219" t="b">
        <v>1</v>
      </c>
      <c r="AW219" t="b">
        <v>1</v>
      </c>
      <c r="BC219" t="s">
        <v>374</v>
      </c>
    </row>
    <row r="220" spans="1:55" x14ac:dyDescent="0.2">
      <c r="A220" t="s">
        <v>39</v>
      </c>
      <c r="B220" t="s">
        <v>40</v>
      </c>
      <c r="C220">
        <v>20200101</v>
      </c>
      <c r="D220">
        <v>2020</v>
      </c>
      <c r="E220">
        <v>52</v>
      </c>
      <c r="F220" t="s">
        <v>309</v>
      </c>
      <c r="G220">
        <v>818</v>
      </c>
      <c r="H220" t="s">
        <v>293</v>
      </c>
      <c r="I220" t="s">
        <v>294</v>
      </c>
      <c r="J220" t="s">
        <v>44</v>
      </c>
      <c r="K220" t="s">
        <v>45</v>
      </c>
      <c r="L220">
        <v>0</v>
      </c>
      <c r="M220" t="s">
        <v>46</v>
      </c>
      <c r="N220" t="s">
        <v>47</v>
      </c>
      <c r="O220">
        <v>0</v>
      </c>
      <c r="P220" t="s">
        <v>46</v>
      </c>
      <c r="Q220" t="s">
        <v>47</v>
      </c>
      <c r="R220" t="s">
        <v>95</v>
      </c>
      <c r="S220" t="s">
        <v>49</v>
      </c>
      <c r="T220" t="b">
        <v>1</v>
      </c>
      <c r="U220" t="s">
        <v>50</v>
      </c>
      <c r="V220" t="s">
        <v>51</v>
      </c>
      <c r="W220">
        <v>4</v>
      </c>
      <c r="X220" t="b">
        <v>0</v>
      </c>
      <c r="Y220" t="s">
        <v>52</v>
      </c>
      <c r="Z220" t="s">
        <v>53</v>
      </c>
      <c r="AA220" t="s">
        <v>54</v>
      </c>
      <c r="AB220">
        <v>0</v>
      </c>
      <c r="AC220" t="s">
        <v>55</v>
      </c>
      <c r="AD220">
        <v>8</v>
      </c>
      <c r="AE220" t="s">
        <v>56</v>
      </c>
      <c r="AF220">
        <v>55118.506000000001</v>
      </c>
      <c r="AG220" t="b">
        <v>1</v>
      </c>
      <c r="AH220">
        <v>-1</v>
      </c>
      <c r="AI220" t="s">
        <v>64</v>
      </c>
      <c r="AJ220">
        <v>0</v>
      </c>
      <c r="AK220" t="b">
        <v>0</v>
      </c>
      <c r="AL220">
        <v>55118.506000000001</v>
      </c>
      <c r="AM220" t="b">
        <v>1</v>
      </c>
      <c r="AN220">
        <v>0</v>
      </c>
      <c r="AO220" t="b">
        <v>0</v>
      </c>
      <c r="AQ220">
        <v>2975781468.7519999</v>
      </c>
      <c r="AR220">
        <v>2975781468.7519999</v>
      </c>
      <c r="AS220">
        <v>6</v>
      </c>
      <c r="AT220" t="b">
        <v>0</v>
      </c>
      <c r="AU220" t="b">
        <v>1</v>
      </c>
      <c r="AV220" t="b">
        <v>1</v>
      </c>
      <c r="AW220" t="b">
        <v>1</v>
      </c>
      <c r="BC220" t="s">
        <v>374</v>
      </c>
    </row>
    <row r="221" spans="1:55" x14ac:dyDescent="0.2">
      <c r="A221" t="s">
        <v>39</v>
      </c>
      <c r="B221" t="s">
        <v>40</v>
      </c>
      <c r="C221">
        <v>20200101</v>
      </c>
      <c r="D221">
        <v>2020</v>
      </c>
      <c r="E221">
        <v>52</v>
      </c>
      <c r="F221" t="s">
        <v>309</v>
      </c>
      <c r="G221">
        <v>854</v>
      </c>
      <c r="H221" t="s">
        <v>300</v>
      </c>
      <c r="I221" t="s">
        <v>301</v>
      </c>
      <c r="J221" t="s">
        <v>44</v>
      </c>
      <c r="K221" t="s">
        <v>45</v>
      </c>
      <c r="L221">
        <v>0</v>
      </c>
      <c r="M221" t="s">
        <v>46</v>
      </c>
      <c r="N221" t="s">
        <v>47</v>
      </c>
      <c r="O221">
        <v>0</v>
      </c>
      <c r="P221" t="s">
        <v>46</v>
      </c>
      <c r="Q221" t="s">
        <v>47</v>
      </c>
      <c r="R221" t="s">
        <v>48</v>
      </c>
      <c r="S221" t="s">
        <v>49</v>
      </c>
      <c r="T221" t="b">
        <v>1</v>
      </c>
      <c r="U221" t="s">
        <v>50</v>
      </c>
      <c r="V221" t="s">
        <v>51</v>
      </c>
      <c r="W221">
        <v>4</v>
      </c>
      <c r="X221" t="b">
        <v>0</v>
      </c>
      <c r="Y221" t="s">
        <v>52</v>
      </c>
      <c r="Z221" t="s">
        <v>53</v>
      </c>
      <c r="AA221" t="s">
        <v>54</v>
      </c>
      <c r="AB221">
        <v>0</v>
      </c>
      <c r="AC221" t="s">
        <v>55</v>
      </c>
      <c r="AD221">
        <v>8</v>
      </c>
      <c r="AE221" t="s">
        <v>56</v>
      </c>
      <c r="AF221">
        <v>62672</v>
      </c>
      <c r="AG221" t="b">
        <v>0</v>
      </c>
      <c r="AH221">
        <v>8</v>
      </c>
      <c r="AI221" t="s">
        <v>56</v>
      </c>
      <c r="AJ221">
        <v>62672</v>
      </c>
      <c r="AK221" t="b">
        <v>0</v>
      </c>
      <c r="AL221">
        <v>62672</v>
      </c>
      <c r="AM221" t="b">
        <v>0</v>
      </c>
      <c r="AN221">
        <v>0</v>
      </c>
      <c r="AO221" t="b">
        <v>0</v>
      </c>
      <c r="AP221">
        <v>0</v>
      </c>
      <c r="AQ221">
        <v>3562910877.0469999</v>
      </c>
      <c r="AR221">
        <v>3562910877.0469999</v>
      </c>
      <c r="AS221">
        <v>0</v>
      </c>
      <c r="AT221" t="b">
        <v>0</v>
      </c>
      <c r="AU221" t="b">
        <v>1</v>
      </c>
      <c r="AV221" t="b">
        <v>1</v>
      </c>
      <c r="AW221" t="b">
        <v>1</v>
      </c>
      <c r="BC221" t="s">
        <v>374</v>
      </c>
    </row>
    <row r="222" spans="1:55" x14ac:dyDescent="0.2">
      <c r="A222" t="s">
        <v>39</v>
      </c>
      <c r="B222" t="s">
        <v>40</v>
      </c>
      <c r="C222">
        <v>20200101</v>
      </c>
      <c r="D222">
        <v>2020</v>
      </c>
      <c r="E222">
        <v>52</v>
      </c>
      <c r="F222" t="s">
        <v>309</v>
      </c>
      <c r="G222">
        <v>858</v>
      </c>
      <c r="H222" t="s">
        <v>302</v>
      </c>
      <c r="I222" t="s">
        <v>303</v>
      </c>
      <c r="J222" t="s">
        <v>44</v>
      </c>
      <c r="K222" t="s">
        <v>45</v>
      </c>
      <c r="L222">
        <v>0</v>
      </c>
      <c r="M222" t="s">
        <v>46</v>
      </c>
      <c r="N222" t="s">
        <v>47</v>
      </c>
      <c r="O222">
        <v>0</v>
      </c>
      <c r="P222" t="s">
        <v>46</v>
      </c>
      <c r="Q222" t="s">
        <v>47</v>
      </c>
      <c r="R222" t="s">
        <v>48</v>
      </c>
      <c r="S222" t="s">
        <v>49</v>
      </c>
      <c r="T222" t="b">
        <v>1</v>
      </c>
      <c r="U222" t="s">
        <v>50</v>
      </c>
      <c r="V222" t="s">
        <v>51</v>
      </c>
      <c r="W222">
        <v>4</v>
      </c>
      <c r="X222" t="b">
        <v>0</v>
      </c>
      <c r="Y222" t="s">
        <v>52</v>
      </c>
      <c r="Z222" t="s">
        <v>53</v>
      </c>
      <c r="AA222" t="s">
        <v>54</v>
      </c>
      <c r="AB222">
        <v>0</v>
      </c>
      <c r="AC222" t="s">
        <v>55</v>
      </c>
      <c r="AD222">
        <v>8</v>
      </c>
      <c r="AE222" t="s">
        <v>56</v>
      </c>
      <c r="AF222">
        <v>6.98</v>
      </c>
      <c r="AG222" t="b">
        <v>0</v>
      </c>
      <c r="AH222">
        <v>8</v>
      </c>
      <c r="AI222" t="s">
        <v>56</v>
      </c>
      <c r="AJ222">
        <v>6.98</v>
      </c>
      <c r="AK222" t="b">
        <v>0</v>
      </c>
      <c r="AL222">
        <v>6.98</v>
      </c>
      <c r="AM222" t="b">
        <v>0</v>
      </c>
      <c r="AN222">
        <v>0</v>
      </c>
      <c r="AO222" t="b">
        <v>0</v>
      </c>
      <c r="AQ222">
        <v>408331</v>
      </c>
      <c r="AR222">
        <v>408331</v>
      </c>
      <c r="AS222">
        <v>0</v>
      </c>
      <c r="AT222" t="b">
        <v>0</v>
      </c>
      <c r="AU222" t="b">
        <v>1</v>
      </c>
      <c r="AV222" t="b">
        <v>1</v>
      </c>
      <c r="AW222" t="b">
        <v>1</v>
      </c>
      <c r="BC222" t="s">
        <v>374</v>
      </c>
    </row>
    <row r="223" spans="1:55" x14ac:dyDescent="0.2">
      <c r="A223" t="s">
        <v>39</v>
      </c>
      <c r="B223" t="s">
        <v>40</v>
      </c>
      <c r="C223">
        <v>20200101</v>
      </c>
      <c r="D223">
        <v>2020</v>
      </c>
      <c r="E223">
        <v>52</v>
      </c>
      <c r="F223" t="s">
        <v>309</v>
      </c>
      <c r="G223">
        <v>894</v>
      </c>
      <c r="H223" t="s">
        <v>307</v>
      </c>
      <c r="I223" t="s">
        <v>308</v>
      </c>
      <c r="J223" t="s">
        <v>44</v>
      </c>
      <c r="K223" t="s">
        <v>45</v>
      </c>
      <c r="L223">
        <v>0</v>
      </c>
      <c r="M223" t="s">
        <v>46</v>
      </c>
      <c r="N223" t="s">
        <v>47</v>
      </c>
      <c r="O223">
        <v>0</v>
      </c>
      <c r="P223" t="s">
        <v>46</v>
      </c>
      <c r="Q223" t="s">
        <v>47</v>
      </c>
      <c r="R223" t="s">
        <v>48</v>
      </c>
      <c r="S223" t="s">
        <v>49</v>
      </c>
      <c r="T223" t="b">
        <v>1</v>
      </c>
      <c r="U223" t="s">
        <v>50</v>
      </c>
      <c r="V223" t="s">
        <v>51</v>
      </c>
      <c r="W223">
        <v>4</v>
      </c>
      <c r="X223" t="b">
        <v>0</v>
      </c>
      <c r="Y223" t="s">
        <v>52</v>
      </c>
      <c r="Z223" t="s">
        <v>53</v>
      </c>
      <c r="AA223" t="s">
        <v>54</v>
      </c>
      <c r="AB223">
        <v>0</v>
      </c>
      <c r="AC223" t="s">
        <v>55</v>
      </c>
      <c r="AD223">
        <v>-1</v>
      </c>
      <c r="AE223" t="s">
        <v>64</v>
      </c>
      <c r="AF223">
        <v>0</v>
      </c>
      <c r="AG223" t="b">
        <v>0</v>
      </c>
      <c r="AH223">
        <v>-1</v>
      </c>
      <c r="AI223" t="s">
        <v>64</v>
      </c>
      <c r="AJ223">
        <v>0</v>
      </c>
      <c r="AK223" t="b">
        <v>0</v>
      </c>
      <c r="AM223" t="b">
        <v>0</v>
      </c>
      <c r="AN223">
        <v>0</v>
      </c>
      <c r="AO223" t="b">
        <v>0</v>
      </c>
      <c r="AQ223">
        <v>69627676.947999999</v>
      </c>
      <c r="AR223">
        <v>69627676.947999999</v>
      </c>
      <c r="AS223">
        <v>0</v>
      </c>
      <c r="AT223" t="b">
        <v>0</v>
      </c>
      <c r="AU223" t="b">
        <v>1</v>
      </c>
      <c r="AV223" t="b">
        <v>1</v>
      </c>
      <c r="AW223" t="b">
        <v>1</v>
      </c>
      <c r="BC223" t="s">
        <v>374</v>
      </c>
    </row>
    <row r="224" spans="1:55" x14ac:dyDescent="0.2">
      <c r="A224" t="s">
        <v>39</v>
      </c>
      <c r="B224" t="s">
        <v>40</v>
      </c>
      <c r="C224">
        <v>20210101</v>
      </c>
      <c r="D224">
        <v>2021</v>
      </c>
      <c r="E224">
        <v>52</v>
      </c>
      <c r="F224" t="s">
        <v>333</v>
      </c>
      <c r="G224">
        <v>20</v>
      </c>
      <c r="H224" t="s">
        <v>42</v>
      </c>
      <c r="I224" t="s">
        <v>43</v>
      </c>
      <c r="J224" t="s">
        <v>44</v>
      </c>
      <c r="K224" t="s">
        <v>45</v>
      </c>
      <c r="L224">
        <v>0</v>
      </c>
      <c r="M224" t="s">
        <v>46</v>
      </c>
      <c r="N224" t="s">
        <v>47</v>
      </c>
      <c r="O224">
        <v>0</v>
      </c>
      <c r="P224" t="s">
        <v>46</v>
      </c>
      <c r="Q224" t="s">
        <v>47</v>
      </c>
      <c r="R224" t="s">
        <v>48</v>
      </c>
      <c r="S224" t="s">
        <v>49</v>
      </c>
      <c r="T224" t="b">
        <v>1</v>
      </c>
      <c r="U224" t="s">
        <v>50</v>
      </c>
      <c r="V224" t="s">
        <v>51</v>
      </c>
      <c r="W224">
        <v>4</v>
      </c>
      <c r="X224" t="b">
        <v>0</v>
      </c>
      <c r="Y224" t="s">
        <v>52</v>
      </c>
      <c r="Z224" t="s">
        <v>53</v>
      </c>
      <c r="AA224" t="s">
        <v>54</v>
      </c>
      <c r="AB224">
        <v>0</v>
      </c>
      <c r="AC224" t="s">
        <v>55</v>
      </c>
      <c r="AD224">
        <v>8</v>
      </c>
      <c r="AE224" t="s">
        <v>56</v>
      </c>
      <c r="AF224">
        <v>129.59</v>
      </c>
      <c r="AG224" t="b">
        <v>0</v>
      </c>
      <c r="AH224">
        <v>8</v>
      </c>
      <c r="AI224" t="s">
        <v>56</v>
      </c>
      <c r="AJ224">
        <v>129.59</v>
      </c>
      <c r="AK224" t="b">
        <v>0</v>
      </c>
      <c r="AL224">
        <v>129.59</v>
      </c>
      <c r="AM224" t="b">
        <v>0</v>
      </c>
      <c r="AN224">
        <v>0</v>
      </c>
      <c r="AO224" t="b">
        <v>0</v>
      </c>
      <c r="AQ224">
        <v>6606804.0329999998</v>
      </c>
      <c r="AR224">
        <v>6606804.0329999998</v>
      </c>
      <c r="AS224">
        <v>0</v>
      </c>
      <c r="AT224" t="b">
        <v>0</v>
      </c>
      <c r="AU224" t="b">
        <v>1</v>
      </c>
      <c r="AV224" t="b">
        <v>1</v>
      </c>
      <c r="AW224" t="b">
        <v>1</v>
      </c>
      <c r="BC224" t="s">
        <v>374</v>
      </c>
    </row>
    <row r="225" spans="1:55" x14ac:dyDescent="0.2">
      <c r="A225" t="s">
        <v>39</v>
      </c>
      <c r="B225" t="s">
        <v>40</v>
      </c>
      <c r="C225">
        <v>20210101</v>
      </c>
      <c r="D225">
        <v>2021</v>
      </c>
      <c r="E225">
        <v>52</v>
      </c>
      <c r="F225" t="s">
        <v>333</v>
      </c>
      <c r="G225">
        <v>24</v>
      </c>
      <c r="H225" t="s">
        <v>334</v>
      </c>
      <c r="I225" t="s">
        <v>335</v>
      </c>
      <c r="J225" t="s">
        <v>44</v>
      </c>
      <c r="K225" t="s">
        <v>45</v>
      </c>
      <c r="L225">
        <v>0</v>
      </c>
      <c r="M225" t="s">
        <v>46</v>
      </c>
      <c r="N225" t="s">
        <v>47</v>
      </c>
      <c r="O225">
        <v>0</v>
      </c>
      <c r="P225" t="s">
        <v>46</v>
      </c>
      <c r="Q225" t="s">
        <v>47</v>
      </c>
      <c r="R225" t="s">
        <v>48</v>
      </c>
      <c r="S225" t="s">
        <v>49</v>
      </c>
      <c r="T225" t="b">
        <v>1</v>
      </c>
      <c r="U225" t="s">
        <v>50</v>
      </c>
      <c r="V225" t="s">
        <v>51</v>
      </c>
      <c r="W225">
        <v>4</v>
      </c>
      <c r="X225" t="b">
        <v>0</v>
      </c>
      <c r="Y225" t="s">
        <v>52</v>
      </c>
      <c r="Z225" t="s">
        <v>53</v>
      </c>
      <c r="AA225" t="s">
        <v>54</v>
      </c>
      <c r="AB225">
        <v>0</v>
      </c>
      <c r="AC225" t="s">
        <v>55</v>
      </c>
      <c r="AD225">
        <v>8</v>
      </c>
      <c r="AE225" t="s">
        <v>56</v>
      </c>
      <c r="AF225">
        <v>69.539000000000001</v>
      </c>
      <c r="AG225" t="b">
        <v>0</v>
      </c>
      <c r="AH225">
        <v>8</v>
      </c>
      <c r="AI225" t="s">
        <v>56</v>
      </c>
      <c r="AJ225">
        <v>69.539000000000001</v>
      </c>
      <c r="AK225" t="b">
        <v>0</v>
      </c>
      <c r="AL225">
        <v>69.539000000000001</v>
      </c>
      <c r="AM225" t="b">
        <v>0</v>
      </c>
      <c r="AN225">
        <v>0</v>
      </c>
      <c r="AO225" t="b">
        <v>0</v>
      </c>
      <c r="AQ225">
        <v>3058992.7740000002</v>
      </c>
      <c r="AR225">
        <v>3058992.7740000002</v>
      </c>
      <c r="AS225">
        <v>0</v>
      </c>
      <c r="AT225" t="b">
        <v>0</v>
      </c>
      <c r="AU225" t="b">
        <v>1</v>
      </c>
      <c r="AV225" t="b">
        <v>1</v>
      </c>
      <c r="AW225" t="b">
        <v>1</v>
      </c>
      <c r="BC225" t="s">
        <v>374</v>
      </c>
    </row>
    <row r="226" spans="1:55" x14ac:dyDescent="0.2">
      <c r="A226" t="s">
        <v>39</v>
      </c>
      <c r="B226" t="s">
        <v>40</v>
      </c>
      <c r="C226">
        <v>20210101</v>
      </c>
      <c r="D226">
        <v>2021</v>
      </c>
      <c r="E226">
        <v>52</v>
      </c>
      <c r="F226" t="s">
        <v>333</v>
      </c>
      <c r="G226">
        <v>31</v>
      </c>
      <c r="H226" t="s">
        <v>57</v>
      </c>
      <c r="I226" t="s">
        <v>58</v>
      </c>
      <c r="J226" t="s">
        <v>44</v>
      </c>
      <c r="K226" t="s">
        <v>45</v>
      </c>
      <c r="L226">
        <v>0</v>
      </c>
      <c r="M226" t="s">
        <v>46</v>
      </c>
      <c r="N226" t="s">
        <v>47</v>
      </c>
      <c r="O226">
        <v>0</v>
      </c>
      <c r="P226" t="s">
        <v>46</v>
      </c>
      <c r="Q226" t="s">
        <v>47</v>
      </c>
      <c r="R226" t="s">
        <v>48</v>
      </c>
      <c r="S226" t="s">
        <v>49</v>
      </c>
      <c r="T226" t="b">
        <v>1</v>
      </c>
      <c r="U226" t="s">
        <v>50</v>
      </c>
      <c r="V226" t="s">
        <v>51</v>
      </c>
      <c r="W226">
        <v>4</v>
      </c>
      <c r="X226" t="b">
        <v>0</v>
      </c>
      <c r="Y226" t="s">
        <v>52</v>
      </c>
      <c r="Z226" t="s">
        <v>53</v>
      </c>
      <c r="AA226" t="s">
        <v>54</v>
      </c>
      <c r="AB226">
        <v>0</v>
      </c>
      <c r="AC226" t="s">
        <v>55</v>
      </c>
      <c r="AD226">
        <v>8</v>
      </c>
      <c r="AE226" t="s">
        <v>56</v>
      </c>
      <c r="AF226">
        <v>6083.6</v>
      </c>
      <c r="AG226" t="b">
        <v>0</v>
      </c>
      <c r="AH226">
        <v>15</v>
      </c>
      <c r="AI226" t="s">
        <v>59</v>
      </c>
      <c r="AJ226">
        <v>6083600</v>
      </c>
      <c r="AK226" t="b">
        <v>0</v>
      </c>
      <c r="AL226">
        <v>6083.6</v>
      </c>
      <c r="AM226" t="b">
        <v>0</v>
      </c>
      <c r="AN226">
        <v>0</v>
      </c>
      <c r="AO226" t="b">
        <v>0</v>
      </c>
      <c r="AQ226">
        <v>202642257</v>
      </c>
      <c r="AR226">
        <v>202642257</v>
      </c>
      <c r="AS226">
        <v>0</v>
      </c>
      <c r="AT226" t="b">
        <v>0</v>
      </c>
      <c r="AU226" t="b">
        <v>1</v>
      </c>
      <c r="AV226" t="b">
        <v>1</v>
      </c>
      <c r="AW226" t="b">
        <v>1</v>
      </c>
      <c r="BC226" t="s">
        <v>374</v>
      </c>
    </row>
    <row r="227" spans="1:55" x14ac:dyDescent="0.2">
      <c r="A227" t="s">
        <v>39</v>
      </c>
      <c r="B227" t="s">
        <v>40</v>
      </c>
      <c r="C227">
        <v>20210101</v>
      </c>
      <c r="D227">
        <v>2021</v>
      </c>
      <c r="E227">
        <v>52</v>
      </c>
      <c r="F227" t="s">
        <v>333</v>
      </c>
      <c r="G227">
        <v>40</v>
      </c>
      <c r="H227" t="s">
        <v>65</v>
      </c>
      <c r="I227" t="s">
        <v>66</v>
      </c>
      <c r="J227" t="s">
        <v>44</v>
      </c>
      <c r="K227" t="s">
        <v>45</v>
      </c>
      <c r="L227">
        <v>0</v>
      </c>
      <c r="M227" t="s">
        <v>46</v>
      </c>
      <c r="N227" t="s">
        <v>47</v>
      </c>
      <c r="O227">
        <v>0</v>
      </c>
      <c r="P227" t="s">
        <v>46</v>
      </c>
      <c r="Q227" t="s">
        <v>47</v>
      </c>
      <c r="R227" t="s">
        <v>48</v>
      </c>
      <c r="S227" t="s">
        <v>49</v>
      </c>
      <c r="T227" t="b">
        <v>1</v>
      </c>
      <c r="U227" t="s">
        <v>50</v>
      </c>
      <c r="V227" t="s">
        <v>51</v>
      </c>
      <c r="W227">
        <v>4</v>
      </c>
      <c r="X227" t="b">
        <v>0</v>
      </c>
      <c r="Y227" t="s">
        <v>52</v>
      </c>
      <c r="Z227" t="s">
        <v>53</v>
      </c>
      <c r="AA227" t="s">
        <v>54</v>
      </c>
      <c r="AB227">
        <v>0</v>
      </c>
      <c r="AC227" t="s">
        <v>55</v>
      </c>
      <c r="AD227">
        <v>8</v>
      </c>
      <c r="AE227" t="s">
        <v>56</v>
      </c>
      <c r="AF227">
        <v>34081.228999999999</v>
      </c>
      <c r="AG227" t="b">
        <v>1</v>
      </c>
      <c r="AH227">
        <v>-1</v>
      </c>
      <c r="AI227" t="s">
        <v>64</v>
      </c>
      <c r="AJ227">
        <v>0</v>
      </c>
      <c r="AK227" t="b">
        <v>0</v>
      </c>
      <c r="AL227">
        <v>34081.228999999999</v>
      </c>
      <c r="AM227" t="b">
        <v>1</v>
      </c>
      <c r="AN227">
        <v>0</v>
      </c>
      <c r="AO227" t="b">
        <v>0</v>
      </c>
      <c r="AQ227">
        <v>2109027833.3840001</v>
      </c>
      <c r="AR227">
        <v>2109027833.3840001</v>
      </c>
      <c r="AS227">
        <v>6</v>
      </c>
      <c r="AT227" t="b">
        <v>0</v>
      </c>
      <c r="AU227" t="b">
        <v>1</v>
      </c>
      <c r="AV227" t="b">
        <v>1</v>
      </c>
      <c r="AW227" t="b">
        <v>1</v>
      </c>
      <c r="BC227" t="s">
        <v>374</v>
      </c>
    </row>
    <row r="228" spans="1:55" x14ac:dyDescent="0.2">
      <c r="A228" t="s">
        <v>39</v>
      </c>
      <c r="B228" t="s">
        <v>40</v>
      </c>
      <c r="C228">
        <v>20210101</v>
      </c>
      <c r="D228">
        <v>2021</v>
      </c>
      <c r="E228">
        <v>52</v>
      </c>
      <c r="F228" t="s">
        <v>333</v>
      </c>
      <c r="G228">
        <v>48</v>
      </c>
      <c r="H228" t="s">
        <v>67</v>
      </c>
      <c r="I228" t="s">
        <v>68</v>
      </c>
      <c r="J228" t="s">
        <v>44</v>
      </c>
      <c r="K228" t="s">
        <v>45</v>
      </c>
      <c r="L228">
        <v>0</v>
      </c>
      <c r="M228" t="s">
        <v>46</v>
      </c>
      <c r="N228" t="s">
        <v>47</v>
      </c>
      <c r="O228">
        <v>0</v>
      </c>
      <c r="P228" t="s">
        <v>46</v>
      </c>
      <c r="Q228" t="s">
        <v>47</v>
      </c>
      <c r="R228" t="s">
        <v>48</v>
      </c>
      <c r="S228" t="s">
        <v>49</v>
      </c>
      <c r="T228" t="b">
        <v>1</v>
      </c>
      <c r="U228" t="s">
        <v>50</v>
      </c>
      <c r="V228" t="s">
        <v>51</v>
      </c>
      <c r="W228">
        <v>4</v>
      </c>
      <c r="X228" t="b">
        <v>0</v>
      </c>
      <c r="Y228" t="s">
        <v>52</v>
      </c>
      <c r="Z228" t="s">
        <v>53</v>
      </c>
      <c r="AA228" t="s">
        <v>54</v>
      </c>
      <c r="AB228">
        <v>0</v>
      </c>
      <c r="AC228" t="s">
        <v>55</v>
      </c>
      <c r="AD228">
        <v>8</v>
      </c>
      <c r="AE228" t="s">
        <v>56</v>
      </c>
      <c r="AF228">
        <v>3528.5940000000001</v>
      </c>
      <c r="AG228" t="b">
        <v>0</v>
      </c>
      <c r="AH228">
        <v>15</v>
      </c>
      <c r="AI228" t="s">
        <v>59</v>
      </c>
      <c r="AJ228">
        <v>3528594.1</v>
      </c>
      <c r="AK228" t="b">
        <v>0</v>
      </c>
      <c r="AL228">
        <v>3528.82</v>
      </c>
      <c r="AM228" t="b">
        <v>0</v>
      </c>
      <c r="AN228">
        <v>0</v>
      </c>
      <c r="AO228" t="b">
        <v>0</v>
      </c>
      <c r="AQ228">
        <v>201421612.97799999</v>
      </c>
      <c r="AR228">
        <v>201421612.97799999</v>
      </c>
      <c r="AS228">
        <v>0</v>
      </c>
      <c r="AT228" t="b">
        <v>0</v>
      </c>
      <c r="AU228" t="b">
        <v>1</v>
      </c>
      <c r="AV228" t="b">
        <v>1</v>
      </c>
      <c r="AW228" t="b">
        <v>1</v>
      </c>
      <c r="BC228" t="s">
        <v>374</v>
      </c>
    </row>
    <row r="229" spans="1:55" x14ac:dyDescent="0.2">
      <c r="A229" t="s">
        <v>39</v>
      </c>
      <c r="B229" t="s">
        <v>40</v>
      </c>
      <c r="C229">
        <v>20210101</v>
      </c>
      <c r="D229">
        <v>2021</v>
      </c>
      <c r="E229">
        <v>52</v>
      </c>
      <c r="F229" t="s">
        <v>333</v>
      </c>
      <c r="G229">
        <v>51</v>
      </c>
      <c r="H229" t="s">
        <v>69</v>
      </c>
      <c r="I229" t="s">
        <v>70</v>
      </c>
      <c r="J229" t="s">
        <v>44</v>
      </c>
      <c r="K229" t="s">
        <v>45</v>
      </c>
      <c r="L229">
        <v>0</v>
      </c>
      <c r="M229" t="s">
        <v>46</v>
      </c>
      <c r="N229" t="s">
        <v>47</v>
      </c>
      <c r="O229">
        <v>0</v>
      </c>
      <c r="P229" t="s">
        <v>46</v>
      </c>
      <c r="Q229" t="s">
        <v>47</v>
      </c>
      <c r="R229" t="s">
        <v>48</v>
      </c>
      <c r="S229" t="s">
        <v>49</v>
      </c>
      <c r="T229" t="b">
        <v>1</v>
      </c>
      <c r="U229" t="s">
        <v>50</v>
      </c>
      <c r="V229" t="s">
        <v>51</v>
      </c>
      <c r="W229">
        <v>4</v>
      </c>
      <c r="X229" t="b">
        <v>0</v>
      </c>
      <c r="Y229" t="s">
        <v>52</v>
      </c>
      <c r="Z229" t="s">
        <v>53</v>
      </c>
      <c r="AA229" t="s">
        <v>54</v>
      </c>
      <c r="AB229">
        <v>0</v>
      </c>
      <c r="AC229" t="s">
        <v>55</v>
      </c>
      <c r="AD229">
        <v>8</v>
      </c>
      <c r="AE229" t="s">
        <v>56</v>
      </c>
      <c r="AF229">
        <v>3776.2620000000002</v>
      </c>
      <c r="AG229" t="b">
        <v>0</v>
      </c>
      <c r="AH229">
        <v>15</v>
      </c>
      <c r="AI229" t="s">
        <v>59</v>
      </c>
      <c r="AJ229">
        <v>3776262.22</v>
      </c>
      <c r="AK229" t="b">
        <v>0</v>
      </c>
      <c r="AL229">
        <v>3776.26</v>
      </c>
      <c r="AM229" t="b">
        <v>0</v>
      </c>
      <c r="AN229">
        <v>0</v>
      </c>
      <c r="AO229" t="b">
        <v>0</v>
      </c>
      <c r="AP229">
        <v>0</v>
      </c>
      <c r="AQ229">
        <v>133804489.66</v>
      </c>
      <c r="AR229">
        <v>133804489.66</v>
      </c>
      <c r="AS229">
        <v>0</v>
      </c>
      <c r="AT229" t="b">
        <v>0</v>
      </c>
      <c r="AU229" t="b">
        <v>1</v>
      </c>
      <c r="AV229" t="b">
        <v>1</v>
      </c>
      <c r="AW229" t="b">
        <v>1</v>
      </c>
      <c r="BC229" t="s">
        <v>374</v>
      </c>
    </row>
    <row r="230" spans="1:55" x14ac:dyDescent="0.2">
      <c r="A230" t="s">
        <v>39</v>
      </c>
      <c r="B230" t="s">
        <v>40</v>
      </c>
      <c r="C230">
        <v>20210101</v>
      </c>
      <c r="D230">
        <v>2021</v>
      </c>
      <c r="E230">
        <v>52</v>
      </c>
      <c r="F230" t="s">
        <v>333</v>
      </c>
      <c r="G230">
        <v>52</v>
      </c>
      <c r="H230" t="s">
        <v>71</v>
      </c>
      <c r="I230" t="s">
        <v>72</v>
      </c>
      <c r="J230" t="s">
        <v>44</v>
      </c>
      <c r="K230" t="s">
        <v>45</v>
      </c>
      <c r="L230">
        <v>0</v>
      </c>
      <c r="M230" t="s">
        <v>46</v>
      </c>
      <c r="N230" t="s">
        <v>47</v>
      </c>
      <c r="O230">
        <v>0</v>
      </c>
      <c r="P230" t="s">
        <v>46</v>
      </c>
      <c r="Q230" t="s">
        <v>47</v>
      </c>
      <c r="R230" t="s">
        <v>48</v>
      </c>
      <c r="S230" t="s">
        <v>49</v>
      </c>
      <c r="T230" t="b">
        <v>1</v>
      </c>
      <c r="U230" t="s">
        <v>50</v>
      </c>
      <c r="V230" t="s">
        <v>51</v>
      </c>
      <c r="W230">
        <v>4</v>
      </c>
      <c r="X230" t="b">
        <v>0</v>
      </c>
      <c r="Y230" t="s">
        <v>52</v>
      </c>
      <c r="Z230" t="s">
        <v>53</v>
      </c>
      <c r="AA230" t="s">
        <v>54</v>
      </c>
      <c r="AB230">
        <v>0</v>
      </c>
      <c r="AC230" t="s">
        <v>55</v>
      </c>
      <c r="AD230">
        <v>8</v>
      </c>
      <c r="AE230" t="s">
        <v>56</v>
      </c>
      <c r="AF230">
        <v>26</v>
      </c>
      <c r="AG230" t="b">
        <v>0</v>
      </c>
      <c r="AH230">
        <v>8</v>
      </c>
      <c r="AI230" t="s">
        <v>56</v>
      </c>
      <c r="AJ230">
        <v>26</v>
      </c>
      <c r="AK230" t="b">
        <v>0</v>
      </c>
      <c r="AL230">
        <v>26</v>
      </c>
      <c r="AM230" t="b">
        <v>0</v>
      </c>
      <c r="AN230">
        <v>0</v>
      </c>
      <c r="AO230" t="b">
        <v>0</v>
      </c>
      <c r="AP230">
        <v>0</v>
      </c>
      <c r="AQ230">
        <v>739008.5</v>
      </c>
      <c r="AR230">
        <v>739008.5</v>
      </c>
      <c r="AS230">
        <v>0</v>
      </c>
      <c r="AT230" t="b">
        <v>0</v>
      </c>
      <c r="AU230" t="b">
        <v>1</v>
      </c>
      <c r="AV230" t="b">
        <v>1</v>
      </c>
      <c r="AW230" t="b">
        <v>1</v>
      </c>
      <c r="BC230" t="s">
        <v>374</v>
      </c>
    </row>
    <row r="231" spans="1:55" x14ac:dyDescent="0.2">
      <c r="A231" t="s">
        <v>39</v>
      </c>
      <c r="B231" t="s">
        <v>40</v>
      </c>
      <c r="C231">
        <v>20210101</v>
      </c>
      <c r="D231">
        <v>2021</v>
      </c>
      <c r="E231">
        <v>52</v>
      </c>
      <c r="F231" t="s">
        <v>333</v>
      </c>
      <c r="G231">
        <v>56</v>
      </c>
      <c r="H231" t="s">
        <v>73</v>
      </c>
      <c r="I231" t="s">
        <v>74</v>
      </c>
      <c r="J231" t="s">
        <v>44</v>
      </c>
      <c r="K231" t="s">
        <v>45</v>
      </c>
      <c r="L231">
        <v>0</v>
      </c>
      <c r="M231" t="s">
        <v>46</v>
      </c>
      <c r="N231" t="s">
        <v>47</v>
      </c>
      <c r="O231">
        <v>0</v>
      </c>
      <c r="P231" t="s">
        <v>46</v>
      </c>
      <c r="Q231" t="s">
        <v>47</v>
      </c>
      <c r="R231" t="s">
        <v>48</v>
      </c>
      <c r="S231" t="s">
        <v>49</v>
      </c>
      <c r="T231" t="b">
        <v>1</v>
      </c>
      <c r="U231" t="s">
        <v>50</v>
      </c>
      <c r="V231" t="s">
        <v>51</v>
      </c>
      <c r="W231">
        <v>4</v>
      </c>
      <c r="X231" t="b">
        <v>0</v>
      </c>
      <c r="Y231" t="s">
        <v>52</v>
      </c>
      <c r="Z231" t="s">
        <v>53</v>
      </c>
      <c r="AA231" t="s">
        <v>54</v>
      </c>
      <c r="AB231">
        <v>0</v>
      </c>
      <c r="AC231" t="s">
        <v>55</v>
      </c>
      <c r="AD231">
        <v>-1</v>
      </c>
      <c r="AE231" t="s">
        <v>64</v>
      </c>
      <c r="AF231">
        <v>0</v>
      </c>
      <c r="AG231" t="b">
        <v>0</v>
      </c>
      <c r="AH231">
        <v>-1</v>
      </c>
      <c r="AI231" t="s">
        <v>64</v>
      </c>
      <c r="AJ231">
        <v>0</v>
      </c>
      <c r="AK231" t="b">
        <v>0</v>
      </c>
      <c r="AM231" t="b">
        <v>0</v>
      </c>
      <c r="AN231">
        <v>0</v>
      </c>
      <c r="AO231" t="b">
        <v>0</v>
      </c>
      <c r="AQ231">
        <v>1191986496.52</v>
      </c>
      <c r="AR231">
        <v>1191986496.52</v>
      </c>
      <c r="AS231">
        <v>0</v>
      </c>
      <c r="AT231" t="b">
        <v>0</v>
      </c>
      <c r="AU231" t="b">
        <v>1</v>
      </c>
      <c r="AV231" t="b">
        <v>1</v>
      </c>
      <c r="AW231" t="b">
        <v>1</v>
      </c>
      <c r="BC231" t="s">
        <v>374</v>
      </c>
    </row>
    <row r="232" spans="1:55" x14ac:dyDescent="0.2">
      <c r="A232" t="s">
        <v>39</v>
      </c>
      <c r="B232" t="s">
        <v>40</v>
      </c>
      <c r="C232">
        <v>20210101</v>
      </c>
      <c r="D232">
        <v>2021</v>
      </c>
      <c r="E232">
        <v>52</v>
      </c>
      <c r="F232" t="s">
        <v>333</v>
      </c>
      <c r="G232">
        <v>68</v>
      </c>
      <c r="H232" t="s">
        <v>75</v>
      </c>
      <c r="I232" t="s">
        <v>76</v>
      </c>
      <c r="J232" t="s">
        <v>44</v>
      </c>
      <c r="K232" t="s">
        <v>45</v>
      </c>
      <c r="L232">
        <v>0</v>
      </c>
      <c r="M232" t="s">
        <v>46</v>
      </c>
      <c r="N232" t="s">
        <v>47</v>
      </c>
      <c r="O232">
        <v>0</v>
      </c>
      <c r="P232" t="s">
        <v>46</v>
      </c>
      <c r="Q232" t="s">
        <v>47</v>
      </c>
      <c r="R232" t="s">
        <v>48</v>
      </c>
      <c r="S232" t="s">
        <v>49</v>
      </c>
      <c r="T232" t="b">
        <v>1</v>
      </c>
      <c r="U232" t="s">
        <v>50</v>
      </c>
      <c r="V232" t="s">
        <v>51</v>
      </c>
      <c r="W232">
        <v>4</v>
      </c>
      <c r="X232" t="b">
        <v>0</v>
      </c>
      <c r="Y232" t="s">
        <v>52</v>
      </c>
      <c r="Z232" t="s">
        <v>53</v>
      </c>
      <c r="AA232" t="s">
        <v>54</v>
      </c>
      <c r="AB232">
        <v>0</v>
      </c>
      <c r="AC232" t="s">
        <v>55</v>
      </c>
      <c r="AD232">
        <v>8</v>
      </c>
      <c r="AE232" t="s">
        <v>56</v>
      </c>
      <c r="AF232">
        <v>47624.79</v>
      </c>
      <c r="AG232" t="b">
        <v>0</v>
      </c>
      <c r="AH232">
        <v>8</v>
      </c>
      <c r="AI232" t="s">
        <v>56</v>
      </c>
      <c r="AJ232">
        <v>47624.79</v>
      </c>
      <c r="AK232" t="b">
        <v>0</v>
      </c>
      <c r="AL232">
        <v>44404.75</v>
      </c>
      <c r="AM232" t="b">
        <v>0</v>
      </c>
      <c r="AN232">
        <v>0</v>
      </c>
      <c r="AO232" t="b">
        <v>0</v>
      </c>
      <c r="AP232">
        <v>0</v>
      </c>
      <c r="AQ232">
        <v>2553836769.6700001</v>
      </c>
      <c r="AR232">
        <v>2553836769.6700001</v>
      </c>
      <c r="AS232">
        <v>0</v>
      </c>
      <c r="AT232" t="b">
        <v>0</v>
      </c>
      <c r="AU232" t="b">
        <v>1</v>
      </c>
      <c r="AV232" t="b">
        <v>1</v>
      </c>
      <c r="AW232" t="b">
        <v>1</v>
      </c>
      <c r="BC232" t="s">
        <v>374</v>
      </c>
    </row>
    <row r="233" spans="1:55" x14ac:dyDescent="0.2">
      <c r="A233" t="s">
        <v>39</v>
      </c>
      <c r="B233" t="s">
        <v>40</v>
      </c>
      <c r="C233">
        <v>20210101</v>
      </c>
      <c r="D233">
        <v>2021</v>
      </c>
      <c r="E233">
        <v>52</v>
      </c>
      <c r="F233" t="s">
        <v>333</v>
      </c>
      <c r="G233">
        <v>70</v>
      </c>
      <c r="H233" t="s">
        <v>77</v>
      </c>
      <c r="I233" t="s">
        <v>78</v>
      </c>
      <c r="J233" t="s">
        <v>44</v>
      </c>
      <c r="K233" t="s">
        <v>45</v>
      </c>
      <c r="L233">
        <v>0</v>
      </c>
      <c r="M233" t="s">
        <v>46</v>
      </c>
      <c r="N233" t="s">
        <v>47</v>
      </c>
      <c r="O233">
        <v>0</v>
      </c>
      <c r="P233" t="s">
        <v>46</v>
      </c>
      <c r="Q233" t="s">
        <v>47</v>
      </c>
      <c r="R233" t="s">
        <v>48</v>
      </c>
      <c r="S233" t="s">
        <v>49</v>
      </c>
      <c r="T233" t="b">
        <v>1</v>
      </c>
      <c r="U233" t="s">
        <v>50</v>
      </c>
      <c r="V233" t="s">
        <v>51</v>
      </c>
      <c r="W233">
        <v>4</v>
      </c>
      <c r="X233" t="b">
        <v>0</v>
      </c>
      <c r="Y233" t="s">
        <v>52</v>
      </c>
      <c r="Z233" t="s">
        <v>53</v>
      </c>
      <c r="AA233" t="s">
        <v>54</v>
      </c>
      <c r="AB233">
        <v>0</v>
      </c>
      <c r="AC233" t="s">
        <v>55</v>
      </c>
      <c r="AD233">
        <v>8</v>
      </c>
      <c r="AE233" t="s">
        <v>56</v>
      </c>
      <c r="AF233">
        <v>17.274999999999999</v>
      </c>
      <c r="AG233" t="b">
        <v>1</v>
      </c>
      <c r="AH233">
        <v>-1</v>
      </c>
      <c r="AI233" t="s">
        <v>64</v>
      </c>
      <c r="AJ233">
        <v>0</v>
      </c>
      <c r="AK233" t="b">
        <v>0</v>
      </c>
      <c r="AL233">
        <v>17.274999999999999</v>
      </c>
      <c r="AM233" t="b">
        <v>1</v>
      </c>
      <c r="AN233">
        <v>0</v>
      </c>
      <c r="AO233" t="b">
        <v>0</v>
      </c>
      <c r="AP233">
        <v>0</v>
      </c>
      <c r="AQ233">
        <v>567702.22</v>
      </c>
      <c r="AR233">
        <v>567702.22</v>
      </c>
      <c r="AS233">
        <v>6</v>
      </c>
      <c r="AT233" t="b">
        <v>0</v>
      </c>
      <c r="AU233" t="b">
        <v>1</v>
      </c>
      <c r="AV233" t="b">
        <v>1</v>
      </c>
      <c r="AW233" t="b">
        <v>1</v>
      </c>
      <c r="BC233" t="s">
        <v>374</v>
      </c>
    </row>
    <row r="234" spans="1:55" x14ac:dyDescent="0.2">
      <c r="A234" t="s">
        <v>39</v>
      </c>
      <c r="B234" t="s">
        <v>40</v>
      </c>
      <c r="C234">
        <v>20210101</v>
      </c>
      <c r="D234">
        <v>2021</v>
      </c>
      <c r="E234">
        <v>52</v>
      </c>
      <c r="F234" t="s">
        <v>333</v>
      </c>
      <c r="G234">
        <v>72</v>
      </c>
      <c r="H234" t="s">
        <v>79</v>
      </c>
      <c r="I234" t="s">
        <v>80</v>
      </c>
      <c r="J234" t="s">
        <v>44</v>
      </c>
      <c r="K234" t="s">
        <v>45</v>
      </c>
      <c r="L234">
        <v>0</v>
      </c>
      <c r="M234" t="s">
        <v>46</v>
      </c>
      <c r="N234" t="s">
        <v>47</v>
      </c>
      <c r="O234">
        <v>0</v>
      </c>
      <c r="P234" t="s">
        <v>46</v>
      </c>
      <c r="Q234" t="s">
        <v>47</v>
      </c>
      <c r="R234" t="s">
        <v>48</v>
      </c>
      <c r="S234" t="s">
        <v>49</v>
      </c>
      <c r="T234" t="b">
        <v>1</v>
      </c>
      <c r="U234" t="s">
        <v>50</v>
      </c>
      <c r="V234" t="s">
        <v>51</v>
      </c>
      <c r="W234">
        <v>4</v>
      </c>
      <c r="X234" t="b">
        <v>0</v>
      </c>
      <c r="Y234" t="s">
        <v>52</v>
      </c>
      <c r="Z234" t="s">
        <v>53</v>
      </c>
      <c r="AA234" t="s">
        <v>54</v>
      </c>
      <c r="AB234">
        <v>0</v>
      </c>
      <c r="AC234" t="s">
        <v>55</v>
      </c>
      <c r="AD234">
        <v>8</v>
      </c>
      <c r="AE234" t="s">
        <v>56</v>
      </c>
      <c r="AF234">
        <v>812.04100000000005</v>
      </c>
      <c r="AG234" t="b">
        <v>1</v>
      </c>
      <c r="AH234">
        <v>-1</v>
      </c>
      <c r="AI234" t="s">
        <v>64</v>
      </c>
      <c r="AJ234">
        <v>0</v>
      </c>
      <c r="AK234" t="b">
        <v>0</v>
      </c>
      <c r="AL234">
        <v>669.28899999999999</v>
      </c>
      <c r="AM234" t="b">
        <v>1</v>
      </c>
      <c r="AN234">
        <v>0</v>
      </c>
      <c r="AO234" t="b">
        <v>0</v>
      </c>
      <c r="AQ234">
        <v>35354438.314999998</v>
      </c>
      <c r="AR234">
        <v>35354438.314999998</v>
      </c>
      <c r="AS234">
        <v>6</v>
      </c>
      <c r="AT234" t="b">
        <v>0</v>
      </c>
      <c r="AU234" t="b">
        <v>1</v>
      </c>
      <c r="AV234" t="b">
        <v>1</v>
      </c>
      <c r="AW234" t="b">
        <v>1</v>
      </c>
      <c r="BC234" t="s">
        <v>374</v>
      </c>
    </row>
    <row r="235" spans="1:55" x14ac:dyDescent="0.2">
      <c r="A235" t="s">
        <v>39</v>
      </c>
      <c r="B235" t="s">
        <v>40</v>
      </c>
      <c r="C235">
        <v>20210101</v>
      </c>
      <c r="D235">
        <v>2021</v>
      </c>
      <c r="E235">
        <v>52</v>
      </c>
      <c r="F235" t="s">
        <v>333</v>
      </c>
      <c r="G235">
        <v>96</v>
      </c>
      <c r="H235" t="s">
        <v>313</v>
      </c>
      <c r="I235" t="s">
        <v>314</v>
      </c>
      <c r="J235" t="s">
        <v>44</v>
      </c>
      <c r="K235" t="s">
        <v>45</v>
      </c>
      <c r="L235">
        <v>0</v>
      </c>
      <c r="M235" t="s">
        <v>46</v>
      </c>
      <c r="N235" t="s">
        <v>47</v>
      </c>
      <c r="O235">
        <v>0</v>
      </c>
      <c r="P235" t="s">
        <v>46</v>
      </c>
      <c r="Q235" t="s">
        <v>47</v>
      </c>
      <c r="R235" t="s">
        <v>48</v>
      </c>
      <c r="S235" t="s">
        <v>49</v>
      </c>
      <c r="T235" t="b">
        <v>1</v>
      </c>
      <c r="U235" t="s">
        <v>50</v>
      </c>
      <c r="V235" t="s">
        <v>51</v>
      </c>
      <c r="W235">
        <v>4</v>
      </c>
      <c r="X235" t="b">
        <v>0</v>
      </c>
      <c r="Y235" t="s">
        <v>52</v>
      </c>
      <c r="Z235" t="s">
        <v>53</v>
      </c>
      <c r="AA235" t="s">
        <v>54</v>
      </c>
      <c r="AB235">
        <v>0</v>
      </c>
      <c r="AC235" t="s">
        <v>55</v>
      </c>
      <c r="AD235">
        <v>8</v>
      </c>
      <c r="AE235" t="s">
        <v>56</v>
      </c>
      <c r="AF235">
        <v>277</v>
      </c>
      <c r="AG235" t="b">
        <v>0</v>
      </c>
      <c r="AH235">
        <v>8</v>
      </c>
      <c r="AI235" t="s">
        <v>56</v>
      </c>
      <c r="AJ235">
        <v>277</v>
      </c>
      <c r="AK235" t="b">
        <v>0</v>
      </c>
      <c r="AL235">
        <v>277</v>
      </c>
      <c r="AM235" t="b">
        <v>0</v>
      </c>
      <c r="AN235">
        <v>0</v>
      </c>
      <c r="AO235" t="b">
        <v>0</v>
      </c>
      <c r="AP235">
        <v>0</v>
      </c>
      <c r="AQ235">
        <v>9912587.3599999994</v>
      </c>
      <c r="AR235">
        <v>9912587.3599999994</v>
      </c>
      <c r="AS235">
        <v>0</v>
      </c>
      <c r="AT235" t="b">
        <v>0</v>
      </c>
      <c r="AU235" t="b">
        <v>1</v>
      </c>
      <c r="AV235" t="b">
        <v>1</v>
      </c>
      <c r="AW235" t="b">
        <v>1</v>
      </c>
      <c r="BC235" t="s">
        <v>374</v>
      </c>
    </row>
    <row r="236" spans="1:55" x14ac:dyDescent="0.2">
      <c r="A236" t="s">
        <v>39</v>
      </c>
      <c r="B236" t="s">
        <v>40</v>
      </c>
      <c r="C236">
        <v>20210101</v>
      </c>
      <c r="D236">
        <v>2021</v>
      </c>
      <c r="E236">
        <v>52</v>
      </c>
      <c r="F236" t="s">
        <v>333</v>
      </c>
      <c r="G236">
        <v>100</v>
      </c>
      <c r="H236" t="s">
        <v>83</v>
      </c>
      <c r="I236" t="s">
        <v>84</v>
      </c>
      <c r="J236" t="s">
        <v>44</v>
      </c>
      <c r="K236" t="s">
        <v>45</v>
      </c>
      <c r="L236">
        <v>0</v>
      </c>
      <c r="M236" t="s">
        <v>46</v>
      </c>
      <c r="N236" t="s">
        <v>47</v>
      </c>
      <c r="O236">
        <v>0</v>
      </c>
      <c r="P236" t="s">
        <v>46</v>
      </c>
      <c r="Q236" t="s">
        <v>47</v>
      </c>
      <c r="R236" t="s">
        <v>48</v>
      </c>
      <c r="S236" t="s">
        <v>49</v>
      </c>
      <c r="T236" t="b">
        <v>1</v>
      </c>
      <c r="U236" t="s">
        <v>50</v>
      </c>
      <c r="V236" t="s">
        <v>51</v>
      </c>
      <c r="W236">
        <v>4</v>
      </c>
      <c r="X236" t="b">
        <v>0</v>
      </c>
      <c r="Y236" t="s">
        <v>52</v>
      </c>
      <c r="Z236" t="s">
        <v>53</v>
      </c>
      <c r="AA236" t="s">
        <v>54</v>
      </c>
      <c r="AB236">
        <v>0</v>
      </c>
      <c r="AC236" t="s">
        <v>55</v>
      </c>
      <c r="AD236">
        <v>8</v>
      </c>
      <c r="AE236" t="s">
        <v>56</v>
      </c>
      <c r="AF236">
        <v>1683.5530000000001</v>
      </c>
      <c r="AG236" t="b">
        <v>0</v>
      </c>
      <c r="AH236">
        <v>15</v>
      </c>
      <c r="AI236" t="s">
        <v>59</v>
      </c>
      <c r="AJ236">
        <v>1683553</v>
      </c>
      <c r="AK236" t="b">
        <v>0</v>
      </c>
      <c r="AL236">
        <v>1609.796</v>
      </c>
      <c r="AM236" t="b">
        <v>0</v>
      </c>
      <c r="AN236">
        <v>0</v>
      </c>
      <c r="AO236" t="b">
        <v>0</v>
      </c>
      <c r="AP236">
        <v>0</v>
      </c>
      <c r="AQ236">
        <v>23808998.491999999</v>
      </c>
      <c r="AR236">
        <v>23808998.491999999</v>
      </c>
      <c r="AS236">
        <v>0</v>
      </c>
      <c r="AT236" t="b">
        <v>0</v>
      </c>
      <c r="AU236" t="b">
        <v>1</v>
      </c>
      <c r="AV236" t="b">
        <v>1</v>
      </c>
      <c r="AW236" t="b">
        <v>1</v>
      </c>
      <c r="BC236" t="s">
        <v>374</v>
      </c>
    </row>
    <row r="237" spans="1:55" x14ac:dyDescent="0.2">
      <c r="A237" t="s">
        <v>39</v>
      </c>
      <c r="B237" t="s">
        <v>40</v>
      </c>
      <c r="C237">
        <v>20210101</v>
      </c>
      <c r="D237">
        <v>2021</v>
      </c>
      <c r="E237">
        <v>52</v>
      </c>
      <c r="F237" t="s">
        <v>333</v>
      </c>
      <c r="G237">
        <v>108</v>
      </c>
      <c r="H237" t="s">
        <v>85</v>
      </c>
      <c r="I237" t="s">
        <v>86</v>
      </c>
      <c r="J237" t="s">
        <v>44</v>
      </c>
      <c r="K237" t="s">
        <v>45</v>
      </c>
      <c r="L237">
        <v>0</v>
      </c>
      <c r="M237" t="s">
        <v>46</v>
      </c>
      <c r="N237" t="s">
        <v>47</v>
      </c>
      <c r="O237">
        <v>0</v>
      </c>
      <c r="P237" t="s">
        <v>46</v>
      </c>
      <c r="Q237" t="s">
        <v>47</v>
      </c>
      <c r="R237" t="s">
        <v>48</v>
      </c>
      <c r="S237" t="s">
        <v>49</v>
      </c>
      <c r="T237" t="b">
        <v>1</v>
      </c>
      <c r="U237" t="s">
        <v>50</v>
      </c>
      <c r="V237" t="s">
        <v>51</v>
      </c>
      <c r="W237">
        <v>4</v>
      </c>
      <c r="X237" t="b">
        <v>0</v>
      </c>
      <c r="Y237" t="s">
        <v>52</v>
      </c>
      <c r="Z237" t="s">
        <v>53</v>
      </c>
      <c r="AA237" t="s">
        <v>54</v>
      </c>
      <c r="AB237">
        <v>0</v>
      </c>
      <c r="AC237" t="s">
        <v>55</v>
      </c>
      <c r="AD237">
        <v>8</v>
      </c>
      <c r="AE237" t="s">
        <v>56</v>
      </c>
      <c r="AF237">
        <v>669.59500000000003</v>
      </c>
      <c r="AG237" t="b">
        <v>0</v>
      </c>
      <c r="AH237">
        <v>8</v>
      </c>
      <c r="AI237" t="s">
        <v>56</v>
      </c>
      <c r="AJ237">
        <v>669.59500000000003</v>
      </c>
      <c r="AK237" t="b">
        <v>0</v>
      </c>
      <c r="AL237">
        <v>669.59500000000003</v>
      </c>
      <c r="AM237" t="b">
        <v>0</v>
      </c>
      <c r="AN237">
        <v>0</v>
      </c>
      <c r="AO237" t="b">
        <v>0</v>
      </c>
      <c r="AQ237">
        <v>40572696.292999998</v>
      </c>
      <c r="AR237">
        <v>40572696.292999998</v>
      </c>
      <c r="AS237">
        <v>0</v>
      </c>
      <c r="AT237" t="b">
        <v>0</v>
      </c>
      <c r="AU237" t="b">
        <v>1</v>
      </c>
      <c r="AV237" t="b">
        <v>1</v>
      </c>
      <c r="AW237" t="b">
        <v>1</v>
      </c>
      <c r="BC237" t="s">
        <v>374</v>
      </c>
    </row>
    <row r="238" spans="1:55" x14ac:dyDescent="0.2">
      <c r="A238" t="s">
        <v>39</v>
      </c>
      <c r="B238" t="s">
        <v>40</v>
      </c>
      <c r="C238">
        <v>20210101</v>
      </c>
      <c r="D238">
        <v>2021</v>
      </c>
      <c r="E238">
        <v>52</v>
      </c>
      <c r="F238" t="s">
        <v>333</v>
      </c>
      <c r="G238">
        <v>116</v>
      </c>
      <c r="H238" t="s">
        <v>87</v>
      </c>
      <c r="I238" t="s">
        <v>88</v>
      </c>
      <c r="J238" t="s">
        <v>44</v>
      </c>
      <c r="K238" t="s">
        <v>45</v>
      </c>
      <c r="L238">
        <v>0</v>
      </c>
      <c r="M238" t="s">
        <v>46</v>
      </c>
      <c r="N238" t="s">
        <v>47</v>
      </c>
      <c r="O238">
        <v>0</v>
      </c>
      <c r="P238" t="s">
        <v>46</v>
      </c>
      <c r="Q238" t="s">
        <v>47</v>
      </c>
      <c r="R238" t="s">
        <v>48</v>
      </c>
      <c r="S238" t="s">
        <v>49</v>
      </c>
      <c r="T238" t="b">
        <v>1</v>
      </c>
      <c r="U238" t="s">
        <v>50</v>
      </c>
      <c r="V238" t="s">
        <v>51</v>
      </c>
      <c r="W238">
        <v>4</v>
      </c>
      <c r="X238" t="b">
        <v>0</v>
      </c>
      <c r="Y238" t="s">
        <v>52</v>
      </c>
      <c r="Z238" t="s">
        <v>53</v>
      </c>
      <c r="AA238" t="s">
        <v>54</v>
      </c>
      <c r="AB238">
        <v>0</v>
      </c>
      <c r="AC238" t="s">
        <v>55</v>
      </c>
      <c r="AD238">
        <v>8</v>
      </c>
      <c r="AE238" t="s">
        <v>56</v>
      </c>
      <c r="AF238">
        <v>2373.3000000000002</v>
      </c>
      <c r="AG238" t="b">
        <v>0</v>
      </c>
      <c r="AH238">
        <v>8</v>
      </c>
      <c r="AI238" t="s">
        <v>56</v>
      </c>
      <c r="AJ238">
        <v>2373.3000000000002</v>
      </c>
      <c r="AK238" t="b">
        <v>0</v>
      </c>
      <c r="AL238">
        <v>2373.3000000000002</v>
      </c>
      <c r="AM238" t="b">
        <v>0</v>
      </c>
      <c r="AN238">
        <v>0</v>
      </c>
      <c r="AO238" t="b">
        <v>0</v>
      </c>
      <c r="AQ238">
        <v>132039722</v>
      </c>
      <c r="AR238">
        <v>132039722</v>
      </c>
      <c r="AS238">
        <v>0</v>
      </c>
      <c r="AT238" t="b">
        <v>0</v>
      </c>
      <c r="AU238" t="b">
        <v>1</v>
      </c>
      <c r="AV238" t="b">
        <v>1</v>
      </c>
      <c r="AW238" t="b">
        <v>1</v>
      </c>
      <c r="BC238" t="s">
        <v>374</v>
      </c>
    </row>
    <row r="239" spans="1:55" x14ac:dyDescent="0.2">
      <c r="A239" t="s">
        <v>39</v>
      </c>
      <c r="B239" t="s">
        <v>40</v>
      </c>
      <c r="C239">
        <v>20210101</v>
      </c>
      <c r="D239">
        <v>2021</v>
      </c>
      <c r="E239">
        <v>52</v>
      </c>
      <c r="F239" t="s">
        <v>333</v>
      </c>
      <c r="G239">
        <v>120</v>
      </c>
      <c r="H239" t="s">
        <v>89</v>
      </c>
      <c r="I239" t="s">
        <v>90</v>
      </c>
      <c r="J239" t="s">
        <v>44</v>
      </c>
      <c r="K239" t="s">
        <v>45</v>
      </c>
      <c r="L239">
        <v>0</v>
      </c>
      <c r="M239" t="s">
        <v>46</v>
      </c>
      <c r="N239" t="s">
        <v>47</v>
      </c>
      <c r="O239">
        <v>0</v>
      </c>
      <c r="P239" t="s">
        <v>46</v>
      </c>
      <c r="Q239" t="s">
        <v>47</v>
      </c>
      <c r="R239" t="s">
        <v>48</v>
      </c>
      <c r="S239" t="s">
        <v>49</v>
      </c>
      <c r="T239" t="b">
        <v>1</v>
      </c>
      <c r="U239" t="s">
        <v>50</v>
      </c>
      <c r="V239" t="s">
        <v>51</v>
      </c>
      <c r="W239">
        <v>4</v>
      </c>
      <c r="X239" t="b">
        <v>0</v>
      </c>
      <c r="Y239" t="s">
        <v>52</v>
      </c>
      <c r="Z239" t="s">
        <v>53</v>
      </c>
      <c r="AA239" t="s">
        <v>54</v>
      </c>
      <c r="AB239">
        <v>0</v>
      </c>
      <c r="AC239" t="s">
        <v>55</v>
      </c>
      <c r="AD239">
        <v>8</v>
      </c>
      <c r="AE239" t="s">
        <v>56</v>
      </c>
      <c r="AF239">
        <v>39.78</v>
      </c>
      <c r="AG239" t="b">
        <v>0</v>
      </c>
      <c r="AH239">
        <v>8</v>
      </c>
      <c r="AI239" t="s">
        <v>56</v>
      </c>
      <c r="AJ239">
        <v>39.78</v>
      </c>
      <c r="AK239" t="b">
        <v>0</v>
      </c>
      <c r="AL239">
        <v>39.78</v>
      </c>
      <c r="AM239" t="b">
        <v>0</v>
      </c>
      <c r="AN239">
        <v>0</v>
      </c>
      <c r="AO239" t="b">
        <v>0</v>
      </c>
      <c r="AQ239">
        <v>783448.17</v>
      </c>
      <c r="AR239">
        <v>783448.17</v>
      </c>
      <c r="AS239">
        <v>0</v>
      </c>
      <c r="AT239" t="b">
        <v>0</v>
      </c>
      <c r="AU239" t="b">
        <v>1</v>
      </c>
      <c r="AV239" t="b">
        <v>1</v>
      </c>
      <c r="AW239" t="b">
        <v>1</v>
      </c>
      <c r="BC239" t="s">
        <v>374</v>
      </c>
    </row>
    <row r="240" spans="1:55" x14ac:dyDescent="0.2">
      <c r="A240" t="s">
        <v>39</v>
      </c>
      <c r="B240" t="s">
        <v>40</v>
      </c>
      <c r="C240">
        <v>20210101</v>
      </c>
      <c r="D240">
        <v>2021</v>
      </c>
      <c r="E240">
        <v>52</v>
      </c>
      <c r="F240" t="s">
        <v>333</v>
      </c>
      <c r="G240">
        <v>140</v>
      </c>
      <c r="H240" t="s">
        <v>93</v>
      </c>
      <c r="I240" t="s">
        <v>94</v>
      </c>
      <c r="J240" t="s">
        <v>44</v>
      </c>
      <c r="K240" t="s">
        <v>45</v>
      </c>
      <c r="L240">
        <v>0</v>
      </c>
      <c r="M240" t="s">
        <v>46</v>
      </c>
      <c r="N240" t="s">
        <v>47</v>
      </c>
      <c r="O240">
        <v>0</v>
      </c>
      <c r="P240" t="s">
        <v>46</v>
      </c>
      <c r="Q240" t="s">
        <v>47</v>
      </c>
      <c r="R240" t="s">
        <v>95</v>
      </c>
      <c r="S240" t="s">
        <v>49</v>
      </c>
      <c r="T240" t="b">
        <v>1</v>
      </c>
      <c r="U240" t="s">
        <v>50</v>
      </c>
      <c r="V240" t="s">
        <v>51</v>
      </c>
      <c r="W240">
        <v>4</v>
      </c>
      <c r="X240" t="b">
        <v>0</v>
      </c>
      <c r="Y240" t="s">
        <v>52</v>
      </c>
      <c r="Z240" t="s">
        <v>53</v>
      </c>
      <c r="AA240" t="s">
        <v>54</v>
      </c>
      <c r="AB240">
        <v>0</v>
      </c>
      <c r="AC240" t="s">
        <v>55</v>
      </c>
      <c r="AD240">
        <v>-1</v>
      </c>
      <c r="AE240" t="s">
        <v>64</v>
      </c>
      <c r="AF240">
        <v>0</v>
      </c>
      <c r="AG240" t="b">
        <v>0</v>
      </c>
      <c r="AH240">
        <v>-1</v>
      </c>
      <c r="AI240" t="s">
        <v>64</v>
      </c>
      <c r="AJ240">
        <v>0</v>
      </c>
      <c r="AK240" t="b">
        <v>0</v>
      </c>
      <c r="AM240" t="b">
        <v>0</v>
      </c>
      <c r="AN240">
        <v>0</v>
      </c>
      <c r="AO240" t="b">
        <v>0</v>
      </c>
      <c r="AQ240">
        <v>26117952.098000001</v>
      </c>
      <c r="AR240">
        <v>26117952.098000001</v>
      </c>
      <c r="AS240">
        <v>0</v>
      </c>
      <c r="AT240" t="b">
        <v>0</v>
      </c>
      <c r="AU240" t="b">
        <v>1</v>
      </c>
      <c r="AV240" t="b">
        <v>1</v>
      </c>
      <c r="AW240" t="b">
        <v>1</v>
      </c>
      <c r="BC240" t="s">
        <v>374</v>
      </c>
    </row>
    <row r="241" spans="1:55" x14ac:dyDescent="0.2">
      <c r="A241" t="s">
        <v>39</v>
      </c>
      <c r="B241" t="s">
        <v>40</v>
      </c>
      <c r="C241">
        <v>20210101</v>
      </c>
      <c r="D241">
        <v>2021</v>
      </c>
      <c r="E241">
        <v>52</v>
      </c>
      <c r="F241" t="s">
        <v>333</v>
      </c>
      <c r="G241">
        <v>144</v>
      </c>
      <c r="H241" t="s">
        <v>317</v>
      </c>
      <c r="I241" t="s">
        <v>318</v>
      </c>
      <c r="J241" t="s">
        <v>44</v>
      </c>
      <c r="K241" t="s">
        <v>45</v>
      </c>
      <c r="L241">
        <v>0</v>
      </c>
      <c r="M241" t="s">
        <v>46</v>
      </c>
      <c r="N241" t="s">
        <v>47</v>
      </c>
      <c r="O241">
        <v>0</v>
      </c>
      <c r="P241" t="s">
        <v>46</v>
      </c>
      <c r="Q241" t="s">
        <v>47</v>
      </c>
      <c r="R241" t="s">
        <v>48</v>
      </c>
      <c r="S241" t="s">
        <v>49</v>
      </c>
      <c r="T241" t="b">
        <v>1</v>
      </c>
      <c r="U241" t="s">
        <v>50</v>
      </c>
      <c r="V241" t="s">
        <v>51</v>
      </c>
      <c r="W241">
        <v>4</v>
      </c>
      <c r="X241" t="b">
        <v>0</v>
      </c>
      <c r="Y241" t="s">
        <v>52</v>
      </c>
      <c r="Z241" t="s">
        <v>53</v>
      </c>
      <c r="AA241" t="s">
        <v>54</v>
      </c>
      <c r="AB241">
        <v>0</v>
      </c>
      <c r="AC241" t="s">
        <v>55</v>
      </c>
      <c r="AD241">
        <v>8</v>
      </c>
      <c r="AE241" t="s">
        <v>56</v>
      </c>
      <c r="AF241">
        <v>0.8</v>
      </c>
      <c r="AG241" t="b">
        <v>0</v>
      </c>
      <c r="AH241">
        <v>8</v>
      </c>
      <c r="AI241" t="s">
        <v>56</v>
      </c>
      <c r="AJ241">
        <v>0.8</v>
      </c>
      <c r="AK241" t="b">
        <v>0</v>
      </c>
      <c r="AL241">
        <v>0.8</v>
      </c>
      <c r="AM241" t="b">
        <v>0</v>
      </c>
      <c r="AN241">
        <v>0</v>
      </c>
      <c r="AO241" t="b">
        <v>0</v>
      </c>
      <c r="AP241">
        <v>0</v>
      </c>
      <c r="AQ241">
        <v>44654.186999999998</v>
      </c>
      <c r="AR241">
        <v>44654.186999999998</v>
      </c>
      <c r="AS241">
        <v>0</v>
      </c>
      <c r="AT241" t="b">
        <v>0</v>
      </c>
      <c r="AU241" t="b">
        <v>1</v>
      </c>
      <c r="AV241" t="b">
        <v>1</v>
      </c>
      <c r="AW241" t="b">
        <v>1</v>
      </c>
      <c r="BC241" t="s">
        <v>374</v>
      </c>
    </row>
    <row r="242" spans="1:55" x14ac:dyDescent="0.2">
      <c r="A242" t="s">
        <v>39</v>
      </c>
      <c r="B242" t="s">
        <v>40</v>
      </c>
      <c r="C242">
        <v>20210101</v>
      </c>
      <c r="D242">
        <v>2021</v>
      </c>
      <c r="E242">
        <v>52</v>
      </c>
      <c r="F242" t="s">
        <v>333</v>
      </c>
      <c r="G242">
        <v>152</v>
      </c>
      <c r="H242" t="s">
        <v>96</v>
      </c>
      <c r="I242" t="s">
        <v>97</v>
      </c>
      <c r="J242" t="s">
        <v>44</v>
      </c>
      <c r="K242" t="s">
        <v>45</v>
      </c>
      <c r="L242">
        <v>0</v>
      </c>
      <c r="M242" t="s">
        <v>46</v>
      </c>
      <c r="N242" t="s">
        <v>47</v>
      </c>
      <c r="O242">
        <v>0</v>
      </c>
      <c r="P242" t="s">
        <v>46</v>
      </c>
      <c r="Q242" t="s">
        <v>47</v>
      </c>
      <c r="R242" t="s">
        <v>48</v>
      </c>
      <c r="S242" t="s">
        <v>49</v>
      </c>
      <c r="T242" t="b">
        <v>1</v>
      </c>
      <c r="U242" t="s">
        <v>50</v>
      </c>
      <c r="V242" t="s">
        <v>51</v>
      </c>
      <c r="W242">
        <v>4</v>
      </c>
      <c r="X242" t="b">
        <v>0</v>
      </c>
      <c r="Y242" t="s">
        <v>52</v>
      </c>
      <c r="Z242" t="s">
        <v>53</v>
      </c>
      <c r="AA242" t="s">
        <v>54</v>
      </c>
      <c r="AB242">
        <v>0</v>
      </c>
      <c r="AC242" t="s">
        <v>55</v>
      </c>
      <c r="AD242">
        <v>8</v>
      </c>
      <c r="AE242" t="s">
        <v>56</v>
      </c>
      <c r="AF242">
        <v>15159.817999999999</v>
      </c>
      <c r="AG242" t="b">
        <v>0</v>
      </c>
      <c r="AH242">
        <v>8</v>
      </c>
      <c r="AI242" t="s">
        <v>56</v>
      </c>
      <c r="AJ242">
        <v>15159.817999999999</v>
      </c>
      <c r="AK242" t="b">
        <v>0</v>
      </c>
      <c r="AL242">
        <v>15159.817999999999</v>
      </c>
      <c r="AM242" t="b">
        <v>0</v>
      </c>
      <c r="AN242">
        <v>0</v>
      </c>
      <c r="AO242" t="b">
        <v>0</v>
      </c>
      <c r="AP242">
        <v>0</v>
      </c>
      <c r="AQ242">
        <v>858601579.49899995</v>
      </c>
      <c r="AR242">
        <v>858601579.49899995</v>
      </c>
      <c r="AS242">
        <v>0</v>
      </c>
      <c r="AT242" t="b">
        <v>0</v>
      </c>
      <c r="AU242" t="b">
        <v>1</v>
      </c>
      <c r="AV242" t="b">
        <v>1</v>
      </c>
      <c r="AW242" t="b">
        <v>1</v>
      </c>
      <c r="BC242" t="s">
        <v>374</v>
      </c>
    </row>
    <row r="243" spans="1:55" x14ac:dyDescent="0.2">
      <c r="A243" t="s">
        <v>39</v>
      </c>
      <c r="B243" t="s">
        <v>40</v>
      </c>
      <c r="C243">
        <v>20210101</v>
      </c>
      <c r="D243">
        <v>2021</v>
      </c>
      <c r="E243">
        <v>52</v>
      </c>
      <c r="F243" t="s">
        <v>333</v>
      </c>
      <c r="G243">
        <v>156</v>
      </c>
      <c r="H243" t="s">
        <v>98</v>
      </c>
      <c r="I243" t="s">
        <v>99</v>
      </c>
      <c r="J243" t="s">
        <v>44</v>
      </c>
      <c r="K243" t="s">
        <v>45</v>
      </c>
      <c r="L243">
        <v>0</v>
      </c>
      <c r="M243" t="s">
        <v>46</v>
      </c>
      <c r="N243" t="s">
        <v>47</v>
      </c>
      <c r="O243">
        <v>0</v>
      </c>
      <c r="P243" t="s">
        <v>46</v>
      </c>
      <c r="Q243" t="s">
        <v>47</v>
      </c>
      <c r="R243" t="s">
        <v>48</v>
      </c>
      <c r="S243" t="s">
        <v>49</v>
      </c>
      <c r="T243" t="b">
        <v>1</v>
      </c>
      <c r="U243" t="s">
        <v>50</v>
      </c>
      <c r="V243" t="s">
        <v>51</v>
      </c>
      <c r="W243">
        <v>4</v>
      </c>
      <c r="X243" t="b">
        <v>0</v>
      </c>
      <c r="Y243" t="s">
        <v>52</v>
      </c>
      <c r="Z243" t="s">
        <v>53</v>
      </c>
      <c r="AA243" t="s">
        <v>54</v>
      </c>
      <c r="AB243">
        <v>0</v>
      </c>
      <c r="AC243" t="s">
        <v>55</v>
      </c>
      <c r="AD243">
        <v>8</v>
      </c>
      <c r="AE243" t="s">
        <v>56</v>
      </c>
      <c r="AF243">
        <v>53495.120999999999</v>
      </c>
      <c r="AG243" t="b">
        <v>1</v>
      </c>
      <c r="AH243">
        <v>-1</v>
      </c>
      <c r="AI243" t="s">
        <v>64</v>
      </c>
      <c r="AJ243">
        <v>0</v>
      </c>
      <c r="AK243" t="b">
        <v>0</v>
      </c>
      <c r="AL243">
        <v>53495.120999999999</v>
      </c>
      <c r="AM243" t="b">
        <v>1</v>
      </c>
      <c r="AN243">
        <v>0</v>
      </c>
      <c r="AO243" t="b">
        <v>0</v>
      </c>
      <c r="AQ243">
        <v>3145976718</v>
      </c>
      <c r="AR243">
        <v>3145976718</v>
      </c>
      <c r="AS243">
        <v>6</v>
      </c>
      <c r="AT243" t="b">
        <v>0</v>
      </c>
      <c r="AU243" t="b">
        <v>1</v>
      </c>
      <c r="AV243" t="b">
        <v>1</v>
      </c>
      <c r="AW243" t="b">
        <v>1</v>
      </c>
      <c r="BC243" t="s">
        <v>374</v>
      </c>
    </row>
    <row r="244" spans="1:55" x14ac:dyDescent="0.2">
      <c r="A244" t="s">
        <v>39</v>
      </c>
      <c r="B244" t="s">
        <v>40</v>
      </c>
      <c r="C244">
        <v>20210101</v>
      </c>
      <c r="D244">
        <v>2021</v>
      </c>
      <c r="E244">
        <v>52</v>
      </c>
      <c r="F244" t="s">
        <v>333</v>
      </c>
      <c r="G244">
        <v>178</v>
      </c>
      <c r="H244" t="s">
        <v>102</v>
      </c>
      <c r="I244" t="s">
        <v>103</v>
      </c>
      <c r="J244" t="s">
        <v>44</v>
      </c>
      <c r="K244" t="s">
        <v>45</v>
      </c>
      <c r="L244">
        <v>0</v>
      </c>
      <c r="M244" t="s">
        <v>46</v>
      </c>
      <c r="N244" t="s">
        <v>47</v>
      </c>
      <c r="O244">
        <v>0</v>
      </c>
      <c r="P244" t="s">
        <v>46</v>
      </c>
      <c r="Q244" t="s">
        <v>47</v>
      </c>
      <c r="R244" t="s">
        <v>48</v>
      </c>
      <c r="S244" t="s">
        <v>49</v>
      </c>
      <c r="T244" t="b">
        <v>1</v>
      </c>
      <c r="U244" t="s">
        <v>50</v>
      </c>
      <c r="V244" t="s">
        <v>51</v>
      </c>
      <c r="W244">
        <v>4</v>
      </c>
      <c r="X244" t="b">
        <v>0</v>
      </c>
      <c r="Y244" t="s">
        <v>52</v>
      </c>
      <c r="Z244" t="s">
        <v>53</v>
      </c>
      <c r="AA244" t="s">
        <v>54</v>
      </c>
      <c r="AB244">
        <v>0</v>
      </c>
      <c r="AC244" t="s">
        <v>55</v>
      </c>
      <c r="AD244">
        <v>8</v>
      </c>
      <c r="AE244" t="s">
        <v>56</v>
      </c>
      <c r="AF244">
        <v>4.05</v>
      </c>
      <c r="AG244" t="b">
        <v>0</v>
      </c>
      <c r="AH244">
        <v>8</v>
      </c>
      <c r="AI244" t="s">
        <v>56</v>
      </c>
      <c r="AJ244">
        <v>4.05</v>
      </c>
      <c r="AK244" t="b">
        <v>0</v>
      </c>
      <c r="AL244">
        <v>4.05</v>
      </c>
      <c r="AM244" t="b">
        <v>0</v>
      </c>
      <c r="AN244">
        <v>0</v>
      </c>
      <c r="AO244" t="b">
        <v>0</v>
      </c>
      <c r="AP244">
        <v>0</v>
      </c>
      <c r="AQ244">
        <v>102376.75</v>
      </c>
      <c r="AR244">
        <v>102376.75</v>
      </c>
      <c r="AS244">
        <v>0</v>
      </c>
      <c r="AT244" t="b">
        <v>0</v>
      </c>
      <c r="AU244" t="b">
        <v>1</v>
      </c>
      <c r="AV244" t="b">
        <v>1</v>
      </c>
      <c r="AW244" t="b">
        <v>1</v>
      </c>
      <c r="BC244" t="s">
        <v>374</v>
      </c>
    </row>
    <row r="245" spans="1:55" x14ac:dyDescent="0.2">
      <c r="A245" t="s">
        <v>39</v>
      </c>
      <c r="B245" t="s">
        <v>40</v>
      </c>
      <c r="C245">
        <v>20210101</v>
      </c>
      <c r="D245">
        <v>2021</v>
      </c>
      <c r="E245">
        <v>52</v>
      </c>
      <c r="F245" t="s">
        <v>333</v>
      </c>
      <c r="G245">
        <v>180</v>
      </c>
      <c r="H245" t="s">
        <v>104</v>
      </c>
      <c r="I245" t="s">
        <v>105</v>
      </c>
      <c r="J245" t="s">
        <v>44</v>
      </c>
      <c r="K245" t="s">
        <v>45</v>
      </c>
      <c r="L245">
        <v>0</v>
      </c>
      <c r="M245" t="s">
        <v>46</v>
      </c>
      <c r="N245" t="s">
        <v>47</v>
      </c>
      <c r="O245">
        <v>0</v>
      </c>
      <c r="P245" t="s">
        <v>46</v>
      </c>
      <c r="Q245" t="s">
        <v>47</v>
      </c>
      <c r="R245" t="s">
        <v>95</v>
      </c>
      <c r="S245" t="s">
        <v>49</v>
      </c>
      <c r="T245" t="b">
        <v>1</v>
      </c>
      <c r="U245" t="s">
        <v>50</v>
      </c>
      <c r="V245" t="s">
        <v>51</v>
      </c>
      <c r="W245">
        <v>4</v>
      </c>
      <c r="X245" t="b">
        <v>0</v>
      </c>
      <c r="Y245" t="s">
        <v>52</v>
      </c>
      <c r="Z245" t="s">
        <v>53</v>
      </c>
      <c r="AA245" t="s">
        <v>54</v>
      </c>
      <c r="AB245">
        <v>0</v>
      </c>
      <c r="AC245" t="s">
        <v>55</v>
      </c>
      <c r="AD245">
        <v>8</v>
      </c>
      <c r="AE245" t="s">
        <v>56</v>
      </c>
      <c r="AF245">
        <v>44.866</v>
      </c>
      <c r="AG245" t="b">
        <v>1</v>
      </c>
      <c r="AH245">
        <v>-1</v>
      </c>
      <c r="AI245" t="s">
        <v>64</v>
      </c>
      <c r="AJ245">
        <v>0</v>
      </c>
      <c r="AK245" t="b">
        <v>0</v>
      </c>
      <c r="AL245">
        <v>44.866</v>
      </c>
      <c r="AM245" t="b">
        <v>1</v>
      </c>
      <c r="AN245">
        <v>0</v>
      </c>
      <c r="AO245" t="b">
        <v>0</v>
      </c>
      <c r="AQ245">
        <v>2325365.1170000001</v>
      </c>
      <c r="AR245">
        <v>2325365.1170000001</v>
      </c>
      <c r="AS245">
        <v>6</v>
      </c>
      <c r="AT245" t="b">
        <v>0</v>
      </c>
      <c r="AU245" t="b">
        <v>1</v>
      </c>
      <c r="AV245" t="b">
        <v>1</v>
      </c>
      <c r="AW245" t="b">
        <v>1</v>
      </c>
      <c r="BC245" t="s">
        <v>374</v>
      </c>
    </row>
    <row r="246" spans="1:55" x14ac:dyDescent="0.2">
      <c r="A246" t="s">
        <v>39</v>
      </c>
      <c r="B246" t="s">
        <v>40</v>
      </c>
      <c r="C246">
        <v>20210101</v>
      </c>
      <c r="D246">
        <v>2021</v>
      </c>
      <c r="E246">
        <v>52</v>
      </c>
      <c r="F246" t="s">
        <v>333</v>
      </c>
      <c r="G246">
        <v>188</v>
      </c>
      <c r="H246" t="s">
        <v>106</v>
      </c>
      <c r="I246" t="s">
        <v>107</v>
      </c>
      <c r="J246" t="s">
        <v>44</v>
      </c>
      <c r="K246" t="s">
        <v>45</v>
      </c>
      <c r="L246">
        <v>0</v>
      </c>
      <c r="M246" t="s">
        <v>46</v>
      </c>
      <c r="N246" t="s">
        <v>47</v>
      </c>
      <c r="O246">
        <v>0</v>
      </c>
      <c r="P246" t="s">
        <v>46</v>
      </c>
      <c r="Q246" t="s">
        <v>47</v>
      </c>
      <c r="R246" t="s">
        <v>48</v>
      </c>
      <c r="S246" t="s">
        <v>49</v>
      </c>
      <c r="T246" t="b">
        <v>1</v>
      </c>
      <c r="U246" t="s">
        <v>50</v>
      </c>
      <c r="V246" t="s">
        <v>51</v>
      </c>
      <c r="W246">
        <v>4</v>
      </c>
      <c r="X246" t="b">
        <v>0</v>
      </c>
      <c r="Y246" t="s">
        <v>52</v>
      </c>
      <c r="Z246" t="s">
        <v>53</v>
      </c>
      <c r="AA246" t="s">
        <v>54</v>
      </c>
      <c r="AB246">
        <v>0</v>
      </c>
      <c r="AC246" t="s">
        <v>55</v>
      </c>
      <c r="AD246">
        <v>8</v>
      </c>
      <c r="AE246" t="s">
        <v>56</v>
      </c>
      <c r="AF246">
        <v>98.13</v>
      </c>
      <c r="AG246" t="b">
        <v>0</v>
      </c>
      <c r="AH246">
        <v>8</v>
      </c>
      <c r="AI246" t="s">
        <v>56</v>
      </c>
      <c r="AJ246">
        <v>98.13</v>
      </c>
      <c r="AK246" t="b">
        <v>0</v>
      </c>
      <c r="AL246">
        <v>98.13</v>
      </c>
      <c r="AM246" t="b">
        <v>0</v>
      </c>
      <c r="AN246">
        <v>0</v>
      </c>
      <c r="AO246" t="b">
        <v>0</v>
      </c>
      <c r="AP246">
        <v>0</v>
      </c>
      <c r="AQ246">
        <v>2677546.16</v>
      </c>
      <c r="AR246">
        <v>2677546.16</v>
      </c>
      <c r="AS246">
        <v>0</v>
      </c>
      <c r="AT246" t="b">
        <v>0</v>
      </c>
      <c r="AU246" t="b">
        <v>1</v>
      </c>
      <c r="AV246" t="b">
        <v>1</v>
      </c>
      <c r="AW246" t="b">
        <v>1</v>
      </c>
      <c r="BC246" t="s">
        <v>374</v>
      </c>
    </row>
    <row r="247" spans="1:55" x14ac:dyDescent="0.2">
      <c r="A247" t="s">
        <v>39</v>
      </c>
      <c r="B247" t="s">
        <v>40</v>
      </c>
      <c r="C247">
        <v>20210101</v>
      </c>
      <c r="D247">
        <v>2021</v>
      </c>
      <c r="E247">
        <v>52</v>
      </c>
      <c r="F247" t="s">
        <v>333</v>
      </c>
      <c r="G247">
        <v>191</v>
      </c>
      <c r="H247" t="s">
        <v>108</v>
      </c>
      <c r="I247" t="s">
        <v>109</v>
      </c>
      <c r="J247" t="s">
        <v>44</v>
      </c>
      <c r="K247" t="s">
        <v>45</v>
      </c>
      <c r="L247">
        <v>0</v>
      </c>
      <c r="M247" t="s">
        <v>46</v>
      </c>
      <c r="N247" t="s">
        <v>47</v>
      </c>
      <c r="O247">
        <v>0</v>
      </c>
      <c r="P247" t="s">
        <v>46</v>
      </c>
      <c r="Q247" t="s">
        <v>47</v>
      </c>
      <c r="R247" t="s">
        <v>48</v>
      </c>
      <c r="S247" t="s">
        <v>49</v>
      </c>
      <c r="T247" t="b">
        <v>1</v>
      </c>
      <c r="U247" t="s">
        <v>50</v>
      </c>
      <c r="V247" t="s">
        <v>51</v>
      </c>
      <c r="W247">
        <v>4</v>
      </c>
      <c r="X247" t="b">
        <v>0</v>
      </c>
      <c r="Y247" t="s">
        <v>52</v>
      </c>
      <c r="Z247" t="s">
        <v>53</v>
      </c>
      <c r="AA247" t="s">
        <v>54</v>
      </c>
      <c r="AB247">
        <v>0</v>
      </c>
      <c r="AC247" t="s">
        <v>55</v>
      </c>
      <c r="AD247">
        <v>8</v>
      </c>
      <c r="AE247" t="s">
        <v>56</v>
      </c>
      <c r="AF247">
        <v>3420.596</v>
      </c>
      <c r="AG247" t="b">
        <v>0</v>
      </c>
      <c r="AH247">
        <v>15</v>
      </c>
      <c r="AI247" t="s">
        <v>59</v>
      </c>
      <c r="AJ247">
        <v>3420596.26</v>
      </c>
      <c r="AK247" t="b">
        <v>0</v>
      </c>
      <c r="AL247">
        <v>3427.83</v>
      </c>
      <c r="AM247" t="b">
        <v>0</v>
      </c>
      <c r="AN247">
        <v>0</v>
      </c>
      <c r="AO247" t="b">
        <v>0</v>
      </c>
      <c r="AP247">
        <v>0</v>
      </c>
      <c r="AQ247">
        <v>98653279</v>
      </c>
      <c r="AR247">
        <v>98653279</v>
      </c>
      <c r="AS247">
        <v>0</v>
      </c>
      <c r="AT247" t="b">
        <v>0</v>
      </c>
      <c r="AU247" t="b">
        <v>1</v>
      </c>
      <c r="AV247" t="b">
        <v>1</v>
      </c>
      <c r="AW247" t="b">
        <v>1</v>
      </c>
      <c r="BC247" t="s">
        <v>374</v>
      </c>
    </row>
    <row r="248" spans="1:55" x14ac:dyDescent="0.2">
      <c r="A248" t="s">
        <v>39</v>
      </c>
      <c r="B248" t="s">
        <v>40</v>
      </c>
      <c r="C248">
        <v>20210101</v>
      </c>
      <c r="D248">
        <v>2021</v>
      </c>
      <c r="E248">
        <v>52</v>
      </c>
      <c r="F248" t="s">
        <v>333</v>
      </c>
      <c r="G248">
        <v>196</v>
      </c>
      <c r="H248" t="s">
        <v>112</v>
      </c>
      <c r="I248" t="s">
        <v>113</v>
      </c>
      <c r="J248" t="s">
        <v>44</v>
      </c>
      <c r="K248" t="s">
        <v>45</v>
      </c>
      <c r="L248">
        <v>0</v>
      </c>
      <c r="M248" t="s">
        <v>46</v>
      </c>
      <c r="N248" t="s">
        <v>47</v>
      </c>
      <c r="O248">
        <v>0</v>
      </c>
      <c r="P248" t="s">
        <v>46</v>
      </c>
      <c r="Q248" t="s">
        <v>47</v>
      </c>
      <c r="R248" t="s">
        <v>48</v>
      </c>
      <c r="S248" t="s">
        <v>49</v>
      </c>
      <c r="T248" t="b">
        <v>1</v>
      </c>
      <c r="U248" t="s">
        <v>50</v>
      </c>
      <c r="V248" t="s">
        <v>51</v>
      </c>
      <c r="W248">
        <v>4</v>
      </c>
      <c r="X248" t="b">
        <v>0</v>
      </c>
      <c r="Y248" t="s">
        <v>52</v>
      </c>
      <c r="Z248" t="s">
        <v>53</v>
      </c>
      <c r="AA248" t="s">
        <v>54</v>
      </c>
      <c r="AB248">
        <v>0</v>
      </c>
      <c r="AC248" t="s">
        <v>55</v>
      </c>
      <c r="AD248">
        <v>-1</v>
      </c>
      <c r="AE248" t="s">
        <v>64</v>
      </c>
      <c r="AF248">
        <v>0</v>
      </c>
      <c r="AG248" t="b">
        <v>0</v>
      </c>
      <c r="AH248">
        <v>15</v>
      </c>
      <c r="AI248" t="s">
        <v>59</v>
      </c>
      <c r="AJ248">
        <v>366625</v>
      </c>
      <c r="AK248" t="b">
        <v>0</v>
      </c>
      <c r="AL248">
        <v>394</v>
      </c>
      <c r="AM248" t="b">
        <v>0</v>
      </c>
      <c r="AN248">
        <v>0</v>
      </c>
      <c r="AO248" t="b">
        <v>0</v>
      </c>
      <c r="AQ248">
        <v>19749662.629999999</v>
      </c>
      <c r="AR248">
        <v>19749662.629999999</v>
      </c>
      <c r="AS248">
        <v>0</v>
      </c>
      <c r="AT248" t="b">
        <v>0</v>
      </c>
      <c r="AU248" t="b">
        <v>1</v>
      </c>
      <c r="AV248" t="b">
        <v>1</v>
      </c>
      <c r="AW248" t="b">
        <v>1</v>
      </c>
      <c r="BC248" t="s">
        <v>374</v>
      </c>
    </row>
    <row r="249" spans="1:55" x14ac:dyDescent="0.2">
      <c r="A249" t="s">
        <v>39</v>
      </c>
      <c r="B249" t="s">
        <v>40</v>
      </c>
      <c r="C249">
        <v>20210101</v>
      </c>
      <c r="D249">
        <v>2021</v>
      </c>
      <c r="E249">
        <v>52</v>
      </c>
      <c r="F249" t="s">
        <v>333</v>
      </c>
      <c r="G249">
        <v>203</v>
      </c>
      <c r="H249" t="s">
        <v>114</v>
      </c>
      <c r="I249" t="s">
        <v>115</v>
      </c>
      <c r="J249" t="s">
        <v>44</v>
      </c>
      <c r="K249" t="s">
        <v>45</v>
      </c>
      <c r="L249">
        <v>0</v>
      </c>
      <c r="M249" t="s">
        <v>46</v>
      </c>
      <c r="N249" t="s">
        <v>47</v>
      </c>
      <c r="O249">
        <v>0</v>
      </c>
      <c r="P249" t="s">
        <v>46</v>
      </c>
      <c r="Q249" t="s">
        <v>47</v>
      </c>
      <c r="R249" t="s">
        <v>48</v>
      </c>
      <c r="S249" t="s">
        <v>49</v>
      </c>
      <c r="T249" t="b">
        <v>1</v>
      </c>
      <c r="U249" t="s">
        <v>50</v>
      </c>
      <c r="V249" t="s">
        <v>51</v>
      </c>
      <c r="W249">
        <v>4</v>
      </c>
      <c r="X249" t="b">
        <v>0</v>
      </c>
      <c r="Y249" t="s">
        <v>52</v>
      </c>
      <c r="Z249" t="s">
        <v>53</v>
      </c>
      <c r="AA249" t="s">
        <v>54</v>
      </c>
      <c r="AB249">
        <v>0</v>
      </c>
      <c r="AC249" t="s">
        <v>55</v>
      </c>
      <c r="AD249">
        <v>-1</v>
      </c>
      <c r="AE249" t="s">
        <v>64</v>
      </c>
      <c r="AF249">
        <v>0</v>
      </c>
      <c r="AG249" t="b">
        <v>0</v>
      </c>
      <c r="AH249">
        <v>-1</v>
      </c>
      <c r="AI249" t="s">
        <v>64</v>
      </c>
      <c r="AJ249">
        <v>0</v>
      </c>
      <c r="AK249" t="b">
        <v>0</v>
      </c>
      <c r="AL249">
        <v>0</v>
      </c>
      <c r="AM249" t="b">
        <v>0</v>
      </c>
      <c r="AN249">
        <v>0</v>
      </c>
      <c r="AO249" t="b">
        <v>0</v>
      </c>
      <c r="AP249">
        <v>0</v>
      </c>
      <c r="AQ249">
        <v>55630612</v>
      </c>
      <c r="AR249">
        <v>55630612</v>
      </c>
      <c r="AS249">
        <v>0</v>
      </c>
      <c r="AT249" t="b">
        <v>0</v>
      </c>
      <c r="AU249" t="b">
        <v>1</v>
      </c>
      <c r="AV249" t="b">
        <v>1</v>
      </c>
      <c r="AW249" t="b">
        <v>1</v>
      </c>
      <c r="BC249" t="s">
        <v>374</v>
      </c>
    </row>
    <row r="250" spans="1:55" x14ac:dyDescent="0.2">
      <c r="A250" t="s">
        <v>39</v>
      </c>
      <c r="B250" t="s">
        <v>40</v>
      </c>
      <c r="C250">
        <v>20210101</v>
      </c>
      <c r="D250">
        <v>2021</v>
      </c>
      <c r="E250">
        <v>52</v>
      </c>
      <c r="F250" t="s">
        <v>333</v>
      </c>
      <c r="G250">
        <v>204</v>
      </c>
      <c r="H250" t="s">
        <v>116</v>
      </c>
      <c r="I250" t="s">
        <v>117</v>
      </c>
      <c r="J250" t="s">
        <v>44</v>
      </c>
      <c r="K250" t="s">
        <v>45</v>
      </c>
      <c r="L250">
        <v>0</v>
      </c>
      <c r="M250" t="s">
        <v>46</v>
      </c>
      <c r="N250" t="s">
        <v>47</v>
      </c>
      <c r="O250">
        <v>0</v>
      </c>
      <c r="P250" t="s">
        <v>46</v>
      </c>
      <c r="Q250" t="s">
        <v>47</v>
      </c>
      <c r="R250" t="s">
        <v>48</v>
      </c>
      <c r="S250" t="s">
        <v>49</v>
      </c>
      <c r="T250" t="b">
        <v>1</v>
      </c>
      <c r="U250" t="s">
        <v>50</v>
      </c>
      <c r="V250" t="s">
        <v>51</v>
      </c>
      <c r="W250">
        <v>4</v>
      </c>
      <c r="X250" t="b">
        <v>0</v>
      </c>
      <c r="Y250" t="s">
        <v>52</v>
      </c>
      <c r="Z250" t="s">
        <v>53</v>
      </c>
      <c r="AA250" t="s">
        <v>54</v>
      </c>
      <c r="AB250">
        <v>0</v>
      </c>
      <c r="AC250" t="s">
        <v>55</v>
      </c>
      <c r="AD250">
        <v>-1</v>
      </c>
      <c r="AE250" t="s">
        <v>64</v>
      </c>
      <c r="AF250">
        <v>0</v>
      </c>
      <c r="AG250" t="b">
        <v>0</v>
      </c>
      <c r="AH250">
        <v>-1</v>
      </c>
      <c r="AI250" t="s">
        <v>64</v>
      </c>
      <c r="AJ250">
        <v>0</v>
      </c>
      <c r="AK250" t="b">
        <v>0</v>
      </c>
      <c r="AM250" t="b">
        <v>0</v>
      </c>
      <c r="AN250">
        <v>0</v>
      </c>
      <c r="AO250" t="b">
        <v>0</v>
      </c>
      <c r="AQ250">
        <v>15481736.687999999</v>
      </c>
      <c r="AR250">
        <v>15481736.687999999</v>
      </c>
      <c r="AS250">
        <v>0</v>
      </c>
      <c r="AT250" t="b">
        <v>0</v>
      </c>
      <c r="AU250" t="b">
        <v>1</v>
      </c>
      <c r="AV250" t="b">
        <v>1</v>
      </c>
      <c r="AW250" t="b">
        <v>1</v>
      </c>
      <c r="BC250" t="s">
        <v>374</v>
      </c>
    </row>
    <row r="251" spans="1:55" x14ac:dyDescent="0.2">
      <c r="A251" t="s">
        <v>39</v>
      </c>
      <c r="B251" t="s">
        <v>40</v>
      </c>
      <c r="C251">
        <v>20210101</v>
      </c>
      <c r="D251">
        <v>2021</v>
      </c>
      <c r="E251">
        <v>52</v>
      </c>
      <c r="F251" t="s">
        <v>333</v>
      </c>
      <c r="G251">
        <v>208</v>
      </c>
      <c r="H251" t="s">
        <v>118</v>
      </c>
      <c r="I251" t="s">
        <v>119</v>
      </c>
      <c r="J251" t="s">
        <v>44</v>
      </c>
      <c r="K251" t="s">
        <v>45</v>
      </c>
      <c r="L251">
        <v>0</v>
      </c>
      <c r="M251" t="s">
        <v>46</v>
      </c>
      <c r="N251" t="s">
        <v>47</v>
      </c>
      <c r="O251">
        <v>0</v>
      </c>
      <c r="P251" t="s">
        <v>46</v>
      </c>
      <c r="Q251" t="s">
        <v>47</v>
      </c>
      <c r="R251" t="s">
        <v>48</v>
      </c>
      <c r="S251" t="s">
        <v>49</v>
      </c>
      <c r="T251" t="b">
        <v>1</v>
      </c>
      <c r="U251" t="s">
        <v>50</v>
      </c>
      <c r="V251" t="s">
        <v>51</v>
      </c>
      <c r="W251">
        <v>4</v>
      </c>
      <c r="X251" t="b">
        <v>0</v>
      </c>
      <c r="Y251" t="s">
        <v>52</v>
      </c>
      <c r="Z251" t="s">
        <v>53</v>
      </c>
      <c r="AA251" t="s">
        <v>54</v>
      </c>
      <c r="AB251">
        <v>0</v>
      </c>
      <c r="AC251" t="s">
        <v>55</v>
      </c>
      <c r="AD251">
        <v>8</v>
      </c>
      <c r="AE251" t="s">
        <v>56</v>
      </c>
      <c r="AF251">
        <v>372.25700000000001</v>
      </c>
      <c r="AG251" t="b">
        <v>0</v>
      </c>
      <c r="AH251">
        <v>15</v>
      </c>
      <c r="AI251" t="s">
        <v>59</v>
      </c>
      <c r="AJ251">
        <v>372257</v>
      </c>
      <c r="AK251" t="b">
        <v>0</v>
      </c>
      <c r="AL251">
        <v>513.35400000000004</v>
      </c>
      <c r="AM251" t="b">
        <v>0</v>
      </c>
      <c r="AN251">
        <v>0</v>
      </c>
      <c r="AO251" t="b">
        <v>0</v>
      </c>
      <c r="AQ251">
        <v>19768026.693</v>
      </c>
      <c r="AR251">
        <v>19768026.693</v>
      </c>
      <c r="AS251">
        <v>0</v>
      </c>
      <c r="AT251" t="b">
        <v>0</v>
      </c>
      <c r="AU251" t="b">
        <v>1</v>
      </c>
      <c r="AV251" t="b">
        <v>1</v>
      </c>
      <c r="AW251" t="b">
        <v>1</v>
      </c>
      <c r="BC251" t="s">
        <v>374</v>
      </c>
    </row>
    <row r="252" spans="1:55" x14ac:dyDescent="0.2">
      <c r="A252" t="s">
        <v>39</v>
      </c>
      <c r="B252" t="s">
        <v>40</v>
      </c>
      <c r="C252">
        <v>20210101</v>
      </c>
      <c r="D252">
        <v>2021</v>
      </c>
      <c r="E252">
        <v>52</v>
      </c>
      <c r="F252" t="s">
        <v>333</v>
      </c>
      <c r="G252">
        <v>218</v>
      </c>
      <c r="H252" t="s">
        <v>122</v>
      </c>
      <c r="I252" t="s">
        <v>123</v>
      </c>
      <c r="J252" t="s">
        <v>44</v>
      </c>
      <c r="K252" t="s">
        <v>45</v>
      </c>
      <c r="L252">
        <v>0</v>
      </c>
      <c r="M252" t="s">
        <v>46</v>
      </c>
      <c r="N252" t="s">
        <v>47</v>
      </c>
      <c r="O252">
        <v>0</v>
      </c>
      <c r="P252" t="s">
        <v>46</v>
      </c>
      <c r="Q252" t="s">
        <v>47</v>
      </c>
      <c r="R252" t="s">
        <v>48</v>
      </c>
      <c r="S252" t="s">
        <v>49</v>
      </c>
      <c r="T252" t="b">
        <v>1</v>
      </c>
      <c r="U252" t="s">
        <v>50</v>
      </c>
      <c r="V252" t="s">
        <v>51</v>
      </c>
      <c r="W252">
        <v>4</v>
      </c>
      <c r="X252" t="b">
        <v>0</v>
      </c>
      <c r="Y252" t="s">
        <v>52</v>
      </c>
      <c r="Z252" t="s">
        <v>53</v>
      </c>
      <c r="AA252" t="s">
        <v>54</v>
      </c>
      <c r="AB252">
        <v>0</v>
      </c>
      <c r="AC252" t="s">
        <v>55</v>
      </c>
      <c r="AD252">
        <v>8</v>
      </c>
      <c r="AE252" t="s">
        <v>56</v>
      </c>
      <c r="AF252">
        <v>11718.527</v>
      </c>
      <c r="AG252" t="b">
        <v>0</v>
      </c>
      <c r="AH252">
        <v>8</v>
      </c>
      <c r="AI252" t="s">
        <v>56</v>
      </c>
      <c r="AJ252">
        <v>11718.527</v>
      </c>
      <c r="AK252" t="b">
        <v>0</v>
      </c>
      <c r="AL252">
        <v>11718.527</v>
      </c>
      <c r="AM252" t="b">
        <v>0</v>
      </c>
      <c r="AN252">
        <v>0</v>
      </c>
      <c r="AO252" t="b">
        <v>0</v>
      </c>
      <c r="AP252">
        <v>0</v>
      </c>
      <c r="AQ252">
        <v>572623466.29999995</v>
      </c>
      <c r="AR252">
        <v>572623466.29999995</v>
      </c>
      <c r="AS252">
        <v>0</v>
      </c>
      <c r="AT252" t="b">
        <v>0</v>
      </c>
      <c r="AU252" t="b">
        <v>1</v>
      </c>
      <c r="AV252" t="b">
        <v>1</v>
      </c>
      <c r="AW252" t="b">
        <v>1</v>
      </c>
      <c r="BC252" t="s">
        <v>374</v>
      </c>
    </row>
    <row r="253" spans="1:55" x14ac:dyDescent="0.2">
      <c r="A253" t="s">
        <v>39</v>
      </c>
      <c r="B253" t="s">
        <v>40</v>
      </c>
      <c r="C253">
        <v>20210101</v>
      </c>
      <c r="D253">
        <v>2021</v>
      </c>
      <c r="E253">
        <v>52</v>
      </c>
      <c r="F253" t="s">
        <v>333</v>
      </c>
      <c r="G253">
        <v>222</v>
      </c>
      <c r="H253" t="s">
        <v>319</v>
      </c>
      <c r="I253" t="s">
        <v>320</v>
      </c>
      <c r="J253" t="s">
        <v>44</v>
      </c>
      <c r="K253" t="s">
        <v>45</v>
      </c>
      <c r="L253">
        <v>0</v>
      </c>
      <c r="M253" t="s">
        <v>46</v>
      </c>
      <c r="N253" t="s">
        <v>47</v>
      </c>
      <c r="O253">
        <v>0</v>
      </c>
      <c r="P253" t="s">
        <v>46</v>
      </c>
      <c r="Q253" t="s">
        <v>47</v>
      </c>
      <c r="R253" t="s">
        <v>48</v>
      </c>
      <c r="S253" t="s">
        <v>49</v>
      </c>
      <c r="T253" t="b">
        <v>1</v>
      </c>
      <c r="U253" t="s">
        <v>50</v>
      </c>
      <c r="V253" t="s">
        <v>51</v>
      </c>
      <c r="W253">
        <v>4</v>
      </c>
      <c r="X253" t="b">
        <v>0</v>
      </c>
      <c r="Y253" t="s">
        <v>52</v>
      </c>
      <c r="Z253" t="s">
        <v>53</v>
      </c>
      <c r="AA253" t="s">
        <v>54</v>
      </c>
      <c r="AB253">
        <v>0</v>
      </c>
      <c r="AC253" t="s">
        <v>55</v>
      </c>
      <c r="AD253">
        <v>-1</v>
      </c>
      <c r="AE253" t="s">
        <v>64</v>
      </c>
      <c r="AF253">
        <v>0</v>
      </c>
      <c r="AG253" t="b">
        <v>0</v>
      </c>
      <c r="AH253">
        <v>-1</v>
      </c>
      <c r="AI253" t="s">
        <v>64</v>
      </c>
      <c r="AJ253">
        <v>0</v>
      </c>
      <c r="AK253" t="b">
        <v>0</v>
      </c>
      <c r="AL253">
        <v>0</v>
      </c>
      <c r="AM253" t="b">
        <v>0</v>
      </c>
      <c r="AN253">
        <v>0</v>
      </c>
      <c r="AO253" t="b">
        <v>0</v>
      </c>
      <c r="AP253">
        <v>0</v>
      </c>
      <c r="AQ253">
        <v>90949.5</v>
      </c>
      <c r="AR253">
        <v>90949.5</v>
      </c>
      <c r="AS253">
        <v>0</v>
      </c>
      <c r="AT253" t="b">
        <v>0</v>
      </c>
      <c r="AU253" t="b">
        <v>1</v>
      </c>
      <c r="AV253" t="b">
        <v>1</v>
      </c>
      <c r="AW253" t="b">
        <v>1</v>
      </c>
      <c r="BC253" t="s">
        <v>374</v>
      </c>
    </row>
    <row r="254" spans="1:55" x14ac:dyDescent="0.2">
      <c r="A254" t="s">
        <v>39</v>
      </c>
      <c r="B254" t="s">
        <v>40</v>
      </c>
      <c r="C254">
        <v>20210101</v>
      </c>
      <c r="D254">
        <v>2021</v>
      </c>
      <c r="E254">
        <v>52</v>
      </c>
      <c r="F254" t="s">
        <v>333</v>
      </c>
      <c r="G254">
        <v>233</v>
      </c>
      <c r="H254" t="s">
        <v>124</v>
      </c>
      <c r="I254" t="s">
        <v>125</v>
      </c>
      <c r="J254" t="s">
        <v>44</v>
      </c>
      <c r="K254" t="s">
        <v>45</v>
      </c>
      <c r="L254">
        <v>0</v>
      </c>
      <c r="M254" t="s">
        <v>46</v>
      </c>
      <c r="N254" t="s">
        <v>47</v>
      </c>
      <c r="O254">
        <v>0</v>
      </c>
      <c r="P254" t="s">
        <v>46</v>
      </c>
      <c r="Q254" t="s">
        <v>47</v>
      </c>
      <c r="R254" t="s">
        <v>48</v>
      </c>
      <c r="S254" t="s">
        <v>49</v>
      </c>
      <c r="T254" t="b">
        <v>1</v>
      </c>
      <c r="U254" t="s">
        <v>50</v>
      </c>
      <c r="V254" t="s">
        <v>51</v>
      </c>
      <c r="W254">
        <v>4</v>
      </c>
      <c r="X254" t="b">
        <v>0</v>
      </c>
      <c r="Y254" t="s">
        <v>52</v>
      </c>
      <c r="Z254" t="s">
        <v>53</v>
      </c>
      <c r="AA254" t="s">
        <v>54</v>
      </c>
      <c r="AB254">
        <v>0</v>
      </c>
      <c r="AC254" t="s">
        <v>55</v>
      </c>
      <c r="AD254">
        <v>8</v>
      </c>
      <c r="AE254" t="s">
        <v>56</v>
      </c>
      <c r="AF254">
        <v>2330.3090000000002</v>
      </c>
      <c r="AG254" t="b">
        <v>0</v>
      </c>
      <c r="AH254">
        <v>15</v>
      </c>
      <c r="AI254" t="s">
        <v>59</v>
      </c>
      <c r="AJ254">
        <v>2330309.0279999999</v>
      </c>
      <c r="AK254" t="b">
        <v>0</v>
      </c>
      <c r="AL254">
        <v>2330.317</v>
      </c>
      <c r="AM254" t="b">
        <v>0</v>
      </c>
      <c r="AN254">
        <v>0</v>
      </c>
      <c r="AO254" t="b">
        <v>0</v>
      </c>
      <c r="AQ254">
        <v>135102364.5</v>
      </c>
      <c r="AR254">
        <v>135102364.5</v>
      </c>
      <c r="AS254">
        <v>0</v>
      </c>
      <c r="AT254" t="b">
        <v>0</v>
      </c>
      <c r="AU254" t="b">
        <v>1</v>
      </c>
      <c r="AV254" t="b">
        <v>1</v>
      </c>
      <c r="AW254" t="b">
        <v>1</v>
      </c>
      <c r="BC254" t="s">
        <v>374</v>
      </c>
    </row>
    <row r="255" spans="1:55" x14ac:dyDescent="0.2">
      <c r="A255" t="s">
        <v>39</v>
      </c>
      <c r="B255" t="s">
        <v>40</v>
      </c>
      <c r="C255">
        <v>20210101</v>
      </c>
      <c r="D255">
        <v>2021</v>
      </c>
      <c r="E255">
        <v>52</v>
      </c>
      <c r="F255" t="s">
        <v>333</v>
      </c>
      <c r="G255">
        <v>242</v>
      </c>
      <c r="H255" t="s">
        <v>126</v>
      </c>
      <c r="I255" t="s">
        <v>127</v>
      </c>
      <c r="J255" t="s">
        <v>44</v>
      </c>
      <c r="K255" t="s">
        <v>45</v>
      </c>
      <c r="L255">
        <v>0</v>
      </c>
      <c r="M255" t="s">
        <v>46</v>
      </c>
      <c r="N255" t="s">
        <v>47</v>
      </c>
      <c r="O255">
        <v>0</v>
      </c>
      <c r="P255" t="s">
        <v>46</v>
      </c>
      <c r="Q255" t="s">
        <v>47</v>
      </c>
      <c r="R255" t="s">
        <v>48</v>
      </c>
      <c r="S255" t="s">
        <v>49</v>
      </c>
      <c r="T255" t="b">
        <v>1</v>
      </c>
      <c r="U255" t="s">
        <v>50</v>
      </c>
      <c r="V255" t="s">
        <v>51</v>
      </c>
      <c r="W255">
        <v>4</v>
      </c>
      <c r="X255" t="b">
        <v>0</v>
      </c>
      <c r="Y255" t="s">
        <v>52</v>
      </c>
      <c r="Z255" t="s">
        <v>53</v>
      </c>
      <c r="AA255" t="s">
        <v>54</v>
      </c>
      <c r="AB255">
        <v>0</v>
      </c>
      <c r="AC255" t="s">
        <v>55</v>
      </c>
      <c r="AD255">
        <v>8</v>
      </c>
      <c r="AE255" t="s">
        <v>56</v>
      </c>
      <c r="AF255">
        <v>1028.5899999999999</v>
      </c>
      <c r="AG255" t="b">
        <v>0</v>
      </c>
      <c r="AH255">
        <v>8</v>
      </c>
      <c r="AI255" t="s">
        <v>56</v>
      </c>
      <c r="AJ255">
        <v>1028.5899999999999</v>
      </c>
      <c r="AK255" t="b">
        <v>0</v>
      </c>
      <c r="AL255">
        <v>1028.5899999999999</v>
      </c>
      <c r="AM255" t="b">
        <v>0</v>
      </c>
      <c r="AN255">
        <v>0</v>
      </c>
      <c r="AO255" t="b">
        <v>0</v>
      </c>
      <c r="AP255">
        <v>0</v>
      </c>
      <c r="AQ255">
        <v>58357886.622000001</v>
      </c>
      <c r="AR255">
        <v>58357886.622000001</v>
      </c>
      <c r="AS255">
        <v>0</v>
      </c>
      <c r="AT255" t="b">
        <v>0</v>
      </c>
      <c r="AU255" t="b">
        <v>1</v>
      </c>
      <c r="AV255" t="b">
        <v>1</v>
      </c>
      <c r="AW255" t="b">
        <v>1</v>
      </c>
      <c r="BC255" t="s">
        <v>374</v>
      </c>
    </row>
    <row r="256" spans="1:55" x14ac:dyDescent="0.2">
      <c r="A256" t="s">
        <v>39</v>
      </c>
      <c r="B256" t="s">
        <v>40</v>
      </c>
      <c r="C256">
        <v>20210101</v>
      </c>
      <c r="D256">
        <v>2021</v>
      </c>
      <c r="E256">
        <v>52</v>
      </c>
      <c r="F256" t="s">
        <v>333</v>
      </c>
      <c r="G256">
        <v>246</v>
      </c>
      <c r="H256" t="s">
        <v>128</v>
      </c>
      <c r="I256" t="s">
        <v>129</v>
      </c>
      <c r="J256" t="s">
        <v>44</v>
      </c>
      <c r="K256" t="s">
        <v>45</v>
      </c>
      <c r="L256">
        <v>0</v>
      </c>
      <c r="M256" t="s">
        <v>46</v>
      </c>
      <c r="N256" t="s">
        <v>47</v>
      </c>
      <c r="O256">
        <v>0</v>
      </c>
      <c r="P256" t="s">
        <v>46</v>
      </c>
      <c r="Q256" t="s">
        <v>47</v>
      </c>
      <c r="R256" t="s">
        <v>48</v>
      </c>
      <c r="S256" t="s">
        <v>49</v>
      </c>
      <c r="T256" t="b">
        <v>1</v>
      </c>
      <c r="U256" t="s">
        <v>50</v>
      </c>
      <c r="V256" t="s">
        <v>51</v>
      </c>
      <c r="W256">
        <v>4</v>
      </c>
      <c r="X256" t="b">
        <v>0</v>
      </c>
      <c r="Y256" t="s">
        <v>52</v>
      </c>
      <c r="Z256" t="s">
        <v>53</v>
      </c>
      <c r="AA256" t="s">
        <v>54</v>
      </c>
      <c r="AB256">
        <v>0</v>
      </c>
      <c r="AC256" t="s">
        <v>55</v>
      </c>
      <c r="AD256">
        <v>8</v>
      </c>
      <c r="AE256" t="s">
        <v>56</v>
      </c>
      <c r="AF256">
        <v>243.02799999999999</v>
      </c>
      <c r="AG256" t="b">
        <v>1</v>
      </c>
      <c r="AH256">
        <v>-1</v>
      </c>
      <c r="AI256" t="s">
        <v>64</v>
      </c>
      <c r="AJ256">
        <v>0</v>
      </c>
      <c r="AK256" t="b">
        <v>0</v>
      </c>
      <c r="AL256">
        <v>256.25299999999999</v>
      </c>
      <c r="AM256" t="b">
        <v>1</v>
      </c>
      <c r="AN256">
        <v>0</v>
      </c>
      <c r="AO256" t="b">
        <v>0</v>
      </c>
      <c r="AP256">
        <v>0</v>
      </c>
      <c r="AQ256">
        <v>13717118.151000001</v>
      </c>
      <c r="AR256">
        <v>13717118.151000001</v>
      </c>
      <c r="AS256">
        <v>6</v>
      </c>
      <c r="AT256" t="b">
        <v>0</v>
      </c>
      <c r="AU256" t="b">
        <v>1</v>
      </c>
      <c r="AV256" t="b">
        <v>1</v>
      </c>
      <c r="AW256" t="b">
        <v>1</v>
      </c>
      <c r="BC256" t="s">
        <v>374</v>
      </c>
    </row>
    <row r="257" spans="1:55" x14ac:dyDescent="0.2">
      <c r="A257" t="s">
        <v>39</v>
      </c>
      <c r="B257" t="s">
        <v>40</v>
      </c>
      <c r="C257">
        <v>20210101</v>
      </c>
      <c r="D257">
        <v>2021</v>
      </c>
      <c r="E257">
        <v>52</v>
      </c>
      <c r="F257" t="s">
        <v>333</v>
      </c>
      <c r="G257">
        <v>251</v>
      </c>
      <c r="H257" t="s">
        <v>130</v>
      </c>
      <c r="I257" t="s">
        <v>131</v>
      </c>
      <c r="J257" t="s">
        <v>44</v>
      </c>
      <c r="K257" t="s">
        <v>45</v>
      </c>
      <c r="L257">
        <v>0</v>
      </c>
      <c r="M257" t="s">
        <v>46</v>
      </c>
      <c r="N257" t="s">
        <v>47</v>
      </c>
      <c r="O257">
        <v>0</v>
      </c>
      <c r="P257" t="s">
        <v>46</v>
      </c>
      <c r="Q257" t="s">
        <v>47</v>
      </c>
      <c r="R257" t="s">
        <v>48</v>
      </c>
      <c r="S257" t="s">
        <v>49</v>
      </c>
      <c r="T257" t="b">
        <v>1</v>
      </c>
      <c r="U257" t="s">
        <v>50</v>
      </c>
      <c r="V257" t="s">
        <v>51</v>
      </c>
      <c r="W257">
        <v>4</v>
      </c>
      <c r="X257" t="b">
        <v>0</v>
      </c>
      <c r="Y257" t="s">
        <v>52</v>
      </c>
      <c r="Z257" t="s">
        <v>53</v>
      </c>
      <c r="AA257" t="s">
        <v>54</v>
      </c>
      <c r="AB257">
        <v>0</v>
      </c>
      <c r="AC257" t="s">
        <v>55</v>
      </c>
      <c r="AD257">
        <v>-1</v>
      </c>
      <c r="AE257" t="s">
        <v>64</v>
      </c>
      <c r="AF257">
        <v>0</v>
      </c>
      <c r="AG257" t="b">
        <v>0</v>
      </c>
      <c r="AH257">
        <v>-1</v>
      </c>
      <c r="AI257" t="s">
        <v>64</v>
      </c>
      <c r="AJ257">
        <v>0</v>
      </c>
      <c r="AK257" t="b">
        <v>0</v>
      </c>
      <c r="AM257" t="b">
        <v>0</v>
      </c>
      <c r="AN257">
        <v>0</v>
      </c>
      <c r="AO257" t="b">
        <v>0</v>
      </c>
      <c r="AQ257">
        <v>1631159207.9389999</v>
      </c>
      <c r="AR257">
        <v>1631159207.9389999</v>
      </c>
      <c r="AS257">
        <v>0</v>
      </c>
      <c r="AT257" t="b">
        <v>0</v>
      </c>
      <c r="AU257" t="b">
        <v>1</v>
      </c>
      <c r="AV257" t="b">
        <v>1</v>
      </c>
      <c r="AW257" t="b">
        <v>1</v>
      </c>
      <c r="BC257" t="s">
        <v>374</v>
      </c>
    </row>
    <row r="258" spans="1:55" x14ac:dyDescent="0.2">
      <c r="A258" t="s">
        <v>39</v>
      </c>
      <c r="B258" t="s">
        <v>40</v>
      </c>
      <c r="C258">
        <v>20210101</v>
      </c>
      <c r="D258">
        <v>2021</v>
      </c>
      <c r="E258">
        <v>52</v>
      </c>
      <c r="F258" t="s">
        <v>333</v>
      </c>
      <c r="G258">
        <v>258</v>
      </c>
      <c r="H258" t="s">
        <v>132</v>
      </c>
      <c r="I258" t="s">
        <v>133</v>
      </c>
      <c r="J258" t="s">
        <v>44</v>
      </c>
      <c r="K258" t="s">
        <v>45</v>
      </c>
      <c r="L258">
        <v>0</v>
      </c>
      <c r="M258" t="s">
        <v>46</v>
      </c>
      <c r="N258" t="s">
        <v>47</v>
      </c>
      <c r="O258">
        <v>0</v>
      </c>
      <c r="P258" t="s">
        <v>46</v>
      </c>
      <c r="Q258" t="s">
        <v>47</v>
      </c>
      <c r="R258" t="s">
        <v>48</v>
      </c>
      <c r="S258" t="s">
        <v>49</v>
      </c>
      <c r="T258" t="b">
        <v>1</v>
      </c>
      <c r="U258" t="s">
        <v>50</v>
      </c>
      <c r="V258" t="s">
        <v>51</v>
      </c>
      <c r="W258">
        <v>4</v>
      </c>
      <c r="X258" t="b">
        <v>0</v>
      </c>
      <c r="Y258" t="s">
        <v>52</v>
      </c>
      <c r="Z258" t="s">
        <v>53</v>
      </c>
      <c r="AA258" t="s">
        <v>54</v>
      </c>
      <c r="AB258">
        <v>0</v>
      </c>
      <c r="AC258" t="s">
        <v>55</v>
      </c>
      <c r="AD258">
        <v>8</v>
      </c>
      <c r="AE258" t="s">
        <v>56</v>
      </c>
      <c r="AF258">
        <v>16.366</v>
      </c>
      <c r="AG258" t="b">
        <v>0</v>
      </c>
      <c r="AH258">
        <v>15</v>
      </c>
      <c r="AI258" t="s">
        <v>59</v>
      </c>
      <c r="AJ258">
        <v>16366</v>
      </c>
      <c r="AK258" t="b">
        <v>0</v>
      </c>
      <c r="AL258">
        <v>16.366</v>
      </c>
      <c r="AM258" t="b">
        <v>0</v>
      </c>
      <c r="AN258">
        <v>0</v>
      </c>
      <c r="AO258" t="b">
        <v>0</v>
      </c>
      <c r="AQ258">
        <v>448656.37199999997</v>
      </c>
      <c r="AR258">
        <v>448656.37199999997</v>
      </c>
      <c r="AS258">
        <v>0</v>
      </c>
      <c r="AT258" t="b">
        <v>0</v>
      </c>
      <c r="AU258" t="b">
        <v>1</v>
      </c>
      <c r="AV258" t="b">
        <v>1</v>
      </c>
      <c r="AW258" t="b">
        <v>1</v>
      </c>
      <c r="BC258" t="s">
        <v>374</v>
      </c>
    </row>
    <row r="259" spans="1:55" x14ac:dyDescent="0.2">
      <c r="A259" t="s">
        <v>39</v>
      </c>
      <c r="B259" t="s">
        <v>40</v>
      </c>
      <c r="C259">
        <v>20210101</v>
      </c>
      <c r="D259">
        <v>2021</v>
      </c>
      <c r="E259">
        <v>52</v>
      </c>
      <c r="F259" t="s">
        <v>333</v>
      </c>
      <c r="G259">
        <v>266</v>
      </c>
      <c r="H259" t="s">
        <v>134</v>
      </c>
      <c r="I259" t="s">
        <v>135</v>
      </c>
      <c r="J259" t="s">
        <v>44</v>
      </c>
      <c r="K259" t="s">
        <v>45</v>
      </c>
      <c r="L259">
        <v>0</v>
      </c>
      <c r="M259" t="s">
        <v>46</v>
      </c>
      <c r="N259" t="s">
        <v>47</v>
      </c>
      <c r="O259">
        <v>0</v>
      </c>
      <c r="P259" t="s">
        <v>46</v>
      </c>
      <c r="Q259" t="s">
        <v>47</v>
      </c>
      <c r="R259" t="s">
        <v>48</v>
      </c>
      <c r="S259" t="s">
        <v>49</v>
      </c>
      <c r="T259" t="b">
        <v>1</v>
      </c>
      <c r="U259" t="s">
        <v>50</v>
      </c>
      <c r="V259" t="s">
        <v>51</v>
      </c>
      <c r="W259">
        <v>4</v>
      </c>
      <c r="X259" t="b">
        <v>0</v>
      </c>
      <c r="Y259" t="s">
        <v>52</v>
      </c>
      <c r="Z259" t="s">
        <v>53</v>
      </c>
      <c r="AA259" t="s">
        <v>54</v>
      </c>
      <c r="AB259">
        <v>0</v>
      </c>
      <c r="AC259" t="s">
        <v>55</v>
      </c>
      <c r="AD259">
        <v>8</v>
      </c>
      <c r="AE259" t="s">
        <v>56</v>
      </c>
      <c r="AF259">
        <v>219</v>
      </c>
      <c r="AG259" t="b">
        <v>0</v>
      </c>
      <c r="AH259">
        <v>8</v>
      </c>
      <c r="AI259" t="s">
        <v>56</v>
      </c>
      <c r="AJ259">
        <v>219</v>
      </c>
      <c r="AK259" t="b">
        <v>0</v>
      </c>
      <c r="AL259">
        <v>219</v>
      </c>
      <c r="AM259" t="b">
        <v>0</v>
      </c>
      <c r="AN259">
        <v>0</v>
      </c>
      <c r="AO259" t="b">
        <v>0</v>
      </c>
      <c r="AQ259">
        <v>15187002.516000001</v>
      </c>
      <c r="AR259">
        <v>15187002.516000001</v>
      </c>
      <c r="AS259">
        <v>0</v>
      </c>
      <c r="AT259" t="b">
        <v>0</v>
      </c>
      <c r="AU259" t="b">
        <v>1</v>
      </c>
      <c r="AV259" t="b">
        <v>1</v>
      </c>
      <c r="AW259" t="b">
        <v>1</v>
      </c>
      <c r="BC259" t="s">
        <v>374</v>
      </c>
    </row>
    <row r="260" spans="1:55" x14ac:dyDescent="0.2">
      <c r="A260" t="s">
        <v>39</v>
      </c>
      <c r="B260" t="s">
        <v>40</v>
      </c>
      <c r="C260">
        <v>20210101</v>
      </c>
      <c r="D260">
        <v>2021</v>
      </c>
      <c r="E260">
        <v>52</v>
      </c>
      <c r="F260" t="s">
        <v>333</v>
      </c>
      <c r="G260">
        <v>268</v>
      </c>
      <c r="H260" t="s">
        <v>137</v>
      </c>
      <c r="I260" t="s">
        <v>138</v>
      </c>
      <c r="J260" t="s">
        <v>44</v>
      </c>
      <c r="K260" t="s">
        <v>45</v>
      </c>
      <c r="L260">
        <v>0</v>
      </c>
      <c r="M260" t="s">
        <v>46</v>
      </c>
      <c r="N260" t="s">
        <v>47</v>
      </c>
      <c r="O260">
        <v>0</v>
      </c>
      <c r="P260" t="s">
        <v>46</v>
      </c>
      <c r="Q260" t="s">
        <v>47</v>
      </c>
      <c r="R260" t="s">
        <v>48</v>
      </c>
      <c r="S260" t="s">
        <v>49</v>
      </c>
      <c r="T260" t="b">
        <v>1</v>
      </c>
      <c r="U260" t="s">
        <v>50</v>
      </c>
      <c r="V260" t="s">
        <v>51</v>
      </c>
      <c r="W260">
        <v>4</v>
      </c>
      <c r="X260" t="b">
        <v>0</v>
      </c>
      <c r="Y260" t="s">
        <v>52</v>
      </c>
      <c r="Z260" t="s">
        <v>53</v>
      </c>
      <c r="AA260" t="s">
        <v>54</v>
      </c>
      <c r="AB260">
        <v>0</v>
      </c>
      <c r="AC260" t="s">
        <v>55</v>
      </c>
      <c r="AD260">
        <v>8</v>
      </c>
      <c r="AE260" t="s">
        <v>56</v>
      </c>
      <c r="AF260">
        <v>2106.5709999999999</v>
      </c>
      <c r="AG260" t="b">
        <v>0</v>
      </c>
      <c r="AH260">
        <v>15</v>
      </c>
      <c r="AI260" t="s">
        <v>59</v>
      </c>
      <c r="AJ260">
        <v>2106571</v>
      </c>
      <c r="AK260" t="b">
        <v>0</v>
      </c>
      <c r="AL260">
        <v>2106.52</v>
      </c>
      <c r="AM260" t="b">
        <v>0</v>
      </c>
      <c r="AN260">
        <v>0</v>
      </c>
      <c r="AO260" t="b">
        <v>0</v>
      </c>
      <c r="AQ260">
        <v>64220323.310000002</v>
      </c>
      <c r="AR260">
        <v>64220323.310000002</v>
      </c>
      <c r="AS260">
        <v>0</v>
      </c>
      <c r="AT260" t="b">
        <v>0</v>
      </c>
      <c r="AU260" t="b">
        <v>1</v>
      </c>
      <c r="AV260" t="b">
        <v>1</v>
      </c>
      <c r="AW260" t="b">
        <v>1</v>
      </c>
      <c r="BC260" t="s">
        <v>374</v>
      </c>
    </row>
    <row r="261" spans="1:55" x14ac:dyDescent="0.2">
      <c r="A261" t="s">
        <v>39</v>
      </c>
      <c r="B261" t="s">
        <v>40</v>
      </c>
      <c r="C261">
        <v>20210101</v>
      </c>
      <c r="D261">
        <v>2021</v>
      </c>
      <c r="E261">
        <v>52</v>
      </c>
      <c r="F261" t="s">
        <v>333</v>
      </c>
      <c r="G261">
        <v>300</v>
      </c>
      <c r="H261" t="s">
        <v>143</v>
      </c>
      <c r="I261" t="s">
        <v>144</v>
      </c>
      <c r="J261" t="s">
        <v>44</v>
      </c>
      <c r="K261" t="s">
        <v>45</v>
      </c>
      <c r="L261">
        <v>0</v>
      </c>
      <c r="M261" t="s">
        <v>46</v>
      </c>
      <c r="N261" t="s">
        <v>47</v>
      </c>
      <c r="O261">
        <v>0</v>
      </c>
      <c r="P261" t="s">
        <v>46</v>
      </c>
      <c r="Q261" t="s">
        <v>47</v>
      </c>
      <c r="R261" t="s">
        <v>48</v>
      </c>
      <c r="S261" t="s">
        <v>49</v>
      </c>
      <c r="T261" t="b">
        <v>1</v>
      </c>
      <c r="U261" t="s">
        <v>50</v>
      </c>
      <c r="V261" t="s">
        <v>51</v>
      </c>
      <c r="W261">
        <v>4</v>
      </c>
      <c r="X261" t="b">
        <v>0</v>
      </c>
      <c r="Y261" t="s">
        <v>52</v>
      </c>
      <c r="Z261" t="s">
        <v>53</v>
      </c>
      <c r="AA261" t="s">
        <v>54</v>
      </c>
      <c r="AB261">
        <v>0</v>
      </c>
      <c r="AC261" t="s">
        <v>55</v>
      </c>
      <c r="AD261">
        <v>-1</v>
      </c>
      <c r="AE261" t="s">
        <v>64</v>
      </c>
      <c r="AF261">
        <v>0</v>
      </c>
      <c r="AG261" t="b">
        <v>0</v>
      </c>
      <c r="AH261">
        <v>15</v>
      </c>
      <c r="AI261" t="s">
        <v>59</v>
      </c>
      <c r="AJ261">
        <v>478235</v>
      </c>
      <c r="AK261" t="b">
        <v>0</v>
      </c>
      <c r="AL261">
        <v>492</v>
      </c>
      <c r="AM261" t="b">
        <v>0</v>
      </c>
      <c r="AN261">
        <v>0</v>
      </c>
      <c r="AO261" t="b">
        <v>0</v>
      </c>
      <c r="AP261">
        <v>0</v>
      </c>
      <c r="AQ261">
        <v>17651100.478</v>
      </c>
      <c r="AR261">
        <v>17651100.478</v>
      </c>
      <c r="AS261">
        <v>0</v>
      </c>
      <c r="AT261" t="b">
        <v>0</v>
      </c>
      <c r="AU261" t="b">
        <v>1</v>
      </c>
      <c r="AV261" t="b">
        <v>1</v>
      </c>
      <c r="AW261" t="b">
        <v>1</v>
      </c>
      <c r="BC261" t="s">
        <v>374</v>
      </c>
    </row>
    <row r="262" spans="1:55" x14ac:dyDescent="0.2">
      <c r="A262" t="s">
        <v>39</v>
      </c>
      <c r="B262" t="s">
        <v>40</v>
      </c>
      <c r="C262">
        <v>20210101</v>
      </c>
      <c r="D262">
        <v>2021</v>
      </c>
      <c r="E262">
        <v>52</v>
      </c>
      <c r="F262" t="s">
        <v>333</v>
      </c>
      <c r="G262">
        <v>320</v>
      </c>
      <c r="H262" t="s">
        <v>321</v>
      </c>
      <c r="I262" t="s">
        <v>322</v>
      </c>
      <c r="J262" t="s">
        <v>44</v>
      </c>
      <c r="K262" t="s">
        <v>45</v>
      </c>
      <c r="L262">
        <v>0</v>
      </c>
      <c r="M262" t="s">
        <v>46</v>
      </c>
      <c r="N262" t="s">
        <v>47</v>
      </c>
      <c r="O262">
        <v>0</v>
      </c>
      <c r="P262" t="s">
        <v>46</v>
      </c>
      <c r="Q262" t="s">
        <v>47</v>
      </c>
      <c r="R262" t="s">
        <v>48</v>
      </c>
      <c r="S262" t="s">
        <v>49</v>
      </c>
      <c r="T262" t="b">
        <v>1</v>
      </c>
      <c r="U262" t="s">
        <v>50</v>
      </c>
      <c r="V262" t="s">
        <v>51</v>
      </c>
      <c r="W262">
        <v>4</v>
      </c>
      <c r="X262" t="b">
        <v>0</v>
      </c>
      <c r="Y262" t="s">
        <v>52</v>
      </c>
      <c r="Z262" t="s">
        <v>53</v>
      </c>
      <c r="AA262" t="s">
        <v>54</v>
      </c>
      <c r="AB262">
        <v>0</v>
      </c>
      <c r="AC262" t="s">
        <v>55</v>
      </c>
      <c r="AD262">
        <v>-1</v>
      </c>
      <c r="AE262" t="s">
        <v>64</v>
      </c>
      <c r="AF262">
        <v>0</v>
      </c>
      <c r="AG262" t="b">
        <v>1</v>
      </c>
      <c r="AH262">
        <v>-1</v>
      </c>
      <c r="AI262" t="s">
        <v>64</v>
      </c>
      <c r="AJ262">
        <v>0</v>
      </c>
      <c r="AK262" t="b">
        <v>0</v>
      </c>
      <c r="AL262">
        <v>0</v>
      </c>
      <c r="AM262" t="b">
        <v>1</v>
      </c>
      <c r="AN262">
        <v>0</v>
      </c>
      <c r="AO262" t="b">
        <v>0</v>
      </c>
      <c r="AP262">
        <v>0</v>
      </c>
      <c r="AQ262">
        <v>7300</v>
      </c>
      <c r="AR262">
        <v>7300</v>
      </c>
      <c r="AS262">
        <v>6</v>
      </c>
      <c r="AT262" t="b">
        <v>0</v>
      </c>
      <c r="AU262" t="b">
        <v>1</v>
      </c>
      <c r="AV262" t="b">
        <v>1</v>
      </c>
      <c r="AW262" t="b">
        <v>1</v>
      </c>
      <c r="BC262" t="s">
        <v>374</v>
      </c>
    </row>
    <row r="263" spans="1:55" x14ac:dyDescent="0.2">
      <c r="A263" t="s">
        <v>39</v>
      </c>
      <c r="B263" t="s">
        <v>40</v>
      </c>
      <c r="C263">
        <v>20210101</v>
      </c>
      <c r="D263">
        <v>2021</v>
      </c>
      <c r="E263">
        <v>52</v>
      </c>
      <c r="F263" t="s">
        <v>333</v>
      </c>
      <c r="G263">
        <v>328</v>
      </c>
      <c r="H263" t="s">
        <v>145</v>
      </c>
      <c r="I263" t="s">
        <v>146</v>
      </c>
      <c r="J263" t="s">
        <v>44</v>
      </c>
      <c r="K263" t="s">
        <v>45</v>
      </c>
      <c r="L263">
        <v>0</v>
      </c>
      <c r="M263" t="s">
        <v>46</v>
      </c>
      <c r="N263" t="s">
        <v>47</v>
      </c>
      <c r="O263">
        <v>0</v>
      </c>
      <c r="P263" t="s">
        <v>46</v>
      </c>
      <c r="Q263" t="s">
        <v>47</v>
      </c>
      <c r="R263" t="s">
        <v>48</v>
      </c>
      <c r="S263" t="s">
        <v>49</v>
      </c>
      <c r="T263" t="b">
        <v>1</v>
      </c>
      <c r="U263" t="s">
        <v>50</v>
      </c>
      <c r="V263" t="s">
        <v>51</v>
      </c>
      <c r="W263">
        <v>4</v>
      </c>
      <c r="X263" t="b">
        <v>0</v>
      </c>
      <c r="Y263" t="s">
        <v>52</v>
      </c>
      <c r="Z263" t="s">
        <v>53</v>
      </c>
      <c r="AA263" t="s">
        <v>54</v>
      </c>
      <c r="AB263">
        <v>0</v>
      </c>
      <c r="AC263" t="s">
        <v>55</v>
      </c>
      <c r="AD263">
        <v>8</v>
      </c>
      <c r="AE263" t="s">
        <v>56</v>
      </c>
      <c r="AF263">
        <v>31278.52</v>
      </c>
      <c r="AG263" t="b">
        <v>0</v>
      </c>
      <c r="AH263">
        <v>8</v>
      </c>
      <c r="AI263" t="s">
        <v>56</v>
      </c>
      <c r="AJ263">
        <v>31278.52</v>
      </c>
      <c r="AK263" t="b">
        <v>0</v>
      </c>
      <c r="AL263">
        <v>31278.52</v>
      </c>
      <c r="AM263" t="b">
        <v>0</v>
      </c>
      <c r="AN263">
        <v>0</v>
      </c>
      <c r="AO263" t="b">
        <v>0</v>
      </c>
      <c r="AQ263">
        <v>1712481569.2980001</v>
      </c>
      <c r="AR263">
        <v>1712481569.2980001</v>
      </c>
      <c r="AS263">
        <v>0</v>
      </c>
      <c r="AT263" t="b">
        <v>0</v>
      </c>
      <c r="AU263" t="b">
        <v>1</v>
      </c>
      <c r="AV263" t="b">
        <v>1</v>
      </c>
      <c r="AW263" t="b">
        <v>1</v>
      </c>
      <c r="BC263" t="s">
        <v>374</v>
      </c>
    </row>
    <row r="264" spans="1:55" x14ac:dyDescent="0.2">
      <c r="A264" t="s">
        <v>39</v>
      </c>
      <c r="B264" t="s">
        <v>40</v>
      </c>
      <c r="C264">
        <v>20210101</v>
      </c>
      <c r="D264">
        <v>2021</v>
      </c>
      <c r="E264">
        <v>52</v>
      </c>
      <c r="F264" t="s">
        <v>333</v>
      </c>
      <c r="G264">
        <v>340</v>
      </c>
      <c r="H264" t="s">
        <v>147</v>
      </c>
      <c r="I264" t="s">
        <v>148</v>
      </c>
      <c r="J264" t="s">
        <v>44</v>
      </c>
      <c r="K264" t="s">
        <v>45</v>
      </c>
      <c r="L264">
        <v>0</v>
      </c>
      <c r="M264" t="s">
        <v>46</v>
      </c>
      <c r="N264" t="s">
        <v>47</v>
      </c>
      <c r="O264">
        <v>0</v>
      </c>
      <c r="P264" t="s">
        <v>46</v>
      </c>
      <c r="Q264" t="s">
        <v>47</v>
      </c>
      <c r="R264" t="s">
        <v>48</v>
      </c>
      <c r="S264" t="s">
        <v>49</v>
      </c>
      <c r="T264" t="b">
        <v>1</v>
      </c>
      <c r="U264" t="s">
        <v>50</v>
      </c>
      <c r="V264" t="s">
        <v>51</v>
      </c>
      <c r="W264">
        <v>4</v>
      </c>
      <c r="X264" t="b">
        <v>0</v>
      </c>
      <c r="Y264" t="s">
        <v>52</v>
      </c>
      <c r="Z264" t="s">
        <v>53</v>
      </c>
      <c r="AA264" t="s">
        <v>54</v>
      </c>
      <c r="AB264">
        <v>0</v>
      </c>
      <c r="AC264" t="s">
        <v>55</v>
      </c>
      <c r="AD264">
        <v>8</v>
      </c>
      <c r="AE264" t="s">
        <v>56</v>
      </c>
      <c r="AF264">
        <v>3288.63</v>
      </c>
      <c r="AG264" t="b">
        <v>0</v>
      </c>
      <c r="AH264">
        <v>8</v>
      </c>
      <c r="AI264" t="s">
        <v>56</v>
      </c>
      <c r="AJ264">
        <v>3288.63</v>
      </c>
      <c r="AK264" t="b">
        <v>0</v>
      </c>
      <c r="AL264">
        <v>3288.63</v>
      </c>
      <c r="AM264" t="b">
        <v>0</v>
      </c>
      <c r="AN264">
        <v>0</v>
      </c>
      <c r="AO264" t="b">
        <v>0</v>
      </c>
      <c r="AP264">
        <v>0</v>
      </c>
      <c r="AQ264">
        <v>163069545.97</v>
      </c>
      <c r="AR264">
        <v>163069545.97</v>
      </c>
      <c r="AS264">
        <v>0</v>
      </c>
      <c r="AT264" t="b">
        <v>0</v>
      </c>
      <c r="AU264" t="b">
        <v>1</v>
      </c>
      <c r="AV264" t="b">
        <v>1</v>
      </c>
      <c r="AW264" t="b">
        <v>1</v>
      </c>
      <c r="BC264" t="s">
        <v>374</v>
      </c>
    </row>
    <row r="265" spans="1:55" x14ac:dyDescent="0.2">
      <c r="A265" t="s">
        <v>39</v>
      </c>
      <c r="B265" t="s">
        <v>40</v>
      </c>
      <c r="C265">
        <v>20210101</v>
      </c>
      <c r="D265">
        <v>2021</v>
      </c>
      <c r="E265">
        <v>52</v>
      </c>
      <c r="F265" t="s">
        <v>333</v>
      </c>
      <c r="G265">
        <v>348</v>
      </c>
      <c r="H265" t="s">
        <v>151</v>
      </c>
      <c r="I265" t="s">
        <v>152</v>
      </c>
      <c r="J265" t="s">
        <v>44</v>
      </c>
      <c r="K265" t="s">
        <v>45</v>
      </c>
      <c r="L265">
        <v>0</v>
      </c>
      <c r="M265" t="s">
        <v>46</v>
      </c>
      <c r="N265" t="s">
        <v>47</v>
      </c>
      <c r="O265">
        <v>0</v>
      </c>
      <c r="P265" t="s">
        <v>46</v>
      </c>
      <c r="Q265" t="s">
        <v>47</v>
      </c>
      <c r="R265" t="s">
        <v>48</v>
      </c>
      <c r="S265" t="s">
        <v>49</v>
      </c>
      <c r="T265" t="b">
        <v>1</v>
      </c>
      <c r="U265" t="s">
        <v>50</v>
      </c>
      <c r="V265" t="s">
        <v>51</v>
      </c>
      <c r="W265">
        <v>4</v>
      </c>
      <c r="X265" t="b">
        <v>0</v>
      </c>
      <c r="Y265" t="s">
        <v>52</v>
      </c>
      <c r="Z265" t="s">
        <v>53</v>
      </c>
      <c r="AA265" t="s">
        <v>54</v>
      </c>
      <c r="AB265">
        <v>0</v>
      </c>
      <c r="AC265" t="s">
        <v>55</v>
      </c>
      <c r="AD265">
        <v>-1</v>
      </c>
      <c r="AE265" t="s">
        <v>64</v>
      </c>
      <c r="AF265">
        <v>0</v>
      </c>
      <c r="AG265" t="b">
        <v>0</v>
      </c>
      <c r="AH265">
        <v>-1</v>
      </c>
      <c r="AI265" t="s">
        <v>64</v>
      </c>
      <c r="AJ265">
        <v>0</v>
      </c>
      <c r="AK265" t="b">
        <v>0</v>
      </c>
      <c r="AL265">
        <v>0</v>
      </c>
      <c r="AM265" t="b">
        <v>0</v>
      </c>
      <c r="AN265">
        <v>0</v>
      </c>
      <c r="AO265" t="b">
        <v>0</v>
      </c>
      <c r="AP265">
        <v>0</v>
      </c>
      <c r="AQ265">
        <v>57865289</v>
      </c>
      <c r="AR265">
        <v>57865289</v>
      </c>
      <c r="AS265">
        <v>0</v>
      </c>
      <c r="AT265" t="b">
        <v>0</v>
      </c>
      <c r="AU265" t="b">
        <v>1</v>
      </c>
      <c r="AV265" t="b">
        <v>1</v>
      </c>
      <c r="AW265" t="b">
        <v>1</v>
      </c>
      <c r="BC265" t="s">
        <v>374</v>
      </c>
    </row>
    <row r="266" spans="1:55" x14ac:dyDescent="0.2">
      <c r="A266" t="s">
        <v>39</v>
      </c>
      <c r="B266" t="s">
        <v>40</v>
      </c>
      <c r="C266">
        <v>20210101</v>
      </c>
      <c r="D266">
        <v>2021</v>
      </c>
      <c r="E266">
        <v>52</v>
      </c>
      <c r="F266" t="s">
        <v>333</v>
      </c>
      <c r="G266">
        <v>352</v>
      </c>
      <c r="H266" t="s">
        <v>153</v>
      </c>
      <c r="I266" t="s">
        <v>154</v>
      </c>
      <c r="J266" t="s">
        <v>44</v>
      </c>
      <c r="K266" t="s">
        <v>45</v>
      </c>
      <c r="L266">
        <v>0</v>
      </c>
      <c r="M266" t="s">
        <v>46</v>
      </c>
      <c r="N266" t="s">
        <v>47</v>
      </c>
      <c r="O266">
        <v>0</v>
      </c>
      <c r="P266" t="s">
        <v>46</v>
      </c>
      <c r="Q266" t="s">
        <v>47</v>
      </c>
      <c r="R266" t="s">
        <v>48</v>
      </c>
      <c r="S266" t="s">
        <v>49</v>
      </c>
      <c r="T266" t="b">
        <v>1</v>
      </c>
      <c r="U266" t="s">
        <v>50</v>
      </c>
      <c r="V266" t="s">
        <v>51</v>
      </c>
      <c r="W266">
        <v>4</v>
      </c>
      <c r="X266" t="b">
        <v>0</v>
      </c>
      <c r="Y266" t="s">
        <v>52</v>
      </c>
      <c r="Z266" t="s">
        <v>53</v>
      </c>
      <c r="AA266" t="s">
        <v>54</v>
      </c>
      <c r="AB266">
        <v>0</v>
      </c>
      <c r="AC266" t="s">
        <v>55</v>
      </c>
      <c r="AD266">
        <v>8</v>
      </c>
      <c r="AE266" t="s">
        <v>56</v>
      </c>
      <c r="AF266">
        <v>2.4529999999999998</v>
      </c>
      <c r="AG266" t="b">
        <v>1</v>
      </c>
      <c r="AH266">
        <v>-1</v>
      </c>
      <c r="AI266" t="s">
        <v>64</v>
      </c>
      <c r="AJ266">
        <v>0</v>
      </c>
      <c r="AK266" t="b">
        <v>0</v>
      </c>
      <c r="AL266">
        <v>2.4529999999999998</v>
      </c>
      <c r="AM266" t="b">
        <v>1</v>
      </c>
      <c r="AN266">
        <v>0</v>
      </c>
      <c r="AO266" t="b">
        <v>0</v>
      </c>
      <c r="AP266">
        <v>0</v>
      </c>
      <c r="AQ266">
        <v>138105.18100000001</v>
      </c>
      <c r="AR266">
        <v>138105.18100000001</v>
      </c>
      <c r="AS266">
        <v>6</v>
      </c>
      <c r="AT266" t="b">
        <v>0</v>
      </c>
      <c r="AU266" t="b">
        <v>1</v>
      </c>
      <c r="AV266" t="b">
        <v>1</v>
      </c>
      <c r="AW266" t="b">
        <v>1</v>
      </c>
      <c r="BC266" t="s">
        <v>374</v>
      </c>
    </row>
    <row r="267" spans="1:55" x14ac:dyDescent="0.2">
      <c r="A267" t="s">
        <v>39</v>
      </c>
      <c r="B267" t="s">
        <v>40</v>
      </c>
      <c r="C267">
        <v>20210101</v>
      </c>
      <c r="D267">
        <v>2021</v>
      </c>
      <c r="E267">
        <v>52</v>
      </c>
      <c r="F267" t="s">
        <v>333</v>
      </c>
      <c r="G267">
        <v>360</v>
      </c>
      <c r="H267" t="s">
        <v>155</v>
      </c>
      <c r="I267" t="s">
        <v>156</v>
      </c>
      <c r="J267" t="s">
        <v>44</v>
      </c>
      <c r="K267" t="s">
        <v>45</v>
      </c>
      <c r="L267">
        <v>0</v>
      </c>
      <c r="M267" t="s">
        <v>46</v>
      </c>
      <c r="N267" t="s">
        <v>47</v>
      </c>
      <c r="O267">
        <v>0</v>
      </c>
      <c r="P267" t="s">
        <v>46</v>
      </c>
      <c r="Q267" t="s">
        <v>47</v>
      </c>
      <c r="R267" t="s">
        <v>48</v>
      </c>
      <c r="S267" t="s">
        <v>49</v>
      </c>
      <c r="T267" t="b">
        <v>1</v>
      </c>
      <c r="U267" t="s">
        <v>50</v>
      </c>
      <c r="V267" t="s">
        <v>51</v>
      </c>
      <c r="W267">
        <v>4</v>
      </c>
      <c r="X267" t="b">
        <v>0</v>
      </c>
      <c r="Y267" t="s">
        <v>52</v>
      </c>
      <c r="Z267" t="s">
        <v>53</v>
      </c>
      <c r="AA267" t="s">
        <v>54</v>
      </c>
      <c r="AB267">
        <v>0</v>
      </c>
      <c r="AC267" t="s">
        <v>55</v>
      </c>
      <c r="AD267">
        <v>8</v>
      </c>
      <c r="AE267" t="s">
        <v>56</v>
      </c>
      <c r="AF267">
        <v>26437.879000000001</v>
      </c>
      <c r="AG267" t="b">
        <v>0</v>
      </c>
      <c r="AH267">
        <v>8</v>
      </c>
      <c r="AI267" t="s">
        <v>56</v>
      </c>
      <c r="AJ267">
        <v>26437.879000000001</v>
      </c>
      <c r="AK267" t="b">
        <v>0</v>
      </c>
      <c r="AL267">
        <v>26437.879000000001</v>
      </c>
      <c r="AM267" t="b">
        <v>0</v>
      </c>
      <c r="AN267">
        <v>0</v>
      </c>
      <c r="AO267" t="b">
        <v>0</v>
      </c>
      <c r="AQ267">
        <v>1519588821.8740001</v>
      </c>
      <c r="AR267">
        <v>1519588821.8740001</v>
      </c>
      <c r="AS267">
        <v>0</v>
      </c>
      <c r="AT267" t="b">
        <v>0</v>
      </c>
      <c r="AU267" t="b">
        <v>1</v>
      </c>
      <c r="AV267" t="b">
        <v>1</v>
      </c>
      <c r="AW267" t="b">
        <v>1</v>
      </c>
      <c r="BC267" t="s">
        <v>374</v>
      </c>
    </row>
    <row r="268" spans="1:55" x14ac:dyDescent="0.2">
      <c r="A268" t="s">
        <v>39</v>
      </c>
      <c r="B268" t="s">
        <v>40</v>
      </c>
      <c r="C268">
        <v>20210101</v>
      </c>
      <c r="D268">
        <v>2021</v>
      </c>
      <c r="E268">
        <v>52</v>
      </c>
      <c r="F268" t="s">
        <v>333</v>
      </c>
      <c r="G268">
        <v>372</v>
      </c>
      <c r="H268" t="s">
        <v>157</v>
      </c>
      <c r="I268" t="s">
        <v>158</v>
      </c>
      <c r="J268" t="s">
        <v>44</v>
      </c>
      <c r="K268" t="s">
        <v>45</v>
      </c>
      <c r="L268">
        <v>0</v>
      </c>
      <c r="M268" t="s">
        <v>46</v>
      </c>
      <c r="N268" t="s">
        <v>47</v>
      </c>
      <c r="O268">
        <v>0</v>
      </c>
      <c r="P268" t="s">
        <v>46</v>
      </c>
      <c r="Q268" t="s">
        <v>47</v>
      </c>
      <c r="R268" t="s">
        <v>48</v>
      </c>
      <c r="S268" t="s">
        <v>49</v>
      </c>
      <c r="T268" t="b">
        <v>1</v>
      </c>
      <c r="U268" t="s">
        <v>50</v>
      </c>
      <c r="V268" t="s">
        <v>51</v>
      </c>
      <c r="W268">
        <v>4</v>
      </c>
      <c r="X268" t="b">
        <v>0</v>
      </c>
      <c r="Y268" t="s">
        <v>52</v>
      </c>
      <c r="Z268" t="s">
        <v>53</v>
      </c>
      <c r="AA268" t="s">
        <v>54</v>
      </c>
      <c r="AB268">
        <v>0</v>
      </c>
      <c r="AC268" t="s">
        <v>55</v>
      </c>
      <c r="AD268">
        <v>8</v>
      </c>
      <c r="AE268" t="s">
        <v>56</v>
      </c>
      <c r="AF268">
        <v>596.83699999999999</v>
      </c>
      <c r="AG268" t="b">
        <v>0</v>
      </c>
      <c r="AH268">
        <v>15</v>
      </c>
      <c r="AI268" t="s">
        <v>59</v>
      </c>
      <c r="AJ268">
        <v>596837</v>
      </c>
      <c r="AK268" t="b">
        <v>0</v>
      </c>
      <c r="AL268">
        <v>1687.5139999999999</v>
      </c>
      <c r="AM268" t="b">
        <v>0</v>
      </c>
      <c r="AN268">
        <v>0</v>
      </c>
      <c r="AO268" t="b">
        <v>0</v>
      </c>
      <c r="AQ268">
        <v>15870241.297</v>
      </c>
      <c r="AR268">
        <v>15870241.297</v>
      </c>
      <c r="AS268">
        <v>0</v>
      </c>
      <c r="AT268" t="b">
        <v>0</v>
      </c>
      <c r="AU268" t="b">
        <v>1</v>
      </c>
      <c r="AV268" t="b">
        <v>1</v>
      </c>
      <c r="AW268" t="b">
        <v>1</v>
      </c>
      <c r="BC268" t="s">
        <v>374</v>
      </c>
    </row>
    <row r="269" spans="1:55" x14ac:dyDescent="0.2">
      <c r="A269" t="s">
        <v>39</v>
      </c>
      <c r="B269" t="s">
        <v>40</v>
      </c>
      <c r="C269">
        <v>20210101</v>
      </c>
      <c r="D269">
        <v>2021</v>
      </c>
      <c r="E269">
        <v>52</v>
      </c>
      <c r="F269" t="s">
        <v>333</v>
      </c>
      <c r="G269">
        <v>376</v>
      </c>
      <c r="H269" t="s">
        <v>159</v>
      </c>
      <c r="I269" t="s">
        <v>160</v>
      </c>
      <c r="J269" t="s">
        <v>44</v>
      </c>
      <c r="K269" t="s">
        <v>45</v>
      </c>
      <c r="L269">
        <v>0</v>
      </c>
      <c r="M269" t="s">
        <v>46</v>
      </c>
      <c r="N269" t="s">
        <v>47</v>
      </c>
      <c r="O269">
        <v>0</v>
      </c>
      <c r="P269" t="s">
        <v>46</v>
      </c>
      <c r="Q269" t="s">
        <v>47</v>
      </c>
      <c r="R269" t="s">
        <v>48</v>
      </c>
      <c r="S269" t="s">
        <v>49</v>
      </c>
      <c r="T269" t="b">
        <v>1</v>
      </c>
      <c r="U269" t="s">
        <v>50</v>
      </c>
      <c r="V269" t="s">
        <v>51</v>
      </c>
      <c r="W269">
        <v>4</v>
      </c>
      <c r="X269" t="b">
        <v>0</v>
      </c>
      <c r="Y269" t="s">
        <v>52</v>
      </c>
      <c r="Z269" t="s">
        <v>53</v>
      </c>
      <c r="AA269" t="s">
        <v>54</v>
      </c>
      <c r="AB269">
        <v>0</v>
      </c>
      <c r="AC269" t="s">
        <v>55</v>
      </c>
      <c r="AD269">
        <v>8</v>
      </c>
      <c r="AE269" t="s">
        <v>56</v>
      </c>
      <c r="AF269">
        <v>197.48500000000001</v>
      </c>
      <c r="AG269" t="b">
        <v>1</v>
      </c>
      <c r="AH269">
        <v>-1</v>
      </c>
      <c r="AI269" t="s">
        <v>64</v>
      </c>
      <c r="AJ269">
        <v>0</v>
      </c>
      <c r="AK269" t="b">
        <v>0</v>
      </c>
      <c r="AL269">
        <v>197.48500000000001</v>
      </c>
      <c r="AM269" t="b">
        <v>1</v>
      </c>
      <c r="AN269">
        <v>0</v>
      </c>
      <c r="AO269" t="b">
        <v>0</v>
      </c>
      <c r="AP269">
        <v>0</v>
      </c>
      <c r="AQ269">
        <v>11094000</v>
      </c>
      <c r="AR269">
        <v>11094000</v>
      </c>
      <c r="AS269">
        <v>6</v>
      </c>
      <c r="AT269" t="b">
        <v>0</v>
      </c>
      <c r="AU269" t="b">
        <v>1</v>
      </c>
      <c r="AV269" t="b">
        <v>1</v>
      </c>
      <c r="AW269" t="b">
        <v>1</v>
      </c>
      <c r="BC269" t="s">
        <v>374</v>
      </c>
    </row>
    <row r="270" spans="1:55" x14ac:dyDescent="0.2">
      <c r="A270" t="s">
        <v>39</v>
      </c>
      <c r="B270" t="s">
        <v>40</v>
      </c>
      <c r="C270">
        <v>20210101</v>
      </c>
      <c r="D270">
        <v>2021</v>
      </c>
      <c r="E270">
        <v>52</v>
      </c>
      <c r="F270" t="s">
        <v>333</v>
      </c>
      <c r="G270">
        <v>380</v>
      </c>
      <c r="H270" t="s">
        <v>161</v>
      </c>
      <c r="I270" t="s">
        <v>162</v>
      </c>
      <c r="J270" t="s">
        <v>44</v>
      </c>
      <c r="K270" t="s">
        <v>45</v>
      </c>
      <c r="L270">
        <v>0</v>
      </c>
      <c r="M270" t="s">
        <v>46</v>
      </c>
      <c r="N270" t="s">
        <v>47</v>
      </c>
      <c r="O270">
        <v>0</v>
      </c>
      <c r="P270" t="s">
        <v>46</v>
      </c>
      <c r="Q270" t="s">
        <v>47</v>
      </c>
      <c r="R270" t="s">
        <v>48</v>
      </c>
      <c r="S270" t="s">
        <v>49</v>
      </c>
      <c r="T270" t="b">
        <v>1</v>
      </c>
      <c r="U270" t="s">
        <v>50</v>
      </c>
      <c r="V270" t="s">
        <v>51</v>
      </c>
      <c r="W270">
        <v>4</v>
      </c>
      <c r="X270" t="b">
        <v>0</v>
      </c>
      <c r="Y270" t="s">
        <v>52</v>
      </c>
      <c r="Z270" t="s">
        <v>53</v>
      </c>
      <c r="AA270" t="s">
        <v>54</v>
      </c>
      <c r="AB270">
        <v>0</v>
      </c>
      <c r="AC270" t="s">
        <v>55</v>
      </c>
      <c r="AD270">
        <v>-1</v>
      </c>
      <c r="AE270" t="s">
        <v>64</v>
      </c>
      <c r="AF270">
        <v>0</v>
      </c>
      <c r="AG270" t="b">
        <v>0</v>
      </c>
      <c r="AH270">
        <v>-1</v>
      </c>
      <c r="AI270" t="s">
        <v>64</v>
      </c>
      <c r="AJ270">
        <v>0</v>
      </c>
      <c r="AK270" t="b">
        <v>0</v>
      </c>
      <c r="AM270" t="b">
        <v>0</v>
      </c>
      <c r="AN270">
        <v>0</v>
      </c>
      <c r="AO270" t="b">
        <v>0</v>
      </c>
      <c r="AQ270">
        <v>4239262738.6739998</v>
      </c>
      <c r="AR270">
        <v>4239262738.6739998</v>
      </c>
      <c r="AS270">
        <v>0</v>
      </c>
      <c r="AT270" t="b">
        <v>0</v>
      </c>
      <c r="AU270" t="b">
        <v>1</v>
      </c>
      <c r="AV270" t="b">
        <v>1</v>
      </c>
      <c r="AW270" t="b">
        <v>1</v>
      </c>
      <c r="BC270" t="s">
        <v>374</v>
      </c>
    </row>
    <row r="271" spans="1:55" x14ac:dyDescent="0.2">
      <c r="A271" t="s">
        <v>39</v>
      </c>
      <c r="B271" t="s">
        <v>40</v>
      </c>
      <c r="C271">
        <v>20210101</v>
      </c>
      <c r="D271">
        <v>2021</v>
      </c>
      <c r="E271">
        <v>52</v>
      </c>
      <c r="F271" t="s">
        <v>333</v>
      </c>
      <c r="G271">
        <v>384</v>
      </c>
      <c r="H271" t="s">
        <v>163</v>
      </c>
      <c r="I271" t="s">
        <v>164</v>
      </c>
      <c r="J271" t="s">
        <v>44</v>
      </c>
      <c r="K271" t="s">
        <v>45</v>
      </c>
      <c r="L271">
        <v>0</v>
      </c>
      <c r="M271" t="s">
        <v>46</v>
      </c>
      <c r="N271" t="s">
        <v>47</v>
      </c>
      <c r="O271">
        <v>0</v>
      </c>
      <c r="P271" t="s">
        <v>46</v>
      </c>
      <c r="Q271" t="s">
        <v>47</v>
      </c>
      <c r="R271" t="s">
        <v>48</v>
      </c>
      <c r="S271" t="s">
        <v>49</v>
      </c>
      <c r="T271" t="b">
        <v>1</v>
      </c>
      <c r="U271" t="s">
        <v>50</v>
      </c>
      <c r="V271" t="s">
        <v>51</v>
      </c>
      <c r="W271">
        <v>4</v>
      </c>
      <c r="X271" t="b">
        <v>0</v>
      </c>
      <c r="Y271" t="s">
        <v>52</v>
      </c>
      <c r="Z271" t="s">
        <v>53</v>
      </c>
      <c r="AA271" t="s">
        <v>54</v>
      </c>
      <c r="AB271">
        <v>0</v>
      </c>
      <c r="AC271" t="s">
        <v>55</v>
      </c>
      <c r="AD271">
        <v>8</v>
      </c>
      <c r="AE271" t="s">
        <v>56</v>
      </c>
      <c r="AF271">
        <v>43758</v>
      </c>
      <c r="AG271" t="b">
        <v>0</v>
      </c>
      <c r="AH271">
        <v>8</v>
      </c>
      <c r="AI271" t="s">
        <v>56</v>
      </c>
      <c r="AJ271">
        <v>43758</v>
      </c>
      <c r="AK271" t="b">
        <v>0</v>
      </c>
      <c r="AL271">
        <v>43758</v>
      </c>
      <c r="AM271" t="b">
        <v>0</v>
      </c>
      <c r="AN271">
        <v>0</v>
      </c>
      <c r="AO271" t="b">
        <v>0</v>
      </c>
      <c r="AQ271">
        <v>1710834425.03</v>
      </c>
      <c r="AR271">
        <v>1710834425.03</v>
      </c>
      <c r="AS271">
        <v>0</v>
      </c>
      <c r="AT271" t="b">
        <v>0</v>
      </c>
      <c r="AU271" t="b">
        <v>1</v>
      </c>
      <c r="AV271" t="b">
        <v>1</v>
      </c>
      <c r="AW271" t="b">
        <v>1</v>
      </c>
      <c r="BC271" t="s">
        <v>374</v>
      </c>
    </row>
    <row r="272" spans="1:55" x14ac:dyDescent="0.2">
      <c r="A272" t="s">
        <v>39</v>
      </c>
      <c r="B272" t="s">
        <v>40</v>
      </c>
      <c r="C272">
        <v>20210101</v>
      </c>
      <c r="D272">
        <v>2021</v>
      </c>
      <c r="E272">
        <v>52</v>
      </c>
      <c r="F272" t="s">
        <v>333</v>
      </c>
      <c r="G272">
        <v>388</v>
      </c>
      <c r="H272" t="s">
        <v>336</v>
      </c>
      <c r="I272" t="s">
        <v>337</v>
      </c>
      <c r="J272" t="s">
        <v>44</v>
      </c>
      <c r="K272" t="s">
        <v>45</v>
      </c>
      <c r="L272">
        <v>0</v>
      </c>
      <c r="M272" t="s">
        <v>46</v>
      </c>
      <c r="N272" t="s">
        <v>47</v>
      </c>
      <c r="O272">
        <v>0</v>
      </c>
      <c r="P272" t="s">
        <v>46</v>
      </c>
      <c r="Q272" t="s">
        <v>47</v>
      </c>
      <c r="R272" t="s">
        <v>48</v>
      </c>
      <c r="S272" t="s">
        <v>49</v>
      </c>
      <c r="T272" t="b">
        <v>1</v>
      </c>
      <c r="U272" t="s">
        <v>50</v>
      </c>
      <c r="V272" t="s">
        <v>51</v>
      </c>
      <c r="W272">
        <v>4</v>
      </c>
      <c r="X272" t="b">
        <v>0</v>
      </c>
      <c r="Y272" t="s">
        <v>52</v>
      </c>
      <c r="Z272" t="s">
        <v>53</v>
      </c>
      <c r="AA272" t="s">
        <v>54</v>
      </c>
      <c r="AB272">
        <v>0</v>
      </c>
      <c r="AC272" t="s">
        <v>55</v>
      </c>
      <c r="AD272">
        <v>8</v>
      </c>
      <c r="AE272" t="s">
        <v>56</v>
      </c>
      <c r="AF272">
        <v>0.5</v>
      </c>
      <c r="AG272" t="b">
        <v>0</v>
      </c>
      <c r="AH272">
        <v>8</v>
      </c>
      <c r="AI272" t="s">
        <v>56</v>
      </c>
      <c r="AJ272">
        <v>0.5</v>
      </c>
      <c r="AK272" t="b">
        <v>0</v>
      </c>
      <c r="AL272">
        <v>0.5</v>
      </c>
      <c r="AM272" t="b">
        <v>0</v>
      </c>
      <c r="AN272">
        <v>0</v>
      </c>
      <c r="AO272" t="b">
        <v>0</v>
      </c>
      <c r="AQ272">
        <v>286.73</v>
      </c>
      <c r="AR272">
        <v>286.73</v>
      </c>
      <c r="AS272">
        <v>0</v>
      </c>
      <c r="AT272" t="b">
        <v>0</v>
      </c>
      <c r="AU272" t="b">
        <v>1</v>
      </c>
      <c r="AV272" t="b">
        <v>1</v>
      </c>
      <c r="AW272" t="b">
        <v>1</v>
      </c>
      <c r="BC272" t="s">
        <v>374</v>
      </c>
    </row>
    <row r="273" spans="1:55" x14ac:dyDescent="0.2">
      <c r="A273" t="s">
        <v>39</v>
      </c>
      <c r="B273" t="s">
        <v>40</v>
      </c>
      <c r="C273">
        <v>20210101</v>
      </c>
      <c r="D273">
        <v>2021</v>
      </c>
      <c r="E273">
        <v>52</v>
      </c>
      <c r="F273" t="s">
        <v>333</v>
      </c>
      <c r="G273">
        <v>398</v>
      </c>
      <c r="H273" t="s">
        <v>167</v>
      </c>
      <c r="I273" t="s">
        <v>168</v>
      </c>
      <c r="J273" t="s">
        <v>44</v>
      </c>
      <c r="K273" t="s">
        <v>45</v>
      </c>
      <c r="L273">
        <v>0</v>
      </c>
      <c r="M273" t="s">
        <v>46</v>
      </c>
      <c r="N273" t="s">
        <v>47</v>
      </c>
      <c r="O273">
        <v>0</v>
      </c>
      <c r="P273" t="s">
        <v>46</v>
      </c>
      <c r="Q273" t="s">
        <v>47</v>
      </c>
      <c r="R273" t="s">
        <v>48</v>
      </c>
      <c r="S273" t="s">
        <v>49</v>
      </c>
      <c r="T273" t="b">
        <v>1</v>
      </c>
      <c r="U273" t="s">
        <v>50</v>
      </c>
      <c r="V273" t="s">
        <v>51</v>
      </c>
      <c r="W273">
        <v>4</v>
      </c>
      <c r="X273" t="b">
        <v>0</v>
      </c>
      <c r="Y273" t="s">
        <v>52</v>
      </c>
      <c r="Z273" t="s">
        <v>53</v>
      </c>
      <c r="AA273" t="s">
        <v>54</v>
      </c>
      <c r="AB273">
        <v>0</v>
      </c>
      <c r="AC273" t="s">
        <v>55</v>
      </c>
      <c r="AD273">
        <v>-1</v>
      </c>
      <c r="AE273" t="s">
        <v>64</v>
      </c>
      <c r="AF273">
        <v>0</v>
      </c>
      <c r="AG273" t="b">
        <v>0</v>
      </c>
      <c r="AH273">
        <v>-1</v>
      </c>
      <c r="AI273" t="s">
        <v>64</v>
      </c>
      <c r="AJ273">
        <v>0</v>
      </c>
      <c r="AK273" t="b">
        <v>0</v>
      </c>
      <c r="AM273" t="b">
        <v>0</v>
      </c>
      <c r="AN273">
        <v>0</v>
      </c>
      <c r="AO273" t="b">
        <v>0</v>
      </c>
      <c r="AQ273">
        <v>35557609.670000002</v>
      </c>
      <c r="AR273">
        <v>35557609.670000002</v>
      </c>
      <c r="AS273">
        <v>0</v>
      </c>
      <c r="AT273" t="b">
        <v>0</v>
      </c>
      <c r="AU273" t="b">
        <v>1</v>
      </c>
      <c r="AV273" t="b">
        <v>1</v>
      </c>
      <c r="AW273" t="b">
        <v>1</v>
      </c>
      <c r="BC273" t="s">
        <v>374</v>
      </c>
    </row>
    <row r="274" spans="1:55" x14ac:dyDescent="0.2">
      <c r="A274" t="s">
        <v>39</v>
      </c>
      <c r="B274" t="s">
        <v>40</v>
      </c>
      <c r="C274">
        <v>20210101</v>
      </c>
      <c r="D274">
        <v>2021</v>
      </c>
      <c r="E274">
        <v>52</v>
      </c>
      <c r="F274" t="s">
        <v>333</v>
      </c>
      <c r="G274">
        <v>400</v>
      </c>
      <c r="H274" t="s">
        <v>169</v>
      </c>
      <c r="I274" t="s">
        <v>170</v>
      </c>
      <c r="J274" t="s">
        <v>44</v>
      </c>
      <c r="K274" t="s">
        <v>45</v>
      </c>
      <c r="L274">
        <v>0</v>
      </c>
      <c r="M274" t="s">
        <v>46</v>
      </c>
      <c r="N274" t="s">
        <v>47</v>
      </c>
      <c r="O274">
        <v>0</v>
      </c>
      <c r="P274" t="s">
        <v>46</v>
      </c>
      <c r="Q274" t="s">
        <v>47</v>
      </c>
      <c r="R274" t="s">
        <v>48</v>
      </c>
      <c r="S274" t="s">
        <v>49</v>
      </c>
      <c r="T274" t="b">
        <v>1</v>
      </c>
      <c r="U274" t="s">
        <v>50</v>
      </c>
      <c r="V274" t="s">
        <v>51</v>
      </c>
      <c r="W274">
        <v>4</v>
      </c>
      <c r="X274" t="b">
        <v>0</v>
      </c>
      <c r="Y274" t="s">
        <v>52</v>
      </c>
      <c r="Z274" t="s">
        <v>53</v>
      </c>
      <c r="AA274" t="s">
        <v>54</v>
      </c>
      <c r="AB274">
        <v>0</v>
      </c>
      <c r="AC274" t="s">
        <v>55</v>
      </c>
      <c r="AD274">
        <v>8</v>
      </c>
      <c r="AE274" t="s">
        <v>56</v>
      </c>
      <c r="AF274">
        <v>1339.82</v>
      </c>
      <c r="AG274" t="b">
        <v>1</v>
      </c>
      <c r="AH274">
        <v>-1</v>
      </c>
      <c r="AI274" t="s">
        <v>64</v>
      </c>
      <c r="AJ274">
        <v>0</v>
      </c>
      <c r="AK274" t="b">
        <v>0</v>
      </c>
      <c r="AL274">
        <v>1339.82</v>
      </c>
      <c r="AM274" t="b">
        <v>1</v>
      </c>
      <c r="AN274">
        <v>0</v>
      </c>
      <c r="AO274" t="b">
        <v>0</v>
      </c>
      <c r="AP274">
        <v>0</v>
      </c>
      <c r="AQ274">
        <v>75265931.182999998</v>
      </c>
      <c r="AR274">
        <v>75265931.182999998</v>
      </c>
      <c r="AS274">
        <v>6</v>
      </c>
      <c r="AT274" t="b">
        <v>0</v>
      </c>
      <c r="AU274" t="b">
        <v>1</v>
      </c>
      <c r="AV274" t="b">
        <v>1</v>
      </c>
      <c r="AW274" t="b">
        <v>1</v>
      </c>
      <c r="BC274" t="s">
        <v>374</v>
      </c>
    </row>
    <row r="275" spans="1:55" x14ac:dyDescent="0.2">
      <c r="A275" t="s">
        <v>39</v>
      </c>
      <c r="B275" t="s">
        <v>40</v>
      </c>
      <c r="C275">
        <v>20210101</v>
      </c>
      <c r="D275">
        <v>2021</v>
      </c>
      <c r="E275">
        <v>52</v>
      </c>
      <c r="F275" t="s">
        <v>333</v>
      </c>
      <c r="G275">
        <v>404</v>
      </c>
      <c r="H275" t="s">
        <v>171</v>
      </c>
      <c r="I275" t="s">
        <v>172</v>
      </c>
      <c r="J275" t="s">
        <v>44</v>
      </c>
      <c r="K275" t="s">
        <v>45</v>
      </c>
      <c r="L275">
        <v>0</v>
      </c>
      <c r="M275" t="s">
        <v>46</v>
      </c>
      <c r="N275" t="s">
        <v>47</v>
      </c>
      <c r="O275">
        <v>0</v>
      </c>
      <c r="P275" t="s">
        <v>46</v>
      </c>
      <c r="Q275" t="s">
        <v>47</v>
      </c>
      <c r="R275" t="s">
        <v>48</v>
      </c>
      <c r="S275" t="s">
        <v>49</v>
      </c>
      <c r="T275" t="b">
        <v>1</v>
      </c>
      <c r="U275" t="s">
        <v>50</v>
      </c>
      <c r="V275" t="s">
        <v>51</v>
      </c>
      <c r="W275">
        <v>4</v>
      </c>
      <c r="X275" t="b">
        <v>0</v>
      </c>
      <c r="Y275" t="s">
        <v>52</v>
      </c>
      <c r="Z275" t="s">
        <v>53</v>
      </c>
      <c r="AA275" t="s">
        <v>54</v>
      </c>
      <c r="AB275">
        <v>0</v>
      </c>
      <c r="AC275" t="s">
        <v>55</v>
      </c>
      <c r="AD275">
        <v>-1</v>
      </c>
      <c r="AE275" t="s">
        <v>64</v>
      </c>
      <c r="AF275">
        <v>0</v>
      </c>
      <c r="AG275" t="b">
        <v>1</v>
      </c>
      <c r="AH275">
        <v>-1</v>
      </c>
      <c r="AI275" t="s">
        <v>64</v>
      </c>
      <c r="AJ275">
        <v>0</v>
      </c>
      <c r="AK275" t="b">
        <v>0</v>
      </c>
      <c r="AL275">
        <v>0</v>
      </c>
      <c r="AM275" t="b">
        <v>1</v>
      </c>
      <c r="AN275">
        <v>0</v>
      </c>
      <c r="AO275" t="b">
        <v>0</v>
      </c>
      <c r="AP275">
        <v>0</v>
      </c>
      <c r="AQ275">
        <v>15473552.652000001</v>
      </c>
      <c r="AR275">
        <v>15473552.652000001</v>
      </c>
      <c r="AS275">
        <v>6</v>
      </c>
      <c r="AT275" t="b">
        <v>0</v>
      </c>
      <c r="AU275" t="b">
        <v>1</v>
      </c>
      <c r="AV275" t="b">
        <v>1</v>
      </c>
      <c r="AW275" t="b">
        <v>1</v>
      </c>
      <c r="BC275" t="s">
        <v>374</v>
      </c>
    </row>
    <row r="276" spans="1:55" x14ac:dyDescent="0.2">
      <c r="A276" t="s">
        <v>39</v>
      </c>
      <c r="B276" t="s">
        <v>40</v>
      </c>
      <c r="C276">
        <v>20210101</v>
      </c>
      <c r="D276">
        <v>2021</v>
      </c>
      <c r="E276">
        <v>52</v>
      </c>
      <c r="F276" t="s">
        <v>333</v>
      </c>
      <c r="G276">
        <v>410</v>
      </c>
      <c r="H276" t="s">
        <v>173</v>
      </c>
      <c r="I276" t="s">
        <v>174</v>
      </c>
      <c r="J276" t="s">
        <v>44</v>
      </c>
      <c r="K276" t="s">
        <v>45</v>
      </c>
      <c r="L276">
        <v>0</v>
      </c>
      <c r="M276" t="s">
        <v>46</v>
      </c>
      <c r="N276" t="s">
        <v>47</v>
      </c>
      <c r="O276">
        <v>0</v>
      </c>
      <c r="P276" t="s">
        <v>46</v>
      </c>
      <c r="Q276" t="s">
        <v>47</v>
      </c>
      <c r="R276" t="s">
        <v>48</v>
      </c>
      <c r="S276" t="s">
        <v>49</v>
      </c>
      <c r="T276" t="b">
        <v>1</v>
      </c>
      <c r="U276" t="s">
        <v>50</v>
      </c>
      <c r="V276" t="s">
        <v>51</v>
      </c>
      <c r="W276">
        <v>4</v>
      </c>
      <c r="X276" t="b">
        <v>0</v>
      </c>
      <c r="Y276" t="s">
        <v>52</v>
      </c>
      <c r="Z276" t="s">
        <v>53</v>
      </c>
      <c r="AA276" t="s">
        <v>54</v>
      </c>
      <c r="AB276">
        <v>0</v>
      </c>
      <c r="AC276" t="s">
        <v>55</v>
      </c>
      <c r="AD276">
        <v>-1</v>
      </c>
      <c r="AE276" t="s">
        <v>64</v>
      </c>
      <c r="AF276">
        <v>0</v>
      </c>
      <c r="AG276" t="b">
        <v>0</v>
      </c>
      <c r="AH276">
        <v>-1</v>
      </c>
      <c r="AI276" t="s">
        <v>64</v>
      </c>
      <c r="AJ276">
        <v>0</v>
      </c>
      <c r="AK276" t="b">
        <v>0</v>
      </c>
      <c r="AM276" t="b">
        <v>0</v>
      </c>
      <c r="AN276">
        <v>0</v>
      </c>
      <c r="AO276" t="b">
        <v>0</v>
      </c>
      <c r="AQ276">
        <v>695491655</v>
      </c>
      <c r="AR276">
        <v>695491655</v>
      </c>
      <c r="AS276">
        <v>0</v>
      </c>
      <c r="AT276" t="b">
        <v>0</v>
      </c>
      <c r="AU276" t="b">
        <v>1</v>
      </c>
      <c r="AV276" t="b">
        <v>1</v>
      </c>
      <c r="AW276" t="b">
        <v>1</v>
      </c>
      <c r="BC276" t="s">
        <v>374</v>
      </c>
    </row>
    <row r="277" spans="1:55" x14ac:dyDescent="0.2">
      <c r="A277" t="s">
        <v>39</v>
      </c>
      <c r="B277" t="s">
        <v>40</v>
      </c>
      <c r="C277">
        <v>20210101</v>
      </c>
      <c r="D277">
        <v>2021</v>
      </c>
      <c r="E277">
        <v>52</v>
      </c>
      <c r="F277" t="s">
        <v>333</v>
      </c>
      <c r="G277">
        <v>414</v>
      </c>
      <c r="H277" t="s">
        <v>175</v>
      </c>
      <c r="I277" t="s">
        <v>176</v>
      </c>
      <c r="J277" t="s">
        <v>44</v>
      </c>
      <c r="K277" t="s">
        <v>45</v>
      </c>
      <c r="L277">
        <v>0</v>
      </c>
      <c r="M277" t="s">
        <v>46</v>
      </c>
      <c r="N277" t="s">
        <v>47</v>
      </c>
      <c r="O277">
        <v>0</v>
      </c>
      <c r="P277" t="s">
        <v>46</v>
      </c>
      <c r="Q277" t="s">
        <v>47</v>
      </c>
      <c r="R277" t="s">
        <v>48</v>
      </c>
      <c r="S277" t="s">
        <v>49</v>
      </c>
      <c r="T277" t="b">
        <v>1</v>
      </c>
      <c r="U277" t="s">
        <v>50</v>
      </c>
      <c r="V277" t="s">
        <v>51</v>
      </c>
      <c r="W277">
        <v>4</v>
      </c>
      <c r="X277" t="b">
        <v>0</v>
      </c>
      <c r="Y277" t="s">
        <v>52</v>
      </c>
      <c r="Z277" t="s">
        <v>53</v>
      </c>
      <c r="AA277" t="s">
        <v>54</v>
      </c>
      <c r="AB277">
        <v>0</v>
      </c>
      <c r="AC277" t="s">
        <v>55</v>
      </c>
      <c r="AD277">
        <v>8</v>
      </c>
      <c r="AE277" t="s">
        <v>56</v>
      </c>
      <c r="AF277">
        <v>289.42200000000003</v>
      </c>
      <c r="AG277" t="b">
        <v>0</v>
      </c>
      <c r="AH277">
        <v>8</v>
      </c>
      <c r="AI277" t="s">
        <v>56</v>
      </c>
      <c r="AJ277">
        <v>289.42200000000003</v>
      </c>
      <c r="AK277" t="b">
        <v>0</v>
      </c>
      <c r="AL277">
        <v>289.42200000000003</v>
      </c>
      <c r="AM277" t="b">
        <v>0</v>
      </c>
      <c r="AN277">
        <v>0</v>
      </c>
      <c r="AO277" t="b">
        <v>0</v>
      </c>
      <c r="AQ277">
        <v>15312085</v>
      </c>
      <c r="AR277">
        <v>15312085</v>
      </c>
      <c r="AS277">
        <v>0</v>
      </c>
      <c r="AT277" t="b">
        <v>0</v>
      </c>
      <c r="AU277" t="b">
        <v>1</v>
      </c>
      <c r="AV277" t="b">
        <v>1</v>
      </c>
      <c r="AW277" t="b">
        <v>1</v>
      </c>
      <c r="BC277" t="s">
        <v>374</v>
      </c>
    </row>
    <row r="278" spans="1:55" x14ac:dyDescent="0.2">
      <c r="A278" t="s">
        <v>39</v>
      </c>
      <c r="B278" t="s">
        <v>40</v>
      </c>
      <c r="C278">
        <v>20210101</v>
      </c>
      <c r="D278">
        <v>2021</v>
      </c>
      <c r="E278">
        <v>52</v>
      </c>
      <c r="F278" t="s">
        <v>333</v>
      </c>
      <c r="G278">
        <v>417</v>
      </c>
      <c r="H278" t="s">
        <v>177</v>
      </c>
      <c r="I278" t="s">
        <v>178</v>
      </c>
      <c r="J278" t="s">
        <v>44</v>
      </c>
      <c r="K278" t="s">
        <v>45</v>
      </c>
      <c r="L278">
        <v>0</v>
      </c>
      <c r="M278" t="s">
        <v>46</v>
      </c>
      <c r="N278" t="s">
        <v>47</v>
      </c>
      <c r="O278">
        <v>0</v>
      </c>
      <c r="P278" t="s">
        <v>46</v>
      </c>
      <c r="Q278" t="s">
        <v>47</v>
      </c>
      <c r="R278" t="s">
        <v>48</v>
      </c>
      <c r="S278" t="s">
        <v>49</v>
      </c>
      <c r="T278" t="b">
        <v>1</v>
      </c>
      <c r="U278" t="s">
        <v>50</v>
      </c>
      <c r="V278" t="s">
        <v>51</v>
      </c>
      <c r="W278">
        <v>4</v>
      </c>
      <c r="X278" t="b">
        <v>0</v>
      </c>
      <c r="Y278" t="s">
        <v>52</v>
      </c>
      <c r="Z278" t="s">
        <v>53</v>
      </c>
      <c r="AA278" t="s">
        <v>54</v>
      </c>
      <c r="AB278">
        <v>0</v>
      </c>
      <c r="AC278" t="s">
        <v>55</v>
      </c>
      <c r="AD278">
        <v>8</v>
      </c>
      <c r="AE278" t="s">
        <v>56</v>
      </c>
      <c r="AF278">
        <v>23352.100999999999</v>
      </c>
      <c r="AG278" t="b">
        <v>0</v>
      </c>
      <c r="AH278">
        <v>15</v>
      </c>
      <c r="AI278" t="s">
        <v>59</v>
      </c>
      <c r="AJ278">
        <v>23352101</v>
      </c>
      <c r="AK278" t="b">
        <v>0</v>
      </c>
      <c r="AL278">
        <v>24643.1</v>
      </c>
      <c r="AM278" t="b">
        <v>0</v>
      </c>
      <c r="AN278">
        <v>0</v>
      </c>
      <c r="AO278" t="b">
        <v>0</v>
      </c>
      <c r="AQ278">
        <v>1412999831</v>
      </c>
      <c r="AR278">
        <v>1412999831</v>
      </c>
      <c r="AS278">
        <v>0</v>
      </c>
      <c r="AT278" t="b">
        <v>0</v>
      </c>
      <c r="AU278" t="b">
        <v>1</v>
      </c>
      <c r="AV278" t="b">
        <v>1</v>
      </c>
      <c r="AW278" t="b">
        <v>1</v>
      </c>
      <c r="BC278" t="s">
        <v>374</v>
      </c>
    </row>
    <row r="279" spans="1:55" x14ac:dyDescent="0.2">
      <c r="A279" t="s">
        <v>39</v>
      </c>
      <c r="B279" t="s">
        <v>40</v>
      </c>
      <c r="C279">
        <v>20210101</v>
      </c>
      <c r="D279">
        <v>2021</v>
      </c>
      <c r="E279">
        <v>52</v>
      </c>
      <c r="F279" t="s">
        <v>333</v>
      </c>
      <c r="G279">
        <v>422</v>
      </c>
      <c r="H279" t="s">
        <v>181</v>
      </c>
      <c r="I279" t="s">
        <v>182</v>
      </c>
      <c r="J279" t="s">
        <v>44</v>
      </c>
      <c r="K279" t="s">
        <v>45</v>
      </c>
      <c r="L279">
        <v>0</v>
      </c>
      <c r="M279" t="s">
        <v>46</v>
      </c>
      <c r="N279" t="s">
        <v>47</v>
      </c>
      <c r="O279">
        <v>0</v>
      </c>
      <c r="P279" t="s">
        <v>46</v>
      </c>
      <c r="Q279" t="s">
        <v>47</v>
      </c>
      <c r="R279" t="s">
        <v>48</v>
      </c>
      <c r="S279" t="s">
        <v>49</v>
      </c>
      <c r="T279" t="b">
        <v>1</v>
      </c>
      <c r="U279" t="s">
        <v>50</v>
      </c>
      <c r="V279" t="s">
        <v>51</v>
      </c>
      <c r="W279">
        <v>4</v>
      </c>
      <c r="X279" t="b">
        <v>0</v>
      </c>
      <c r="Y279" t="s">
        <v>52</v>
      </c>
      <c r="Z279" t="s">
        <v>53</v>
      </c>
      <c r="AA279" t="s">
        <v>54</v>
      </c>
      <c r="AB279">
        <v>0</v>
      </c>
      <c r="AC279" t="s">
        <v>55</v>
      </c>
      <c r="AD279">
        <v>8</v>
      </c>
      <c r="AE279" t="s">
        <v>56</v>
      </c>
      <c r="AF279">
        <v>8197.5259999999998</v>
      </c>
      <c r="AG279" t="b">
        <v>1</v>
      </c>
      <c r="AH279">
        <v>-1</v>
      </c>
      <c r="AI279" t="s">
        <v>64</v>
      </c>
      <c r="AJ279">
        <v>0</v>
      </c>
      <c r="AK279" t="b">
        <v>0</v>
      </c>
      <c r="AL279">
        <v>8197.5259999999998</v>
      </c>
      <c r="AM279" t="b">
        <v>1</v>
      </c>
      <c r="AN279">
        <v>0</v>
      </c>
      <c r="AO279" t="b">
        <v>0</v>
      </c>
      <c r="AP279">
        <v>0</v>
      </c>
      <c r="AQ279">
        <v>451824967</v>
      </c>
      <c r="AR279">
        <v>451824967</v>
      </c>
      <c r="AS279">
        <v>6</v>
      </c>
      <c r="AT279" t="b">
        <v>0</v>
      </c>
      <c r="AU279" t="b">
        <v>1</v>
      </c>
      <c r="AV279" t="b">
        <v>1</v>
      </c>
      <c r="AW279" t="b">
        <v>1</v>
      </c>
      <c r="BC279" t="s">
        <v>374</v>
      </c>
    </row>
    <row r="280" spans="1:55" x14ac:dyDescent="0.2">
      <c r="A280" t="s">
        <v>39</v>
      </c>
      <c r="B280" t="s">
        <v>40</v>
      </c>
      <c r="C280">
        <v>20210101</v>
      </c>
      <c r="D280">
        <v>2021</v>
      </c>
      <c r="E280">
        <v>52</v>
      </c>
      <c r="F280" t="s">
        <v>333</v>
      </c>
      <c r="G280">
        <v>428</v>
      </c>
      <c r="H280" t="s">
        <v>183</v>
      </c>
      <c r="I280" t="s">
        <v>184</v>
      </c>
      <c r="J280" t="s">
        <v>44</v>
      </c>
      <c r="K280" t="s">
        <v>45</v>
      </c>
      <c r="L280">
        <v>0</v>
      </c>
      <c r="M280" t="s">
        <v>46</v>
      </c>
      <c r="N280" t="s">
        <v>47</v>
      </c>
      <c r="O280">
        <v>0</v>
      </c>
      <c r="P280" t="s">
        <v>46</v>
      </c>
      <c r="Q280" t="s">
        <v>47</v>
      </c>
      <c r="R280" t="s">
        <v>48</v>
      </c>
      <c r="S280" t="s">
        <v>49</v>
      </c>
      <c r="T280" t="b">
        <v>1</v>
      </c>
      <c r="U280" t="s">
        <v>50</v>
      </c>
      <c r="V280" t="s">
        <v>51</v>
      </c>
      <c r="W280">
        <v>4</v>
      </c>
      <c r="X280" t="b">
        <v>0</v>
      </c>
      <c r="Y280" t="s">
        <v>52</v>
      </c>
      <c r="Z280" t="s">
        <v>53</v>
      </c>
      <c r="AA280" t="s">
        <v>54</v>
      </c>
      <c r="AB280">
        <v>0</v>
      </c>
      <c r="AC280" t="s">
        <v>55</v>
      </c>
      <c r="AD280">
        <v>8</v>
      </c>
      <c r="AE280" t="s">
        <v>56</v>
      </c>
      <c r="AF280">
        <v>149.57599999999999</v>
      </c>
      <c r="AG280" t="b">
        <v>0</v>
      </c>
      <c r="AH280">
        <v>15</v>
      </c>
      <c r="AI280" t="s">
        <v>59</v>
      </c>
      <c r="AJ280">
        <v>149576</v>
      </c>
      <c r="AK280" t="b">
        <v>0</v>
      </c>
      <c r="AL280">
        <v>151.21100000000001</v>
      </c>
      <c r="AM280" t="b">
        <v>0</v>
      </c>
      <c r="AN280">
        <v>0</v>
      </c>
      <c r="AO280" t="b">
        <v>0</v>
      </c>
      <c r="AQ280">
        <v>8207523.483</v>
      </c>
      <c r="AR280">
        <v>8207523.483</v>
      </c>
      <c r="AS280">
        <v>0</v>
      </c>
      <c r="AT280" t="b">
        <v>0</v>
      </c>
      <c r="AU280" t="b">
        <v>1</v>
      </c>
      <c r="AV280" t="b">
        <v>1</v>
      </c>
      <c r="AW280" t="b">
        <v>1</v>
      </c>
      <c r="BC280" t="s">
        <v>374</v>
      </c>
    </row>
    <row r="281" spans="1:55" x14ac:dyDescent="0.2">
      <c r="A281" t="s">
        <v>39</v>
      </c>
      <c r="B281" t="s">
        <v>40</v>
      </c>
      <c r="C281">
        <v>20210101</v>
      </c>
      <c r="D281">
        <v>2021</v>
      </c>
      <c r="E281">
        <v>52</v>
      </c>
      <c r="F281" t="s">
        <v>333</v>
      </c>
      <c r="G281">
        <v>440</v>
      </c>
      <c r="H281" t="s">
        <v>189</v>
      </c>
      <c r="I281" t="s">
        <v>190</v>
      </c>
      <c r="J281" t="s">
        <v>44</v>
      </c>
      <c r="K281" t="s">
        <v>45</v>
      </c>
      <c r="L281">
        <v>0</v>
      </c>
      <c r="M281" t="s">
        <v>46</v>
      </c>
      <c r="N281" t="s">
        <v>47</v>
      </c>
      <c r="O281">
        <v>0</v>
      </c>
      <c r="P281" t="s">
        <v>46</v>
      </c>
      <c r="Q281" t="s">
        <v>47</v>
      </c>
      <c r="R281" t="s">
        <v>48</v>
      </c>
      <c r="S281" t="s">
        <v>49</v>
      </c>
      <c r="T281" t="b">
        <v>1</v>
      </c>
      <c r="U281" t="s">
        <v>50</v>
      </c>
      <c r="V281" t="s">
        <v>51</v>
      </c>
      <c r="W281">
        <v>4</v>
      </c>
      <c r="X281" t="b">
        <v>0</v>
      </c>
      <c r="Y281" t="s">
        <v>52</v>
      </c>
      <c r="Z281" t="s">
        <v>53</v>
      </c>
      <c r="AA281" t="s">
        <v>54</v>
      </c>
      <c r="AB281">
        <v>0</v>
      </c>
      <c r="AC281" t="s">
        <v>55</v>
      </c>
      <c r="AD281">
        <v>8</v>
      </c>
      <c r="AE281" t="s">
        <v>56</v>
      </c>
      <c r="AF281">
        <v>5.5910000000000002</v>
      </c>
      <c r="AG281" t="b">
        <v>0</v>
      </c>
      <c r="AH281">
        <v>15</v>
      </c>
      <c r="AI281" t="s">
        <v>59</v>
      </c>
      <c r="AJ281">
        <v>5591.11</v>
      </c>
      <c r="AK281" t="b">
        <v>0</v>
      </c>
      <c r="AL281">
        <v>6.0410000000000004</v>
      </c>
      <c r="AM281" t="b">
        <v>0</v>
      </c>
      <c r="AN281">
        <v>0</v>
      </c>
      <c r="AO281" t="b">
        <v>0</v>
      </c>
      <c r="AP281">
        <v>0</v>
      </c>
      <c r="AQ281">
        <v>218117</v>
      </c>
      <c r="AR281">
        <v>218117</v>
      </c>
      <c r="AS281">
        <v>0</v>
      </c>
      <c r="AT281" t="b">
        <v>0</v>
      </c>
      <c r="AU281" t="b">
        <v>1</v>
      </c>
      <c r="AV281" t="b">
        <v>1</v>
      </c>
      <c r="AW281" t="b">
        <v>1</v>
      </c>
      <c r="BC281" t="s">
        <v>374</v>
      </c>
    </row>
    <row r="282" spans="1:55" x14ac:dyDescent="0.2">
      <c r="A282" t="s">
        <v>39</v>
      </c>
      <c r="B282" t="s">
        <v>40</v>
      </c>
      <c r="C282">
        <v>20210101</v>
      </c>
      <c r="D282">
        <v>2021</v>
      </c>
      <c r="E282">
        <v>52</v>
      </c>
      <c r="F282" t="s">
        <v>333</v>
      </c>
      <c r="G282">
        <v>442</v>
      </c>
      <c r="H282" t="s">
        <v>191</v>
      </c>
      <c r="I282" t="s">
        <v>192</v>
      </c>
      <c r="J282" t="s">
        <v>44</v>
      </c>
      <c r="K282" t="s">
        <v>45</v>
      </c>
      <c r="L282">
        <v>0</v>
      </c>
      <c r="M282" t="s">
        <v>46</v>
      </c>
      <c r="N282" t="s">
        <v>47</v>
      </c>
      <c r="O282">
        <v>0</v>
      </c>
      <c r="P282" t="s">
        <v>46</v>
      </c>
      <c r="Q282" t="s">
        <v>47</v>
      </c>
      <c r="R282" t="s">
        <v>48</v>
      </c>
      <c r="S282" t="s">
        <v>49</v>
      </c>
      <c r="T282" t="b">
        <v>1</v>
      </c>
      <c r="U282" t="s">
        <v>50</v>
      </c>
      <c r="V282" t="s">
        <v>51</v>
      </c>
      <c r="W282">
        <v>4</v>
      </c>
      <c r="X282" t="b">
        <v>0</v>
      </c>
      <c r="Y282" t="s">
        <v>52</v>
      </c>
      <c r="Z282" t="s">
        <v>53</v>
      </c>
      <c r="AA282" t="s">
        <v>54</v>
      </c>
      <c r="AB282">
        <v>0</v>
      </c>
      <c r="AC282" t="s">
        <v>55</v>
      </c>
      <c r="AD282">
        <v>8</v>
      </c>
      <c r="AE282" t="s">
        <v>56</v>
      </c>
      <c r="AF282">
        <v>958.28499999999997</v>
      </c>
      <c r="AG282" t="b">
        <v>0</v>
      </c>
      <c r="AH282">
        <v>-1</v>
      </c>
      <c r="AI282" t="s">
        <v>64</v>
      </c>
      <c r="AJ282">
        <v>0</v>
      </c>
      <c r="AK282" t="b">
        <v>0</v>
      </c>
      <c r="AL282">
        <v>1648.461</v>
      </c>
      <c r="AM282" t="b">
        <v>0</v>
      </c>
      <c r="AN282">
        <v>0</v>
      </c>
      <c r="AO282" t="b">
        <v>0</v>
      </c>
      <c r="AP282">
        <v>0</v>
      </c>
      <c r="AQ282">
        <v>53907258.501999997</v>
      </c>
      <c r="AR282">
        <v>53907258.501999997</v>
      </c>
      <c r="AS282">
        <v>0</v>
      </c>
      <c r="AT282" t="b">
        <v>0</v>
      </c>
      <c r="AU282" t="b">
        <v>1</v>
      </c>
      <c r="AV282" t="b">
        <v>1</v>
      </c>
      <c r="AW282" t="b">
        <v>1</v>
      </c>
      <c r="BC282" t="s">
        <v>374</v>
      </c>
    </row>
    <row r="283" spans="1:55" x14ac:dyDescent="0.2">
      <c r="A283" t="s">
        <v>39</v>
      </c>
      <c r="B283" t="s">
        <v>40</v>
      </c>
      <c r="C283">
        <v>20210101</v>
      </c>
      <c r="D283">
        <v>2021</v>
      </c>
      <c r="E283">
        <v>52</v>
      </c>
      <c r="F283" t="s">
        <v>333</v>
      </c>
      <c r="G283">
        <v>446</v>
      </c>
      <c r="H283" t="s">
        <v>323</v>
      </c>
      <c r="I283" t="s">
        <v>324</v>
      </c>
      <c r="J283" t="s">
        <v>44</v>
      </c>
      <c r="K283" t="s">
        <v>45</v>
      </c>
      <c r="L283">
        <v>0</v>
      </c>
      <c r="M283" t="s">
        <v>46</v>
      </c>
      <c r="N283" t="s">
        <v>47</v>
      </c>
      <c r="O283">
        <v>0</v>
      </c>
      <c r="P283" t="s">
        <v>46</v>
      </c>
      <c r="Q283" t="s">
        <v>47</v>
      </c>
      <c r="R283" t="s">
        <v>48</v>
      </c>
      <c r="S283" t="s">
        <v>49</v>
      </c>
      <c r="T283" t="b">
        <v>1</v>
      </c>
      <c r="U283" t="s">
        <v>50</v>
      </c>
      <c r="V283" t="s">
        <v>51</v>
      </c>
      <c r="W283">
        <v>4</v>
      </c>
      <c r="X283" t="b">
        <v>0</v>
      </c>
      <c r="Y283" t="s">
        <v>52</v>
      </c>
      <c r="Z283" t="s">
        <v>53</v>
      </c>
      <c r="AA283" t="s">
        <v>54</v>
      </c>
      <c r="AB283">
        <v>0</v>
      </c>
      <c r="AC283" t="s">
        <v>55</v>
      </c>
      <c r="AD283">
        <v>8</v>
      </c>
      <c r="AE283" t="s">
        <v>56</v>
      </c>
      <c r="AF283">
        <v>75</v>
      </c>
      <c r="AG283" t="b">
        <v>0</v>
      </c>
      <c r="AH283">
        <v>8</v>
      </c>
      <c r="AI283" t="s">
        <v>56</v>
      </c>
      <c r="AJ283">
        <v>75</v>
      </c>
      <c r="AK283" t="b">
        <v>0</v>
      </c>
      <c r="AL283">
        <v>75</v>
      </c>
      <c r="AM283" t="b">
        <v>0</v>
      </c>
      <c r="AN283">
        <v>0</v>
      </c>
      <c r="AO283" t="b">
        <v>0</v>
      </c>
      <c r="AP283">
        <v>0</v>
      </c>
      <c r="AQ283">
        <v>4330810.0420000004</v>
      </c>
      <c r="AR283">
        <v>4330810.0420000004</v>
      </c>
      <c r="AS283">
        <v>0</v>
      </c>
      <c r="AT283" t="b">
        <v>0</v>
      </c>
      <c r="AU283" t="b">
        <v>1</v>
      </c>
      <c r="AV283" t="b">
        <v>1</v>
      </c>
      <c r="AW283" t="b">
        <v>1</v>
      </c>
      <c r="BC283" t="s">
        <v>374</v>
      </c>
    </row>
    <row r="284" spans="1:55" x14ac:dyDescent="0.2">
      <c r="A284" t="s">
        <v>39</v>
      </c>
      <c r="B284" t="s">
        <v>40</v>
      </c>
      <c r="C284">
        <v>20210101</v>
      </c>
      <c r="D284">
        <v>2021</v>
      </c>
      <c r="E284">
        <v>52</v>
      </c>
      <c r="F284" t="s">
        <v>333</v>
      </c>
      <c r="G284">
        <v>458</v>
      </c>
      <c r="H284" t="s">
        <v>195</v>
      </c>
      <c r="I284" t="s">
        <v>196</v>
      </c>
      <c r="J284" t="s">
        <v>44</v>
      </c>
      <c r="K284" t="s">
        <v>45</v>
      </c>
      <c r="L284">
        <v>0</v>
      </c>
      <c r="M284" t="s">
        <v>46</v>
      </c>
      <c r="N284" t="s">
        <v>47</v>
      </c>
      <c r="O284">
        <v>0</v>
      </c>
      <c r="P284" t="s">
        <v>46</v>
      </c>
      <c r="Q284" t="s">
        <v>47</v>
      </c>
      <c r="R284" t="s">
        <v>48</v>
      </c>
      <c r="S284" t="s">
        <v>49</v>
      </c>
      <c r="T284" t="b">
        <v>1</v>
      </c>
      <c r="U284" t="s">
        <v>50</v>
      </c>
      <c r="V284" t="s">
        <v>51</v>
      </c>
      <c r="W284">
        <v>4</v>
      </c>
      <c r="X284" t="b">
        <v>0</v>
      </c>
      <c r="Y284" t="s">
        <v>52</v>
      </c>
      <c r="Z284" t="s">
        <v>53</v>
      </c>
      <c r="AA284" t="s">
        <v>54</v>
      </c>
      <c r="AB284">
        <v>0</v>
      </c>
      <c r="AC284" t="s">
        <v>55</v>
      </c>
      <c r="AD284">
        <v>8</v>
      </c>
      <c r="AE284" t="s">
        <v>56</v>
      </c>
      <c r="AF284">
        <v>3468.335</v>
      </c>
      <c r="AG284" t="b">
        <v>0</v>
      </c>
      <c r="AH284">
        <v>8</v>
      </c>
      <c r="AI284" t="s">
        <v>56</v>
      </c>
      <c r="AJ284">
        <v>3468.335</v>
      </c>
      <c r="AK284" t="b">
        <v>0</v>
      </c>
      <c r="AL284">
        <v>3468.335</v>
      </c>
      <c r="AM284" t="b">
        <v>0</v>
      </c>
      <c r="AN284">
        <v>0</v>
      </c>
      <c r="AO284" t="b">
        <v>0</v>
      </c>
      <c r="AP284">
        <v>0</v>
      </c>
      <c r="AQ284">
        <v>166733121.50400001</v>
      </c>
      <c r="AR284">
        <v>166733121.50400001</v>
      </c>
      <c r="AS284">
        <v>0</v>
      </c>
      <c r="AT284" t="b">
        <v>0</v>
      </c>
      <c r="AU284" t="b">
        <v>1</v>
      </c>
      <c r="AV284" t="b">
        <v>1</v>
      </c>
      <c r="AW284" t="b">
        <v>1</v>
      </c>
      <c r="BC284" t="s">
        <v>374</v>
      </c>
    </row>
    <row r="285" spans="1:55" x14ac:dyDescent="0.2">
      <c r="A285" t="s">
        <v>39</v>
      </c>
      <c r="B285" t="s">
        <v>40</v>
      </c>
      <c r="C285">
        <v>20210101</v>
      </c>
      <c r="D285">
        <v>2021</v>
      </c>
      <c r="E285">
        <v>52</v>
      </c>
      <c r="F285" t="s">
        <v>333</v>
      </c>
      <c r="G285">
        <v>466</v>
      </c>
      <c r="H285" t="s">
        <v>197</v>
      </c>
      <c r="I285" t="s">
        <v>198</v>
      </c>
      <c r="J285" t="s">
        <v>44</v>
      </c>
      <c r="K285" t="s">
        <v>45</v>
      </c>
      <c r="L285">
        <v>0</v>
      </c>
      <c r="M285" t="s">
        <v>46</v>
      </c>
      <c r="N285" t="s">
        <v>47</v>
      </c>
      <c r="O285">
        <v>0</v>
      </c>
      <c r="P285" t="s">
        <v>46</v>
      </c>
      <c r="Q285" t="s">
        <v>47</v>
      </c>
      <c r="R285" t="s">
        <v>48</v>
      </c>
      <c r="S285" t="s">
        <v>49</v>
      </c>
      <c r="T285" t="b">
        <v>1</v>
      </c>
      <c r="U285" t="s">
        <v>50</v>
      </c>
      <c r="V285" t="s">
        <v>51</v>
      </c>
      <c r="W285">
        <v>4</v>
      </c>
      <c r="X285" t="b">
        <v>0</v>
      </c>
      <c r="Y285" t="s">
        <v>52</v>
      </c>
      <c r="Z285" t="s">
        <v>53</v>
      </c>
      <c r="AA285" t="s">
        <v>54</v>
      </c>
      <c r="AB285">
        <v>0</v>
      </c>
      <c r="AC285" t="s">
        <v>55</v>
      </c>
      <c r="AD285">
        <v>8</v>
      </c>
      <c r="AE285" t="s">
        <v>56</v>
      </c>
      <c r="AF285">
        <v>63908.65</v>
      </c>
      <c r="AG285" t="b">
        <v>0</v>
      </c>
      <c r="AH285">
        <v>8</v>
      </c>
      <c r="AI285" t="s">
        <v>56</v>
      </c>
      <c r="AJ285">
        <v>63908.65</v>
      </c>
      <c r="AK285" t="b">
        <v>0</v>
      </c>
      <c r="AL285">
        <v>63908.65</v>
      </c>
      <c r="AM285" t="b">
        <v>0</v>
      </c>
      <c r="AN285">
        <v>0</v>
      </c>
      <c r="AO285" t="b">
        <v>0</v>
      </c>
      <c r="AQ285">
        <v>3368386220.3499999</v>
      </c>
      <c r="AR285">
        <v>3368386220.3499999</v>
      </c>
      <c r="AS285">
        <v>0</v>
      </c>
      <c r="AT285" t="b">
        <v>0</v>
      </c>
      <c r="AU285" t="b">
        <v>1</v>
      </c>
      <c r="AV285" t="b">
        <v>1</v>
      </c>
      <c r="AW285" t="b">
        <v>1</v>
      </c>
      <c r="BC285" t="s">
        <v>374</v>
      </c>
    </row>
    <row r="286" spans="1:55" x14ac:dyDescent="0.2">
      <c r="A286" t="s">
        <v>39</v>
      </c>
      <c r="B286" t="s">
        <v>40</v>
      </c>
      <c r="C286">
        <v>20210101</v>
      </c>
      <c r="D286">
        <v>2021</v>
      </c>
      <c r="E286">
        <v>52</v>
      </c>
      <c r="F286" t="s">
        <v>333</v>
      </c>
      <c r="G286">
        <v>470</v>
      </c>
      <c r="H286" t="s">
        <v>199</v>
      </c>
      <c r="I286" t="s">
        <v>200</v>
      </c>
      <c r="J286" t="s">
        <v>44</v>
      </c>
      <c r="K286" t="s">
        <v>45</v>
      </c>
      <c r="L286">
        <v>0</v>
      </c>
      <c r="M286" t="s">
        <v>46</v>
      </c>
      <c r="N286" t="s">
        <v>47</v>
      </c>
      <c r="O286">
        <v>0</v>
      </c>
      <c r="P286" t="s">
        <v>46</v>
      </c>
      <c r="Q286" t="s">
        <v>47</v>
      </c>
      <c r="R286" t="s">
        <v>48</v>
      </c>
      <c r="S286" t="s">
        <v>49</v>
      </c>
      <c r="T286" t="b">
        <v>1</v>
      </c>
      <c r="U286" t="s">
        <v>50</v>
      </c>
      <c r="V286" t="s">
        <v>51</v>
      </c>
      <c r="W286">
        <v>4</v>
      </c>
      <c r="X286" t="b">
        <v>0</v>
      </c>
      <c r="Y286" t="s">
        <v>52</v>
      </c>
      <c r="Z286" t="s">
        <v>53</v>
      </c>
      <c r="AA286" t="s">
        <v>54</v>
      </c>
      <c r="AB286">
        <v>0</v>
      </c>
      <c r="AC286" t="s">
        <v>55</v>
      </c>
      <c r="AD286">
        <v>8</v>
      </c>
      <c r="AE286" t="s">
        <v>56</v>
      </c>
      <c r="AF286">
        <v>53.511000000000003</v>
      </c>
      <c r="AG286" t="b">
        <v>0</v>
      </c>
      <c r="AH286">
        <v>15</v>
      </c>
      <c r="AI286" t="s">
        <v>59</v>
      </c>
      <c r="AJ286">
        <v>53511</v>
      </c>
      <c r="AK286" t="b">
        <v>0</v>
      </c>
      <c r="AL286">
        <v>56</v>
      </c>
      <c r="AM286" t="b">
        <v>0</v>
      </c>
      <c r="AN286">
        <v>0</v>
      </c>
      <c r="AO286" t="b">
        <v>0</v>
      </c>
      <c r="AQ286">
        <v>2300115.2940000002</v>
      </c>
      <c r="AR286">
        <v>2300115.2940000002</v>
      </c>
      <c r="AS286">
        <v>0</v>
      </c>
      <c r="AT286" t="b">
        <v>0</v>
      </c>
      <c r="AU286" t="b">
        <v>1</v>
      </c>
      <c r="AV286" t="b">
        <v>1</v>
      </c>
      <c r="AW286" t="b">
        <v>1</v>
      </c>
      <c r="BC286" t="s">
        <v>374</v>
      </c>
    </row>
    <row r="287" spans="1:55" x14ac:dyDescent="0.2">
      <c r="A287" t="s">
        <v>39</v>
      </c>
      <c r="B287" t="s">
        <v>40</v>
      </c>
      <c r="C287">
        <v>20210101</v>
      </c>
      <c r="D287">
        <v>2021</v>
      </c>
      <c r="E287">
        <v>52</v>
      </c>
      <c r="F287" t="s">
        <v>333</v>
      </c>
      <c r="G287">
        <v>478</v>
      </c>
      <c r="H287" t="s">
        <v>325</v>
      </c>
      <c r="I287" t="s">
        <v>326</v>
      </c>
      <c r="J287" t="s">
        <v>44</v>
      </c>
      <c r="K287" t="s">
        <v>45</v>
      </c>
      <c r="L287">
        <v>0</v>
      </c>
      <c r="M287" t="s">
        <v>46</v>
      </c>
      <c r="N287" t="s">
        <v>47</v>
      </c>
      <c r="O287">
        <v>0</v>
      </c>
      <c r="P287" t="s">
        <v>46</v>
      </c>
      <c r="Q287" t="s">
        <v>47</v>
      </c>
      <c r="R287" t="s">
        <v>48</v>
      </c>
      <c r="S287" t="s">
        <v>49</v>
      </c>
      <c r="T287" t="b">
        <v>1</v>
      </c>
      <c r="U287" t="s">
        <v>50</v>
      </c>
      <c r="V287" t="s">
        <v>51</v>
      </c>
      <c r="W287">
        <v>4</v>
      </c>
      <c r="X287" t="b">
        <v>0</v>
      </c>
      <c r="Y287" t="s">
        <v>52</v>
      </c>
      <c r="Z287" t="s">
        <v>53</v>
      </c>
      <c r="AA287" t="s">
        <v>54</v>
      </c>
      <c r="AB287">
        <v>0</v>
      </c>
      <c r="AC287" t="s">
        <v>55</v>
      </c>
      <c r="AD287">
        <v>-1</v>
      </c>
      <c r="AE287" t="s">
        <v>64</v>
      </c>
      <c r="AF287">
        <v>0</v>
      </c>
      <c r="AG287" t="b">
        <v>0</v>
      </c>
      <c r="AH287">
        <v>-1</v>
      </c>
      <c r="AI287" t="s">
        <v>64</v>
      </c>
      <c r="AJ287">
        <v>0</v>
      </c>
      <c r="AK287" t="b">
        <v>0</v>
      </c>
      <c r="AM287" t="b">
        <v>0</v>
      </c>
      <c r="AN287">
        <v>0</v>
      </c>
      <c r="AO287" t="b">
        <v>0</v>
      </c>
      <c r="AQ287">
        <v>323937479.19999999</v>
      </c>
      <c r="AR287">
        <v>323937479.19999999</v>
      </c>
      <c r="AS287">
        <v>0</v>
      </c>
      <c r="AT287" t="b">
        <v>0</v>
      </c>
      <c r="AU287" t="b">
        <v>1</v>
      </c>
      <c r="AV287" t="b">
        <v>1</v>
      </c>
      <c r="AW287" t="b">
        <v>1</v>
      </c>
      <c r="BC287" t="s">
        <v>374</v>
      </c>
    </row>
    <row r="288" spans="1:55" x14ac:dyDescent="0.2">
      <c r="A288" t="s">
        <v>39</v>
      </c>
      <c r="B288" t="s">
        <v>40</v>
      </c>
      <c r="C288">
        <v>20210101</v>
      </c>
      <c r="D288">
        <v>2021</v>
      </c>
      <c r="E288">
        <v>52</v>
      </c>
      <c r="F288" t="s">
        <v>333</v>
      </c>
      <c r="G288">
        <v>480</v>
      </c>
      <c r="H288" t="s">
        <v>201</v>
      </c>
      <c r="I288" t="s">
        <v>202</v>
      </c>
      <c r="J288" t="s">
        <v>44</v>
      </c>
      <c r="K288" t="s">
        <v>45</v>
      </c>
      <c r="L288">
        <v>0</v>
      </c>
      <c r="M288" t="s">
        <v>46</v>
      </c>
      <c r="N288" t="s">
        <v>47</v>
      </c>
      <c r="O288">
        <v>0</v>
      </c>
      <c r="P288" t="s">
        <v>46</v>
      </c>
      <c r="Q288" t="s">
        <v>47</v>
      </c>
      <c r="R288" t="s">
        <v>48</v>
      </c>
      <c r="S288" t="s">
        <v>49</v>
      </c>
      <c r="T288" t="b">
        <v>1</v>
      </c>
      <c r="U288" t="s">
        <v>50</v>
      </c>
      <c r="V288" t="s">
        <v>51</v>
      </c>
      <c r="W288">
        <v>4</v>
      </c>
      <c r="X288" t="b">
        <v>0</v>
      </c>
      <c r="Y288" t="s">
        <v>52</v>
      </c>
      <c r="Z288" t="s">
        <v>53</v>
      </c>
      <c r="AA288" t="s">
        <v>54</v>
      </c>
      <c r="AB288">
        <v>0</v>
      </c>
      <c r="AC288" t="s">
        <v>55</v>
      </c>
      <c r="AD288">
        <v>8</v>
      </c>
      <c r="AE288" t="s">
        <v>56</v>
      </c>
      <c r="AF288">
        <v>1</v>
      </c>
      <c r="AG288" t="b">
        <v>0</v>
      </c>
      <c r="AH288">
        <v>8</v>
      </c>
      <c r="AI288" t="s">
        <v>56</v>
      </c>
      <c r="AJ288">
        <v>1</v>
      </c>
      <c r="AK288" t="b">
        <v>0</v>
      </c>
      <c r="AL288">
        <v>1</v>
      </c>
      <c r="AM288" t="b">
        <v>0</v>
      </c>
      <c r="AN288">
        <v>0</v>
      </c>
      <c r="AO288" t="b">
        <v>0</v>
      </c>
      <c r="AP288">
        <v>0</v>
      </c>
      <c r="AQ288">
        <v>62238.216</v>
      </c>
      <c r="AR288">
        <v>62238.216</v>
      </c>
      <c r="AS288">
        <v>0</v>
      </c>
      <c r="AT288" t="b">
        <v>0</v>
      </c>
      <c r="AU288" t="b">
        <v>1</v>
      </c>
      <c r="AV288" t="b">
        <v>1</v>
      </c>
      <c r="AW288" t="b">
        <v>1</v>
      </c>
      <c r="BC288" t="s">
        <v>374</v>
      </c>
    </row>
    <row r="289" spans="1:55" x14ac:dyDescent="0.2">
      <c r="A289" t="s">
        <v>39</v>
      </c>
      <c r="B289" t="s">
        <v>40</v>
      </c>
      <c r="C289">
        <v>20210101</v>
      </c>
      <c r="D289">
        <v>2021</v>
      </c>
      <c r="E289">
        <v>52</v>
      </c>
      <c r="F289" t="s">
        <v>333</v>
      </c>
      <c r="G289">
        <v>484</v>
      </c>
      <c r="H289" t="s">
        <v>203</v>
      </c>
      <c r="I289" t="s">
        <v>204</v>
      </c>
      <c r="J289" t="s">
        <v>44</v>
      </c>
      <c r="K289" t="s">
        <v>45</v>
      </c>
      <c r="L289">
        <v>0</v>
      </c>
      <c r="M289" t="s">
        <v>46</v>
      </c>
      <c r="N289" t="s">
        <v>47</v>
      </c>
      <c r="O289">
        <v>0</v>
      </c>
      <c r="P289" t="s">
        <v>46</v>
      </c>
      <c r="Q289" t="s">
        <v>47</v>
      </c>
      <c r="R289" t="s">
        <v>48</v>
      </c>
      <c r="S289" t="s">
        <v>49</v>
      </c>
      <c r="T289" t="b">
        <v>1</v>
      </c>
      <c r="U289" t="s">
        <v>50</v>
      </c>
      <c r="V289" t="s">
        <v>51</v>
      </c>
      <c r="W289">
        <v>4</v>
      </c>
      <c r="X289" t="b">
        <v>0</v>
      </c>
      <c r="Y289" t="s">
        <v>52</v>
      </c>
      <c r="Z289" t="s">
        <v>53</v>
      </c>
      <c r="AA289" t="s">
        <v>54</v>
      </c>
      <c r="AB289">
        <v>0</v>
      </c>
      <c r="AC289" t="s">
        <v>55</v>
      </c>
      <c r="AD289">
        <v>-1</v>
      </c>
      <c r="AE289" t="s">
        <v>64</v>
      </c>
      <c r="AF289">
        <v>0</v>
      </c>
      <c r="AG289" t="b">
        <v>1</v>
      </c>
      <c r="AH289">
        <v>-1</v>
      </c>
      <c r="AI289" t="s">
        <v>64</v>
      </c>
      <c r="AJ289">
        <v>0</v>
      </c>
      <c r="AK289" t="b">
        <v>0</v>
      </c>
      <c r="AL289">
        <v>0</v>
      </c>
      <c r="AM289" t="b">
        <v>1</v>
      </c>
      <c r="AN289">
        <v>0</v>
      </c>
      <c r="AO289" t="b">
        <v>0</v>
      </c>
      <c r="AQ289">
        <v>3413974349</v>
      </c>
      <c r="AR289">
        <v>3413974349</v>
      </c>
      <c r="AS289">
        <v>6</v>
      </c>
      <c r="AT289" t="b">
        <v>0</v>
      </c>
      <c r="AU289" t="b">
        <v>1</v>
      </c>
      <c r="AV289" t="b">
        <v>1</v>
      </c>
      <c r="AW289" t="b">
        <v>1</v>
      </c>
      <c r="BC289" t="s">
        <v>374</v>
      </c>
    </row>
    <row r="290" spans="1:55" x14ac:dyDescent="0.2">
      <c r="A290" t="s">
        <v>39</v>
      </c>
      <c r="B290" t="s">
        <v>40</v>
      </c>
      <c r="C290">
        <v>20210101</v>
      </c>
      <c r="D290">
        <v>2021</v>
      </c>
      <c r="E290">
        <v>52</v>
      </c>
      <c r="F290" t="s">
        <v>333</v>
      </c>
      <c r="G290">
        <v>490</v>
      </c>
      <c r="H290" t="s">
        <v>205</v>
      </c>
      <c r="I290" t="s">
        <v>206</v>
      </c>
      <c r="J290" t="s">
        <v>44</v>
      </c>
      <c r="K290" t="s">
        <v>45</v>
      </c>
      <c r="L290">
        <v>0</v>
      </c>
      <c r="M290" t="s">
        <v>46</v>
      </c>
      <c r="N290" t="s">
        <v>47</v>
      </c>
      <c r="O290">
        <v>0</v>
      </c>
      <c r="P290" t="s">
        <v>46</v>
      </c>
      <c r="Q290" t="s">
        <v>47</v>
      </c>
      <c r="R290" t="s">
        <v>48</v>
      </c>
      <c r="S290" t="s">
        <v>49</v>
      </c>
      <c r="T290" t="b">
        <v>1</v>
      </c>
      <c r="U290" t="s">
        <v>50</v>
      </c>
      <c r="V290" t="s">
        <v>51</v>
      </c>
      <c r="W290">
        <v>4</v>
      </c>
      <c r="X290" t="b">
        <v>0</v>
      </c>
      <c r="Y290" t="s">
        <v>52</v>
      </c>
      <c r="Z290" t="s">
        <v>53</v>
      </c>
      <c r="AA290" t="s">
        <v>54</v>
      </c>
      <c r="AB290">
        <v>0</v>
      </c>
      <c r="AC290" t="s">
        <v>55</v>
      </c>
      <c r="AD290">
        <v>8</v>
      </c>
      <c r="AE290" t="s">
        <v>56</v>
      </c>
      <c r="AF290">
        <v>14910.258</v>
      </c>
      <c r="AG290" t="b">
        <v>1</v>
      </c>
      <c r="AH290">
        <v>-1</v>
      </c>
      <c r="AI290" t="s">
        <v>64</v>
      </c>
      <c r="AJ290">
        <v>0</v>
      </c>
      <c r="AK290" t="b">
        <v>0</v>
      </c>
      <c r="AL290">
        <v>14910.258</v>
      </c>
      <c r="AM290" t="b">
        <v>1</v>
      </c>
      <c r="AN290">
        <v>0</v>
      </c>
      <c r="AO290" t="b">
        <v>0</v>
      </c>
      <c r="AP290">
        <v>0</v>
      </c>
      <c r="AQ290">
        <v>808234685.12800002</v>
      </c>
      <c r="AR290">
        <v>808234685.12800002</v>
      </c>
      <c r="AS290">
        <v>6</v>
      </c>
      <c r="AT290" t="b">
        <v>0</v>
      </c>
      <c r="AU290" t="b">
        <v>1</v>
      </c>
      <c r="AV290" t="b">
        <v>1</v>
      </c>
      <c r="AW290" t="b">
        <v>1</v>
      </c>
      <c r="BC290" t="s">
        <v>374</v>
      </c>
    </row>
    <row r="291" spans="1:55" x14ac:dyDescent="0.2">
      <c r="A291" t="s">
        <v>39</v>
      </c>
      <c r="B291" t="s">
        <v>40</v>
      </c>
      <c r="C291">
        <v>20210101</v>
      </c>
      <c r="D291">
        <v>2021</v>
      </c>
      <c r="E291">
        <v>52</v>
      </c>
      <c r="F291" t="s">
        <v>333</v>
      </c>
      <c r="G291">
        <v>496</v>
      </c>
      <c r="H291" t="s">
        <v>207</v>
      </c>
      <c r="I291" t="s">
        <v>208</v>
      </c>
      <c r="J291" t="s">
        <v>44</v>
      </c>
      <c r="K291" t="s">
        <v>45</v>
      </c>
      <c r="L291">
        <v>0</v>
      </c>
      <c r="M291" t="s">
        <v>46</v>
      </c>
      <c r="N291" t="s">
        <v>47</v>
      </c>
      <c r="O291">
        <v>0</v>
      </c>
      <c r="P291" t="s">
        <v>46</v>
      </c>
      <c r="Q291" t="s">
        <v>47</v>
      </c>
      <c r="R291" t="s">
        <v>48</v>
      </c>
      <c r="S291" t="s">
        <v>49</v>
      </c>
      <c r="T291" t="b">
        <v>1</v>
      </c>
      <c r="U291" t="s">
        <v>50</v>
      </c>
      <c r="V291" t="s">
        <v>51</v>
      </c>
      <c r="W291">
        <v>4</v>
      </c>
      <c r="X291" t="b">
        <v>0</v>
      </c>
      <c r="Y291" t="s">
        <v>52</v>
      </c>
      <c r="Z291" t="s">
        <v>53</v>
      </c>
      <c r="AA291" t="s">
        <v>54</v>
      </c>
      <c r="AB291">
        <v>0</v>
      </c>
      <c r="AC291" t="s">
        <v>55</v>
      </c>
      <c r="AD291">
        <v>8</v>
      </c>
      <c r="AE291" t="s">
        <v>56</v>
      </c>
      <c r="AF291">
        <v>17249.57</v>
      </c>
      <c r="AG291" t="b">
        <v>0</v>
      </c>
      <c r="AH291">
        <v>8</v>
      </c>
      <c r="AI291" t="s">
        <v>56</v>
      </c>
      <c r="AJ291">
        <v>17249.57</v>
      </c>
      <c r="AK291" t="b">
        <v>0</v>
      </c>
      <c r="AL291">
        <v>17250</v>
      </c>
      <c r="AM291" t="b">
        <v>0</v>
      </c>
      <c r="AN291">
        <v>0</v>
      </c>
      <c r="AO291" t="b">
        <v>0</v>
      </c>
      <c r="AP291">
        <v>0</v>
      </c>
      <c r="AQ291">
        <v>1004519993.83</v>
      </c>
      <c r="AR291">
        <v>1004519993.83</v>
      </c>
      <c r="AS291">
        <v>0</v>
      </c>
      <c r="AT291" t="b">
        <v>0</v>
      </c>
      <c r="AU291" t="b">
        <v>1</v>
      </c>
      <c r="AV291" t="b">
        <v>1</v>
      </c>
      <c r="AW291" t="b">
        <v>1</v>
      </c>
      <c r="BC291" t="s">
        <v>374</v>
      </c>
    </row>
    <row r="292" spans="1:55" x14ac:dyDescent="0.2">
      <c r="A292" t="s">
        <v>39</v>
      </c>
      <c r="B292" t="s">
        <v>40</v>
      </c>
      <c r="C292">
        <v>20210101</v>
      </c>
      <c r="D292">
        <v>2021</v>
      </c>
      <c r="E292">
        <v>52</v>
      </c>
      <c r="F292" t="s">
        <v>333</v>
      </c>
      <c r="G292">
        <v>498</v>
      </c>
      <c r="H292" t="s">
        <v>209</v>
      </c>
      <c r="I292" t="s">
        <v>210</v>
      </c>
      <c r="J292" t="s">
        <v>44</v>
      </c>
      <c r="K292" t="s">
        <v>45</v>
      </c>
      <c r="L292">
        <v>0</v>
      </c>
      <c r="M292" t="s">
        <v>46</v>
      </c>
      <c r="N292" t="s">
        <v>47</v>
      </c>
      <c r="O292">
        <v>0</v>
      </c>
      <c r="P292" t="s">
        <v>46</v>
      </c>
      <c r="Q292" t="s">
        <v>47</v>
      </c>
      <c r="R292" t="s">
        <v>48</v>
      </c>
      <c r="S292" t="s">
        <v>49</v>
      </c>
      <c r="T292" t="b">
        <v>1</v>
      </c>
      <c r="U292" t="s">
        <v>50</v>
      </c>
      <c r="V292" t="s">
        <v>51</v>
      </c>
      <c r="W292">
        <v>4</v>
      </c>
      <c r="X292" t="b">
        <v>0</v>
      </c>
      <c r="Y292" t="s">
        <v>52</v>
      </c>
      <c r="Z292" t="s">
        <v>53</v>
      </c>
      <c r="AA292" t="s">
        <v>54</v>
      </c>
      <c r="AB292">
        <v>0</v>
      </c>
      <c r="AC292" t="s">
        <v>55</v>
      </c>
      <c r="AD292">
        <v>8</v>
      </c>
      <c r="AE292" t="s">
        <v>56</v>
      </c>
      <c r="AF292">
        <v>26.1</v>
      </c>
      <c r="AG292" t="b">
        <v>0</v>
      </c>
      <c r="AH292">
        <v>15</v>
      </c>
      <c r="AI292" t="s">
        <v>59</v>
      </c>
      <c r="AJ292">
        <v>26100</v>
      </c>
      <c r="AK292" t="b">
        <v>0</v>
      </c>
      <c r="AL292">
        <v>26</v>
      </c>
      <c r="AM292" t="b">
        <v>0</v>
      </c>
      <c r="AN292">
        <v>0</v>
      </c>
      <c r="AO292" t="b">
        <v>0</v>
      </c>
      <c r="AP292">
        <v>0</v>
      </c>
      <c r="AQ292">
        <v>869827</v>
      </c>
      <c r="AR292">
        <v>869827</v>
      </c>
      <c r="AS292">
        <v>0</v>
      </c>
      <c r="AT292" t="b">
        <v>0</v>
      </c>
      <c r="AU292" t="b">
        <v>1</v>
      </c>
      <c r="AV292" t="b">
        <v>1</v>
      </c>
      <c r="AW292" t="b">
        <v>1</v>
      </c>
      <c r="BC292" t="s">
        <v>374</v>
      </c>
    </row>
    <row r="293" spans="1:55" x14ac:dyDescent="0.2">
      <c r="A293" t="s">
        <v>39</v>
      </c>
      <c r="B293" t="s">
        <v>40</v>
      </c>
      <c r="C293">
        <v>20210101</v>
      </c>
      <c r="D293">
        <v>2021</v>
      </c>
      <c r="E293">
        <v>52</v>
      </c>
      <c r="F293" t="s">
        <v>333</v>
      </c>
      <c r="G293">
        <v>504</v>
      </c>
      <c r="H293" t="s">
        <v>211</v>
      </c>
      <c r="I293" t="s">
        <v>212</v>
      </c>
      <c r="J293" t="s">
        <v>44</v>
      </c>
      <c r="K293" t="s">
        <v>45</v>
      </c>
      <c r="L293">
        <v>0</v>
      </c>
      <c r="M293" t="s">
        <v>46</v>
      </c>
      <c r="N293" t="s">
        <v>47</v>
      </c>
      <c r="O293">
        <v>0</v>
      </c>
      <c r="P293" t="s">
        <v>46</v>
      </c>
      <c r="Q293" t="s">
        <v>47</v>
      </c>
      <c r="R293" t="s">
        <v>48</v>
      </c>
      <c r="S293" t="s">
        <v>49</v>
      </c>
      <c r="T293" t="b">
        <v>1</v>
      </c>
      <c r="U293" t="s">
        <v>50</v>
      </c>
      <c r="V293" t="s">
        <v>51</v>
      </c>
      <c r="W293">
        <v>4</v>
      </c>
      <c r="X293" t="b">
        <v>0</v>
      </c>
      <c r="Y293" t="s">
        <v>52</v>
      </c>
      <c r="Z293" t="s">
        <v>53</v>
      </c>
      <c r="AA293" t="s">
        <v>54</v>
      </c>
      <c r="AB293">
        <v>0</v>
      </c>
      <c r="AC293" t="s">
        <v>55</v>
      </c>
      <c r="AD293">
        <v>-1</v>
      </c>
      <c r="AE293" t="s">
        <v>64</v>
      </c>
      <c r="AF293">
        <v>0</v>
      </c>
      <c r="AG293" t="b">
        <v>0</v>
      </c>
      <c r="AH293">
        <v>15</v>
      </c>
      <c r="AI293" t="s">
        <v>59</v>
      </c>
      <c r="AJ293">
        <v>421549.13</v>
      </c>
      <c r="AK293" t="b">
        <v>0</v>
      </c>
      <c r="AL293">
        <v>805.9</v>
      </c>
      <c r="AM293" t="b">
        <v>0</v>
      </c>
      <c r="AN293">
        <v>0</v>
      </c>
      <c r="AO293" t="b">
        <v>0</v>
      </c>
      <c r="AP293">
        <v>0</v>
      </c>
      <c r="AQ293">
        <v>40370158.938000001</v>
      </c>
      <c r="AR293">
        <v>40370158.938000001</v>
      </c>
      <c r="AS293">
        <v>0</v>
      </c>
      <c r="AT293" t="b">
        <v>0</v>
      </c>
      <c r="AU293" t="b">
        <v>1</v>
      </c>
      <c r="AV293" t="b">
        <v>1</v>
      </c>
      <c r="AW293" t="b">
        <v>1</v>
      </c>
      <c r="BC293" t="s">
        <v>374</v>
      </c>
    </row>
    <row r="294" spans="1:55" x14ac:dyDescent="0.2">
      <c r="A294" t="s">
        <v>39</v>
      </c>
      <c r="B294" t="s">
        <v>40</v>
      </c>
      <c r="C294">
        <v>20210101</v>
      </c>
      <c r="D294">
        <v>2021</v>
      </c>
      <c r="E294">
        <v>52</v>
      </c>
      <c r="F294" t="s">
        <v>333</v>
      </c>
      <c r="G294">
        <v>508</v>
      </c>
      <c r="H294" t="s">
        <v>213</v>
      </c>
      <c r="I294" t="s">
        <v>214</v>
      </c>
      <c r="J294" t="s">
        <v>44</v>
      </c>
      <c r="K294" t="s">
        <v>45</v>
      </c>
      <c r="L294">
        <v>0</v>
      </c>
      <c r="M294" t="s">
        <v>46</v>
      </c>
      <c r="N294" t="s">
        <v>47</v>
      </c>
      <c r="O294">
        <v>0</v>
      </c>
      <c r="P294" t="s">
        <v>46</v>
      </c>
      <c r="Q294" t="s">
        <v>47</v>
      </c>
      <c r="R294" t="s">
        <v>48</v>
      </c>
      <c r="S294" t="s">
        <v>49</v>
      </c>
      <c r="T294" t="b">
        <v>1</v>
      </c>
      <c r="U294" t="s">
        <v>50</v>
      </c>
      <c r="V294" t="s">
        <v>51</v>
      </c>
      <c r="W294">
        <v>4</v>
      </c>
      <c r="X294" t="b">
        <v>0</v>
      </c>
      <c r="Y294" t="s">
        <v>52</v>
      </c>
      <c r="Z294" t="s">
        <v>53</v>
      </c>
      <c r="AA294" t="s">
        <v>54</v>
      </c>
      <c r="AB294">
        <v>0</v>
      </c>
      <c r="AC294" t="s">
        <v>55</v>
      </c>
      <c r="AD294">
        <v>-1</v>
      </c>
      <c r="AE294" t="s">
        <v>64</v>
      </c>
      <c r="AF294">
        <v>0</v>
      </c>
      <c r="AG294" t="b">
        <v>0</v>
      </c>
      <c r="AH294">
        <v>-1</v>
      </c>
      <c r="AI294" t="s">
        <v>64</v>
      </c>
      <c r="AJ294">
        <v>0</v>
      </c>
      <c r="AK294" t="b">
        <v>0</v>
      </c>
      <c r="AM294" t="b">
        <v>0</v>
      </c>
      <c r="AN294">
        <v>0</v>
      </c>
      <c r="AO294" t="b">
        <v>0</v>
      </c>
      <c r="AQ294">
        <v>995616.4</v>
      </c>
      <c r="AR294">
        <v>995616.4</v>
      </c>
      <c r="AS294">
        <v>0</v>
      </c>
      <c r="AT294" t="b">
        <v>0</v>
      </c>
      <c r="AU294" t="b">
        <v>1</v>
      </c>
      <c r="AV294" t="b">
        <v>1</v>
      </c>
      <c r="AW294" t="b">
        <v>1</v>
      </c>
      <c r="BC294" t="s">
        <v>374</v>
      </c>
    </row>
    <row r="295" spans="1:55" x14ac:dyDescent="0.2">
      <c r="A295" t="s">
        <v>39</v>
      </c>
      <c r="B295" t="s">
        <v>40</v>
      </c>
      <c r="C295">
        <v>20210101</v>
      </c>
      <c r="D295">
        <v>2021</v>
      </c>
      <c r="E295">
        <v>52</v>
      </c>
      <c r="F295" t="s">
        <v>333</v>
      </c>
      <c r="G295">
        <v>512</v>
      </c>
      <c r="H295" t="s">
        <v>215</v>
      </c>
      <c r="I295" t="s">
        <v>216</v>
      </c>
      <c r="J295" t="s">
        <v>44</v>
      </c>
      <c r="K295" t="s">
        <v>45</v>
      </c>
      <c r="L295">
        <v>0</v>
      </c>
      <c r="M295" t="s">
        <v>46</v>
      </c>
      <c r="N295" t="s">
        <v>47</v>
      </c>
      <c r="O295">
        <v>0</v>
      </c>
      <c r="P295" t="s">
        <v>46</v>
      </c>
      <c r="Q295" t="s">
        <v>47</v>
      </c>
      <c r="R295" t="s">
        <v>48</v>
      </c>
      <c r="S295" t="s">
        <v>49</v>
      </c>
      <c r="T295" t="b">
        <v>1</v>
      </c>
      <c r="U295" t="s">
        <v>50</v>
      </c>
      <c r="V295" t="s">
        <v>51</v>
      </c>
      <c r="W295">
        <v>4</v>
      </c>
      <c r="X295" t="b">
        <v>0</v>
      </c>
      <c r="Y295" t="s">
        <v>52</v>
      </c>
      <c r="Z295" t="s">
        <v>53</v>
      </c>
      <c r="AA295" t="s">
        <v>54</v>
      </c>
      <c r="AB295">
        <v>0</v>
      </c>
      <c r="AC295" t="s">
        <v>55</v>
      </c>
      <c r="AD295">
        <v>8</v>
      </c>
      <c r="AE295" t="s">
        <v>56</v>
      </c>
      <c r="AF295">
        <v>2351</v>
      </c>
      <c r="AG295" t="b">
        <v>0</v>
      </c>
      <c r="AH295">
        <v>8</v>
      </c>
      <c r="AI295" t="s">
        <v>56</v>
      </c>
      <c r="AJ295">
        <v>2351</v>
      </c>
      <c r="AK295" t="b">
        <v>0</v>
      </c>
      <c r="AL295">
        <v>2351</v>
      </c>
      <c r="AM295" t="b">
        <v>0</v>
      </c>
      <c r="AN295">
        <v>0</v>
      </c>
      <c r="AO295" t="b">
        <v>0</v>
      </c>
      <c r="AQ295">
        <v>28259924.533</v>
      </c>
      <c r="AR295">
        <v>28259924.533</v>
      </c>
      <c r="AS295">
        <v>0</v>
      </c>
      <c r="AT295" t="b">
        <v>0</v>
      </c>
      <c r="AU295" t="b">
        <v>1</v>
      </c>
      <c r="AV295" t="b">
        <v>1</v>
      </c>
      <c r="AW295" t="b">
        <v>1</v>
      </c>
      <c r="BC295" t="s">
        <v>374</v>
      </c>
    </row>
    <row r="296" spans="1:55" x14ac:dyDescent="0.2">
      <c r="A296" t="s">
        <v>39</v>
      </c>
      <c r="B296" t="s">
        <v>40</v>
      </c>
      <c r="C296">
        <v>20210101</v>
      </c>
      <c r="D296">
        <v>2021</v>
      </c>
      <c r="E296">
        <v>52</v>
      </c>
      <c r="F296" t="s">
        <v>333</v>
      </c>
      <c r="G296">
        <v>516</v>
      </c>
      <c r="H296" t="s">
        <v>217</v>
      </c>
      <c r="I296" t="s">
        <v>218</v>
      </c>
      <c r="J296" t="s">
        <v>44</v>
      </c>
      <c r="K296" t="s">
        <v>45</v>
      </c>
      <c r="L296">
        <v>0</v>
      </c>
      <c r="M296" t="s">
        <v>46</v>
      </c>
      <c r="N296" t="s">
        <v>47</v>
      </c>
      <c r="O296">
        <v>0</v>
      </c>
      <c r="P296" t="s">
        <v>46</v>
      </c>
      <c r="Q296" t="s">
        <v>47</v>
      </c>
      <c r="R296" t="s">
        <v>48</v>
      </c>
      <c r="S296" t="s">
        <v>49</v>
      </c>
      <c r="T296" t="b">
        <v>1</v>
      </c>
      <c r="U296" t="s">
        <v>50</v>
      </c>
      <c r="V296" t="s">
        <v>51</v>
      </c>
      <c r="W296">
        <v>4</v>
      </c>
      <c r="X296" t="b">
        <v>0</v>
      </c>
      <c r="Y296" t="s">
        <v>52</v>
      </c>
      <c r="Z296" t="s">
        <v>53</v>
      </c>
      <c r="AA296" t="s">
        <v>54</v>
      </c>
      <c r="AB296">
        <v>0</v>
      </c>
      <c r="AC296" t="s">
        <v>55</v>
      </c>
      <c r="AD296">
        <v>8</v>
      </c>
      <c r="AE296" t="s">
        <v>56</v>
      </c>
      <c r="AF296">
        <v>8110.24</v>
      </c>
      <c r="AG296" t="b">
        <v>0</v>
      </c>
      <c r="AH296">
        <v>8</v>
      </c>
      <c r="AI296" t="s">
        <v>56</v>
      </c>
      <c r="AJ296">
        <v>8110.24</v>
      </c>
      <c r="AK296" t="b">
        <v>0</v>
      </c>
      <c r="AL296">
        <v>8110.24</v>
      </c>
      <c r="AM296" t="b">
        <v>0</v>
      </c>
      <c r="AN296">
        <v>0</v>
      </c>
      <c r="AO296" t="b">
        <v>0</v>
      </c>
      <c r="AQ296">
        <v>440147872.76499999</v>
      </c>
      <c r="AR296">
        <v>440147872.76499999</v>
      </c>
      <c r="AS296">
        <v>0</v>
      </c>
      <c r="AT296" t="b">
        <v>0</v>
      </c>
      <c r="AU296" t="b">
        <v>1</v>
      </c>
      <c r="AV296" t="b">
        <v>1</v>
      </c>
      <c r="AW296" t="b">
        <v>1</v>
      </c>
      <c r="BC296" t="s">
        <v>374</v>
      </c>
    </row>
    <row r="297" spans="1:55" x14ac:dyDescent="0.2">
      <c r="A297" t="s">
        <v>39</v>
      </c>
      <c r="B297" t="s">
        <v>40</v>
      </c>
      <c r="C297">
        <v>20210101</v>
      </c>
      <c r="D297">
        <v>2021</v>
      </c>
      <c r="E297">
        <v>52</v>
      </c>
      <c r="F297" t="s">
        <v>333</v>
      </c>
      <c r="G297">
        <v>528</v>
      </c>
      <c r="H297" t="s">
        <v>219</v>
      </c>
      <c r="I297" t="s">
        <v>220</v>
      </c>
      <c r="J297" t="s">
        <v>44</v>
      </c>
      <c r="K297" t="s">
        <v>45</v>
      </c>
      <c r="L297">
        <v>0</v>
      </c>
      <c r="M297" t="s">
        <v>46</v>
      </c>
      <c r="N297" t="s">
        <v>47</v>
      </c>
      <c r="O297">
        <v>0</v>
      </c>
      <c r="P297" t="s">
        <v>46</v>
      </c>
      <c r="Q297" t="s">
        <v>47</v>
      </c>
      <c r="R297" t="s">
        <v>48</v>
      </c>
      <c r="S297" t="s">
        <v>49</v>
      </c>
      <c r="T297" t="b">
        <v>1</v>
      </c>
      <c r="U297" t="s">
        <v>50</v>
      </c>
      <c r="V297" t="s">
        <v>51</v>
      </c>
      <c r="W297">
        <v>4</v>
      </c>
      <c r="X297" t="b">
        <v>0</v>
      </c>
      <c r="Y297" t="s">
        <v>52</v>
      </c>
      <c r="Z297" t="s">
        <v>53</v>
      </c>
      <c r="AA297" t="s">
        <v>54</v>
      </c>
      <c r="AB297">
        <v>0</v>
      </c>
      <c r="AC297" t="s">
        <v>55</v>
      </c>
      <c r="AD297">
        <v>-1</v>
      </c>
      <c r="AE297" t="s">
        <v>64</v>
      </c>
      <c r="AF297">
        <v>0</v>
      </c>
      <c r="AG297" t="b">
        <v>0</v>
      </c>
      <c r="AH297">
        <v>-1</v>
      </c>
      <c r="AI297" t="s">
        <v>64</v>
      </c>
      <c r="AJ297">
        <v>0</v>
      </c>
      <c r="AK297" t="b">
        <v>0</v>
      </c>
      <c r="AL297">
        <v>0</v>
      </c>
      <c r="AM297" t="b">
        <v>0</v>
      </c>
      <c r="AN297">
        <v>0</v>
      </c>
      <c r="AO297" t="b">
        <v>0</v>
      </c>
      <c r="AP297">
        <v>0</v>
      </c>
      <c r="AQ297">
        <v>300011153.61500001</v>
      </c>
      <c r="AR297">
        <v>300011153.61500001</v>
      </c>
      <c r="AS297">
        <v>0</v>
      </c>
      <c r="AT297" t="b">
        <v>0</v>
      </c>
      <c r="AU297" t="b">
        <v>1</v>
      </c>
      <c r="AV297" t="b">
        <v>1</v>
      </c>
      <c r="AW297" t="b">
        <v>1</v>
      </c>
      <c r="BC297" t="s">
        <v>374</v>
      </c>
    </row>
    <row r="298" spans="1:55" x14ac:dyDescent="0.2">
      <c r="A298" t="s">
        <v>39</v>
      </c>
      <c r="B298" t="s">
        <v>40</v>
      </c>
      <c r="C298">
        <v>20210101</v>
      </c>
      <c r="D298">
        <v>2021</v>
      </c>
      <c r="E298">
        <v>52</v>
      </c>
      <c r="F298" t="s">
        <v>333</v>
      </c>
      <c r="G298">
        <v>554</v>
      </c>
      <c r="H298" t="s">
        <v>223</v>
      </c>
      <c r="I298" t="s">
        <v>224</v>
      </c>
      <c r="J298" t="s">
        <v>44</v>
      </c>
      <c r="K298" t="s">
        <v>45</v>
      </c>
      <c r="L298">
        <v>0</v>
      </c>
      <c r="M298" t="s">
        <v>46</v>
      </c>
      <c r="N298" t="s">
        <v>47</v>
      </c>
      <c r="O298">
        <v>0</v>
      </c>
      <c r="P298" t="s">
        <v>46</v>
      </c>
      <c r="Q298" t="s">
        <v>47</v>
      </c>
      <c r="R298" t="s">
        <v>48</v>
      </c>
      <c r="S298" t="s">
        <v>49</v>
      </c>
      <c r="T298" t="b">
        <v>1</v>
      </c>
      <c r="U298" t="s">
        <v>50</v>
      </c>
      <c r="V298" t="s">
        <v>51</v>
      </c>
      <c r="W298">
        <v>4</v>
      </c>
      <c r="X298" t="b">
        <v>0</v>
      </c>
      <c r="Y298" t="s">
        <v>52</v>
      </c>
      <c r="Z298" t="s">
        <v>53</v>
      </c>
      <c r="AA298" t="s">
        <v>54</v>
      </c>
      <c r="AB298">
        <v>0</v>
      </c>
      <c r="AC298" t="s">
        <v>55</v>
      </c>
      <c r="AD298">
        <v>8</v>
      </c>
      <c r="AE298" t="s">
        <v>56</v>
      </c>
      <c r="AF298">
        <v>8214.0689999999995</v>
      </c>
      <c r="AG298" t="b">
        <v>0</v>
      </c>
      <c r="AH298">
        <v>15</v>
      </c>
      <c r="AI298" t="s">
        <v>59</v>
      </c>
      <c r="AJ298">
        <v>8214069</v>
      </c>
      <c r="AK298" t="b">
        <v>0</v>
      </c>
      <c r="AL298">
        <v>8214.0689999999995</v>
      </c>
      <c r="AM298" t="b">
        <v>0</v>
      </c>
      <c r="AN298">
        <v>0</v>
      </c>
      <c r="AO298" t="b">
        <v>0</v>
      </c>
      <c r="AQ298">
        <v>333771730.15399998</v>
      </c>
      <c r="AR298">
        <v>333771730.15399998</v>
      </c>
      <c r="AS298">
        <v>0</v>
      </c>
      <c r="AT298" t="b">
        <v>0</v>
      </c>
      <c r="AU298" t="b">
        <v>1</v>
      </c>
      <c r="AV298" t="b">
        <v>1</v>
      </c>
      <c r="AW298" t="b">
        <v>1</v>
      </c>
      <c r="BC298" t="s">
        <v>374</v>
      </c>
    </row>
    <row r="299" spans="1:55" x14ac:dyDescent="0.2">
      <c r="A299" t="s">
        <v>39</v>
      </c>
      <c r="B299" t="s">
        <v>40</v>
      </c>
      <c r="C299">
        <v>20210101</v>
      </c>
      <c r="D299">
        <v>2021</v>
      </c>
      <c r="E299">
        <v>52</v>
      </c>
      <c r="F299" t="s">
        <v>333</v>
      </c>
      <c r="G299">
        <v>558</v>
      </c>
      <c r="H299" t="s">
        <v>225</v>
      </c>
      <c r="I299" t="s">
        <v>226</v>
      </c>
      <c r="J299" t="s">
        <v>44</v>
      </c>
      <c r="K299" t="s">
        <v>45</v>
      </c>
      <c r="L299">
        <v>0</v>
      </c>
      <c r="M299" t="s">
        <v>46</v>
      </c>
      <c r="N299" t="s">
        <v>47</v>
      </c>
      <c r="O299">
        <v>0</v>
      </c>
      <c r="P299" t="s">
        <v>46</v>
      </c>
      <c r="Q299" t="s">
        <v>47</v>
      </c>
      <c r="R299" t="s">
        <v>48</v>
      </c>
      <c r="S299" t="s">
        <v>49</v>
      </c>
      <c r="T299" t="b">
        <v>1</v>
      </c>
      <c r="U299" t="s">
        <v>50</v>
      </c>
      <c r="V299" t="s">
        <v>51</v>
      </c>
      <c r="W299">
        <v>4</v>
      </c>
      <c r="X299" t="b">
        <v>0</v>
      </c>
      <c r="Y299" t="s">
        <v>52</v>
      </c>
      <c r="Z299" t="s">
        <v>53</v>
      </c>
      <c r="AA299" t="s">
        <v>54</v>
      </c>
      <c r="AB299">
        <v>0</v>
      </c>
      <c r="AC299" t="s">
        <v>55</v>
      </c>
      <c r="AD299">
        <v>8</v>
      </c>
      <c r="AE299" t="s">
        <v>56</v>
      </c>
      <c r="AF299">
        <v>26466.5</v>
      </c>
      <c r="AG299" t="b">
        <v>0</v>
      </c>
      <c r="AH299">
        <v>8</v>
      </c>
      <c r="AI299" t="s">
        <v>56</v>
      </c>
      <c r="AJ299">
        <v>26466.5</v>
      </c>
      <c r="AK299" t="b">
        <v>0</v>
      </c>
      <c r="AL299">
        <v>26466.5</v>
      </c>
      <c r="AM299" t="b">
        <v>0</v>
      </c>
      <c r="AN299">
        <v>0</v>
      </c>
      <c r="AO299" t="b">
        <v>0</v>
      </c>
      <c r="AP299">
        <v>0</v>
      </c>
      <c r="AQ299">
        <v>867704738.89999998</v>
      </c>
      <c r="AR299">
        <v>867704738.89999998</v>
      </c>
      <c r="AS299">
        <v>0</v>
      </c>
      <c r="AT299" t="b">
        <v>0</v>
      </c>
      <c r="AU299" t="b">
        <v>1</v>
      </c>
      <c r="AV299" t="b">
        <v>1</v>
      </c>
      <c r="AW299" t="b">
        <v>1</v>
      </c>
      <c r="BC299" t="s">
        <v>374</v>
      </c>
    </row>
    <row r="300" spans="1:55" x14ac:dyDescent="0.2">
      <c r="A300" t="s">
        <v>39</v>
      </c>
      <c r="B300" t="s">
        <v>40</v>
      </c>
      <c r="C300">
        <v>20210101</v>
      </c>
      <c r="D300">
        <v>2021</v>
      </c>
      <c r="E300">
        <v>52</v>
      </c>
      <c r="F300" t="s">
        <v>333</v>
      </c>
      <c r="G300">
        <v>562</v>
      </c>
      <c r="H300" t="s">
        <v>227</v>
      </c>
      <c r="I300" t="s">
        <v>228</v>
      </c>
      <c r="J300" t="s">
        <v>44</v>
      </c>
      <c r="K300" t="s">
        <v>45</v>
      </c>
      <c r="L300">
        <v>0</v>
      </c>
      <c r="M300" t="s">
        <v>46</v>
      </c>
      <c r="N300" t="s">
        <v>47</v>
      </c>
      <c r="O300">
        <v>0</v>
      </c>
      <c r="P300" t="s">
        <v>46</v>
      </c>
      <c r="Q300" t="s">
        <v>47</v>
      </c>
      <c r="R300" t="s">
        <v>48</v>
      </c>
      <c r="S300" t="s">
        <v>49</v>
      </c>
      <c r="T300" t="b">
        <v>1</v>
      </c>
      <c r="U300" t="s">
        <v>50</v>
      </c>
      <c r="V300" t="s">
        <v>51</v>
      </c>
      <c r="W300">
        <v>4</v>
      </c>
      <c r="X300" t="b">
        <v>0</v>
      </c>
      <c r="Y300" t="s">
        <v>52</v>
      </c>
      <c r="Z300" t="s">
        <v>53</v>
      </c>
      <c r="AA300" t="s">
        <v>54</v>
      </c>
      <c r="AB300">
        <v>0</v>
      </c>
      <c r="AC300" t="s">
        <v>55</v>
      </c>
      <c r="AD300">
        <v>8</v>
      </c>
      <c r="AE300" t="s">
        <v>56</v>
      </c>
      <c r="AF300">
        <v>3246</v>
      </c>
      <c r="AG300" t="b">
        <v>0</v>
      </c>
      <c r="AH300">
        <v>8</v>
      </c>
      <c r="AI300" t="s">
        <v>56</v>
      </c>
      <c r="AJ300">
        <v>3246</v>
      </c>
      <c r="AK300" t="b">
        <v>0</v>
      </c>
      <c r="AL300">
        <v>3246</v>
      </c>
      <c r="AM300" t="b">
        <v>0</v>
      </c>
      <c r="AN300">
        <v>0</v>
      </c>
      <c r="AO300" t="b">
        <v>0</v>
      </c>
      <c r="AQ300">
        <v>78733379.642000005</v>
      </c>
      <c r="AR300">
        <v>78733379.642000005</v>
      </c>
      <c r="AS300">
        <v>0</v>
      </c>
      <c r="AT300" t="b">
        <v>0</v>
      </c>
      <c r="AU300" t="b">
        <v>1</v>
      </c>
      <c r="AV300" t="b">
        <v>1</v>
      </c>
      <c r="AW300" t="b">
        <v>1</v>
      </c>
      <c r="BC300" t="s">
        <v>374</v>
      </c>
    </row>
    <row r="301" spans="1:55" x14ac:dyDescent="0.2">
      <c r="A301" t="s">
        <v>39</v>
      </c>
      <c r="B301" t="s">
        <v>40</v>
      </c>
      <c r="C301">
        <v>20210101</v>
      </c>
      <c r="D301">
        <v>2021</v>
      </c>
      <c r="E301">
        <v>52</v>
      </c>
      <c r="F301" t="s">
        <v>333</v>
      </c>
      <c r="G301">
        <v>566</v>
      </c>
      <c r="H301" t="s">
        <v>329</v>
      </c>
      <c r="I301" t="s">
        <v>330</v>
      </c>
      <c r="J301" t="s">
        <v>44</v>
      </c>
      <c r="K301" t="s">
        <v>45</v>
      </c>
      <c r="L301">
        <v>0</v>
      </c>
      <c r="M301" t="s">
        <v>46</v>
      </c>
      <c r="N301" t="s">
        <v>47</v>
      </c>
      <c r="O301">
        <v>0</v>
      </c>
      <c r="P301" t="s">
        <v>46</v>
      </c>
      <c r="Q301" t="s">
        <v>47</v>
      </c>
      <c r="R301" t="s">
        <v>95</v>
      </c>
      <c r="S301" t="s">
        <v>49</v>
      </c>
      <c r="T301" t="b">
        <v>1</v>
      </c>
      <c r="U301" t="s">
        <v>50</v>
      </c>
      <c r="V301" t="s">
        <v>51</v>
      </c>
      <c r="W301">
        <v>4</v>
      </c>
      <c r="X301" t="b">
        <v>0</v>
      </c>
      <c r="Y301" t="s">
        <v>52</v>
      </c>
      <c r="Z301" t="s">
        <v>53</v>
      </c>
      <c r="AA301" t="s">
        <v>54</v>
      </c>
      <c r="AB301">
        <v>0</v>
      </c>
      <c r="AC301" t="s">
        <v>55</v>
      </c>
      <c r="AD301">
        <v>-1</v>
      </c>
      <c r="AE301" t="s">
        <v>64</v>
      </c>
      <c r="AF301">
        <v>0</v>
      </c>
      <c r="AG301" t="b">
        <v>0</v>
      </c>
      <c r="AH301">
        <v>-1</v>
      </c>
      <c r="AI301" t="s">
        <v>64</v>
      </c>
      <c r="AJ301">
        <v>0</v>
      </c>
      <c r="AK301" t="b">
        <v>0</v>
      </c>
      <c r="AL301">
        <v>0</v>
      </c>
      <c r="AM301" t="b">
        <v>0</v>
      </c>
      <c r="AN301">
        <v>0</v>
      </c>
      <c r="AO301" t="b">
        <v>0</v>
      </c>
      <c r="AP301">
        <v>0</v>
      </c>
      <c r="AQ301">
        <v>8290482.5599999996</v>
      </c>
      <c r="AR301">
        <v>8290482.5599999996</v>
      </c>
      <c r="AS301">
        <v>0</v>
      </c>
      <c r="AT301" t="b">
        <v>0</v>
      </c>
      <c r="AU301" t="b">
        <v>1</v>
      </c>
      <c r="AV301" t="b">
        <v>1</v>
      </c>
      <c r="AW301" t="b">
        <v>1</v>
      </c>
      <c r="BC301" t="s">
        <v>374</v>
      </c>
    </row>
    <row r="302" spans="1:55" x14ac:dyDescent="0.2">
      <c r="A302" t="s">
        <v>39</v>
      </c>
      <c r="B302" t="s">
        <v>40</v>
      </c>
      <c r="C302">
        <v>20210101</v>
      </c>
      <c r="D302">
        <v>2021</v>
      </c>
      <c r="E302">
        <v>52</v>
      </c>
      <c r="F302" t="s">
        <v>333</v>
      </c>
      <c r="G302">
        <v>579</v>
      </c>
      <c r="H302" t="s">
        <v>229</v>
      </c>
      <c r="I302" t="s">
        <v>230</v>
      </c>
      <c r="J302" t="s">
        <v>44</v>
      </c>
      <c r="K302" t="s">
        <v>45</v>
      </c>
      <c r="L302">
        <v>0</v>
      </c>
      <c r="M302" t="s">
        <v>46</v>
      </c>
      <c r="N302" t="s">
        <v>47</v>
      </c>
      <c r="O302">
        <v>0</v>
      </c>
      <c r="P302" t="s">
        <v>46</v>
      </c>
      <c r="Q302" t="s">
        <v>47</v>
      </c>
      <c r="R302" t="s">
        <v>48</v>
      </c>
      <c r="S302" t="s">
        <v>49</v>
      </c>
      <c r="T302" t="b">
        <v>1</v>
      </c>
      <c r="U302" t="s">
        <v>50</v>
      </c>
      <c r="V302" t="s">
        <v>51</v>
      </c>
      <c r="W302">
        <v>4</v>
      </c>
      <c r="X302" t="b">
        <v>0</v>
      </c>
      <c r="Y302" t="s">
        <v>52</v>
      </c>
      <c r="Z302" t="s">
        <v>53</v>
      </c>
      <c r="AA302" t="s">
        <v>54</v>
      </c>
      <c r="AB302">
        <v>0</v>
      </c>
      <c r="AC302" t="s">
        <v>55</v>
      </c>
      <c r="AD302">
        <v>8</v>
      </c>
      <c r="AE302" t="s">
        <v>56</v>
      </c>
      <c r="AF302">
        <v>2285.0050000000001</v>
      </c>
      <c r="AG302" t="b">
        <v>1</v>
      </c>
      <c r="AH302">
        <v>-1</v>
      </c>
      <c r="AI302" t="s">
        <v>64</v>
      </c>
      <c r="AJ302">
        <v>0</v>
      </c>
      <c r="AK302" t="b">
        <v>0</v>
      </c>
      <c r="AL302">
        <v>2285.0050000000001</v>
      </c>
      <c r="AM302" t="b">
        <v>1</v>
      </c>
      <c r="AN302">
        <v>0</v>
      </c>
      <c r="AO302" t="b">
        <v>0</v>
      </c>
      <c r="AQ302">
        <v>125937055.05400001</v>
      </c>
      <c r="AR302">
        <v>125937055.05400001</v>
      </c>
      <c r="AS302">
        <v>6</v>
      </c>
      <c r="AT302" t="b">
        <v>0</v>
      </c>
      <c r="AU302" t="b">
        <v>1</v>
      </c>
      <c r="AV302" t="b">
        <v>1</v>
      </c>
      <c r="AW302" t="b">
        <v>1</v>
      </c>
      <c r="BC302" t="s">
        <v>374</v>
      </c>
    </row>
    <row r="303" spans="1:55" x14ac:dyDescent="0.2">
      <c r="A303" t="s">
        <v>39</v>
      </c>
      <c r="B303" t="s">
        <v>40</v>
      </c>
      <c r="C303">
        <v>20210101</v>
      </c>
      <c r="D303">
        <v>2021</v>
      </c>
      <c r="E303">
        <v>52</v>
      </c>
      <c r="F303" t="s">
        <v>333</v>
      </c>
      <c r="G303">
        <v>586</v>
      </c>
      <c r="H303" t="s">
        <v>338</v>
      </c>
      <c r="I303" t="s">
        <v>339</v>
      </c>
      <c r="J303" t="s">
        <v>44</v>
      </c>
      <c r="K303" t="s">
        <v>45</v>
      </c>
      <c r="L303">
        <v>0</v>
      </c>
      <c r="M303" t="s">
        <v>46</v>
      </c>
      <c r="N303" t="s">
        <v>47</v>
      </c>
      <c r="O303">
        <v>0</v>
      </c>
      <c r="P303" t="s">
        <v>46</v>
      </c>
      <c r="Q303" t="s">
        <v>47</v>
      </c>
      <c r="R303" t="s">
        <v>48</v>
      </c>
      <c r="S303" t="s">
        <v>49</v>
      </c>
      <c r="T303" t="b">
        <v>1</v>
      </c>
      <c r="U303" t="s">
        <v>50</v>
      </c>
      <c r="V303" t="s">
        <v>51</v>
      </c>
      <c r="W303">
        <v>4</v>
      </c>
      <c r="X303" t="b">
        <v>0</v>
      </c>
      <c r="Y303" t="s">
        <v>52</v>
      </c>
      <c r="Z303" t="s">
        <v>53</v>
      </c>
      <c r="AA303" t="s">
        <v>54</v>
      </c>
      <c r="AB303">
        <v>0</v>
      </c>
      <c r="AC303" t="s">
        <v>55</v>
      </c>
      <c r="AD303">
        <v>8</v>
      </c>
      <c r="AE303" t="s">
        <v>56</v>
      </c>
      <c r="AF303">
        <v>2.5000000000000001E-2</v>
      </c>
      <c r="AG303" t="b">
        <v>0</v>
      </c>
      <c r="AH303">
        <v>15</v>
      </c>
      <c r="AI303" t="s">
        <v>59</v>
      </c>
      <c r="AJ303">
        <v>25</v>
      </c>
      <c r="AK303" t="b">
        <v>0</v>
      </c>
      <c r="AL303">
        <v>2.5000000000000001E-2</v>
      </c>
      <c r="AM303" t="b">
        <v>0</v>
      </c>
      <c r="AN303">
        <v>0</v>
      </c>
      <c r="AO303" t="b">
        <v>0</v>
      </c>
      <c r="AP303">
        <v>0</v>
      </c>
      <c r="AQ303">
        <v>419.82400000000001</v>
      </c>
      <c r="AR303">
        <v>419.82400000000001</v>
      </c>
      <c r="AS303">
        <v>0</v>
      </c>
      <c r="AT303" t="b">
        <v>0</v>
      </c>
      <c r="AU303" t="b">
        <v>1</v>
      </c>
      <c r="AV303" t="b">
        <v>1</v>
      </c>
      <c r="AW303" t="b">
        <v>1</v>
      </c>
      <c r="BC303" t="s">
        <v>374</v>
      </c>
    </row>
    <row r="304" spans="1:55" x14ac:dyDescent="0.2">
      <c r="A304" t="s">
        <v>39</v>
      </c>
      <c r="B304" t="s">
        <v>40</v>
      </c>
      <c r="C304">
        <v>20210101</v>
      </c>
      <c r="D304">
        <v>2021</v>
      </c>
      <c r="E304">
        <v>52</v>
      </c>
      <c r="F304" t="s">
        <v>333</v>
      </c>
      <c r="G304">
        <v>591</v>
      </c>
      <c r="H304" t="s">
        <v>231</v>
      </c>
      <c r="I304" t="s">
        <v>232</v>
      </c>
      <c r="J304" t="s">
        <v>44</v>
      </c>
      <c r="K304" t="s">
        <v>45</v>
      </c>
      <c r="L304">
        <v>0</v>
      </c>
      <c r="M304" t="s">
        <v>46</v>
      </c>
      <c r="N304" t="s">
        <v>47</v>
      </c>
      <c r="O304">
        <v>0</v>
      </c>
      <c r="P304" t="s">
        <v>46</v>
      </c>
      <c r="Q304" t="s">
        <v>47</v>
      </c>
      <c r="R304" t="s">
        <v>48</v>
      </c>
      <c r="S304" t="s">
        <v>49</v>
      </c>
      <c r="T304" t="b">
        <v>1</v>
      </c>
      <c r="U304" t="s">
        <v>50</v>
      </c>
      <c r="V304" t="s">
        <v>51</v>
      </c>
      <c r="W304">
        <v>4</v>
      </c>
      <c r="X304" t="b">
        <v>0</v>
      </c>
      <c r="Y304" t="s">
        <v>52</v>
      </c>
      <c r="Z304" t="s">
        <v>53</v>
      </c>
      <c r="AA304" t="s">
        <v>54</v>
      </c>
      <c r="AB304">
        <v>0</v>
      </c>
      <c r="AC304" t="s">
        <v>55</v>
      </c>
      <c r="AD304">
        <v>8</v>
      </c>
      <c r="AE304" t="s">
        <v>56</v>
      </c>
      <c r="AF304">
        <v>297</v>
      </c>
      <c r="AG304" t="b">
        <v>0</v>
      </c>
      <c r="AH304">
        <v>8</v>
      </c>
      <c r="AI304" t="s">
        <v>56</v>
      </c>
      <c r="AJ304">
        <v>297</v>
      </c>
      <c r="AK304" t="b">
        <v>0</v>
      </c>
      <c r="AL304">
        <v>297</v>
      </c>
      <c r="AM304" t="b">
        <v>0</v>
      </c>
      <c r="AN304">
        <v>297</v>
      </c>
      <c r="AO304" t="b">
        <v>0</v>
      </c>
      <c r="AP304">
        <v>0</v>
      </c>
      <c r="AQ304">
        <v>12044785</v>
      </c>
      <c r="AR304">
        <v>12044785</v>
      </c>
      <c r="AS304">
        <v>0</v>
      </c>
      <c r="AT304" t="b">
        <v>0</v>
      </c>
      <c r="AU304" t="b">
        <v>1</v>
      </c>
      <c r="AV304" t="b">
        <v>1</v>
      </c>
      <c r="AW304" t="b">
        <v>1</v>
      </c>
      <c r="BC304" t="s">
        <v>374</v>
      </c>
    </row>
    <row r="305" spans="1:55" x14ac:dyDescent="0.2">
      <c r="A305" t="s">
        <v>39</v>
      </c>
      <c r="B305" t="s">
        <v>40</v>
      </c>
      <c r="C305">
        <v>20210101</v>
      </c>
      <c r="D305">
        <v>2021</v>
      </c>
      <c r="E305">
        <v>52</v>
      </c>
      <c r="F305" t="s">
        <v>333</v>
      </c>
      <c r="G305">
        <v>598</v>
      </c>
      <c r="H305" t="s">
        <v>340</v>
      </c>
      <c r="I305" t="s">
        <v>341</v>
      </c>
      <c r="J305" t="s">
        <v>44</v>
      </c>
      <c r="K305" t="s">
        <v>45</v>
      </c>
      <c r="L305">
        <v>0</v>
      </c>
      <c r="M305" t="s">
        <v>46</v>
      </c>
      <c r="N305" t="s">
        <v>47</v>
      </c>
      <c r="O305">
        <v>0</v>
      </c>
      <c r="P305" t="s">
        <v>46</v>
      </c>
      <c r="Q305" t="s">
        <v>47</v>
      </c>
      <c r="R305" t="s">
        <v>48</v>
      </c>
      <c r="S305" t="s">
        <v>49</v>
      </c>
      <c r="T305" t="b">
        <v>1</v>
      </c>
      <c r="U305" t="s">
        <v>50</v>
      </c>
      <c r="V305" t="s">
        <v>51</v>
      </c>
      <c r="W305">
        <v>4</v>
      </c>
      <c r="X305" t="b">
        <v>0</v>
      </c>
      <c r="Y305" t="s">
        <v>52</v>
      </c>
      <c r="Z305" t="s">
        <v>53</v>
      </c>
      <c r="AA305" t="s">
        <v>54</v>
      </c>
      <c r="AB305">
        <v>0</v>
      </c>
      <c r="AC305" t="s">
        <v>55</v>
      </c>
      <c r="AD305">
        <v>8</v>
      </c>
      <c r="AE305" t="s">
        <v>56</v>
      </c>
      <c r="AF305">
        <v>6406.8090000000002</v>
      </c>
      <c r="AG305" t="b">
        <v>1</v>
      </c>
      <c r="AH305">
        <v>-1</v>
      </c>
      <c r="AI305" t="s">
        <v>64</v>
      </c>
      <c r="AJ305">
        <v>0</v>
      </c>
      <c r="AK305" t="b">
        <v>0</v>
      </c>
      <c r="AL305">
        <v>6406.8090000000002</v>
      </c>
      <c r="AM305" t="b">
        <v>1</v>
      </c>
      <c r="AN305">
        <v>0</v>
      </c>
      <c r="AO305" t="b">
        <v>0</v>
      </c>
      <c r="AQ305">
        <v>248362564.68000001</v>
      </c>
      <c r="AR305">
        <v>248362564.68000001</v>
      </c>
      <c r="AS305">
        <v>6</v>
      </c>
      <c r="AT305" t="b">
        <v>0</v>
      </c>
      <c r="AU305" t="b">
        <v>1</v>
      </c>
      <c r="AV305" t="b">
        <v>1</v>
      </c>
      <c r="AW305" t="b">
        <v>1</v>
      </c>
      <c r="BC305" t="s">
        <v>374</v>
      </c>
    </row>
    <row r="306" spans="1:55" x14ac:dyDescent="0.2">
      <c r="A306" t="s">
        <v>39</v>
      </c>
      <c r="B306" t="s">
        <v>40</v>
      </c>
      <c r="C306">
        <v>20210101</v>
      </c>
      <c r="D306">
        <v>2021</v>
      </c>
      <c r="E306">
        <v>52</v>
      </c>
      <c r="F306" t="s">
        <v>333</v>
      </c>
      <c r="G306">
        <v>600</v>
      </c>
      <c r="H306" t="s">
        <v>233</v>
      </c>
      <c r="I306" t="s">
        <v>234</v>
      </c>
      <c r="J306" t="s">
        <v>44</v>
      </c>
      <c r="K306" t="s">
        <v>45</v>
      </c>
      <c r="L306">
        <v>0</v>
      </c>
      <c r="M306" t="s">
        <v>46</v>
      </c>
      <c r="N306" t="s">
        <v>47</v>
      </c>
      <c r="O306">
        <v>0</v>
      </c>
      <c r="P306" t="s">
        <v>46</v>
      </c>
      <c r="Q306" t="s">
        <v>47</v>
      </c>
      <c r="R306" t="s">
        <v>48</v>
      </c>
      <c r="S306" t="s">
        <v>49</v>
      </c>
      <c r="T306" t="b">
        <v>1</v>
      </c>
      <c r="U306" t="s">
        <v>50</v>
      </c>
      <c r="V306" t="s">
        <v>51</v>
      </c>
      <c r="W306">
        <v>4</v>
      </c>
      <c r="X306" t="b">
        <v>0</v>
      </c>
      <c r="Y306" t="s">
        <v>52</v>
      </c>
      <c r="Z306" t="s">
        <v>53</v>
      </c>
      <c r="AA306" t="s">
        <v>54</v>
      </c>
      <c r="AB306">
        <v>0</v>
      </c>
      <c r="AC306" t="s">
        <v>55</v>
      </c>
      <c r="AD306">
        <v>8</v>
      </c>
      <c r="AE306" t="s">
        <v>56</v>
      </c>
      <c r="AF306">
        <v>134</v>
      </c>
      <c r="AG306" t="b">
        <v>0</v>
      </c>
      <c r="AH306">
        <v>8</v>
      </c>
      <c r="AI306" t="s">
        <v>56</v>
      </c>
      <c r="AJ306">
        <v>134</v>
      </c>
      <c r="AK306" t="b">
        <v>0</v>
      </c>
      <c r="AL306">
        <v>134</v>
      </c>
      <c r="AM306" t="b">
        <v>0</v>
      </c>
      <c r="AN306">
        <v>0</v>
      </c>
      <c r="AO306" t="b">
        <v>0</v>
      </c>
      <c r="AP306">
        <v>0</v>
      </c>
      <c r="AQ306">
        <v>6693082</v>
      </c>
      <c r="AR306">
        <v>6693082</v>
      </c>
      <c r="AS306">
        <v>0</v>
      </c>
      <c r="AT306" t="b">
        <v>0</v>
      </c>
      <c r="AU306" t="b">
        <v>1</v>
      </c>
      <c r="AV306" t="b">
        <v>1</v>
      </c>
      <c r="AW306" t="b">
        <v>1</v>
      </c>
      <c r="BC306" t="s">
        <v>374</v>
      </c>
    </row>
    <row r="307" spans="1:55" x14ac:dyDescent="0.2">
      <c r="A307" t="s">
        <v>39</v>
      </c>
      <c r="B307" t="s">
        <v>40</v>
      </c>
      <c r="C307">
        <v>20210101</v>
      </c>
      <c r="D307">
        <v>2021</v>
      </c>
      <c r="E307">
        <v>52</v>
      </c>
      <c r="F307" t="s">
        <v>333</v>
      </c>
      <c r="G307">
        <v>608</v>
      </c>
      <c r="H307" t="s">
        <v>237</v>
      </c>
      <c r="I307" t="s">
        <v>238</v>
      </c>
      <c r="J307" t="s">
        <v>44</v>
      </c>
      <c r="K307" t="s">
        <v>45</v>
      </c>
      <c r="L307">
        <v>0</v>
      </c>
      <c r="M307" t="s">
        <v>46</v>
      </c>
      <c r="N307" t="s">
        <v>47</v>
      </c>
      <c r="O307">
        <v>0</v>
      </c>
      <c r="P307" t="s">
        <v>46</v>
      </c>
      <c r="Q307" t="s">
        <v>47</v>
      </c>
      <c r="R307" t="s">
        <v>48</v>
      </c>
      <c r="S307" t="s">
        <v>49</v>
      </c>
      <c r="T307" t="b">
        <v>1</v>
      </c>
      <c r="U307" t="s">
        <v>50</v>
      </c>
      <c r="V307" t="s">
        <v>51</v>
      </c>
      <c r="W307">
        <v>4</v>
      </c>
      <c r="X307" t="b">
        <v>0</v>
      </c>
      <c r="Y307" t="s">
        <v>52</v>
      </c>
      <c r="Z307" t="s">
        <v>53</v>
      </c>
      <c r="AA307" t="s">
        <v>54</v>
      </c>
      <c r="AB307">
        <v>0</v>
      </c>
      <c r="AC307" t="s">
        <v>55</v>
      </c>
      <c r="AD307">
        <v>-1</v>
      </c>
      <c r="AE307" t="s">
        <v>64</v>
      </c>
      <c r="AF307">
        <v>0</v>
      </c>
      <c r="AG307" t="b">
        <v>0</v>
      </c>
      <c r="AH307">
        <v>-1</v>
      </c>
      <c r="AI307" t="s">
        <v>64</v>
      </c>
      <c r="AJ307">
        <v>0</v>
      </c>
      <c r="AK307" t="b">
        <v>0</v>
      </c>
      <c r="AM307" t="b">
        <v>0</v>
      </c>
      <c r="AN307">
        <v>141914.63</v>
      </c>
      <c r="AO307" t="b">
        <v>0</v>
      </c>
      <c r="AQ307">
        <v>954698456</v>
      </c>
      <c r="AR307">
        <v>954698456</v>
      </c>
      <c r="AS307">
        <v>0</v>
      </c>
      <c r="AT307" t="b">
        <v>0</v>
      </c>
      <c r="AU307" t="b">
        <v>1</v>
      </c>
      <c r="AV307" t="b">
        <v>1</v>
      </c>
      <c r="AW307" t="b">
        <v>1</v>
      </c>
      <c r="BC307" t="s">
        <v>374</v>
      </c>
    </row>
    <row r="308" spans="1:55" x14ac:dyDescent="0.2">
      <c r="A308" t="s">
        <v>39</v>
      </c>
      <c r="B308" t="s">
        <v>40</v>
      </c>
      <c r="C308">
        <v>20210101</v>
      </c>
      <c r="D308">
        <v>2021</v>
      </c>
      <c r="E308">
        <v>52</v>
      </c>
      <c r="F308" t="s">
        <v>333</v>
      </c>
      <c r="G308">
        <v>616</v>
      </c>
      <c r="H308" t="s">
        <v>239</v>
      </c>
      <c r="I308" t="s">
        <v>240</v>
      </c>
      <c r="J308" t="s">
        <v>44</v>
      </c>
      <c r="K308" t="s">
        <v>45</v>
      </c>
      <c r="L308">
        <v>0</v>
      </c>
      <c r="M308" t="s">
        <v>46</v>
      </c>
      <c r="N308" t="s">
        <v>47</v>
      </c>
      <c r="O308">
        <v>0</v>
      </c>
      <c r="P308" t="s">
        <v>46</v>
      </c>
      <c r="Q308" t="s">
        <v>47</v>
      </c>
      <c r="R308" t="s">
        <v>48</v>
      </c>
      <c r="S308" t="s">
        <v>49</v>
      </c>
      <c r="T308" t="b">
        <v>1</v>
      </c>
      <c r="U308" t="s">
        <v>50</v>
      </c>
      <c r="V308" t="s">
        <v>51</v>
      </c>
      <c r="W308">
        <v>4</v>
      </c>
      <c r="X308" t="b">
        <v>0</v>
      </c>
      <c r="Y308" t="s">
        <v>52</v>
      </c>
      <c r="Z308" t="s">
        <v>53</v>
      </c>
      <c r="AA308" t="s">
        <v>54</v>
      </c>
      <c r="AB308">
        <v>0</v>
      </c>
      <c r="AC308" t="s">
        <v>55</v>
      </c>
      <c r="AD308">
        <v>8</v>
      </c>
      <c r="AE308" t="s">
        <v>56</v>
      </c>
      <c r="AF308">
        <v>2218.172</v>
      </c>
      <c r="AG308" t="b">
        <v>1</v>
      </c>
      <c r="AH308">
        <v>-1</v>
      </c>
      <c r="AI308" t="s">
        <v>64</v>
      </c>
      <c r="AJ308">
        <v>0</v>
      </c>
      <c r="AK308" t="b">
        <v>0</v>
      </c>
      <c r="AL308">
        <v>2250.6039999999998</v>
      </c>
      <c r="AM308" t="b">
        <v>1</v>
      </c>
      <c r="AN308">
        <v>0</v>
      </c>
      <c r="AO308" t="b">
        <v>0</v>
      </c>
      <c r="AP308">
        <v>0</v>
      </c>
      <c r="AQ308">
        <v>119498104</v>
      </c>
      <c r="AR308">
        <v>119498104</v>
      </c>
      <c r="AS308">
        <v>6</v>
      </c>
      <c r="AT308" t="b">
        <v>0</v>
      </c>
      <c r="AU308" t="b">
        <v>1</v>
      </c>
      <c r="AV308" t="b">
        <v>1</v>
      </c>
      <c r="AW308" t="b">
        <v>1</v>
      </c>
      <c r="BC308" t="s">
        <v>374</v>
      </c>
    </row>
    <row r="309" spans="1:55" x14ac:dyDescent="0.2">
      <c r="A309" t="s">
        <v>39</v>
      </c>
      <c r="B309" t="s">
        <v>40</v>
      </c>
      <c r="C309">
        <v>20210101</v>
      </c>
      <c r="D309">
        <v>2021</v>
      </c>
      <c r="E309">
        <v>52</v>
      </c>
      <c r="F309" t="s">
        <v>333</v>
      </c>
      <c r="G309">
        <v>620</v>
      </c>
      <c r="H309" t="s">
        <v>241</v>
      </c>
      <c r="I309" t="s">
        <v>242</v>
      </c>
      <c r="J309" t="s">
        <v>44</v>
      </c>
      <c r="K309" t="s">
        <v>45</v>
      </c>
      <c r="L309">
        <v>0</v>
      </c>
      <c r="M309" t="s">
        <v>46</v>
      </c>
      <c r="N309" t="s">
        <v>47</v>
      </c>
      <c r="O309">
        <v>0</v>
      </c>
      <c r="P309" t="s">
        <v>46</v>
      </c>
      <c r="Q309" t="s">
        <v>47</v>
      </c>
      <c r="R309" t="s">
        <v>48</v>
      </c>
      <c r="S309" t="s">
        <v>49</v>
      </c>
      <c r="T309" t="b">
        <v>1</v>
      </c>
      <c r="U309" t="s">
        <v>50</v>
      </c>
      <c r="V309" t="s">
        <v>51</v>
      </c>
      <c r="W309">
        <v>4</v>
      </c>
      <c r="X309" t="b">
        <v>0</v>
      </c>
      <c r="Y309" t="s">
        <v>52</v>
      </c>
      <c r="Z309" t="s">
        <v>53</v>
      </c>
      <c r="AA309" t="s">
        <v>54</v>
      </c>
      <c r="AB309">
        <v>0</v>
      </c>
      <c r="AC309" t="s">
        <v>55</v>
      </c>
      <c r="AD309">
        <v>8</v>
      </c>
      <c r="AE309" t="s">
        <v>56</v>
      </c>
      <c r="AF309">
        <v>2390.2049999999999</v>
      </c>
      <c r="AG309" t="b">
        <v>0</v>
      </c>
      <c r="AH309">
        <v>15</v>
      </c>
      <c r="AI309" t="s">
        <v>59</v>
      </c>
      <c r="AJ309">
        <v>2390205</v>
      </c>
      <c r="AK309" t="b">
        <v>0</v>
      </c>
      <c r="AM309" t="b">
        <v>0</v>
      </c>
      <c r="AN309">
        <v>0</v>
      </c>
      <c r="AO309" t="b">
        <v>0</v>
      </c>
      <c r="AQ309">
        <v>131305606.847</v>
      </c>
      <c r="AR309">
        <v>131305606.847</v>
      </c>
      <c r="AS309">
        <v>0</v>
      </c>
      <c r="AT309" t="b">
        <v>0</v>
      </c>
      <c r="AU309" t="b">
        <v>1</v>
      </c>
      <c r="AV309" t="b">
        <v>1</v>
      </c>
      <c r="AW309" t="b">
        <v>1</v>
      </c>
      <c r="BC309" t="s">
        <v>374</v>
      </c>
    </row>
    <row r="310" spans="1:55" x14ac:dyDescent="0.2">
      <c r="A310" t="s">
        <v>39</v>
      </c>
      <c r="B310" t="s">
        <v>40</v>
      </c>
      <c r="C310">
        <v>20210101</v>
      </c>
      <c r="D310">
        <v>2021</v>
      </c>
      <c r="E310">
        <v>52</v>
      </c>
      <c r="F310" t="s">
        <v>333</v>
      </c>
      <c r="G310">
        <v>634</v>
      </c>
      <c r="H310" t="s">
        <v>243</v>
      </c>
      <c r="I310" t="s">
        <v>244</v>
      </c>
      <c r="J310" t="s">
        <v>44</v>
      </c>
      <c r="K310" t="s">
        <v>45</v>
      </c>
      <c r="L310">
        <v>0</v>
      </c>
      <c r="M310" t="s">
        <v>46</v>
      </c>
      <c r="N310" t="s">
        <v>47</v>
      </c>
      <c r="O310">
        <v>0</v>
      </c>
      <c r="P310" t="s">
        <v>46</v>
      </c>
      <c r="Q310" t="s">
        <v>47</v>
      </c>
      <c r="R310" t="s">
        <v>48</v>
      </c>
      <c r="S310" t="s">
        <v>49</v>
      </c>
      <c r="T310" t="b">
        <v>1</v>
      </c>
      <c r="U310" t="s">
        <v>50</v>
      </c>
      <c r="V310" t="s">
        <v>51</v>
      </c>
      <c r="W310">
        <v>4</v>
      </c>
      <c r="X310" t="b">
        <v>0</v>
      </c>
      <c r="Y310" t="s">
        <v>52</v>
      </c>
      <c r="Z310" t="s">
        <v>53</v>
      </c>
      <c r="AA310" t="s">
        <v>54</v>
      </c>
      <c r="AB310">
        <v>0</v>
      </c>
      <c r="AC310" t="s">
        <v>55</v>
      </c>
      <c r="AD310">
        <v>-1</v>
      </c>
      <c r="AE310" t="s">
        <v>64</v>
      </c>
      <c r="AF310">
        <v>0</v>
      </c>
      <c r="AG310" t="b">
        <v>0</v>
      </c>
      <c r="AH310">
        <v>-1</v>
      </c>
      <c r="AI310" t="s">
        <v>64</v>
      </c>
      <c r="AJ310">
        <v>0</v>
      </c>
      <c r="AK310" t="b">
        <v>0</v>
      </c>
      <c r="AL310">
        <v>0</v>
      </c>
      <c r="AM310" t="b">
        <v>0</v>
      </c>
      <c r="AN310">
        <v>0</v>
      </c>
      <c r="AO310" t="b">
        <v>0</v>
      </c>
      <c r="AP310">
        <v>0</v>
      </c>
      <c r="AQ310">
        <v>2914604.8319999999</v>
      </c>
      <c r="AR310">
        <v>2914604.8319999999</v>
      </c>
      <c r="AS310">
        <v>0</v>
      </c>
      <c r="AT310" t="b">
        <v>0</v>
      </c>
      <c r="AU310" t="b">
        <v>1</v>
      </c>
      <c r="AV310" t="b">
        <v>1</v>
      </c>
      <c r="AW310" t="b">
        <v>1</v>
      </c>
      <c r="BC310" t="s">
        <v>374</v>
      </c>
    </row>
    <row r="311" spans="1:55" x14ac:dyDescent="0.2">
      <c r="A311" t="s">
        <v>39</v>
      </c>
      <c r="B311" t="s">
        <v>40</v>
      </c>
      <c r="C311">
        <v>20210101</v>
      </c>
      <c r="D311">
        <v>2021</v>
      </c>
      <c r="E311">
        <v>52</v>
      </c>
      <c r="F311" t="s">
        <v>333</v>
      </c>
      <c r="G311">
        <v>646</v>
      </c>
      <c r="H311" t="s">
        <v>247</v>
      </c>
      <c r="I311" t="s">
        <v>248</v>
      </c>
      <c r="J311" t="s">
        <v>44</v>
      </c>
      <c r="K311" t="s">
        <v>45</v>
      </c>
      <c r="L311">
        <v>0</v>
      </c>
      <c r="M311" t="s">
        <v>46</v>
      </c>
      <c r="N311" t="s">
        <v>47</v>
      </c>
      <c r="O311">
        <v>0</v>
      </c>
      <c r="P311" t="s">
        <v>46</v>
      </c>
      <c r="Q311" t="s">
        <v>47</v>
      </c>
      <c r="R311" t="s">
        <v>95</v>
      </c>
      <c r="S311" t="s">
        <v>49</v>
      </c>
      <c r="T311" t="b">
        <v>1</v>
      </c>
      <c r="U311" t="s">
        <v>50</v>
      </c>
      <c r="V311" t="s">
        <v>51</v>
      </c>
      <c r="W311">
        <v>4</v>
      </c>
      <c r="X311" t="b">
        <v>0</v>
      </c>
      <c r="Y311" t="s">
        <v>52</v>
      </c>
      <c r="Z311" t="s">
        <v>53</v>
      </c>
      <c r="AA311" t="s">
        <v>54</v>
      </c>
      <c r="AB311">
        <v>0</v>
      </c>
      <c r="AC311" t="s">
        <v>55</v>
      </c>
      <c r="AD311">
        <v>8</v>
      </c>
      <c r="AE311" t="s">
        <v>56</v>
      </c>
      <c r="AF311">
        <v>6341</v>
      </c>
      <c r="AG311" t="b">
        <v>0</v>
      </c>
      <c r="AH311">
        <v>8</v>
      </c>
      <c r="AI311" t="s">
        <v>56</v>
      </c>
      <c r="AJ311">
        <v>6341</v>
      </c>
      <c r="AK311" t="b">
        <v>0</v>
      </c>
      <c r="AL311">
        <v>6341</v>
      </c>
      <c r="AM311" t="b">
        <v>0</v>
      </c>
      <c r="AN311">
        <v>0</v>
      </c>
      <c r="AO311" t="b">
        <v>0</v>
      </c>
      <c r="AQ311">
        <v>363142984.30000001</v>
      </c>
      <c r="AR311">
        <v>363142984.30000001</v>
      </c>
      <c r="AS311">
        <v>0</v>
      </c>
      <c r="AT311" t="b">
        <v>0</v>
      </c>
      <c r="AU311" t="b">
        <v>1</v>
      </c>
      <c r="AV311" t="b">
        <v>1</v>
      </c>
      <c r="AW311" t="b">
        <v>1</v>
      </c>
      <c r="BC311" t="s">
        <v>374</v>
      </c>
    </row>
    <row r="312" spans="1:55" x14ac:dyDescent="0.2">
      <c r="A312" t="s">
        <v>39</v>
      </c>
      <c r="B312" t="s">
        <v>40</v>
      </c>
      <c r="C312">
        <v>20210101</v>
      </c>
      <c r="D312">
        <v>2021</v>
      </c>
      <c r="E312">
        <v>52</v>
      </c>
      <c r="F312" t="s">
        <v>333</v>
      </c>
      <c r="G312">
        <v>682</v>
      </c>
      <c r="H312" t="s">
        <v>249</v>
      </c>
      <c r="I312" t="s">
        <v>250</v>
      </c>
      <c r="J312" t="s">
        <v>44</v>
      </c>
      <c r="K312" t="s">
        <v>45</v>
      </c>
      <c r="L312">
        <v>0</v>
      </c>
      <c r="M312" t="s">
        <v>46</v>
      </c>
      <c r="N312" t="s">
        <v>47</v>
      </c>
      <c r="O312">
        <v>0</v>
      </c>
      <c r="P312" t="s">
        <v>46</v>
      </c>
      <c r="Q312" t="s">
        <v>47</v>
      </c>
      <c r="R312" t="s">
        <v>48</v>
      </c>
      <c r="S312" t="s">
        <v>49</v>
      </c>
      <c r="T312" t="b">
        <v>1</v>
      </c>
      <c r="U312" t="s">
        <v>50</v>
      </c>
      <c r="V312" t="s">
        <v>51</v>
      </c>
      <c r="W312">
        <v>4</v>
      </c>
      <c r="X312" t="b">
        <v>0</v>
      </c>
      <c r="Y312" t="s">
        <v>52</v>
      </c>
      <c r="Z312" t="s">
        <v>53</v>
      </c>
      <c r="AA312" t="s">
        <v>54</v>
      </c>
      <c r="AB312">
        <v>0</v>
      </c>
      <c r="AC312" t="s">
        <v>55</v>
      </c>
      <c r="AD312">
        <v>8</v>
      </c>
      <c r="AE312" t="s">
        <v>56</v>
      </c>
      <c r="AF312">
        <v>23283</v>
      </c>
      <c r="AG312" t="b">
        <v>0</v>
      </c>
      <c r="AH312">
        <v>8</v>
      </c>
      <c r="AI312" t="s">
        <v>56</v>
      </c>
      <c r="AJ312">
        <v>23283</v>
      </c>
      <c r="AK312" t="b">
        <v>0</v>
      </c>
      <c r="AL312">
        <v>23283</v>
      </c>
      <c r="AM312" t="b">
        <v>0</v>
      </c>
      <c r="AN312">
        <v>0</v>
      </c>
      <c r="AO312" t="b">
        <v>0</v>
      </c>
      <c r="AQ312">
        <v>1113200938.5699999</v>
      </c>
      <c r="AR312">
        <v>1113200938.5699999</v>
      </c>
      <c r="AS312">
        <v>0</v>
      </c>
      <c r="AT312" t="b">
        <v>0</v>
      </c>
      <c r="AU312" t="b">
        <v>1</v>
      </c>
      <c r="AV312" t="b">
        <v>1</v>
      </c>
      <c r="AW312" t="b">
        <v>1</v>
      </c>
      <c r="BC312" t="s">
        <v>374</v>
      </c>
    </row>
    <row r="313" spans="1:55" x14ac:dyDescent="0.2">
      <c r="A313" t="s">
        <v>39</v>
      </c>
      <c r="B313" t="s">
        <v>40</v>
      </c>
      <c r="C313">
        <v>20210101</v>
      </c>
      <c r="D313">
        <v>2021</v>
      </c>
      <c r="E313">
        <v>52</v>
      </c>
      <c r="F313" t="s">
        <v>333</v>
      </c>
      <c r="G313">
        <v>686</v>
      </c>
      <c r="H313" t="s">
        <v>251</v>
      </c>
      <c r="I313" t="s">
        <v>252</v>
      </c>
      <c r="J313" t="s">
        <v>44</v>
      </c>
      <c r="K313" t="s">
        <v>45</v>
      </c>
      <c r="L313">
        <v>0</v>
      </c>
      <c r="M313" t="s">
        <v>46</v>
      </c>
      <c r="N313" t="s">
        <v>47</v>
      </c>
      <c r="O313">
        <v>0</v>
      </c>
      <c r="P313" t="s">
        <v>46</v>
      </c>
      <c r="Q313" t="s">
        <v>47</v>
      </c>
      <c r="R313" t="s">
        <v>48</v>
      </c>
      <c r="S313" t="s">
        <v>49</v>
      </c>
      <c r="T313" t="b">
        <v>1</v>
      </c>
      <c r="U313" t="s">
        <v>50</v>
      </c>
      <c r="V313" t="s">
        <v>51</v>
      </c>
      <c r="W313">
        <v>4</v>
      </c>
      <c r="X313" t="b">
        <v>0</v>
      </c>
      <c r="Y313" t="s">
        <v>52</v>
      </c>
      <c r="Z313" t="s">
        <v>53</v>
      </c>
      <c r="AA313" t="s">
        <v>54</v>
      </c>
      <c r="AB313">
        <v>0</v>
      </c>
      <c r="AC313" t="s">
        <v>55</v>
      </c>
      <c r="AD313">
        <v>8</v>
      </c>
      <c r="AE313" t="s">
        <v>56</v>
      </c>
      <c r="AF313">
        <v>18818</v>
      </c>
      <c r="AG313" t="b">
        <v>0</v>
      </c>
      <c r="AH313">
        <v>8</v>
      </c>
      <c r="AI313" t="s">
        <v>56</v>
      </c>
      <c r="AJ313">
        <v>18818</v>
      </c>
      <c r="AK313" t="b">
        <v>0</v>
      </c>
      <c r="AL313">
        <v>18818</v>
      </c>
      <c r="AM313" t="b">
        <v>0</v>
      </c>
      <c r="AN313">
        <v>0</v>
      </c>
      <c r="AO313" t="b">
        <v>0</v>
      </c>
      <c r="AP313">
        <v>0</v>
      </c>
      <c r="AQ313">
        <v>973392397.86899996</v>
      </c>
      <c r="AR313">
        <v>973392397.86899996</v>
      </c>
      <c r="AS313">
        <v>0</v>
      </c>
      <c r="AT313" t="b">
        <v>0</v>
      </c>
      <c r="AU313" t="b">
        <v>1</v>
      </c>
      <c r="AV313" t="b">
        <v>1</v>
      </c>
      <c r="AW313" t="b">
        <v>1</v>
      </c>
      <c r="BC313" t="s">
        <v>374</v>
      </c>
    </row>
    <row r="314" spans="1:55" x14ac:dyDescent="0.2">
      <c r="A314" t="s">
        <v>39</v>
      </c>
      <c r="B314" t="s">
        <v>40</v>
      </c>
      <c r="C314">
        <v>20210101</v>
      </c>
      <c r="D314">
        <v>2021</v>
      </c>
      <c r="E314">
        <v>52</v>
      </c>
      <c r="F314" t="s">
        <v>333</v>
      </c>
      <c r="G314">
        <v>688</v>
      </c>
      <c r="H314" t="s">
        <v>253</v>
      </c>
      <c r="I314" t="s">
        <v>254</v>
      </c>
      <c r="J314" t="s">
        <v>44</v>
      </c>
      <c r="K314" t="s">
        <v>45</v>
      </c>
      <c r="L314">
        <v>0</v>
      </c>
      <c r="M314" t="s">
        <v>46</v>
      </c>
      <c r="N314" t="s">
        <v>47</v>
      </c>
      <c r="O314">
        <v>0</v>
      </c>
      <c r="P314" t="s">
        <v>46</v>
      </c>
      <c r="Q314" t="s">
        <v>47</v>
      </c>
      <c r="R314" t="s">
        <v>48</v>
      </c>
      <c r="S314" t="s">
        <v>49</v>
      </c>
      <c r="T314" t="b">
        <v>1</v>
      </c>
      <c r="U314" t="s">
        <v>50</v>
      </c>
      <c r="V314" t="s">
        <v>51</v>
      </c>
      <c r="W314">
        <v>4</v>
      </c>
      <c r="X314" t="b">
        <v>0</v>
      </c>
      <c r="Y314" t="s">
        <v>52</v>
      </c>
      <c r="Z314" t="s">
        <v>53</v>
      </c>
      <c r="AA314" t="s">
        <v>54</v>
      </c>
      <c r="AB314">
        <v>0</v>
      </c>
      <c r="AC314" t="s">
        <v>55</v>
      </c>
      <c r="AD314">
        <v>8</v>
      </c>
      <c r="AE314" t="s">
        <v>56</v>
      </c>
      <c r="AF314">
        <v>565.70100000000002</v>
      </c>
      <c r="AG314" t="b">
        <v>0</v>
      </c>
      <c r="AH314">
        <v>15</v>
      </c>
      <c r="AI314" t="s">
        <v>59</v>
      </c>
      <c r="AJ314">
        <v>565701</v>
      </c>
      <c r="AK314" t="b">
        <v>0</v>
      </c>
      <c r="AL314">
        <v>566.49</v>
      </c>
      <c r="AM314" t="b">
        <v>0</v>
      </c>
      <c r="AN314">
        <v>0</v>
      </c>
      <c r="AO314" t="b">
        <v>0</v>
      </c>
      <c r="AP314">
        <v>19250204</v>
      </c>
      <c r="AQ314">
        <v>19154309</v>
      </c>
      <c r="AR314">
        <v>19154309</v>
      </c>
      <c r="AS314">
        <v>0</v>
      </c>
      <c r="AT314" t="b">
        <v>0</v>
      </c>
      <c r="AU314" t="b">
        <v>1</v>
      </c>
      <c r="AV314" t="b">
        <v>1</v>
      </c>
      <c r="AW314" t="b">
        <v>1</v>
      </c>
      <c r="BC314" t="s">
        <v>374</v>
      </c>
    </row>
    <row r="315" spans="1:55" x14ac:dyDescent="0.2">
      <c r="A315" t="s">
        <v>39</v>
      </c>
      <c r="B315" t="s">
        <v>40</v>
      </c>
      <c r="C315">
        <v>20210101</v>
      </c>
      <c r="D315">
        <v>2021</v>
      </c>
      <c r="E315">
        <v>52</v>
      </c>
      <c r="F315" t="s">
        <v>333</v>
      </c>
      <c r="G315">
        <v>699</v>
      </c>
      <c r="H315" t="s">
        <v>255</v>
      </c>
      <c r="I315" t="s">
        <v>256</v>
      </c>
      <c r="J315" t="s">
        <v>44</v>
      </c>
      <c r="K315" t="s">
        <v>45</v>
      </c>
      <c r="L315">
        <v>0</v>
      </c>
      <c r="M315" t="s">
        <v>46</v>
      </c>
      <c r="N315" t="s">
        <v>47</v>
      </c>
      <c r="O315">
        <v>0</v>
      </c>
      <c r="P315" t="s">
        <v>46</v>
      </c>
      <c r="Q315" t="s">
        <v>47</v>
      </c>
      <c r="R315" t="s">
        <v>48</v>
      </c>
      <c r="S315" t="s">
        <v>49</v>
      </c>
      <c r="T315" t="b">
        <v>1</v>
      </c>
      <c r="U315" t="s">
        <v>50</v>
      </c>
      <c r="V315" t="s">
        <v>51</v>
      </c>
      <c r="W315">
        <v>4</v>
      </c>
      <c r="X315" t="b">
        <v>0</v>
      </c>
      <c r="Y315" t="s">
        <v>52</v>
      </c>
      <c r="Z315" t="s">
        <v>53</v>
      </c>
      <c r="AA315" t="s">
        <v>54</v>
      </c>
      <c r="AB315">
        <v>0</v>
      </c>
      <c r="AC315" t="s">
        <v>55</v>
      </c>
      <c r="AD315">
        <v>8</v>
      </c>
      <c r="AE315" t="s">
        <v>56</v>
      </c>
      <c r="AF315">
        <v>105.14700000000001</v>
      </c>
      <c r="AG315" t="b">
        <v>1</v>
      </c>
      <c r="AH315">
        <v>-1</v>
      </c>
      <c r="AI315" t="s">
        <v>64</v>
      </c>
      <c r="AJ315">
        <v>0</v>
      </c>
      <c r="AK315" t="b">
        <v>0</v>
      </c>
      <c r="AL315">
        <v>105.14700000000001</v>
      </c>
      <c r="AM315" t="b">
        <v>1</v>
      </c>
      <c r="AN315">
        <v>0</v>
      </c>
      <c r="AO315" t="b">
        <v>0</v>
      </c>
      <c r="AP315">
        <v>0</v>
      </c>
      <c r="AQ315">
        <v>5318136.3890000004</v>
      </c>
      <c r="AR315">
        <v>5318136.3890000004</v>
      </c>
      <c r="AS315">
        <v>6</v>
      </c>
      <c r="AT315" t="b">
        <v>0</v>
      </c>
      <c r="AU315" t="b">
        <v>1</v>
      </c>
      <c r="AV315" t="b">
        <v>1</v>
      </c>
      <c r="AW315" t="b">
        <v>1</v>
      </c>
      <c r="BC315" t="s">
        <v>374</v>
      </c>
    </row>
    <row r="316" spans="1:55" x14ac:dyDescent="0.2">
      <c r="A316" t="s">
        <v>39</v>
      </c>
      <c r="B316" t="s">
        <v>40</v>
      </c>
      <c r="C316">
        <v>20210101</v>
      </c>
      <c r="D316">
        <v>2021</v>
      </c>
      <c r="E316">
        <v>52</v>
      </c>
      <c r="F316" t="s">
        <v>333</v>
      </c>
      <c r="G316">
        <v>702</v>
      </c>
      <c r="H316" t="s">
        <v>257</v>
      </c>
      <c r="I316" t="s">
        <v>258</v>
      </c>
      <c r="J316" t="s">
        <v>44</v>
      </c>
      <c r="K316" t="s">
        <v>45</v>
      </c>
      <c r="L316">
        <v>0</v>
      </c>
      <c r="M316" t="s">
        <v>46</v>
      </c>
      <c r="N316" t="s">
        <v>47</v>
      </c>
      <c r="O316">
        <v>0</v>
      </c>
      <c r="P316" t="s">
        <v>46</v>
      </c>
      <c r="Q316" t="s">
        <v>47</v>
      </c>
      <c r="R316" t="s">
        <v>48</v>
      </c>
      <c r="S316" t="s">
        <v>49</v>
      </c>
      <c r="T316" t="b">
        <v>1</v>
      </c>
      <c r="U316" t="s">
        <v>50</v>
      </c>
      <c r="V316" t="s">
        <v>51</v>
      </c>
      <c r="W316">
        <v>4</v>
      </c>
      <c r="X316" t="b">
        <v>0</v>
      </c>
      <c r="Y316" t="s">
        <v>52</v>
      </c>
      <c r="Z316" t="s">
        <v>53</v>
      </c>
      <c r="AA316" t="s">
        <v>54</v>
      </c>
      <c r="AB316">
        <v>0</v>
      </c>
      <c r="AC316" t="s">
        <v>55</v>
      </c>
      <c r="AD316">
        <v>-1</v>
      </c>
      <c r="AE316" t="s">
        <v>64</v>
      </c>
      <c r="AF316">
        <v>0</v>
      </c>
      <c r="AG316" t="b">
        <v>0</v>
      </c>
      <c r="AH316">
        <v>-1</v>
      </c>
      <c r="AI316" t="s">
        <v>64</v>
      </c>
      <c r="AJ316">
        <v>0</v>
      </c>
      <c r="AK316" t="b">
        <v>0</v>
      </c>
      <c r="AM316" t="b">
        <v>0</v>
      </c>
      <c r="AN316">
        <v>0</v>
      </c>
      <c r="AO316" t="b">
        <v>0</v>
      </c>
      <c r="AQ316">
        <v>15017757921.120001</v>
      </c>
      <c r="AR316">
        <v>15017757921.120001</v>
      </c>
      <c r="AS316">
        <v>0</v>
      </c>
      <c r="AT316" t="b">
        <v>0</v>
      </c>
      <c r="AU316" t="b">
        <v>1</v>
      </c>
      <c r="AV316" t="b">
        <v>1</v>
      </c>
      <c r="AW316" t="b">
        <v>1</v>
      </c>
      <c r="BC316" t="s">
        <v>374</v>
      </c>
    </row>
    <row r="317" spans="1:55" x14ac:dyDescent="0.2">
      <c r="A317" t="s">
        <v>39</v>
      </c>
      <c r="B317" t="s">
        <v>40</v>
      </c>
      <c r="C317">
        <v>20210101</v>
      </c>
      <c r="D317">
        <v>2021</v>
      </c>
      <c r="E317">
        <v>52</v>
      </c>
      <c r="F317" t="s">
        <v>333</v>
      </c>
      <c r="G317">
        <v>703</v>
      </c>
      <c r="H317" t="s">
        <v>259</v>
      </c>
      <c r="I317" t="s">
        <v>260</v>
      </c>
      <c r="J317" t="s">
        <v>44</v>
      </c>
      <c r="K317" t="s">
        <v>45</v>
      </c>
      <c r="L317">
        <v>0</v>
      </c>
      <c r="M317" t="s">
        <v>46</v>
      </c>
      <c r="N317" t="s">
        <v>47</v>
      </c>
      <c r="O317">
        <v>0</v>
      </c>
      <c r="P317" t="s">
        <v>46</v>
      </c>
      <c r="Q317" t="s">
        <v>47</v>
      </c>
      <c r="R317" t="s">
        <v>48</v>
      </c>
      <c r="S317" t="s">
        <v>49</v>
      </c>
      <c r="T317" t="b">
        <v>1</v>
      </c>
      <c r="U317" t="s">
        <v>50</v>
      </c>
      <c r="V317" t="s">
        <v>51</v>
      </c>
      <c r="W317">
        <v>4</v>
      </c>
      <c r="X317" t="b">
        <v>0</v>
      </c>
      <c r="Y317" t="s">
        <v>52</v>
      </c>
      <c r="Z317" t="s">
        <v>53</v>
      </c>
      <c r="AA317" t="s">
        <v>54</v>
      </c>
      <c r="AB317">
        <v>0</v>
      </c>
      <c r="AC317" t="s">
        <v>55</v>
      </c>
      <c r="AD317">
        <v>8</v>
      </c>
      <c r="AE317" t="s">
        <v>56</v>
      </c>
      <c r="AF317">
        <v>875.73699999999997</v>
      </c>
      <c r="AG317" t="b">
        <v>0</v>
      </c>
      <c r="AH317">
        <v>15</v>
      </c>
      <c r="AI317" t="s">
        <v>59</v>
      </c>
      <c r="AJ317">
        <v>875737</v>
      </c>
      <c r="AK317" t="b">
        <v>0</v>
      </c>
      <c r="AM317" t="b">
        <v>0</v>
      </c>
      <c r="AN317">
        <v>0</v>
      </c>
      <c r="AO317" t="b">
        <v>0</v>
      </c>
      <c r="AQ317">
        <v>42297121.119000003</v>
      </c>
      <c r="AR317">
        <v>42297121.119000003</v>
      </c>
      <c r="AS317">
        <v>0</v>
      </c>
      <c r="AT317" t="b">
        <v>0</v>
      </c>
      <c r="AU317" t="b">
        <v>1</v>
      </c>
      <c r="AV317" t="b">
        <v>1</v>
      </c>
      <c r="AW317" t="b">
        <v>1</v>
      </c>
      <c r="BC317" t="s">
        <v>374</v>
      </c>
    </row>
    <row r="318" spans="1:55" x14ac:dyDescent="0.2">
      <c r="A318" t="s">
        <v>39</v>
      </c>
      <c r="B318" t="s">
        <v>40</v>
      </c>
      <c r="C318">
        <v>20210101</v>
      </c>
      <c r="D318">
        <v>2021</v>
      </c>
      <c r="E318">
        <v>52</v>
      </c>
      <c r="F318" t="s">
        <v>333</v>
      </c>
      <c r="G318">
        <v>704</v>
      </c>
      <c r="H318" t="s">
        <v>261</v>
      </c>
      <c r="I318" t="s">
        <v>262</v>
      </c>
      <c r="J318" t="s">
        <v>44</v>
      </c>
      <c r="K318" t="s">
        <v>45</v>
      </c>
      <c r="L318">
        <v>0</v>
      </c>
      <c r="M318" t="s">
        <v>46</v>
      </c>
      <c r="N318" t="s">
        <v>47</v>
      </c>
      <c r="O318">
        <v>0</v>
      </c>
      <c r="P318" t="s">
        <v>46</v>
      </c>
      <c r="Q318" t="s">
        <v>47</v>
      </c>
      <c r="R318" t="s">
        <v>48</v>
      </c>
      <c r="S318" t="s">
        <v>49</v>
      </c>
      <c r="T318" t="b">
        <v>1</v>
      </c>
      <c r="U318" t="s">
        <v>50</v>
      </c>
      <c r="V318" t="s">
        <v>51</v>
      </c>
      <c r="W318">
        <v>4</v>
      </c>
      <c r="X318" t="b">
        <v>0</v>
      </c>
      <c r="Y318" t="s">
        <v>52</v>
      </c>
      <c r="Z318" t="s">
        <v>53</v>
      </c>
      <c r="AA318" t="s">
        <v>54</v>
      </c>
      <c r="AB318">
        <v>0</v>
      </c>
      <c r="AC318" t="s">
        <v>55</v>
      </c>
      <c r="AD318">
        <v>8</v>
      </c>
      <c r="AE318" t="s">
        <v>56</v>
      </c>
      <c r="AF318">
        <v>128.69300000000001</v>
      </c>
      <c r="AG318" t="b">
        <v>1</v>
      </c>
      <c r="AH318">
        <v>-1</v>
      </c>
      <c r="AI318" t="s">
        <v>64</v>
      </c>
      <c r="AJ318">
        <v>0</v>
      </c>
      <c r="AK318" t="b">
        <v>0</v>
      </c>
      <c r="AL318">
        <v>128.69300000000001</v>
      </c>
      <c r="AM318" t="b">
        <v>1</v>
      </c>
      <c r="AN318">
        <v>0</v>
      </c>
      <c r="AO318" t="b">
        <v>0</v>
      </c>
      <c r="AP318">
        <v>0</v>
      </c>
      <c r="AQ318">
        <v>7300122</v>
      </c>
      <c r="AR318">
        <v>7300122</v>
      </c>
      <c r="AS318">
        <v>6</v>
      </c>
      <c r="AT318" t="b">
        <v>0</v>
      </c>
      <c r="AU318" t="b">
        <v>1</v>
      </c>
      <c r="AV318" t="b">
        <v>1</v>
      </c>
      <c r="AW318" t="b">
        <v>1</v>
      </c>
      <c r="BC318" t="s">
        <v>374</v>
      </c>
    </row>
    <row r="319" spans="1:55" x14ac:dyDescent="0.2">
      <c r="A319" t="s">
        <v>39</v>
      </c>
      <c r="B319" t="s">
        <v>40</v>
      </c>
      <c r="C319">
        <v>20210101</v>
      </c>
      <c r="D319">
        <v>2021</v>
      </c>
      <c r="E319">
        <v>52</v>
      </c>
      <c r="F319" t="s">
        <v>333</v>
      </c>
      <c r="G319">
        <v>705</v>
      </c>
      <c r="H319" t="s">
        <v>263</v>
      </c>
      <c r="I319" t="s">
        <v>264</v>
      </c>
      <c r="J319" t="s">
        <v>44</v>
      </c>
      <c r="K319" t="s">
        <v>45</v>
      </c>
      <c r="L319">
        <v>0</v>
      </c>
      <c r="M319" t="s">
        <v>46</v>
      </c>
      <c r="N319" t="s">
        <v>47</v>
      </c>
      <c r="O319">
        <v>0</v>
      </c>
      <c r="P319" t="s">
        <v>46</v>
      </c>
      <c r="Q319" t="s">
        <v>47</v>
      </c>
      <c r="R319" t="s">
        <v>48</v>
      </c>
      <c r="S319" t="s">
        <v>49</v>
      </c>
      <c r="T319" t="b">
        <v>1</v>
      </c>
      <c r="U319" t="s">
        <v>50</v>
      </c>
      <c r="V319" t="s">
        <v>51</v>
      </c>
      <c r="W319">
        <v>4</v>
      </c>
      <c r="X319" t="b">
        <v>0</v>
      </c>
      <c r="Y319" t="s">
        <v>52</v>
      </c>
      <c r="Z319" t="s">
        <v>53</v>
      </c>
      <c r="AA319" t="s">
        <v>54</v>
      </c>
      <c r="AB319">
        <v>0</v>
      </c>
      <c r="AC319" t="s">
        <v>55</v>
      </c>
      <c r="AD319">
        <v>8</v>
      </c>
      <c r="AE319" t="s">
        <v>56</v>
      </c>
      <c r="AF319">
        <v>455.60599999999999</v>
      </c>
      <c r="AG319" t="b">
        <v>0</v>
      </c>
      <c r="AH319">
        <v>15</v>
      </c>
      <c r="AI319" t="s">
        <v>59</v>
      </c>
      <c r="AJ319">
        <v>455606</v>
      </c>
      <c r="AK319" t="b">
        <v>0</v>
      </c>
      <c r="AL319">
        <v>456.72699999999998</v>
      </c>
      <c r="AM319" t="b">
        <v>0</v>
      </c>
      <c r="AN319">
        <v>0</v>
      </c>
      <c r="AO319" t="b">
        <v>0</v>
      </c>
      <c r="AP319">
        <v>0</v>
      </c>
      <c r="AQ319">
        <v>26311454.807999998</v>
      </c>
      <c r="AR319">
        <v>26311454.807999998</v>
      </c>
      <c r="AS319">
        <v>0</v>
      </c>
      <c r="AT319" t="b">
        <v>0</v>
      </c>
      <c r="AU319" t="b">
        <v>1</v>
      </c>
      <c r="AV319" t="b">
        <v>1</v>
      </c>
      <c r="AW319" t="b">
        <v>1</v>
      </c>
      <c r="BC319" t="s">
        <v>374</v>
      </c>
    </row>
    <row r="320" spans="1:55" x14ac:dyDescent="0.2">
      <c r="A320" t="s">
        <v>39</v>
      </c>
      <c r="B320" t="s">
        <v>40</v>
      </c>
      <c r="C320">
        <v>20210101</v>
      </c>
      <c r="D320">
        <v>2021</v>
      </c>
      <c r="E320">
        <v>52</v>
      </c>
      <c r="F320" t="s">
        <v>333</v>
      </c>
      <c r="G320">
        <v>710</v>
      </c>
      <c r="H320" t="s">
        <v>265</v>
      </c>
      <c r="I320" t="s">
        <v>266</v>
      </c>
      <c r="J320" t="s">
        <v>44</v>
      </c>
      <c r="K320" t="s">
        <v>45</v>
      </c>
      <c r="L320">
        <v>0</v>
      </c>
      <c r="M320" t="s">
        <v>46</v>
      </c>
      <c r="N320" t="s">
        <v>47</v>
      </c>
      <c r="O320">
        <v>0</v>
      </c>
      <c r="P320" t="s">
        <v>46</v>
      </c>
      <c r="Q320" t="s">
        <v>47</v>
      </c>
      <c r="R320" t="s">
        <v>48</v>
      </c>
      <c r="S320" t="s">
        <v>49</v>
      </c>
      <c r="T320" t="b">
        <v>1</v>
      </c>
      <c r="U320" t="s">
        <v>50</v>
      </c>
      <c r="V320" t="s">
        <v>51</v>
      </c>
      <c r="W320">
        <v>4</v>
      </c>
      <c r="X320" t="b">
        <v>0</v>
      </c>
      <c r="Y320" t="s">
        <v>52</v>
      </c>
      <c r="Z320" t="s">
        <v>53</v>
      </c>
      <c r="AA320" t="s">
        <v>54</v>
      </c>
      <c r="AB320">
        <v>0</v>
      </c>
      <c r="AC320" t="s">
        <v>55</v>
      </c>
      <c r="AD320">
        <v>-1</v>
      </c>
      <c r="AE320" t="s">
        <v>64</v>
      </c>
      <c r="AF320">
        <v>0</v>
      </c>
      <c r="AG320" t="b">
        <v>0</v>
      </c>
      <c r="AH320">
        <v>-1</v>
      </c>
      <c r="AI320" t="s">
        <v>64</v>
      </c>
      <c r="AJ320">
        <v>0</v>
      </c>
      <c r="AK320" t="b">
        <v>0</v>
      </c>
      <c r="AL320">
        <v>0</v>
      </c>
      <c r="AM320" t="b">
        <v>0</v>
      </c>
      <c r="AN320">
        <v>0</v>
      </c>
      <c r="AO320" t="b">
        <v>0</v>
      </c>
      <c r="AP320">
        <v>0</v>
      </c>
      <c r="AQ320">
        <v>7307599435.2040005</v>
      </c>
      <c r="AR320">
        <v>7307599435.2040005</v>
      </c>
      <c r="AS320">
        <v>0</v>
      </c>
      <c r="AT320" t="b">
        <v>0</v>
      </c>
      <c r="AU320" t="b">
        <v>1</v>
      </c>
      <c r="AV320" t="b">
        <v>1</v>
      </c>
      <c r="AW320" t="b">
        <v>1</v>
      </c>
      <c r="BC320" t="s">
        <v>374</v>
      </c>
    </row>
    <row r="321" spans="1:55" x14ac:dyDescent="0.2">
      <c r="A321" t="s">
        <v>39</v>
      </c>
      <c r="B321" t="s">
        <v>40</v>
      </c>
      <c r="C321">
        <v>20210101</v>
      </c>
      <c r="D321">
        <v>2021</v>
      </c>
      <c r="E321">
        <v>52</v>
      </c>
      <c r="F321" t="s">
        <v>333</v>
      </c>
      <c r="G321">
        <v>716</v>
      </c>
      <c r="H321" t="s">
        <v>267</v>
      </c>
      <c r="I321" t="s">
        <v>268</v>
      </c>
      <c r="J321" t="s">
        <v>44</v>
      </c>
      <c r="K321" t="s">
        <v>45</v>
      </c>
      <c r="L321">
        <v>0</v>
      </c>
      <c r="M321" t="s">
        <v>46</v>
      </c>
      <c r="N321" t="s">
        <v>47</v>
      </c>
      <c r="O321">
        <v>0</v>
      </c>
      <c r="P321" t="s">
        <v>46</v>
      </c>
      <c r="Q321" t="s">
        <v>47</v>
      </c>
      <c r="R321" t="s">
        <v>48</v>
      </c>
      <c r="S321" t="s">
        <v>49</v>
      </c>
      <c r="T321" t="b">
        <v>1</v>
      </c>
      <c r="U321" t="s">
        <v>50</v>
      </c>
      <c r="V321" t="s">
        <v>51</v>
      </c>
      <c r="W321">
        <v>4</v>
      </c>
      <c r="X321" t="b">
        <v>0</v>
      </c>
      <c r="Y321" t="s">
        <v>52</v>
      </c>
      <c r="Z321" t="s">
        <v>53</v>
      </c>
      <c r="AA321" t="s">
        <v>54</v>
      </c>
      <c r="AB321">
        <v>0</v>
      </c>
      <c r="AC321" t="s">
        <v>55</v>
      </c>
      <c r="AD321">
        <v>8</v>
      </c>
      <c r="AE321" t="s">
        <v>56</v>
      </c>
      <c r="AF321">
        <v>22573.538</v>
      </c>
      <c r="AG321" t="b">
        <v>0</v>
      </c>
      <c r="AH321">
        <v>15</v>
      </c>
      <c r="AI321" t="s">
        <v>59</v>
      </c>
      <c r="AJ321">
        <v>10279003.6</v>
      </c>
      <c r="AK321" t="b">
        <v>0</v>
      </c>
      <c r="AM321" t="b">
        <v>0</v>
      </c>
      <c r="AN321">
        <v>0</v>
      </c>
      <c r="AO321" t="b">
        <v>0</v>
      </c>
      <c r="AQ321">
        <v>1612843356.29</v>
      </c>
      <c r="AR321">
        <v>1612843356.29</v>
      </c>
      <c r="AS321">
        <v>0</v>
      </c>
      <c r="AT321" t="b">
        <v>0</v>
      </c>
      <c r="AU321" t="b">
        <v>1</v>
      </c>
      <c r="AV321" t="b">
        <v>1</v>
      </c>
      <c r="AW321" t="b">
        <v>1</v>
      </c>
      <c r="BC321" t="s">
        <v>374</v>
      </c>
    </row>
    <row r="322" spans="1:55" x14ac:dyDescent="0.2">
      <c r="A322" t="s">
        <v>39</v>
      </c>
      <c r="B322" t="s">
        <v>40</v>
      </c>
      <c r="C322">
        <v>20210101</v>
      </c>
      <c r="D322">
        <v>2021</v>
      </c>
      <c r="E322">
        <v>52</v>
      </c>
      <c r="F322" t="s">
        <v>333</v>
      </c>
      <c r="G322">
        <v>724</v>
      </c>
      <c r="H322" t="s">
        <v>269</v>
      </c>
      <c r="I322" t="s">
        <v>270</v>
      </c>
      <c r="J322" t="s">
        <v>44</v>
      </c>
      <c r="K322" t="s">
        <v>45</v>
      </c>
      <c r="L322">
        <v>0</v>
      </c>
      <c r="M322" t="s">
        <v>46</v>
      </c>
      <c r="N322" t="s">
        <v>47</v>
      </c>
      <c r="O322">
        <v>0</v>
      </c>
      <c r="P322" t="s">
        <v>46</v>
      </c>
      <c r="Q322" t="s">
        <v>47</v>
      </c>
      <c r="R322" t="s">
        <v>48</v>
      </c>
      <c r="S322" t="s">
        <v>49</v>
      </c>
      <c r="T322" t="b">
        <v>1</v>
      </c>
      <c r="U322" t="s">
        <v>50</v>
      </c>
      <c r="V322" t="s">
        <v>51</v>
      </c>
      <c r="W322">
        <v>4</v>
      </c>
      <c r="X322" t="b">
        <v>0</v>
      </c>
      <c r="Y322" t="s">
        <v>52</v>
      </c>
      <c r="Z322" t="s">
        <v>53</v>
      </c>
      <c r="AA322" t="s">
        <v>54</v>
      </c>
      <c r="AB322">
        <v>0</v>
      </c>
      <c r="AC322" t="s">
        <v>55</v>
      </c>
      <c r="AD322">
        <v>-1</v>
      </c>
      <c r="AE322" t="s">
        <v>64</v>
      </c>
      <c r="AF322">
        <v>0</v>
      </c>
      <c r="AG322" t="b">
        <v>1</v>
      </c>
      <c r="AH322">
        <v>-1</v>
      </c>
      <c r="AI322" t="s">
        <v>64</v>
      </c>
      <c r="AJ322">
        <v>0</v>
      </c>
      <c r="AK322" t="b">
        <v>0</v>
      </c>
      <c r="AL322">
        <v>0</v>
      </c>
      <c r="AM322" t="b">
        <v>1</v>
      </c>
      <c r="AN322">
        <v>0</v>
      </c>
      <c r="AO322" t="b">
        <v>0</v>
      </c>
      <c r="AP322">
        <v>0</v>
      </c>
      <c r="AQ322">
        <v>1966867704.1730001</v>
      </c>
      <c r="AR322">
        <v>1966867704.1730001</v>
      </c>
      <c r="AS322">
        <v>6</v>
      </c>
      <c r="AT322" t="b">
        <v>0</v>
      </c>
      <c r="AU322" t="b">
        <v>1</v>
      </c>
      <c r="AV322" t="b">
        <v>1</v>
      </c>
      <c r="AW322" t="b">
        <v>1</v>
      </c>
      <c r="BC322" t="s">
        <v>374</v>
      </c>
    </row>
    <row r="323" spans="1:55" x14ac:dyDescent="0.2">
      <c r="A323" t="s">
        <v>39</v>
      </c>
      <c r="B323" t="s">
        <v>40</v>
      </c>
      <c r="C323">
        <v>20210101</v>
      </c>
      <c r="D323">
        <v>2021</v>
      </c>
      <c r="E323">
        <v>52</v>
      </c>
      <c r="F323" t="s">
        <v>333</v>
      </c>
      <c r="G323">
        <v>740</v>
      </c>
      <c r="H323" t="s">
        <v>271</v>
      </c>
      <c r="I323" t="s">
        <v>272</v>
      </c>
      <c r="J323" t="s">
        <v>44</v>
      </c>
      <c r="K323" t="s">
        <v>45</v>
      </c>
      <c r="L323">
        <v>0</v>
      </c>
      <c r="M323" t="s">
        <v>46</v>
      </c>
      <c r="N323" t="s">
        <v>47</v>
      </c>
      <c r="O323">
        <v>0</v>
      </c>
      <c r="P323" t="s">
        <v>46</v>
      </c>
      <c r="Q323" t="s">
        <v>47</v>
      </c>
      <c r="R323" t="s">
        <v>136</v>
      </c>
      <c r="S323" t="s">
        <v>49</v>
      </c>
      <c r="T323" t="b">
        <v>1</v>
      </c>
      <c r="U323" t="s">
        <v>50</v>
      </c>
      <c r="V323" t="s">
        <v>51</v>
      </c>
      <c r="W323">
        <v>4</v>
      </c>
      <c r="X323" t="b">
        <v>0</v>
      </c>
      <c r="Y323" t="s">
        <v>52</v>
      </c>
      <c r="Z323" t="s">
        <v>53</v>
      </c>
      <c r="AA323" t="s">
        <v>54</v>
      </c>
      <c r="AB323">
        <v>0</v>
      </c>
      <c r="AC323" t="s">
        <v>55</v>
      </c>
      <c r="AD323">
        <v>-1</v>
      </c>
      <c r="AE323" t="s">
        <v>64</v>
      </c>
      <c r="AF323">
        <v>0</v>
      </c>
      <c r="AG323" t="b">
        <v>0</v>
      </c>
      <c r="AH323">
        <v>-1</v>
      </c>
      <c r="AI323" t="s">
        <v>64</v>
      </c>
      <c r="AJ323">
        <v>0</v>
      </c>
      <c r="AK323" t="b">
        <v>0</v>
      </c>
      <c r="AL323">
        <v>33271.96</v>
      </c>
      <c r="AM323" t="b">
        <v>0</v>
      </c>
      <c r="AN323">
        <v>35976.080000000002</v>
      </c>
      <c r="AO323" t="b">
        <v>0</v>
      </c>
      <c r="AQ323">
        <v>1855905387.1400001</v>
      </c>
      <c r="AR323">
        <v>1855905387.1400001</v>
      </c>
      <c r="AS323">
        <v>0</v>
      </c>
      <c r="AT323" t="b">
        <v>0</v>
      </c>
      <c r="AU323" t="b">
        <v>1</v>
      </c>
      <c r="AV323" t="b">
        <v>1</v>
      </c>
      <c r="AW323" t="b">
        <v>1</v>
      </c>
      <c r="BC323" t="s">
        <v>374</v>
      </c>
    </row>
    <row r="324" spans="1:55" x14ac:dyDescent="0.2">
      <c r="A324" t="s">
        <v>39</v>
      </c>
      <c r="B324" t="s">
        <v>40</v>
      </c>
      <c r="C324">
        <v>20210101</v>
      </c>
      <c r="D324">
        <v>2021</v>
      </c>
      <c r="E324">
        <v>52</v>
      </c>
      <c r="F324" t="s">
        <v>333</v>
      </c>
      <c r="G324">
        <v>752</v>
      </c>
      <c r="H324" t="s">
        <v>275</v>
      </c>
      <c r="I324" t="s">
        <v>276</v>
      </c>
      <c r="J324" t="s">
        <v>44</v>
      </c>
      <c r="K324" t="s">
        <v>45</v>
      </c>
      <c r="L324">
        <v>0</v>
      </c>
      <c r="M324" t="s">
        <v>46</v>
      </c>
      <c r="N324" t="s">
        <v>47</v>
      </c>
      <c r="O324">
        <v>0</v>
      </c>
      <c r="P324" t="s">
        <v>46</v>
      </c>
      <c r="Q324" t="s">
        <v>47</v>
      </c>
      <c r="R324" t="s">
        <v>48</v>
      </c>
      <c r="S324" t="s">
        <v>49</v>
      </c>
      <c r="T324" t="b">
        <v>1</v>
      </c>
      <c r="U324" t="s">
        <v>50</v>
      </c>
      <c r="V324" t="s">
        <v>51</v>
      </c>
      <c r="W324">
        <v>4</v>
      </c>
      <c r="X324" t="b">
        <v>0</v>
      </c>
      <c r="Y324" t="s">
        <v>52</v>
      </c>
      <c r="Z324" t="s">
        <v>53</v>
      </c>
      <c r="AA324" t="s">
        <v>54</v>
      </c>
      <c r="AB324">
        <v>0</v>
      </c>
      <c r="AC324" t="s">
        <v>55</v>
      </c>
      <c r="AD324">
        <v>8</v>
      </c>
      <c r="AE324" t="s">
        <v>56</v>
      </c>
      <c r="AF324">
        <v>13185.085999999999</v>
      </c>
      <c r="AG324" t="b">
        <v>1</v>
      </c>
      <c r="AH324">
        <v>-1</v>
      </c>
      <c r="AI324" t="s">
        <v>64</v>
      </c>
      <c r="AJ324">
        <v>0</v>
      </c>
      <c r="AK324" t="b">
        <v>0</v>
      </c>
      <c r="AL324">
        <v>13857.71</v>
      </c>
      <c r="AM324" t="b">
        <v>1</v>
      </c>
      <c r="AN324">
        <v>0</v>
      </c>
      <c r="AO324" t="b">
        <v>0</v>
      </c>
      <c r="AQ324">
        <v>806568183.79700005</v>
      </c>
      <c r="AR324">
        <v>806568183.79700005</v>
      </c>
      <c r="AS324">
        <v>6</v>
      </c>
      <c r="AT324" t="b">
        <v>0</v>
      </c>
      <c r="AU324" t="b">
        <v>1</v>
      </c>
      <c r="AV324" t="b">
        <v>1</v>
      </c>
      <c r="AW324" t="b">
        <v>1</v>
      </c>
      <c r="BC324" t="s">
        <v>374</v>
      </c>
    </row>
    <row r="325" spans="1:55" x14ac:dyDescent="0.2">
      <c r="A325" t="s">
        <v>39</v>
      </c>
      <c r="B325" t="s">
        <v>40</v>
      </c>
      <c r="C325">
        <v>20210101</v>
      </c>
      <c r="D325">
        <v>2021</v>
      </c>
      <c r="E325">
        <v>52</v>
      </c>
      <c r="F325" t="s">
        <v>333</v>
      </c>
      <c r="G325">
        <v>762</v>
      </c>
      <c r="H325" t="s">
        <v>342</v>
      </c>
      <c r="I325" t="s">
        <v>343</v>
      </c>
      <c r="J325" t="s">
        <v>44</v>
      </c>
      <c r="K325" t="s">
        <v>45</v>
      </c>
      <c r="L325">
        <v>0</v>
      </c>
      <c r="M325" t="s">
        <v>46</v>
      </c>
      <c r="N325" t="s">
        <v>47</v>
      </c>
      <c r="O325">
        <v>0</v>
      </c>
      <c r="P325" t="s">
        <v>46</v>
      </c>
      <c r="Q325" t="s">
        <v>47</v>
      </c>
      <c r="R325" t="s">
        <v>95</v>
      </c>
      <c r="S325" t="s">
        <v>49</v>
      </c>
      <c r="T325" t="b">
        <v>1</v>
      </c>
      <c r="U325" t="s">
        <v>50</v>
      </c>
      <c r="V325" t="s">
        <v>51</v>
      </c>
      <c r="W325">
        <v>4</v>
      </c>
      <c r="X325" t="b">
        <v>0</v>
      </c>
      <c r="Y325" t="s">
        <v>52</v>
      </c>
      <c r="Z325" t="s">
        <v>53</v>
      </c>
      <c r="AA325" t="s">
        <v>54</v>
      </c>
      <c r="AB325">
        <v>0</v>
      </c>
      <c r="AC325" t="s">
        <v>55</v>
      </c>
      <c r="AD325">
        <v>8</v>
      </c>
      <c r="AE325" t="s">
        <v>56</v>
      </c>
      <c r="AF325">
        <v>6229.7929999999997</v>
      </c>
      <c r="AG325" t="b">
        <v>1</v>
      </c>
      <c r="AH325">
        <v>-1</v>
      </c>
      <c r="AI325" t="s">
        <v>64</v>
      </c>
      <c r="AJ325">
        <v>0</v>
      </c>
      <c r="AK325" t="b">
        <v>0</v>
      </c>
      <c r="AL325">
        <v>6229.7929999999997</v>
      </c>
      <c r="AM325" t="b">
        <v>1</v>
      </c>
      <c r="AN325">
        <v>0</v>
      </c>
      <c r="AO325" t="b">
        <v>0</v>
      </c>
      <c r="AQ325">
        <v>351150013</v>
      </c>
      <c r="AR325">
        <v>351150013</v>
      </c>
      <c r="AS325">
        <v>6</v>
      </c>
      <c r="AT325" t="b">
        <v>0</v>
      </c>
      <c r="AU325" t="b">
        <v>1</v>
      </c>
      <c r="AV325" t="b">
        <v>1</v>
      </c>
      <c r="AW325" t="b">
        <v>1</v>
      </c>
      <c r="BC325" t="s">
        <v>374</v>
      </c>
    </row>
    <row r="326" spans="1:55" x14ac:dyDescent="0.2">
      <c r="A326" t="s">
        <v>39</v>
      </c>
      <c r="B326" t="s">
        <v>40</v>
      </c>
      <c r="C326">
        <v>20210101</v>
      </c>
      <c r="D326">
        <v>2021</v>
      </c>
      <c r="E326">
        <v>52</v>
      </c>
      <c r="F326" t="s">
        <v>333</v>
      </c>
      <c r="G326">
        <v>764</v>
      </c>
      <c r="H326" t="s">
        <v>279</v>
      </c>
      <c r="I326" t="s">
        <v>280</v>
      </c>
      <c r="J326" t="s">
        <v>44</v>
      </c>
      <c r="K326" t="s">
        <v>45</v>
      </c>
      <c r="L326">
        <v>0</v>
      </c>
      <c r="M326" t="s">
        <v>46</v>
      </c>
      <c r="N326" t="s">
        <v>47</v>
      </c>
      <c r="O326">
        <v>0</v>
      </c>
      <c r="P326" t="s">
        <v>46</v>
      </c>
      <c r="Q326" t="s">
        <v>47</v>
      </c>
      <c r="R326" t="s">
        <v>48</v>
      </c>
      <c r="S326" t="s">
        <v>49</v>
      </c>
      <c r="T326" t="b">
        <v>1</v>
      </c>
      <c r="U326" t="s">
        <v>50</v>
      </c>
      <c r="V326" t="s">
        <v>51</v>
      </c>
      <c r="W326">
        <v>4</v>
      </c>
      <c r="X326" t="b">
        <v>0</v>
      </c>
      <c r="Y326" t="s">
        <v>52</v>
      </c>
      <c r="Z326" t="s">
        <v>53</v>
      </c>
      <c r="AA326" t="s">
        <v>54</v>
      </c>
      <c r="AB326">
        <v>0</v>
      </c>
      <c r="AC326" t="s">
        <v>55</v>
      </c>
      <c r="AD326">
        <v>-1</v>
      </c>
      <c r="AE326" t="s">
        <v>64</v>
      </c>
      <c r="AF326">
        <v>0</v>
      </c>
      <c r="AG326" t="b">
        <v>0</v>
      </c>
      <c r="AH326">
        <v>-1</v>
      </c>
      <c r="AI326" t="s">
        <v>64</v>
      </c>
      <c r="AJ326">
        <v>0</v>
      </c>
      <c r="AK326" t="b">
        <v>0</v>
      </c>
      <c r="AM326" t="b">
        <v>0</v>
      </c>
      <c r="AN326">
        <v>0</v>
      </c>
      <c r="AO326" t="b">
        <v>0</v>
      </c>
      <c r="AQ326">
        <v>3884115060.3959999</v>
      </c>
      <c r="AR326">
        <v>3884115060.3959999</v>
      </c>
      <c r="AS326">
        <v>0</v>
      </c>
      <c r="AT326" t="b">
        <v>0</v>
      </c>
      <c r="AU326" t="b">
        <v>1</v>
      </c>
      <c r="AV326" t="b">
        <v>1</v>
      </c>
      <c r="AW326" t="b">
        <v>1</v>
      </c>
      <c r="BC326" t="s">
        <v>374</v>
      </c>
    </row>
    <row r="327" spans="1:55" x14ac:dyDescent="0.2">
      <c r="A327" t="s">
        <v>39</v>
      </c>
      <c r="B327" t="s">
        <v>40</v>
      </c>
      <c r="C327">
        <v>20210101</v>
      </c>
      <c r="D327">
        <v>2021</v>
      </c>
      <c r="E327">
        <v>52</v>
      </c>
      <c r="F327" t="s">
        <v>333</v>
      </c>
      <c r="G327">
        <v>780</v>
      </c>
      <c r="H327" t="s">
        <v>283</v>
      </c>
      <c r="I327" t="s">
        <v>284</v>
      </c>
      <c r="J327" t="s">
        <v>44</v>
      </c>
      <c r="K327" t="s">
        <v>45</v>
      </c>
      <c r="L327">
        <v>0</v>
      </c>
      <c r="M327" t="s">
        <v>46</v>
      </c>
      <c r="N327" t="s">
        <v>47</v>
      </c>
      <c r="O327">
        <v>0</v>
      </c>
      <c r="P327" t="s">
        <v>46</v>
      </c>
      <c r="Q327" t="s">
        <v>47</v>
      </c>
      <c r="R327" t="s">
        <v>95</v>
      </c>
      <c r="S327" t="s">
        <v>49</v>
      </c>
      <c r="T327" t="b">
        <v>1</v>
      </c>
      <c r="U327" t="s">
        <v>50</v>
      </c>
      <c r="V327" t="s">
        <v>51</v>
      </c>
      <c r="W327">
        <v>4</v>
      </c>
      <c r="X327" t="b">
        <v>0</v>
      </c>
      <c r="Y327" t="s">
        <v>52</v>
      </c>
      <c r="Z327" t="s">
        <v>53</v>
      </c>
      <c r="AA327" t="s">
        <v>54</v>
      </c>
      <c r="AB327">
        <v>0</v>
      </c>
      <c r="AC327" t="s">
        <v>55</v>
      </c>
      <c r="AD327">
        <v>8</v>
      </c>
      <c r="AE327" t="s">
        <v>56</v>
      </c>
      <c r="AF327">
        <v>9</v>
      </c>
      <c r="AG327" t="b">
        <v>0</v>
      </c>
      <c r="AH327">
        <v>8</v>
      </c>
      <c r="AI327" t="s">
        <v>56</v>
      </c>
      <c r="AJ327">
        <v>9</v>
      </c>
      <c r="AK327" t="b">
        <v>0</v>
      </c>
      <c r="AL327">
        <v>9</v>
      </c>
      <c r="AM327" t="b">
        <v>0</v>
      </c>
      <c r="AN327">
        <v>0</v>
      </c>
      <c r="AO327" t="b">
        <v>0</v>
      </c>
      <c r="AP327">
        <v>0</v>
      </c>
      <c r="AQ327">
        <v>88046.063999999998</v>
      </c>
      <c r="AR327">
        <v>88046.063999999998</v>
      </c>
      <c r="AS327">
        <v>0</v>
      </c>
      <c r="AT327" t="b">
        <v>0</v>
      </c>
      <c r="AU327" t="b">
        <v>1</v>
      </c>
      <c r="AV327" t="b">
        <v>1</v>
      </c>
      <c r="AW327" t="b">
        <v>1</v>
      </c>
      <c r="BC327" t="s">
        <v>374</v>
      </c>
    </row>
    <row r="328" spans="1:55" x14ac:dyDescent="0.2">
      <c r="A328" t="s">
        <v>39</v>
      </c>
      <c r="B328" t="s">
        <v>40</v>
      </c>
      <c r="C328">
        <v>20210101</v>
      </c>
      <c r="D328">
        <v>2021</v>
      </c>
      <c r="E328">
        <v>52</v>
      </c>
      <c r="F328" t="s">
        <v>333</v>
      </c>
      <c r="G328">
        <v>784</v>
      </c>
      <c r="H328" t="s">
        <v>285</v>
      </c>
      <c r="I328" t="s">
        <v>286</v>
      </c>
      <c r="J328" t="s">
        <v>44</v>
      </c>
      <c r="K328" t="s">
        <v>45</v>
      </c>
      <c r="L328">
        <v>0</v>
      </c>
      <c r="M328" t="s">
        <v>46</v>
      </c>
      <c r="N328" t="s">
        <v>47</v>
      </c>
      <c r="O328">
        <v>0</v>
      </c>
      <c r="P328" t="s">
        <v>46</v>
      </c>
      <c r="Q328" t="s">
        <v>47</v>
      </c>
      <c r="R328" t="s">
        <v>48</v>
      </c>
      <c r="S328" t="s">
        <v>49</v>
      </c>
      <c r="T328" t="b">
        <v>1</v>
      </c>
      <c r="U328" t="s">
        <v>50</v>
      </c>
      <c r="V328" t="s">
        <v>51</v>
      </c>
      <c r="W328">
        <v>4</v>
      </c>
      <c r="X328" t="b">
        <v>0</v>
      </c>
      <c r="Y328" t="s">
        <v>52</v>
      </c>
      <c r="Z328" t="s">
        <v>53</v>
      </c>
      <c r="AA328" t="s">
        <v>54</v>
      </c>
      <c r="AB328">
        <v>0</v>
      </c>
      <c r="AC328" t="s">
        <v>55</v>
      </c>
      <c r="AD328">
        <v>-1</v>
      </c>
      <c r="AE328" t="s">
        <v>64</v>
      </c>
      <c r="AF328">
        <v>0</v>
      </c>
      <c r="AG328" t="b">
        <v>0</v>
      </c>
      <c r="AH328">
        <v>-1</v>
      </c>
      <c r="AI328" t="s">
        <v>64</v>
      </c>
      <c r="AJ328">
        <v>0</v>
      </c>
      <c r="AK328" t="b">
        <v>0</v>
      </c>
      <c r="AL328">
        <v>0</v>
      </c>
      <c r="AM328" t="b">
        <v>0</v>
      </c>
      <c r="AN328">
        <v>0</v>
      </c>
      <c r="AO328" t="b">
        <v>0</v>
      </c>
      <c r="AP328">
        <v>0</v>
      </c>
      <c r="AQ328">
        <v>33786922894.626999</v>
      </c>
      <c r="AR328">
        <v>33786922894.626999</v>
      </c>
      <c r="AS328">
        <v>0</v>
      </c>
      <c r="AT328" t="b">
        <v>0</v>
      </c>
      <c r="AU328" t="b">
        <v>1</v>
      </c>
      <c r="AV328" t="b">
        <v>1</v>
      </c>
      <c r="AW328" t="b">
        <v>1</v>
      </c>
      <c r="BC328" t="s">
        <v>374</v>
      </c>
    </row>
    <row r="329" spans="1:55" x14ac:dyDescent="0.2">
      <c r="A329" t="s">
        <v>39</v>
      </c>
      <c r="B329" t="s">
        <v>40</v>
      </c>
      <c r="C329">
        <v>20210101</v>
      </c>
      <c r="D329">
        <v>2021</v>
      </c>
      <c r="E329">
        <v>52</v>
      </c>
      <c r="F329" t="s">
        <v>333</v>
      </c>
      <c r="G329">
        <v>788</v>
      </c>
      <c r="H329" t="s">
        <v>344</v>
      </c>
      <c r="I329" t="s">
        <v>345</v>
      </c>
      <c r="J329" t="s">
        <v>44</v>
      </c>
      <c r="K329" t="s">
        <v>45</v>
      </c>
      <c r="L329">
        <v>0</v>
      </c>
      <c r="M329" t="s">
        <v>46</v>
      </c>
      <c r="N329" t="s">
        <v>47</v>
      </c>
      <c r="O329">
        <v>0</v>
      </c>
      <c r="P329" t="s">
        <v>46</v>
      </c>
      <c r="Q329" t="s">
        <v>47</v>
      </c>
      <c r="R329" t="s">
        <v>48</v>
      </c>
      <c r="S329" t="s">
        <v>49</v>
      </c>
      <c r="T329" t="b">
        <v>1</v>
      </c>
      <c r="U329" t="s">
        <v>50</v>
      </c>
      <c r="V329" t="s">
        <v>51</v>
      </c>
      <c r="W329">
        <v>4</v>
      </c>
      <c r="X329" t="b">
        <v>0</v>
      </c>
      <c r="Y329" t="s">
        <v>52</v>
      </c>
      <c r="Z329" t="s">
        <v>53</v>
      </c>
      <c r="AA329" t="s">
        <v>54</v>
      </c>
      <c r="AB329">
        <v>0</v>
      </c>
      <c r="AC329" t="s">
        <v>55</v>
      </c>
      <c r="AD329">
        <v>8</v>
      </c>
      <c r="AE329" t="s">
        <v>56</v>
      </c>
      <c r="AF329">
        <v>0.97299999999999998</v>
      </c>
      <c r="AG329" t="b">
        <v>0</v>
      </c>
      <c r="AH329">
        <v>15</v>
      </c>
      <c r="AI329" t="s">
        <v>59</v>
      </c>
      <c r="AJ329">
        <v>973</v>
      </c>
      <c r="AK329" t="b">
        <v>0</v>
      </c>
      <c r="AL329">
        <v>4</v>
      </c>
      <c r="AM329" t="b">
        <v>0</v>
      </c>
      <c r="AN329">
        <v>0</v>
      </c>
      <c r="AO329" t="b">
        <v>0</v>
      </c>
      <c r="AP329">
        <v>0</v>
      </c>
      <c r="AQ329">
        <v>30808.868999999999</v>
      </c>
      <c r="AR329">
        <v>30808.868999999999</v>
      </c>
      <c r="AS329">
        <v>0</v>
      </c>
      <c r="AT329" t="b">
        <v>0</v>
      </c>
      <c r="AU329" t="b">
        <v>1</v>
      </c>
      <c r="AV329" t="b">
        <v>1</v>
      </c>
      <c r="AW329" t="b">
        <v>1</v>
      </c>
      <c r="BC329" t="s">
        <v>374</v>
      </c>
    </row>
    <row r="330" spans="1:55" x14ac:dyDescent="0.2">
      <c r="A330" t="s">
        <v>39</v>
      </c>
      <c r="B330" t="s">
        <v>40</v>
      </c>
      <c r="C330">
        <v>20210101</v>
      </c>
      <c r="D330">
        <v>2021</v>
      </c>
      <c r="E330">
        <v>52</v>
      </c>
      <c r="F330" t="s">
        <v>333</v>
      </c>
      <c r="G330">
        <v>792</v>
      </c>
      <c r="H330" t="s">
        <v>287</v>
      </c>
      <c r="I330" t="s">
        <v>288</v>
      </c>
      <c r="J330" t="s">
        <v>44</v>
      </c>
      <c r="K330" t="s">
        <v>45</v>
      </c>
      <c r="L330">
        <v>0</v>
      </c>
      <c r="M330" t="s">
        <v>46</v>
      </c>
      <c r="N330" t="s">
        <v>47</v>
      </c>
      <c r="O330">
        <v>0</v>
      </c>
      <c r="P330" t="s">
        <v>46</v>
      </c>
      <c r="Q330" t="s">
        <v>47</v>
      </c>
      <c r="R330" t="s">
        <v>48</v>
      </c>
      <c r="S330" t="s">
        <v>49</v>
      </c>
      <c r="T330" t="b">
        <v>1</v>
      </c>
      <c r="U330" t="s">
        <v>50</v>
      </c>
      <c r="V330" t="s">
        <v>51</v>
      </c>
      <c r="W330">
        <v>4</v>
      </c>
      <c r="X330" t="b">
        <v>0</v>
      </c>
      <c r="Y330" t="s">
        <v>52</v>
      </c>
      <c r="Z330" t="s">
        <v>53</v>
      </c>
      <c r="AA330" t="s">
        <v>54</v>
      </c>
      <c r="AB330">
        <v>0</v>
      </c>
      <c r="AC330" t="s">
        <v>55</v>
      </c>
      <c r="AD330">
        <v>8</v>
      </c>
      <c r="AE330" t="s">
        <v>56</v>
      </c>
      <c r="AF330">
        <v>60725.862000000001</v>
      </c>
      <c r="AG330" t="b">
        <v>0</v>
      </c>
      <c r="AH330">
        <v>15</v>
      </c>
      <c r="AI330" t="s">
        <v>59</v>
      </c>
      <c r="AJ330">
        <v>60725862</v>
      </c>
      <c r="AK330" t="b">
        <v>0</v>
      </c>
      <c r="AM330" t="b">
        <v>0</v>
      </c>
      <c r="AN330">
        <v>0</v>
      </c>
      <c r="AO330" t="b">
        <v>0</v>
      </c>
      <c r="AQ330">
        <v>3482598318</v>
      </c>
      <c r="AR330">
        <v>3482598318</v>
      </c>
      <c r="AS330">
        <v>0</v>
      </c>
      <c r="AT330" t="b">
        <v>0</v>
      </c>
      <c r="AU330" t="b">
        <v>1</v>
      </c>
      <c r="AV330" t="b">
        <v>1</v>
      </c>
      <c r="AW330" t="b">
        <v>1</v>
      </c>
      <c r="BC330" t="s">
        <v>374</v>
      </c>
    </row>
    <row r="331" spans="1:55" x14ac:dyDescent="0.2">
      <c r="A331" t="s">
        <v>39</v>
      </c>
      <c r="B331" t="s">
        <v>40</v>
      </c>
      <c r="C331">
        <v>20210101</v>
      </c>
      <c r="D331">
        <v>2021</v>
      </c>
      <c r="E331">
        <v>52</v>
      </c>
      <c r="F331" t="s">
        <v>333</v>
      </c>
      <c r="G331">
        <v>800</v>
      </c>
      <c r="H331" t="s">
        <v>289</v>
      </c>
      <c r="I331" t="s">
        <v>290</v>
      </c>
      <c r="J331" t="s">
        <v>44</v>
      </c>
      <c r="K331" t="s">
        <v>45</v>
      </c>
      <c r="L331">
        <v>0</v>
      </c>
      <c r="M331" t="s">
        <v>46</v>
      </c>
      <c r="N331" t="s">
        <v>47</v>
      </c>
      <c r="O331">
        <v>0</v>
      </c>
      <c r="P331" t="s">
        <v>46</v>
      </c>
      <c r="Q331" t="s">
        <v>47</v>
      </c>
      <c r="R331" t="s">
        <v>48</v>
      </c>
      <c r="S331" t="s">
        <v>49</v>
      </c>
      <c r="T331" t="b">
        <v>1</v>
      </c>
      <c r="U331" t="s">
        <v>50</v>
      </c>
      <c r="V331" t="s">
        <v>51</v>
      </c>
      <c r="W331">
        <v>4</v>
      </c>
      <c r="X331" t="b">
        <v>0</v>
      </c>
      <c r="Y331" t="s">
        <v>52</v>
      </c>
      <c r="Z331" t="s">
        <v>53</v>
      </c>
      <c r="AA331" t="s">
        <v>54</v>
      </c>
      <c r="AB331">
        <v>0</v>
      </c>
      <c r="AC331" t="s">
        <v>55</v>
      </c>
      <c r="AD331">
        <v>8</v>
      </c>
      <c r="AE331" t="s">
        <v>56</v>
      </c>
      <c r="AF331">
        <v>18444.240000000002</v>
      </c>
      <c r="AG331" t="b">
        <v>0</v>
      </c>
      <c r="AH331">
        <v>15</v>
      </c>
      <c r="AI331" t="s">
        <v>59</v>
      </c>
      <c r="AJ331">
        <v>18444240</v>
      </c>
      <c r="AK331" t="b">
        <v>0</v>
      </c>
      <c r="AL331">
        <v>18342.990000000002</v>
      </c>
      <c r="AM331" t="b">
        <v>0</v>
      </c>
      <c r="AN331">
        <v>0</v>
      </c>
      <c r="AO331" t="b">
        <v>0</v>
      </c>
      <c r="AQ331">
        <v>1032854557.1</v>
      </c>
      <c r="AR331">
        <v>1032854557.1</v>
      </c>
      <c r="AS331">
        <v>0</v>
      </c>
      <c r="AT331" t="b">
        <v>0</v>
      </c>
      <c r="AU331" t="b">
        <v>1</v>
      </c>
      <c r="AV331" t="b">
        <v>1</v>
      </c>
      <c r="AW331" t="b">
        <v>1</v>
      </c>
      <c r="BC331" t="s">
        <v>374</v>
      </c>
    </row>
    <row r="332" spans="1:55" x14ac:dyDescent="0.2">
      <c r="A332" t="s">
        <v>39</v>
      </c>
      <c r="B332" t="s">
        <v>40</v>
      </c>
      <c r="C332">
        <v>20210101</v>
      </c>
      <c r="D332">
        <v>2021</v>
      </c>
      <c r="E332">
        <v>52</v>
      </c>
      <c r="F332" t="s">
        <v>333</v>
      </c>
      <c r="G332">
        <v>804</v>
      </c>
      <c r="H332" t="s">
        <v>291</v>
      </c>
      <c r="I332" t="s">
        <v>292</v>
      </c>
      <c r="J332" t="s">
        <v>44</v>
      </c>
      <c r="K332" t="s">
        <v>45</v>
      </c>
      <c r="L332">
        <v>0</v>
      </c>
      <c r="M332" t="s">
        <v>46</v>
      </c>
      <c r="N332" t="s">
        <v>47</v>
      </c>
      <c r="O332">
        <v>0</v>
      </c>
      <c r="P332" t="s">
        <v>46</v>
      </c>
      <c r="Q332" t="s">
        <v>47</v>
      </c>
      <c r="R332" t="s">
        <v>48</v>
      </c>
      <c r="S332" t="s">
        <v>49</v>
      </c>
      <c r="T332" t="b">
        <v>1</v>
      </c>
      <c r="U332" t="s">
        <v>50</v>
      </c>
      <c r="V332" t="s">
        <v>51</v>
      </c>
      <c r="W332">
        <v>4</v>
      </c>
      <c r="X332" t="b">
        <v>0</v>
      </c>
      <c r="Y332" t="s">
        <v>52</v>
      </c>
      <c r="Z332" t="s">
        <v>53</v>
      </c>
      <c r="AA332" t="s">
        <v>54</v>
      </c>
      <c r="AB332">
        <v>0</v>
      </c>
      <c r="AC332" t="s">
        <v>55</v>
      </c>
      <c r="AD332">
        <v>8</v>
      </c>
      <c r="AE332" t="s">
        <v>56</v>
      </c>
      <c r="AF332">
        <v>512.80399999999997</v>
      </c>
      <c r="AG332" t="b">
        <v>0</v>
      </c>
      <c r="AH332">
        <v>15</v>
      </c>
      <c r="AI332" t="s">
        <v>59</v>
      </c>
      <c r="AJ332">
        <v>512804.16</v>
      </c>
      <c r="AK332" t="b">
        <v>0</v>
      </c>
      <c r="AL332">
        <v>512.80999999999995</v>
      </c>
      <c r="AM332" t="b">
        <v>0</v>
      </c>
      <c r="AN332">
        <v>0</v>
      </c>
      <c r="AO332" t="b">
        <v>0</v>
      </c>
      <c r="AP332">
        <v>0</v>
      </c>
      <c r="AQ332">
        <v>27621641.690000001</v>
      </c>
      <c r="AR332">
        <v>27621641.690000001</v>
      </c>
      <c r="AS332">
        <v>0</v>
      </c>
      <c r="AT332" t="b">
        <v>0</v>
      </c>
      <c r="AU332" t="b">
        <v>1</v>
      </c>
      <c r="AV332" t="b">
        <v>1</v>
      </c>
      <c r="AW332" t="b">
        <v>1</v>
      </c>
      <c r="BC332" t="s">
        <v>374</v>
      </c>
    </row>
    <row r="333" spans="1:55" x14ac:dyDescent="0.2">
      <c r="A333" t="s">
        <v>39</v>
      </c>
      <c r="B333" t="s">
        <v>40</v>
      </c>
      <c r="C333">
        <v>20210101</v>
      </c>
      <c r="D333">
        <v>2021</v>
      </c>
      <c r="E333">
        <v>52</v>
      </c>
      <c r="F333" t="s">
        <v>333</v>
      </c>
      <c r="G333">
        <v>807</v>
      </c>
      <c r="H333" t="s">
        <v>331</v>
      </c>
      <c r="I333" t="s">
        <v>332</v>
      </c>
      <c r="J333" t="s">
        <v>44</v>
      </c>
      <c r="K333" t="s">
        <v>45</v>
      </c>
      <c r="L333">
        <v>0</v>
      </c>
      <c r="M333" t="s">
        <v>46</v>
      </c>
      <c r="N333" t="s">
        <v>47</v>
      </c>
      <c r="O333">
        <v>0</v>
      </c>
      <c r="P333" t="s">
        <v>46</v>
      </c>
      <c r="Q333" t="s">
        <v>47</v>
      </c>
      <c r="R333" t="s">
        <v>48</v>
      </c>
      <c r="S333" t="s">
        <v>49</v>
      </c>
      <c r="T333" t="b">
        <v>1</v>
      </c>
      <c r="U333" t="s">
        <v>50</v>
      </c>
      <c r="V333" t="s">
        <v>51</v>
      </c>
      <c r="W333">
        <v>4</v>
      </c>
      <c r="X333" t="b">
        <v>0</v>
      </c>
      <c r="Y333" t="s">
        <v>52</v>
      </c>
      <c r="Z333" t="s">
        <v>53</v>
      </c>
      <c r="AA333" t="s">
        <v>54</v>
      </c>
      <c r="AB333">
        <v>0</v>
      </c>
      <c r="AC333" t="s">
        <v>55</v>
      </c>
      <c r="AD333">
        <v>8</v>
      </c>
      <c r="AE333" t="s">
        <v>56</v>
      </c>
      <c r="AF333">
        <v>18.699000000000002</v>
      </c>
      <c r="AG333" t="b">
        <v>0</v>
      </c>
      <c r="AH333">
        <v>15</v>
      </c>
      <c r="AI333" t="s">
        <v>59</v>
      </c>
      <c r="AJ333">
        <v>18699</v>
      </c>
      <c r="AK333" t="b">
        <v>0</v>
      </c>
      <c r="AL333">
        <v>19</v>
      </c>
      <c r="AM333" t="b">
        <v>0</v>
      </c>
      <c r="AN333">
        <v>0</v>
      </c>
      <c r="AO333" t="b">
        <v>0</v>
      </c>
      <c r="AP333">
        <v>0</v>
      </c>
      <c r="AQ333">
        <v>686141.09</v>
      </c>
      <c r="AR333">
        <v>686141.09</v>
      </c>
      <c r="AS333">
        <v>0</v>
      </c>
      <c r="AT333" t="b">
        <v>0</v>
      </c>
      <c r="AU333" t="b">
        <v>1</v>
      </c>
      <c r="AV333" t="b">
        <v>1</v>
      </c>
      <c r="AW333" t="b">
        <v>1</v>
      </c>
      <c r="BC333" t="s">
        <v>374</v>
      </c>
    </row>
    <row r="334" spans="1:55" x14ac:dyDescent="0.2">
      <c r="A334" t="s">
        <v>39</v>
      </c>
      <c r="B334" t="s">
        <v>40</v>
      </c>
      <c r="C334">
        <v>20210101</v>
      </c>
      <c r="D334">
        <v>2021</v>
      </c>
      <c r="E334">
        <v>52</v>
      </c>
      <c r="F334" t="s">
        <v>333</v>
      </c>
      <c r="G334">
        <v>818</v>
      </c>
      <c r="H334" t="s">
        <v>293</v>
      </c>
      <c r="I334" t="s">
        <v>294</v>
      </c>
      <c r="J334" t="s">
        <v>44</v>
      </c>
      <c r="K334" t="s">
        <v>45</v>
      </c>
      <c r="L334">
        <v>0</v>
      </c>
      <c r="M334" t="s">
        <v>46</v>
      </c>
      <c r="N334" t="s">
        <v>47</v>
      </c>
      <c r="O334">
        <v>0</v>
      </c>
      <c r="P334" t="s">
        <v>46</v>
      </c>
      <c r="Q334" t="s">
        <v>47</v>
      </c>
      <c r="R334" t="s">
        <v>95</v>
      </c>
      <c r="S334" t="s">
        <v>49</v>
      </c>
      <c r="T334" t="b">
        <v>1</v>
      </c>
      <c r="U334" t="s">
        <v>50</v>
      </c>
      <c r="V334" t="s">
        <v>51</v>
      </c>
      <c r="W334">
        <v>4</v>
      </c>
      <c r="X334" t="b">
        <v>0</v>
      </c>
      <c r="Y334" t="s">
        <v>52</v>
      </c>
      <c r="Z334" t="s">
        <v>53</v>
      </c>
      <c r="AA334" t="s">
        <v>54</v>
      </c>
      <c r="AB334">
        <v>0</v>
      </c>
      <c r="AC334" t="s">
        <v>55</v>
      </c>
      <c r="AD334">
        <v>8</v>
      </c>
      <c r="AE334" t="s">
        <v>56</v>
      </c>
      <c r="AF334">
        <v>19760.995999999999</v>
      </c>
      <c r="AG334" t="b">
        <v>1</v>
      </c>
      <c r="AH334">
        <v>-1</v>
      </c>
      <c r="AI334" t="s">
        <v>64</v>
      </c>
      <c r="AJ334">
        <v>0</v>
      </c>
      <c r="AK334" t="b">
        <v>0</v>
      </c>
      <c r="AL334">
        <v>19760.995999999999</v>
      </c>
      <c r="AM334" t="b">
        <v>1</v>
      </c>
      <c r="AN334">
        <v>0</v>
      </c>
      <c r="AO334" t="b">
        <v>0</v>
      </c>
      <c r="AQ334">
        <v>1110229359.2479999</v>
      </c>
      <c r="AR334">
        <v>1110229359.2479999</v>
      </c>
      <c r="AS334">
        <v>6</v>
      </c>
      <c r="AT334" t="b">
        <v>0</v>
      </c>
      <c r="AU334" t="b">
        <v>1</v>
      </c>
      <c r="AV334" t="b">
        <v>1</v>
      </c>
      <c r="AW334" t="b">
        <v>1</v>
      </c>
      <c r="BC334" t="s">
        <v>374</v>
      </c>
    </row>
    <row r="335" spans="1:55" x14ac:dyDescent="0.2">
      <c r="A335" t="s">
        <v>39</v>
      </c>
      <c r="B335" t="s">
        <v>40</v>
      </c>
      <c r="C335">
        <v>20210101</v>
      </c>
      <c r="D335">
        <v>2021</v>
      </c>
      <c r="E335">
        <v>52</v>
      </c>
      <c r="F335" t="s">
        <v>333</v>
      </c>
      <c r="G335">
        <v>834</v>
      </c>
      <c r="H335" t="s">
        <v>297</v>
      </c>
      <c r="I335" t="s">
        <v>298</v>
      </c>
      <c r="J335" t="s">
        <v>44</v>
      </c>
      <c r="K335" t="s">
        <v>45</v>
      </c>
      <c r="L335">
        <v>0</v>
      </c>
      <c r="M335" t="s">
        <v>46</v>
      </c>
      <c r="N335" t="s">
        <v>47</v>
      </c>
      <c r="O335">
        <v>0</v>
      </c>
      <c r="P335" t="s">
        <v>46</v>
      </c>
      <c r="Q335" t="s">
        <v>47</v>
      </c>
      <c r="R335" t="s">
        <v>48</v>
      </c>
      <c r="S335" t="s">
        <v>49</v>
      </c>
      <c r="T335" t="b">
        <v>1</v>
      </c>
      <c r="U335" t="s">
        <v>50</v>
      </c>
      <c r="V335" t="s">
        <v>51</v>
      </c>
      <c r="W335">
        <v>4</v>
      </c>
      <c r="X335" t="b">
        <v>0</v>
      </c>
      <c r="Y335" t="s">
        <v>52</v>
      </c>
      <c r="Z335" t="s">
        <v>53</v>
      </c>
      <c r="AA335" t="s">
        <v>54</v>
      </c>
      <c r="AB335">
        <v>0</v>
      </c>
      <c r="AC335" t="s">
        <v>55</v>
      </c>
      <c r="AD335">
        <v>-1</v>
      </c>
      <c r="AE335" t="s">
        <v>64</v>
      </c>
      <c r="AF335">
        <v>0</v>
      </c>
      <c r="AG335" t="b">
        <v>0</v>
      </c>
      <c r="AH335">
        <v>15</v>
      </c>
      <c r="AI335" t="s">
        <v>59</v>
      </c>
      <c r="AJ335">
        <v>968202.68</v>
      </c>
      <c r="AK335" t="b">
        <v>0</v>
      </c>
      <c r="AL335">
        <v>0</v>
      </c>
      <c r="AM335" t="b">
        <v>0</v>
      </c>
      <c r="AN335">
        <v>0</v>
      </c>
      <c r="AO335" t="b">
        <v>0</v>
      </c>
      <c r="AP335">
        <v>0</v>
      </c>
      <c r="AQ335">
        <v>2743129698.5</v>
      </c>
      <c r="AR335">
        <v>2743129698.5</v>
      </c>
      <c r="AS335">
        <v>0</v>
      </c>
      <c r="AT335" t="b">
        <v>0</v>
      </c>
      <c r="AU335" t="b">
        <v>1</v>
      </c>
      <c r="AV335" t="b">
        <v>1</v>
      </c>
      <c r="AW335" t="b">
        <v>1</v>
      </c>
      <c r="BC335" t="s">
        <v>374</v>
      </c>
    </row>
    <row r="336" spans="1:55" x14ac:dyDescent="0.2">
      <c r="A336" t="s">
        <v>39</v>
      </c>
      <c r="B336" t="s">
        <v>40</v>
      </c>
      <c r="C336">
        <v>20210101</v>
      </c>
      <c r="D336">
        <v>2021</v>
      </c>
      <c r="E336">
        <v>52</v>
      </c>
      <c r="F336" t="s">
        <v>333</v>
      </c>
      <c r="G336">
        <v>858</v>
      </c>
      <c r="H336" t="s">
        <v>302</v>
      </c>
      <c r="I336" t="s">
        <v>303</v>
      </c>
      <c r="J336" t="s">
        <v>44</v>
      </c>
      <c r="K336" t="s">
        <v>45</v>
      </c>
      <c r="L336">
        <v>0</v>
      </c>
      <c r="M336" t="s">
        <v>46</v>
      </c>
      <c r="N336" t="s">
        <v>47</v>
      </c>
      <c r="O336">
        <v>0</v>
      </c>
      <c r="P336" t="s">
        <v>46</v>
      </c>
      <c r="Q336" t="s">
        <v>47</v>
      </c>
      <c r="R336" t="s">
        <v>48</v>
      </c>
      <c r="S336" t="s">
        <v>49</v>
      </c>
      <c r="T336" t="b">
        <v>1</v>
      </c>
      <c r="U336" t="s">
        <v>50</v>
      </c>
      <c r="V336" t="s">
        <v>51</v>
      </c>
      <c r="W336">
        <v>4</v>
      </c>
      <c r="X336" t="b">
        <v>0</v>
      </c>
      <c r="Y336" t="s">
        <v>52</v>
      </c>
      <c r="Z336" t="s">
        <v>53</v>
      </c>
      <c r="AA336" t="s">
        <v>54</v>
      </c>
      <c r="AB336">
        <v>0</v>
      </c>
      <c r="AC336" t="s">
        <v>55</v>
      </c>
      <c r="AD336">
        <v>8</v>
      </c>
      <c r="AE336" t="s">
        <v>56</v>
      </c>
      <c r="AF336">
        <v>2.2949999999999999</v>
      </c>
      <c r="AG336" t="b">
        <v>0</v>
      </c>
      <c r="AH336">
        <v>8</v>
      </c>
      <c r="AI336" t="s">
        <v>56</v>
      </c>
      <c r="AJ336">
        <v>2.2949999999999999</v>
      </c>
      <c r="AK336" t="b">
        <v>0</v>
      </c>
      <c r="AL336">
        <v>2.2949999999999999</v>
      </c>
      <c r="AM336" t="b">
        <v>0</v>
      </c>
      <c r="AN336">
        <v>0</v>
      </c>
      <c r="AO336" t="b">
        <v>0</v>
      </c>
      <c r="AQ336">
        <v>128480</v>
      </c>
      <c r="AR336">
        <v>128480</v>
      </c>
      <c r="AS336">
        <v>0</v>
      </c>
      <c r="AT336" t="b">
        <v>0</v>
      </c>
      <c r="AU336" t="b">
        <v>1</v>
      </c>
      <c r="AV336" t="b">
        <v>1</v>
      </c>
      <c r="AW336" t="b">
        <v>1</v>
      </c>
      <c r="BC336" t="s">
        <v>374</v>
      </c>
    </row>
    <row r="337" spans="1:55" x14ac:dyDescent="0.2">
      <c r="A337" t="s">
        <v>39</v>
      </c>
      <c r="B337" t="s">
        <v>40</v>
      </c>
      <c r="C337">
        <v>20210101</v>
      </c>
      <c r="D337">
        <v>2021</v>
      </c>
      <c r="E337">
        <v>52</v>
      </c>
      <c r="F337" t="s">
        <v>333</v>
      </c>
      <c r="G337">
        <v>894</v>
      </c>
      <c r="H337" t="s">
        <v>307</v>
      </c>
      <c r="I337" t="s">
        <v>308</v>
      </c>
      <c r="J337" t="s">
        <v>44</v>
      </c>
      <c r="K337" t="s">
        <v>45</v>
      </c>
      <c r="L337">
        <v>0</v>
      </c>
      <c r="M337" t="s">
        <v>46</v>
      </c>
      <c r="N337" t="s">
        <v>47</v>
      </c>
      <c r="O337">
        <v>0</v>
      </c>
      <c r="P337" t="s">
        <v>46</v>
      </c>
      <c r="Q337" t="s">
        <v>47</v>
      </c>
      <c r="R337" t="s">
        <v>48</v>
      </c>
      <c r="S337" t="s">
        <v>49</v>
      </c>
      <c r="T337" t="b">
        <v>1</v>
      </c>
      <c r="U337" t="s">
        <v>50</v>
      </c>
      <c r="V337" t="s">
        <v>51</v>
      </c>
      <c r="W337">
        <v>4</v>
      </c>
      <c r="X337" t="b">
        <v>0</v>
      </c>
      <c r="Y337" t="s">
        <v>52</v>
      </c>
      <c r="Z337" t="s">
        <v>53</v>
      </c>
      <c r="AA337" t="s">
        <v>54</v>
      </c>
      <c r="AB337">
        <v>0</v>
      </c>
      <c r="AC337" t="s">
        <v>55</v>
      </c>
      <c r="AD337">
        <v>-1</v>
      </c>
      <c r="AE337" t="s">
        <v>64</v>
      </c>
      <c r="AF337">
        <v>0</v>
      </c>
      <c r="AG337" t="b">
        <v>0</v>
      </c>
      <c r="AH337">
        <v>15</v>
      </c>
      <c r="AI337" t="s">
        <v>59</v>
      </c>
      <c r="AJ337">
        <v>74</v>
      </c>
      <c r="AK337" t="b">
        <v>0</v>
      </c>
      <c r="AL337">
        <v>1121.81</v>
      </c>
      <c r="AM337" t="b">
        <v>0</v>
      </c>
      <c r="AN337">
        <v>0</v>
      </c>
      <c r="AO337" t="b">
        <v>0</v>
      </c>
      <c r="AQ337">
        <v>64992330.476000004</v>
      </c>
      <c r="AR337">
        <v>64992330.476000004</v>
      </c>
      <c r="AS337">
        <v>0</v>
      </c>
      <c r="AT337" t="b">
        <v>0</v>
      </c>
      <c r="AU337" t="b">
        <v>1</v>
      </c>
      <c r="AV337" t="b">
        <v>1</v>
      </c>
      <c r="AW337" t="b">
        <v>1</v>
      </c>
      <c r="BC337" t="s">
        <v>374</v>
      </c>
    </row>
    <row r="338" spans="1:55" x14ac:dyDescent="0.2">
      <c r="A338" t="s">
        <v>39</v>
      </c>
      <c r="B338" t="s">
        <v>40</v>
      </c>
      <c r="C338">
        <v>20220101</v>
      </c>
      <c r="D338">
        <v>2022</v>
      </c>
      <c r="E338">
        <v>52</v>
      </c>
      <c r="F338" t="s">
        <v>346</v>
      </c>
      <c r="G338">
        <v>20</v>
      </c>
      <c r="H338" t="s">
        <v>42</v>
      </c>
      <c r="I338" t="s">
        <v>43</v>
      </c>
      <c r="J338" t="s">
        <v>44</v>
      </c>
      <c r="K338" t="s">
        <v>45</v>
      </c>
      <c r="L338">
        <v>0</v>
      </c>
      <c r="M338" t="s">
        <v>46</v>
      </c>
      <c r="N338" t="s">
        <v>47</v>
      </c>
      <c r="O338">
        <v>0</v>
      </c>
      <c r="P338" t="s">
        <v>46</v>
      </c>
      <c r="Q338" t="s">
        <v>47</v>
      </c>
      <c r="R338" t="s">
        <v>347</v>
      </c>
      <c r="S338" t="s">
        <v>49</v>
      </c>
      <c r="T338" t="b">
        <v>1</v>
      </c>
      <c r="U338" t="s">
        <v>50</v>
      </c>
      <c r="V338" t="s">
        <v>51</v>
      </c>
      <c r="W338">
        <v>4</v>
      </c>
      <c r="X338" t="b">
        <v>0</v>
      </c>
      <c r="Y338" t="s">
        <v>52</v>
      </c>
      <c r="Z338" t="s">
        <v>53</v>
      </c>
      <c r="AA338" t="s">
        <v>54</v>
      </c>
      <c r="AB338">
        <v>0</v>
      </c>
      <c r="AC338" t="s">
        <v>55</v>
      </c>
      <c r="AD338">
        <v>8</v>
      </c>
      <c r="AE338" t="s">
        <v>56</v>
      </c>
      <c r="AF338">
        <v>97.21</v>
      </c>
      <c r="AG338" t="b">
        <v>0</v>
      </c>
      <c r="AH338">
        <v>8</v>
      </c>
      <c r="AI338" t="s">
        <v>56</v>
      </c>
      <c r="AJ338">
        <v>97.21</v>
      </c>
      <c r="AK338" t="b">
        <v>0</v>
      </c>
      <c r="AL338">
        <v>97.21</v>
      </c>
      <c r="AM338" t="b">
        <v>0</v>
      </c>
      <c r="AN338">
        <v>0</v>
      </c>
      <c r="AO338" t="b">
        <v>0</v>
      </c>
      <c r="AQ338">
        <v>4988183.466</v>
      </c>
      <c r="AR338">
        <v>4988183.466</v>
      </c>
      <c r="AS338">
        <v>0</v>
      </c>
      <c r="AT338" t="b">
        <v>0</v>
      </c>
      <c r="AU338" t="b">
        <v>1</v>
      </c>
      <c r="AV338" t="b">
        <v>1</v>
      </c>
      <c r="AW338" t="b">
        <v>1</v>
      </c>
      <c r="BC338" t="s">
        <v>374</v>
      </c>
    </row>
    <row r="339" spans="1:55" x14ac:dyDescent="0.2">
      <c r="A339" t="s">
        <v>39</v>
      </c>
      <c r="B339" t="s">
        <v>40</v>
      </c>
      <c r="C339">
        <v>20220101</v>
      </c>
      <c r="D339">
        <v>2022</v>
      </c>
      <c r="E339">
        <v>52</v>
      </c>
      <c r="F339" t="s">
        <v>346</v>
      </c>
      <c r="G339">
        <v>24</v>
      </c>
      <c r="H339" t="s">
        <v>334</v>
      </c>
      <c r="I339" t="s">
        <v>335</v>
      </c>
      <c r="J339" t="s">
        <v>44</v>
      </c>
      <c r="K339" t="s">
        <v>45</v>
      </c>
      <c r="L339">
        <v>0</v>
      </c>
      <c r="M339" t="s">
        <v>46</v>
      </c>
      <c r="N339" t="s">
        <v>47</v>
      </c>
      <c r="O339">
        <v>0</v>
      </c>
      <c r="P339" t="s">
        <v>46</v>
      </c>
      <c r="Q339" t="s">
        <v>47</v>
      </c>
      <c r="R339" t="s">
        <v>48</v>
      </c>
      <c r="S339" t="s">
        <v>49</v>
      </c>
      <c r="T339" t="b">
        <v>1</v>
      </c>
      <c r="U339" t="s">
        <v>50</v>
      </c>
      <c r="V339" t="s">
        <v>51</v>
      </c>
      <c r="W339">
        <v>4</v>
      </c>
      <c r="X339" t="b">
        <v>0</v>
      </c>
      <c r="Y339" t="s">
        <v>52</v>
      </c>
      <c r="Z339" t="s">
        <v>53</v>
      </c>
      <c r="AA339" t="s">
        <v>54</v>
      </c>
      <c r="AB339">
        <v>0</v>
      </c>
      <c r="AC339" t="s">
        <v>55</v>
      </c>
      <c r="AD339">
        <v>-1</v>
      </c>
      <c r="AE339" t="s">
        <v>64</v>
      </c>
      <c r="AF339">
        <v>0</v>
      </c>
      <c r="AG339" t="b">
        <v>0</v>
      </c>
      <c r="AH339">
        <v>-1</v>
      </c>
      <c r="AI339" t="s">
        <v>64</v>
      </c>
      <c r="AJ339">
        <v>0</v>
      </c>
      <c r="AK339" t="b">
        <v>0</v>
      </c>
      <c r="AM339" t="b">
        <v>0</v>
      </c>
      <c r="AN339">
        <v>0</v>
      </c>
      <c r="AO339" t="b">
        <v>0</v>
      </c>
      <c r="AQ339">
        <v>5735824.5870000003</v>
      </c>
      <c r="AR339">
        <v>5735824.5870000003</v>
      </c>
      <c r="AS339">
        <v>0</v>
      </c>
      <c r="AT339" t="b">
        <v>0</v>
      </c>
      <c r="AU339" t="b">
        <v>1</v>
      </c>
      <c r="AV339" t="b">
        <v>1</v>
      </c>
      <c r="AW339" t="b">
        <v>1</v>
      </c>
      <c r="BC339" t="s">
        <v>374</v>
      </c>
    </row>
    <row r="340" spans="1:55" x14ac:dyDescent="0.2">
      <c r="A340" t="s">
        <v>39</v>
      </c>
      <c r="B340" t="s">
        <v>40</v>
      </c>
      <c r="C340">
        <v>20220101</v>
      </c>
      <c r="D340">
        <v>2022</v>
      </c>
      <c r="E340">
        <v>52</v>
      </c>
      <c r="F340" t="s">
        <v>346</v>
      </c>
      <c r="G340">
        <v>31</v>
      </c>
      <c r="H340" t="s">
        <v>57</v>
      </c>
      <c r="I340" t="s">
        <v>58</v>
      </c>
      <c r="J340" t="s">
        <v>44</v>
      </c>
      <c r="K340" t="s">
        <v>45</v>
      </c>
      <c r="L340">
        <v>0</v>
      </c>
      <c r="M340" t="s">
        <v>46</v>
      </c>
      <c r="N340" t="s">
        <v>47</v>
      </c>
      <c r="O340">
        <v>0</v>
      </c>
      <c r="P340" t="s">
        <v>46</v>
      </c>
      <c r="Q340" t="s">
        <v>47</v>
      </c>
      <c r="R340" t="s">
        <v>347</v>
      </c>
      <c r="S340" t="s">
        <v>49</v>
      </c>
      <c r="T340" t="b">
        <v>1</v>
      </c>
      <c r="U340" t="s">
        <v>50</v>
      </c>
      <c r="V340" t="s">
        <v>51</v>
      </c>
      <c r="W340">
        <v>4</v>
      </c>
      <c r="X340" t="b">
        <v>0</v>
      </c>
      <c r="Y340" t="s">
        <v>52</v>
      </c>
      <c r="Z340" t="s">
        <v>53</v>
      </c>
      <c r="AA340" t="s">
        <v>54</v>
      </c>
      <c r="AB340">
        <v>0</v>
      </c>
      <c r="AC340" t="s">
        <v>55</v>
      </c>
      <c r="AD340">
        <v>8</v>
      </c>
      <c r="AE340" t="s">
        <v>56</v>
      </c>
      <c r="AF340">
        <v>5489.05</v>
      </c>
      <c r="AG340" t="b">
        <v>0</v>
      </c>
      <c r="AH340">
        <v>15</v>
      </c>
      <c r="AI340" t="s">
        <v>59</v>
      </c>
      <c r="AJ340">
        <v>5489050</v>
      </c>
      <c r="AK340" t="b">
        <v>0</v>
      </c>
      <c r="AL340">
        <v>5489.05</v>
      </c>
      <c r="AM340" t="b">
        <v>0</v>
      </c>
      <c r="AN340">
        <v>0</v>
      </c>
      <c r="AO340" t="b">
        <v>0</v>
      </c>
      <c r="AQ340">
        <v>185624742.63999999</v>
      </c>
      <c r="AR340">
        <v>185624742.63999999</v>
      </c>
      <c r="AS340">
        <v>0</v>
      </c>
      <c r="AT340" t="b">
        <v>0</v>
      </c>
      <c r="AU340" t="b">
        <v>1</v>
      </c>
      <c r="AV340" t="b">
        <v>1</v>
      </c>
      <c r="AW340" t="b">
        <v>1</v>
      </c>
      <c r="BC340" t="s">
        <v>374</v>
      </c>
    </row>
    <row r="341" spans="1:55" x14ac:dyDescent="0.2">
      <c r="A341" t="s">
        <v>39</v>
      </c>
      <c r="B341" t="s">
        <v>40</v>
      </c>
      <c r="C341">
        <v>20220101</v>
      </c>
      <c r="D341">
        <v>2022</v>
      </c>
      <c r="E341">
        <v>52</v>
      </c>
      <c r="F341" t="s">
        <v>346</v>
      </c>
      <c r="G341">
        <v>36</v>
      </c>
      <c r="H341" t="s">
        <v>62</v>
      </c>
      <c r="I341" t="s">
        <v>63</v>
      </c>
      <c r="J341" t="s">
        <v>44</v>
      </c>
      <c r="K341" t="s">
        <v>45</v>
      </c>
      <c r="L341">
        <v>0</v>
      </c>
      <c r="M341" t="s">
        <v>46</v>
      </c>
      <c r="N341" t="s">
        <v>47</v>
      </c>
      <c r="O341">
        <v>0</v>
      </c>
      <c r="P341" t="s">
        <v>46</v>
      </c>
      <c r="Q341" t="s">
        <v>47</v>
      </c>
      <c r="R341" t="s">
        <v>347</v>
      </c>
      <c r="S341" t="s">
        <v>49</v>
      </c>
      <c r="T341" t="b">
        <v>1</v>
      </c>
      <c r="U341" t="s">
        <v>50</v>
      </c>
      <c r="V341" t="s">
        <v>51</v>
      </c>
      <c r="W341">
        <v>4</v>
      </c>
      <c r="X341" t="b">
        <v>0</v>
      </c>
      <c r="Y341" t="s">
        <v>52</v>
      </c>
      <c r="Z341" t="s">
        <v>53</v>
      </c>
      <c r="AA341" t="s">
        <v>54</v>
      </c>
      <c r="AB341">
        <v>0</v>
      </c>
      <c r="AC341" t="s">
        <v>55</v>
      </c>
      <c r="AD341">
        <v>-1</v>
      </c>
      <c r="AE341" t="s">
        <v>64</v>
      </c>
      <c r="AF341">
        <v>0</v>
      </c>
      <c r="AG341" t="b">
        <v>0</v>
      </c>
      <c r="AH341">
        <v>-1</v>
      </c>
      <c r="AI341" t="s">
        <v>64</v>
      </c>
      <c r="AJ341">
        <v>0</v>
      </c>
      <c r="AK341" t="b">
        <v>0</v>
      </c>
      <c r="AM341" t="b">
        <v>0</v>
      </c>
      <c r="AN341">
        <v>404024.74300000002</v>
      </c>
      <c r="AO341" t="b">
        <v>0</v>
      </c>
      <c r="AQ341">
        <v>16305297662.559999</v>
      </c>
      <c r="AR341">
        <v>16305297662.559999</v>
      </c>
      <c r="AS341">
        <v>0</v>
      </c>
      <c r="AT341" t="b">
        <v>0</v>
      </c>
      <c r="AU341" t="b">
        <v>1</v>
      </c>
      <c r="AV341" t="b">
        <v>1</v>
      </c>
      <c r="AW341" t="b">
        <v>1</v>
      </c>
      <c r="BC341" t="s">
        <v>374</v>
      </c>
    </row>
    <row r="342" spans="1:55" x14ac:dyDescent="0.2">
      <c r="A342" t="s">
        <v>39</v>
      </c>
      <c r="B342" t="s">
        <v>40</v>
      </c>
      <c r="C342">
        <v>20220101</v>
      </c>
      <c r="D342">
        <v>2022</v>
      </c>
      <c r="E342">
        <v>52</v>
      </c>
      <c r="F342" t="s">
        <v>346</v>
      </c>
      <c r="G342">
        <v>40</v>
      </c>
      <c r="H342" t="s">
        <v>65</v>
      </c>
      <c r="I342" t="s">
        <v>66</v>
      </c>
      <c r="J342" t="s">
        <v>44</v>
      </c>
      <c r="K342" t="s">
        <v>45</v>
      </c>
      <c r="L342">
        <v>0</v>
      </c>
      <c r="M342" t="s">
        <v>46</v>
      </c>
      <c r="N342" t="s">
        <v>47</v>
      </c>
      <c r="O342">
        <v>0</v>
      </c>
      <c r="P342" t="s">
        <v>46</v>
      </c>
      <c r="Q342" t="s">
        <v>47</v>
      </c>
      <c r="R342" t="s">
        <v>347</v>
      </c>
      <c r="S342" t="s">
        <v>49</v>
      </c>
      <c r="T342" t="b">
        <v>1</v>
      </c>
      <c r="U342" t="s">
        <v>50</v>
      </c>
      <c r="V342" t="s">
        <v>51</v>
      </c>
      <c r="W342">
        <v>4</v>
      </c>
      <c r="X342" t="b">
        <v>0</v>
      </c>
      <c r="Y342" t="s">
        <v>52</v>
      </c>
      <c r="Z342" t="s">
        <v>53</v>
      </c>
      <c r="AA342" t="s">
        <v>54</v>
      </c>
      <c r="AB342">
        <v>0</v>
      </c>
      <c r="AC342" t="s">
        <v>55</v>
      </c>
      <c r="AD342">
        <v>8</v>
      </c>
      <c r="AE342" t="s">
        <v>56</v>
      </c>
      <c r="AF342">
        <v>45391.247000000003</v>
      </c>
      <c r="AG342" t="b">
        <v>1</v>
      </c>
      <c r="AH342">
        <v>-1</v>
      </c>
      <c r="AI342" t="s">
        <v>64</v>
      </c>
      <c r="AJ342">
        <v>0</v>
      </c>
      <c r="AK342" t="b">
        <v>0</v>
      </c>
      <c r="AL342">
        <v>45391.247000000003</v>
      </c>
      <c r="AM342" t="b">
        <v>1</v>
      </c>
      <c r="AN342">
        <v>0</v>
      </c>
      <c r="AO342" t="b">
        <v>0</v>
      </c>
      <c r="AQ342">
        <v>2589282752.0760002</v>
      </c>
      <c r="AR342">
        <v>2589282752.0760002</v>
      </c>
      <c r="AS342">
        <v>6</v>
      </c>
      <c r="AT342" t="b">
        <v>0</v>
      </c>
      <c r="AU342" t="b">
        <v>1</v>
      </c>
      <c r="AV342" t="b">
        <v>1</v>
      </c>
      <c r="AW342" t="b">
        <v>1</v>
      </c>
      <c r="BC342" t="s">
        <v>374</v>
      </c>
    </row>
    <row r="343" spans="1:55" x14ac:dyDescent="0.2">
      <c r="A343" t="s">
        <v>39</v>
      </c>
      <c r="B343" t="s">
        <v>40</v>
      </c>
      <c r="C343">
        <v>20220101</v>
      </c>
      <c r="D343">
        <v>2022</v>
      </c>
      <c r="E343">
        <v>52</v>
      </c>
      <c r="F343" t="s">
        <v>346</v>
      </c>
      <c r="G343">
        <v>44</v>
      </c>
      <c r="H343" t="s">
        <v>348</v>
      </c>
      <c r="I343" t="s">
        <v>349</v>
      </c>
      <c r="J343" t="s">
        <v>44</v>
      </c>
      <c r="K343" t="s">
        <v>45</v>
      </c>
      <c r="L343">
        <v>0</v>
      </c>
      <c r="M343" t="s">
        <v>46</v>
      </c>
      <c r="N343" t="s">
        <v>47</v>
      </c>
      <c r="O343">
        <v>0</v>
      </c>
      <c r="P343" t="s">
        <v>46</v>
      </c>
      <c r="Q343" t="s">
        <v>47</v>
      </c>
      <c r="R343" t="s">
        <v>48</v>
      </c>
      <c r="S343" t="s">
        <v>49</v>
      </c>
      <c r="T343" t="b">
        <v>1</v>
      </c>
      <c r="U343" t="s">
        <v>50</v>
      </c>
      <c r="V343" t="s">
        <v>51</v>
      </c>
      <c r="W343">
        <v>4</v>
      </c>
      <c r="X343" t="b">
        <v>0</v>
      </c>
      <c r="Y343" t="s">
        <v>52</v>
      </c>
      <c r="Z343" t="s">
        <v>53</v>
      </c>
      <c r="AA343" t="s">
        <v>54</v>
      </c>
      <c r="AB343">
        <v>0</v>
      </c>
      <c r="AC343" t="s">
        <v>55</v>
      </c>
      <c r="AD343">
        <v>8</v>
      </c>
      <c r="AE343" t="s">
        <v>56</v>
      </c>
      <c r="AF343">
        <v>2.2679999999999998</v>
      </c>
      <c r="AG343" t="b">
        <v>0</v>
      </c>
      <c r="AH343">
        <v>8</v>
      </c>
      <c r="AI343" t="s">
        <v>56</v>
      </c>
      <c r="AJ343">
        <v>2.2679999999999998</v>
      </c>
      <c r="AK343" t="b">
        <v>0</v>
      </c>
      <c r="AL343">
        <v>2.2679999999999998</v>
      </c>
      <c r="AM343" t="b">
        <v>0</v>
      </c>
      <c r="AN343">
        <v>0</v>
      </c>
      <c r="AO343" t="b">
        <v>0</v>
      </c>
      <c r="AQ343">
        <v>8514</v>
      </c>
      <c r="AR343">
        <v>8514</v>
      </c>
      <c r="AS343">
        <v>0</v>
      </c>
      <c r="AT343" t="b">
        <v>0</v>
      </c>
      <c r="AU343" t="b">
        <v>1</v>
      </c>
      <c r="AV343" t="b">
        <v>1</v>
      </c>
      <c r="AW343" t="b">
        <v>1</v>
      </c>
      <c r="BC343" t="s">
        <v>374</v>
      </c>
    </row>
    <row r="344" spans="1:55" x14ac:dyDescent="0.2">
      <c r="A344" t="s">
        <v>39</v>
      </c>
      <c r="B344" t="s">
        <v>40</v>
      </c>
      <c r="C344">
        <v>20220101</v>
      </c>
      <c r="D344">
        <v>2022</v>
      </c>
      <c r="E344">
        <v>52</v>
      </c>
      <c r="F344" t="s">
        <v>346</v>
      </c>
      <c r="G344">
        <v>48</v>
      </c>
      <c r="H344" t="s">
        <v>67</v>
      </c>
      <c r="I344" t="s">
        <v>68</v>
      </c>
      <c r="J344" t="s">
        <v>44</v>
      </c>
      <c r="K344" t="s">
        <v>45</v>
      </c>
      <c r="L344">
        <v>0</v>
      </c>
      <c r="M344" t="s">
        <v>46</v>
      </c>
      <c r="N344" t="s">
        <v>47</v>
      </c>
      <c r="O344">
        <v>0</v>
      </c>
      <c r="P344" t="s">
        <v>46</v>
      </c>
      <c r="Q344" t="s">
        <v>47</v>
      </c>
      <c r="R344" t="s">
        <v>347</v>
      </c>
      <c r="S344" t="s">
        <v>49</v>
      </c>
      <c r="T344" t="b">
        <v>1</v>
      </c>
      <c r="U344" t="s">
        <v>50</v>
      </c>
      <c r="V344" t="s">
        <v>51</v>
      </c>
      <c r="W344">
        <v>4</v>
      </c>
      <c r="X344" t="b">
        <v>0</v>
      </c>
      <c r="Y344" t="s">
        <v>52</v>
      </c>
      <c r="Z344" t="s">
        <v>53</v>
      </c>
      <c r="AA344" t="s">
        <v>54</v>
      </c>
      <c r="AB344">
        <v>0</v>
      </c>
      <c r="AC344" t="s">
        <v>55</v>
      </c>
      <c r="AD344">
        <v>8</v>
      </c>
      <c r="AE344" t="s">
        <v>56</v>
      </c>
      <c r="AF344">
        <v>1606.7629999999999</v>
      </c>
      <c r="AG344" t="b">
        <v>0</v>
      </c>
      <c r="AH344">
        <v>15</v>
      </c>
      <c r="AI344" t="s">
        <v>59</v>
      </c>
      <c r="AJ344">
        <v>1606762.64</v>
      </c>
      <c r="AK344" t="b">
        <v>0</v>
      </c>
      <c r="AL344">
        <v>1606.17</v>
      </c>
      <c r="AM344" t="b">
        <v>0</v>
      </c>
      <c r="AN344">
        <v>0</v>
      </c>
      <c r="AO344" t="b">
        <v>0</v>
      </c>
      <c r="AQ344">
        <v>90480664.777999997</v>
      </c>
      <c r="AR344">
        <v>90480664.777999997</v>
      </c>
      <c r="AS344">
        <v>0</v>
      </c>
      <c r="AT344" t="b">
        <v>0</v>
      </c>
      <c r="AU344" t="b">
        <v>1</v>
      </c>
      <c r="AV344" t="b">
        <v>1</v>
      </c>
      <c r="AW344" t="b">
        <v>1</v>
      </c>
      <c r="BC344" t="s">
        <v>374</v>
      </c>
    </row>
    <row r="345" spans="1:55" x14ac:dyDescent="0.2">
      <c r="A345" t="s">
        <v>39</v>
      </c>
      <c r="B345" t="s">
        <v>40</v>
      </c>
      <c r="C345">
        <v>20220101</v>
      </c>
      <c r="D345">
        <v>2022</v>
      </c>
      <c r="E345">
        <v>52</v>
      </c>
      <c r="F345" t="s">
        <v>346</v>
      </c>
      <c r="G345">
        <v>51</v>
      </c>
      <c r="H345" t="s">
        <v>69</v>
      </c>
      <c r="I345" t="s">
        <v>70</v>
      </c>
      <c r="J345" t="s">
        <v>44</v>
      </c>
      <c r="K345" t="s">
        <v>45</v>
      </c>
      <c r="L345">
        <v>0</v>
      </c>
      <c r="M345" t="s">
        <v>46</v>
      </c>
      <c r="N345" t="s">
        <v>47</v>
      </c>
      <c r="O345">
        <v>0</v>
      </c>
      <c r="P345" t="s">
        <v>46</v>
      </c>
      <c r="Q345" t="s">
        <v>47</v>
      </c>
      <c r="R345" t="s">
        <v>347</v>
      </c>
      <c r="S345" t="s">
        <v>49</v>
      </c>
      <c r="T345" t="b">
        <v>1</v>
      </c>
      <c r="U345" t="s">
        <v>50</v>
      </c>
      <c r="V345" t="s">
        <v>51</v>
      </c>
      <c r="W345">
        <v>4</v>
      </c>
      <c r="X345" t="b">
        <v>0</v>
      </c>
      <c r="Y345" t="s">
        <v>52</v>
      </c>
      <c r="Z345" t="s">
        <v>53</v>
      </c>
      <c r="AA345" t="s">
        <v>54</v>
      </c>
      <c r="AB345">
        <v>0</v>
      </c>
      <c r="AC345" t="s">
        <v>55</v>
      </c>
      <c r="AD345">
        <v>8</v>
      </c>
      <c r="AE345" t="s">
        <v>56</v>
      </c>
      <c r="AF345">
        <v>8979.59</v>
      </c>
      <c r="AG345" t="b">
        <v>0</v>
      </c>
      <c r="AH345">
        <v>15</v>
      </c>
      <c r="AI345" t="s">
        <v>59</v>
      </c>
      <c r="AJ345">
        <v>8979589.7599999998</v>
      </c>
      <c r="AK345" t="b">
        <v>0</v>
      </c>
      <c r="AL345">
        <v>9184.4570000000003</v>
      </c>
      <c r="AM345" t="b">
        <v>0</v>
      </c>
      <c r="AN345">
        <v>0</v>
      </c>
      <c r="AO345" t="b">
        <v>0</v>
      </c>
      <c r="AQ345">
        <v>414205978.31</v>
      </c>
      <c r="AR345">
        <v>414205978.31</v>
      </c>
      <c r="AS345">
        <v>0</v>
      </c>
      <c r="AT345" t="b">
        <v>0</v>
      </c>
      <c r="AU345" t="b">
        <v>1</v>
      </c>
      <c r="AV345" t="b">
        <v>1</v>
      </c>
      <c r="AW345" t="b">
        <v>1</v>
      </c>
      <c r="BC345" t="s">
        <v>374</v>
      </c>
    </row>
    <row r="346" spans="1:55" x14ac:dyDescent="0.2">
      <c r="A346" t="s">
        <v>39</v>
      </c>
      <c r="B346" t="s">
        <v>40</v>
      </c>
      <c r="C346">
        <v>20220101</v>
      </c>
      <c r="D346">
        <v>2022</v>
      </c>
      <c r="E346">
        <v>52</v>
      </c>
      <c r="F346" t="s">
        <v>346</v>
      </c>
      <c r="G346">
        <v>52</v>
      </c>
      <c r="H346" t="s">
        <v>71</v>
      </c>
      <c r="I346" t="s">
        <v>72</v>
      </c>
      <c r="J346" t="s">
        <v>44</v>
      </c>
      <c r="K346" t="s">
        <v>45</v>
      </c>
      <c r="L346">
        <v>0</v>
      </c>
      <c r="M346" t="s">
        <v>46</v>
      </c>
      <c r="N346" t="s">
        <v>47</v>
      </c>
      <c r="O346">
        <v>0</v>
      </c>
      <c r="P346" t="s">
        <v>46</v>
      </c>
      <c r="Q346" t="s">
        <v>47</v>
      </c>
      <c r="R346" t="s">
        <v>48</v>
      </c>
      <c r="S346" t="s">
        <v>49</v>
      </c>
      <c r="T346" t="b">
        <v>1</v>
      </c>
      <c r="U346" t="s">
        <v>50</v>
      </c>
      <c r="V346" t="s">
        <v>51</v>
      </c>
      <c r="W346">
        <v>4</v>
      </c>
      <c r="X346" t="b">
        <v>0</v>
      </c>
      <c r="Y346" t="s">
        <v>52</v>
      </c>
      <c r="Z346" t="s">
        <v>53</v>
      </c>
      <c r="AA346" t="s">
        <v>54</v>
      </c>
      <c r="AB346">
        <v>0</v>
      </c>
      <c r="AC346" t="s">
        <v>55</v>
      </c>
      <c r="AD346">
        <v>8</v>
      </c>
      <c r="AE346" t="s">
        <v>56</v>
      </c>
      <c r="AF346">
        <v>23</v>
      </c>
      <c r="AG346" t="b">
        <v>0</v>
      </c>
      <c r="AH346">
        <v>8</v>
      </c>
      <c r="AI346" t="s">
        <v>56</v>
      </c>
      <c r="AJ346">
        <v>23</v>
      </c>
      <c r="AK346" t="b">
        <v>0</v>
      </c>
      <c r="AL346">
        <v>23</v>
      </c>
      <c r="AM346" t="b">
        <v>0</v>
      </c>
      <c r="AN346">
        <v>0</v>
      </c>
      <c r="AO346" t="b">
        <v>0</v>
      </c>
      <c r="AQ346">
        <v>636401.5</v>
      </c>
      <c r="AR346">
        <v>636401.5</v>
      </c>
      <c r="AS346">
        <v>0</v>
      </c>
      <c r="AT346" t="b">
        <v>0</v>
      </c>
      <c r="AU346" t="b">
        <v>1</v>
      </c>
      <c r="AV346" t="b">
        <v>1</v>
      </c>
      <c r="AW346" t="b">
        <v>1</v>
      </c>
      <c r="BC346" t="s">
        <v>374</v>
      </c>
    </row>
    <row r="347" spans="1:55" x14ac:dyDescent="0.2">
      <c r="A347" t="s">
        <v>39</v>
      </c>
      <c r="B347" t="s">
        <v>40</v>
      </c>
      <c r="C347">
        <v>20220101</v>
      </c>
      <c r="D347">
        <v>2022</v>
      </c>
      <c r="E347">
        <v>52</v>
      </c>
      <c r="F347" t="s">
        <v>346</v>
      </c>
      <c r="G347">
        <v>56</v>
      </c>
      <c r="H347" t="s">
        <v>73</v>
      </c>
      <c r="I347" t="s">
        <v>74</v>
      </c>
      <c r="J347" t="s">
        <v>44</v>
      </c>
      <c r="K347" t="s">
        <v>45</v>
      </c>
      <c r="L347">
        <v>0</v>
      </c>
      <c r="M347" t="s">
        <v>46</v>
      </c>
      <c r="N347" t="s">
        <v>47</v>
      </c>
      <c r="O347">
        <v>0</v>
      </c>
      <c r="P347" t="s">
        <v>46</v>
      </c>
      <c r="Q347" t="s">
        <v>47</v>
      </c>
      <c r="R347" t="s">
        <v>347</v>
      </c>
      <c r="S347" t="s">
        <v>49</v>
      </c>
      <c r="T347" t="b">
        <v>1</v>
      </c>
      <c r="U347" t="s">
        <v>50</v>
      </c>
      <c r="V347" t="s">
        <v>51</v>
      </c>
      <c r="W347">
        <v>4</v>
      </c>
      <c r="X347" t="b">
        <v>0</v>
      </c>
      <c r="Y347" t="s">
        <v>52</v>
      </c>
      <c r="Z347" t="s">
        <v>53</v>
      </c>
      <c r="AA347" t="s">
        <v>54</v>
      </c>
      <c r="AB347">
        <v>0</v>
      </c>
      <c r="AC347" t="s">
        <v>55</v>
      </c>
      <c r="AD347">
        <v>-1</v>
      </c>
      <c r="AE347" t="s">
        <v>64</v>
      </c>
      <c r="AF347">
        <v>0</v>
      </c>
      <c r="AG347" t="b">
        <v>0</v>
      </c>
      <c r="AH347">
        <v>-1</v>
      </c>
      <c r="AI347" t="s">
        <v>64</v>
      </c>
      <c r="AJ347">
        <v>0</v>
      </c>
      <c r="AK347" t="b">
        <v>0</v>
      </c>
      <c r="AM347" t="b">
        <v>0</v>
      </c>
      <c r="AN347">
        <v>0</v>
      </c>
      <c r="AO347" t="b">
        <v>0</v>
      </c>
      <c r="AQ347">
        <v>1230529762.2679999</v>
      </c>
      <c r="AR347">
        <v>1230529762.2679999</v>
      </c>
      <c r="AS347">
        <v>0</v>
      </c>
      <c r="AT347" t="b">
        <v>0</v>
      </c>
      <c r="AU347" t="b">
        <v>1</v>
      </c>
      <c r="AV347" t="b">
        <v>1</v>
      </c>
      <c r="AW347" t="b">
        <v>1</v>
      </c>
      <c r="BC347" t="s">
        <v>374</v>
      </c>
    </row>
    <row r="348" spans="1:55" x14ac:dyDescent="0.2">
      <c r="A348" t="s">
        <v>39</v>
      </c>
      <c r="B348" t="s">
        <v>40</v>
      </c>
      <c r="C348">
        <v>20220101</v>
      </c>
      <c r="D348">
        <v>2022</v>
      </c>
      <c r="E348">
        <v>52</v>
      </c>
      <c r="F348" t="s">
        <v>346</v>
      </c>
      <c r="G348">
        <v>68</v>
      </c>
      <c r="H348" t="s">
        <v>75</v>
      </c>
      <c r="I348" t="s">
        <v>76</v>
      </c>
      <c r="J348" t="s">
        <v>44</v>
      </c>
      <c r="K348" t="s">
        <v>45</v>
      </c>
      <c r="L348">
        <v>0</v>
      </c>
      <c r="M348" t="s">
        <v>46</v>
      </c>
      <c r="N348" t="s">
        <v>47</v>
      </c>
      <c r="O348">
        <v>0</v>
      </c>
      <c r="P348" t="s">
        <v>46</v>
      </c>
      <c r="Q348" t="s">
        <v>47</v>
      </c>
      <c r="R348" t="s">
        <v>347</v>
      </c>
      <c r="S348" t="s">
        <v>49</v>
      </c>
      <c r="T348" t="b">
        <v>1</v>
      </c>
      <c r="U348" t="s">
        <v>50</v>
      </c>
      <c r="V348" t="s">
        <v>51</v>
      </c>
      <c r="W348">
        <v>4</v>
      </c>
      <c r="X348" t="b">
        <v>0</v>
      </c>
      <c r="Y348" t="s">
        <v>52</v>
      </c>
      <c r="Z348" t="s">
        <v>53</v>
      </c>
      <c r="AA348" t="s">
        <v>54</v>
      </c>
      <c r="AB348">
        <v>0</v>
      </c>
      <c r="AC348" t="s">
        <v>55</v>
      </c>
      <c r="AD348">
        <v>8</v>
      </c>
      <c r="AE348" t="s">
        <v>56</v>
      </c>
      <c r="AF348">
        <v>64434.07</v>
      </c>
      <c r="AG348" t="b">
        <v>0</v>
      </c>
      <c r="AH348">
        <v>8</v>
      </c>
      <c r="AI348" t="s">
        <v>56</v>
      </c>
      <c r="AJ348">
        <v>64434.07</v>
      </c>
      <c r="AK348" t="b">
        <v>0</v>
      </c>
      <c r="AL348">
        <v>64434.07</v>
      </c>
      <c r="AM348" t="b">
        <v>0</v>
      </c>
      <c r="AN348">
        <v>69320.03</v>
      </c>
      <c r="AO348" t="b">
        <v>0</v>
      </c>
      <c r="AQ348">
        <v>3003218538.8099999</v>
      </c>
      <c r="AR348">
        <v>3003218538.8099999</v>
      </c>
      <c r="AS348">
        <v>0</v>
      </c>
      <c r="AT348" t="b">
        <v>0</v>
      </c>
      <c r="AU348" t="b">
        <v>1</v>
      </c>
      <c r="AV348" t="b">
        <v>1</v>
      </c>
      <c r="AW348" t="b">
        <v>1</v>
      </c>
      <c r="BC348" t="s">
        <v>374</v>
      </c>
    </row>
    <row r="349" spans="1:55" x14ac:dyDescent="0.2">
      <c r="A349" t="s">
        <v>39</v>
      </c>
      <c r="B349" t="s">
        <v>40</v>
      </c>
      <c r="C349">
        <v>20220101</v>
      </c>
      <c r="D349">
        <v>2022</v>
      </c>
      <c r="E349">
        <v>52</v>
      </c>
      <c r="F349" t="s">
        <v>346</v>
      </c>
      <c r="G349">
        <v>70</v>
      </c>
      <c r="H349" t="s">
        <v>77</v>
      </c>
      <c r="I349" t="s">
        <v>78</v>
      </c>
      <c r="J349" t="s">
        <v>44</v>
      </c>
      <c r="K349" t="s">
        <v>45</v>
      </c>
      <c r="L349">
        <v>0</v>
      </c>
      <c r="M349" t="s">
        <v>46</v>
      </c>
      <c r="N349" t="s">
        <v>47</v>
      </c>
      <c r="O349">
        <v>0</v>
      </c>
      <c r="P349" t="s">
        <v>46</v>
      </c>
      <c r="Q349" t="s">
        <v>47</v>
      </c>
      <c r="R349" t="s">
        <v>347</v>
      </c>
      <c r="S349" t="s">
        <v>49</v>
      </c>
      <c r="T349" t="b">
        <v>1</v>
      </c>
      <c r="U349" t="s">
        <v>50</v>
      </c>
      <c r="V349" t="s">
        <v>51</v>
      </c>
      <c r="W349">
        <v>4</v>
      </c>
      <c r="X349" t="b">
        <v>0</v>
      </c>
      <c r="Y349" t="s">
        <v>52</v>
      </c>
      <c r="Z349" t="s">
        <v>53</v>
      </c>
      <c r="AA349" t="s">
        <v>54</v>
      </c>
      <c r="AB349">
        <v>0</v>
      </c>
      <c r="AC349" t="s">
        <v>55</v>
      </c>
      <c r="AD349">
        <v>8</v>
      </c>
      <c r="AE349" t="s">
        <v>56</v>
      </c>
      <c r="AF349">
        <v>19.07</v>
      </c>
      <c r="AG349" t="b">
        <v>0</v>
      </c>
      <c r="AH349">
        <v>8</v>
      </c>
      <c r="AI349" t="s">
        <v>56</v>
      </c>
      <c r="AJ349">
        <v>19.07</v>
      </c>
      <c r="AK349" t="b">
        <v>0</v>
      </c>
      <c r="AL349">
        <v>19.07</v>
      </c>
      <c r="AM349" t="b">
        <v>0</v>
      </c>
      <c r="AN349">
        <v>0</v>
      </c>
      <c r="AO349" t="b">
        <v>0</v>
      </c>
      <c r="AQ349">
        <v>646068.91</v>
      </c>
      <c r="AR349">
        <v>646068.91</v>
      </c>
      <c r="AS349">
        <v>0</v>
      </c>
      <c r="AT349" t="b">
        <v>0</v>
      </c>
      <c r="AU349" t="b">
        <v>1</v>
      </c>
      <c r="AV349" t="b">
        <v>1</v>
      </c>
      <c r="AW349" t="b">
        <v>1</v>
      </c>
      <c r="BC349" t="s">
        <v>374</v>
      </c>
    </row>
    <row r="350" spans="1:55" x14ac:dyDescent="0.2">
      <c r="A350" t="s">
        <v>39</v>
      </c>
      <c r="B350" t="s">
        <v>40</v>
      </c>
      <c r="C350">
        <v>20220101</v>
      </c>
      <c r="D350">
        <v>2022</v>
      </c>
      <c r="E350">
        <v>52</v>
      </c>
      <c r="F350" t="s">
        <v>346</v>
      </c>
      <c r="G350">
        <v>72</v>
      </c>
      <c r="H350" t="s">
        <v>79</v>
      </c>
      <c r="I350" t="s">
        <v>80</v>
      </c>
      <c r="J350" t="s">
        <v>44</v>
      </c>
      <c r="K350" t="s">
        <v>45</v>
      </c>
      <c r="L350">
        <v>0</v>
      </c>
      <c r="M350" t="s">
        <v>46</v>
      </c>
      <c r="N350" t="s">
        <v>47</v>
      </c>
      <c r="O350">
        <v>0</v>
      </c>
      <c r="P350" t="s">
        <v>46</v>
      </c>
      <c r="Q350" t="s">
        <v>47</v>
      </c>
      <c r="R350" t="s">
        <v>347</v>
      </c>
      <c r="S350" t="s">
        <v>49</v>
      </c>
      <c r="T350" t="b">
        <v>1</v>
      </c>
      <c r="U350" t="s">
        <v>50</v>
      </c>
      <c r="V350" t="s">
        <v>51</v>
      </c>
      <c r="W350">
        <v>4</v>
      </c>
      <c r="X350" t="b">
        <v>0</v>
      </c>
      <c r="Y350" t="s">
        <v>52</v>
      </c>
      <c r="Z350" t="s">
        <v>53</v>
      </c>
      <c r="AA350" t="s">
        <v>54</v>
      </c>
      <c r="AB350">
        <v>0</v>
      </c>
      <c r="AC350" t="s">
        <v>55</v>
      </c>
      <c r="AD350">
        <v>-1</v>
      </c>
      <c r="AE350" t="s">
        <v>64</v>
      </c>
      <c r="AF350">
        <v>0</v>
      </c>
      <c r="AG350" t="b">
        <v>0</v>
      </c>
      <c r="AH350">
        <v>-1</v>
      </c>
      <c r="AI350" t="s">
        <v>64</v>
      </c>
      <c r="AJ350">
        <v>0</v>
      </c>
      <c r="AK350" t="b">
        <v>0</v>
      </c>
      <c r="AM350" t="b">
        <v>0</v>
      </c>
      <c r="AN350">
        <v>0</v>
      </c>
      <c r="AO350" t="b">
        <v>0</v>
      </c>
      <c r="AQ350">
        <v>25589524.434</v>
      </c>
      <c r="AR350">
        <v>25589524.434</v>
      </c>
      <c r="AS350">
        <v>0</v>
      </c>
      <c r="AT350" t="b">
        <v>0</v>
      </c>
      <c r="AU350" t="b">
        <v>1</v>
      </c>
      <c r="AV350" t="b">
        <v>1</v>
      </c>
      <c r="AW350" t="b">
        <v>1</v>
      </c>
      <c r="BC350" t="s">
        <v>374</v>
      </c>
    </row>
    <row r="351" spans="1:55" x14ac:dyDescent="0.2">
      <c r="A351" t="s">
        <v>39</v>
      </c>
      <c r="B351" t="s">
        <v>40</v>
      </c>
      <c r="C351">
        <v>20220101</v>
      </c>
      <c r="D351">
        <v>2022</v>
      </c>
      <c r="E351">
        <v>52</v>
      </c>
      <c r="F351" t="s">
        <v>346</v>
      </c>
      <c r="G351">
        <v>76</v>
      </c>
      <c r="H351" t="s">
        <v>81</v>
      </c>
      <c r="I351" t="s">
        <v>82</v>
      </c>
      <c r="J351" t="s">
        <v>44</v>
      </c>
      <c r="K351" t="s">
        <v>45</v>
      </c>
      <c r="L351">
        <v>0</v>
      </c>
      <c r="M351" t="s">
        <v>46</v>
      </c>
      <c r="N351" t="s">
        <v>47</v>
      </c>
      <c r="O351">
        <v>0</v>
      </c>
      <c r="P351" t="s">
        <v>46</v>
      </c>
      <c r="Q351" t="s">
        <v>47</v>
      </c>
      <c r="R351" t="s">
        <v>347</v>
      </c>
      <c r="S351" t="s">
        <v>49</v>
      </c>
      <c r="T351" t="b">
        <v>1</v>
      </c>
      <c r="U351" t="s">
        <v>50</v>
      </c>
      <c r="V351" t="s">
        <v>51</v>
      </c>
      <c r="W351">
        <v>4</v>
      </c>
      <c r="X351" t="b">
        <v>0</v>
      </c>
      <c r="Y351" t="s">
        <v>52</v>
      </c>
      <c r="Z351" t="s">
        <v>53</v>
      </c>
      <c r="AA351" t="s">
        <v>54</v>
      </c>
      <c r="AB351">
        <v>0</v>
      </c>
      <c r="AC351" t="s">
        <v>55</v>
      </c>
      <c r="AD351">
        <v>-1</v>
      </c>
      <c r="AE351" t="s">
        <v>64</v>
      </c>
      <c r="AF351">
        <v>0</v>
      </c>
      <c r="AG351" t="b">
        <v>0</v>
      </c>
      <c r="AH351">
        <v>-1</v>
      </c>
      <c r="AI351" t="s">
        <v>64</v>
      </c>
      <c r="AJ351">
        <v>0</v>
      </c>
      <c r="AK351" t="b">
        <v>0</v>
      </c>
      <c r="AL351">
        <v>0</v>
      </c>
      <c r="AM351" t="b">
        <v>0</v>
      </c>
      <c r="AN351">
        <v>0</v>
      </c>
      <c r="AO351" t="b">
        <v>0</v>
      </c>
      <c r="AP351">
        <v>0</v>
      </c>
      <c r="AQ351">
        <v>4907612561</v>
      </c>
      <c r="AR351">
        <v>4907612561</v>
      </c>
      <c r="AS351">
        <v>0</v>
      </c>
      <c r="AT351" t="b">
        <v>0</v>
      </c>
      <c r="AU351" t="b">
        <v>1</v>
      </c>
      <c r="AV351" t="b">
        <v>1</v>
      </c>
      <c r="AW351" t="b">
        <v>1</v>
      </c>
      <c r="BC351" t="s">
        <v>374</v>
      </c>
    </row>
    <row r="352" spans="1:55" x14ac:dyDescent="0.2">
      <c r="A352" t="s">
        <v>39</v>
      </c>
      <c r="B352" t="s">
        <v>40</v>
      </c>
      <c r="C352">
        <v>20220101</v>
      </c>
      <c r="D352">
        <v>2022</v>
      </c>
      <c r="E352">
        <v>52</v>
      </c>
      <c r="F352" t="s">
        <v>346</v>
      </c>
      <c r="G352">
        <v>96</v>
      </c>
      <c r="H352" t="s">
        <v>313</v>
      </c>
      <c r="I352" t="s">
        <v>314</v>
      </c>
      <c r="J352" t="s">
        <v>44</v>
      </c>
      <c r="K352" t="s">
        <v>45</v>
      </c>
      <c r="L352">
        <v>0</v>
      </c>
      <c r="M352" t="s">
        <v>46</v>
      </c>
      <c r="N352" t="s">
        <v>47</v>
      </c>
      <c r="O352">
        <v>0</v>
      </c>
      <c r="P352" t="s">
        <v>46</v>
      </c>
      <c r="Q352" t="s">
        <v>47</v>
      </c>
      <c r="R352" t="s">
        <v>48</v>
      </c>
      <c r="S352" t="s">
        <v>49</v>
      </c>
      <c r="T352" t="b">
        <v>1</v>
      </c>
      <c r="U352" t="s">
        <v>50</v>
      </c>
      <c r="V352" t="s">
        <v>51</v>
      </c>
      <c r="W352">
        <v>4</v>
      </c>
      <c r="X352" t="b">
        <v>0</v>
      </c>
      <c r="Y352" t="s">
        <v>52</v>
      </c>
      <c r="Z352" t="s">
        <v>53</v>
      </c>
      <c r="AA352" t="s">
        <v>54</v>
      </c>
      <c r="AB352">
        <v>0</v>
      </c>
      <c r="AC352" t="s">
        <v>55</v>
      </c>
      <c r="AD352">
        <v>8</v>
      </c>
      <c r="AE352" t="s">
        <v>56</v>
      </c>
      <c r="AF352">
        <v>109.4</v>
      </c>
      <c r="AG352" t="b">
        <v>0</v>
      </c>
      <c r="AH352">
        <v>8</v>
      </c>
      <c r="AI352" t="s">
        <v>56</v>
      </c>
      <c r="AJ352">
        <v>109.4</v>
      </c>
      <c r="AK352" t="b">
        <v>0</v>
      </c>
      <c r="AL352">
        <v>109.4</v>
      </c>
      <c r="AM352" t="b">
        <v>0</v>
      </c>
      <c r="AN352">
        <v>0</v>
      </c>
      <c r="AO352" t="b">
        <v>0</v>
      </c>
      <c r="AQ352">
        <v>3787591.87</v>
      </c>
      <c r="AR352">
        <v>3787591.87</v>
      </c>
      <c r="AS352">
        <v>0</v>
      </c>
      <c r="AT352" t="b">
        <v>0</v>
      </c>
      <c r="AU352" t="b">
        <v>1</v>
      </c>
      <c r="AV352" t="b">
        <v>1</v>
      </c>
      <c r="AW352" t="b">
        <v>1</v>
      </c>
      <c r="BC352" t="s">
        <v>374</v>
      </c>
    </row>
    <row r="353" spans="1:55" x14ac:dyDescent="0.2">
      <c r="A353" t="s">
        <v>39</v>
      </c>
      <c r="B353" t="s">
        <v>40</v>
      </c>
      <c r="C353">
        <v>20220101</v>
      </c>
      <c r="D353">
        <v>2022</v>
      </c>
      <c r="E353">
        <v>52</v>
      </c>
      <c r="F353" t="s">
        <v>346</v>
      </c>
      <c r="G353">
        <v>100</v>
      </c>
      <c r="H353" t="s">
        <v>83</v>
      </c>
      <c r="I353" t="s">
        <v>84</v>
      </c>
      <c r="J353" t="s">
        <v>44</v>
      </c>
      <c r="K353" t="s">
        <v>45</v>
      </c>
      <c r="L353">
        <v>0</v>
      </c>
      <c r="M353" t="s">
        <v>46</v>
      </c>
      <c r="N353" t="s">
        <v>47</v>
      </c>
      <c r="O353">
        <v>0</v>
      </c>
      <c r="P353" t="s">
        <v>46</v>
      </c>
      <c r="Q353" t="s">
        <v>47</v>
      </c>
      <c r="R353" t="s">
        <v>347</v>
      </c>
      <c r="S353" t="s">
        <v>49</v>
      </c>
      <c r="T353" t="b">
        <v>1</v>
      </c>
      <c r="U353" t="s">
        <v>50</v>
      </c>
      <c r="V353" t="s">
        <v>51</v>
      </c>
      <c r="W353">
        <v>4</v>
      </c>
      <c r="X353" t="b">
        <v>0</v>
      </c>
      <c r="Y353" t="s">
        <v>52</v>
      </c>
      <c r="Z353" t="s">
        <v>53</v>
      </c>
      <c r="AA353" t="s">
        <v>54</v>
      </c>
      <c r="AB353">
        <v>0</v>
      </c>
      <c r="AC353" t="s">
        <v>55</v>
      </c>
      <c r="AD353">
        <v>8</v>
      </c>
      <c r="AE353" t="s">
        <v>56</v>
      </c>
      <c r="AF353">
        <v>1627.165</v>
      </c>
      <c r="AG353" t="b">
        <v>0</v>
      </c>
      <c r="AH353">
        <v>15</v>
      </c>
      <c r="AI353" t="s">
        <v>59</v>
      </c>
      <c r="AJ353">
        <v>1627165</v>
      </c>
      <c r="AK353" t="b">
        <v>0</v>
      </c>
      <c r="AL353">
        <v>1644.317</v>
      </c>
      <c r="AM353" t="b">
        <v>0</v>
      </c>
      <c r="AN353">
        <v>0</v>
      </c>
      <c r="AO353" t="b">
        <v>0</v>
      </c>
      <c r="AQ353">
        <v>18144281.925000001</v>
      </c>
      <c r="AR353">
        <v>18144281.925000001</v>
      </c>
      <c r="AS353">
        <v>0</v>
      </c>
      <c r="AT353" t="b">
        <v>0</v>
      </c>
      <c r="AU353" t="b">
        <v>1</v>
      </c>
      <c r="AV353" t="b">
        <v>1</v>
      </c>
      <c r="AW353" t="b">
        <v>1</v>
      </c>
      <c r="BC353" t="s">
        <v>374</v>
      </c>
    </row>
    <row r="354" spans="1:55" x14ac:dyDescent="0.2">
      <c r="A354" t="s">
        <v>39</v>
      </c>
      <c r="B354" t="s">
        <v>40</v>
      </c>
      <c r="C354">
        <v>20220101</v>
      </c>
      <c r="D354">
        <v>2022</v>
      </c>
      <c r="E354">
        <v>52</v>
      </c>
      <c r="F354" t="s">
        <v>346</v>
      </c>
      <c r="G354">
        <v>108</v>
      </c>
      <c r="H354" t="s">
        <v>85</v>
      </c>
      <c r="I354" t="s">
        <v>86</v>
      </c>
      <c r="J354" t="s">
        <v>44</v>
      </c>
      <c r="K354" t="s">
        <v>45</v>
      </c>
      <c r="L354">
        <v>0</v>
      </c>
      <c r="M354" t="s">
        <v>46</v>
      </c>
      <c r="N354" t="s">
        <v>47</v>
      </c>
      <c r="O354">
        <v>0</v>
      </c>
      <c r="P354" t="s">
        <v>46</v>
      </c>
      <c r="Q354" t="s">
        <v>47</v>
      </c>
      <c r="R354" t="s">
        <v>347</v>
      </c>
      <c r="S354" t="s">
        <v>49</v>
      </c>
      <c r="T354" t="b">
        <v>1</v>
      </c>
      <c r="U354" t="s">
        <v>50</v>
      </c>
      <c r="V354" t="s">
        <v>51</v>
      </c>
      <c r="W354">
        <v>4</v>
      </c>
      <c r="X354" t="b">
        <v>0</v>
      </c>
      <c r="Y354" t="s">
        <v>52</v>
      </c>
      <c r="Z354" t="s">
        <v>53</v>
      </c>
      <c r="AA354" t="s">
        <v>54</v>
      </c>
      <c r="AB354">
        <v>0</v>
      </c>
      <c r="AC354" t="s">
        <v>55</v>
      </c>
      <c r="AD354">
        <v>8</v>
      </c>
      <c r="AE354" t="s">
        <v>56</v>
      </c>
      <c r="AF354">
        <v>913.93</v>
      </c>
      <c r="AG354" t="b">
        <v>0</v>
      </c>
      <c r="AH354">
        <v>8</v>
      </c>
      <c r="AI354" t="s">
        <v>56</v>
      </c>
      <c r="AJ354">
        <v>913.93</v>
      </c>
      <c r="AK354" t="b">
        <v>0</v>
      </c>
      <c r="AL354">
        <v>913.93</v>
      </c>
      <c r="AM354" t="b">
        <v>0</v>
      </c>
      <c r="AN354">
        <v>0</v>
      </c>
      <c r="AO354" t="b">
        <v>0</v>
      </c>
      <c r="AQ354">
        <v>51898519.523000002</v>
      </c>
      <c r="AR354">
        <v>51898519.523000002</v>
      </c>
      <c r="AS354">
        <v>0</v>
      </c>
      <c r="AT354" t="b">
        <v>0</v>
      </c>
      <c r="AU354" t="b">
        <v>1</v>
      </c>
      <c r="AV354" t="b">
        <v>1</v>
      </c>
      <c r="AW354" t="b">
        <v>1</v>
      </c>
      <c r="BC354" t="s">
        <v>374</v>
      </c>
    </row>
    <row r="355" spans="1:55" x14ac:dyDescent="0.2">
      <c r="A355" t="s">
        <v>39</v>
      </c>
      <c r="B355" t="s">
        <v>40</v>
      </c>
      <c r="C355">
        <v>20220101</v>
      </c>
      <c r="D355">
        <v>2022</v>
      </c>
      <c r="E355">
        <v>52</v>
      </c>
      <c r="F355" t="s">
        <v>346</v>
      </c>
      <c r="G355">
        <v>116</v>
      </c>
      <c r="H355" t="s">
        <v>87</v>
      </c>
      <c r="I355" t="s">
        <v>88</v>
      </c>
      <c r="J355" t="s">
        <v>44</v>
      </c>
      <c r="K355" t="s">
        <v>45</v>
      </c>
      <c r="L355">
        <v>0</v>
      </c>
      <c r="M355" t="s">
        <v>46</v>
      </c>
      <c r="N355" t="s">
        <v>47</v>
      </c>
      <c r="O355">
        <v>0</v>
      </c>
      <c r="P355" t="s">
        <v>46</v>
      </c>
      <c r="Q355" t="s">
        <v>47</v>
      </c>
      <c r="R355" t="s">
        <v>347</v>
      </c>
      <c r="S355" t="s">
        <v>49</v>
      </c>
      <c r="T355" t="b">
        <v>1</v>
      </c>
      <c r="U355" t="s">
        <v>50</v>
      </c>
      <c r="V355" t="s">
        <v>51</v>
      </c>
      <c r="W355">
        <v>4</v>
      </c>
      <c r="X355" t="b">
        <v>0</v>
      </c>
      <c r="Y355" t="s">
        <v>52</v>
      </c>
      <c r="Z355" t="s">
        <v>53</v>
      </c>
      <c r="AA355" t="s">
        <v>54</v>
      </c>
      <c r="AB355">
        <v>0</v>
      </c>
      <c r="AC355" t="s">
        <v>55</v>
      </c>
      <c r="AD355">
        <v>8</v>
      </c>
      <c r="AE355" t="s">
        <v>56</v>
      </c>
      <c r="AF355">
        <v>4094.41</v>
      </c>
      <c r="AG355" t="b">
        <v>0</v>
      </c>
      <c r="AH355">
        <v>8</v>
      </c>
      <c r="AI355" t="s">
        <v>56</v>
      </c>
      <c r="AJ355">
        <v>4094.41</v>
      </c>
      <c r="AK355" t="b">
        <v>0</v>
      </c>
      <c r="AL355">
        <v>4094.41</v>
      </c>
      <c r="AM355" t="b">
        <v>0</v>
      </c>
      <c r="AN355">
        <v>0</v>
      </c>
      <c r="AO355" t="b">
        <v>0</v>
      </c>
      <c r="AQ355">
        <v>231702144.13</v>
      </c>
      <c r="AR355">
        <v>231702144.13</v>
      </c>
      <c r="AS355">
        <v>0</v>
      </c>
      <c r="AT355" t="b">
        <v>0</v>
      </c>
      <c r="AU355" t="b">
        <v>1</v>
      </c>
      <c r="AV355" t="b">
        <v>1</v>
      </c>
      <c r="AW355" t="b">
        <v>1</v>
      </c>
      <c r="BC355" t="s">
        <v>374</v>
      </c>
    </row>
    <row r="356" spans="1:55" x14ac:dyDescent="0.2">
      <c r="A356" t="s">
        <v>39</v>
      </c>
      <c r="B356" t="s">
        <v>40</v>
      </c>
      <c r="C356">
        <v>20220101</v>
      </c>
      <c r="D356">
        <v>2022</v>
      </c>
      <c r="E356">
        <v>52</v>
      </c>
      <c r="F356" t="s">
        <v>346</v>
      </c>
      <c r="G356">
        <v>120</v>
      </c>
      <c r="H356" t="s">
        <v>89</v>
      </c>
      <c r="I356" t="s">
        <v>90</v>
      </c>
      <c r="J356" t="s">
        <v>44</v>
      </c>
      <c r="K356" t="s">
        <v>45</v>
      </c>
      <c r="L356">
        <v>0</v>
      </c>
      <c r="M356" t="s">
        <v>46</v>
      </c>
      <c r="N356" t="s">
        <v>47</v>
      </c>
      <c r="O356">
        <v>0</v>
      </c>
      <c r="P356" t="s">
        <v>46</v>
      </c>
      <c r="Q356" t="s">
        <v>47</v>
      </c>
      <c r="R356" t="s">
        <v>347</v>
      </c>
      <c r="S356" t="s">
        <v>49</v>
      </c>
      <c r="T356" t="b">
        <v>1</v>
      </c>
      <c r="U356" t="s">
        <v>50</v>
      </c>
      <c r="V356" t="s">
        <v>51</v>
      </c>
      <c r="W356">
        <v>4</v>
      </c>
      <c r="X356" t="b">
        <v>0</v>
      </c>
      <c r="Y356" t="s">
        <v>52</v>
      </c>
      <c r="Z356" t="s">
        <v>53</v>
      </c>
      <c r="AA356" t="s">
        <v>54</v>
      </c>
      <c r="AB356">
        <v>0</v>
      </c>
      <c r="AC356" t="s">
        <v>55</v>
      </c>
      <c r="AD356">
        <v>8</v>
      </c>
      <c r="AE356" t="s">
        <v>56</v>
      </c>
      <c r="AF356">
        <v>3.45</v>
      </c>
      <c r="AG356" t="b">
        <v>0</v>
      </c>
      <c r="AH356">
        <v>8</v>
      </c>
      <c r="AI356" t="s">
        <v>56</v>
      </c>
      <c r="AJ356">
        <v>3.45</v>
      </c>
      <c r="AK356" t="b">
        <v>0</v>
      </c>
      <c r="AL356">
        <v>3.45</v>
      </c>
      <c r="AM356" t="b">
        <v>0</v>
      </c>
      <c r="AN356">
        <v>0</v>
      </c>
      <c r="AO356" t="b">
        <v>0</v>
      </c>
      <c r="AQ356">
        <v>99108.385999999999</v>
      </c>
      <c r="AR356">
        <v>99108.385999999999</v>
      </c>
      <c r="AS356">
        <v>0</v>
      </c>
      <c r="AT356" t="b">
        <v>0</v>
      </c>
      <c r="AU356" t="b">
        <v>1</v>
      </c>
      <c r="AV356" t="b">
        <v>1</v>
      </c>
      <c r="AW356" t="b">
        <v>1</v>
      </c>
      <c r="BC356" t="s">
        <v>374</v>
      </c>
    </row>
    <row r="357" spans="1:55" x14ac:dyDescent="0.2">
      <c r="A357" t="s">
        <v>39</v>
      </c>
      <c r="B357" t="s">
        <v>40</v>
      </c>
      <c r="C357">
        <v>20220101</v>
      </c>
      <c r="D357">
        <v>2022</v>
      </c>
      <c r="E357">
        <v>52</v>
      </c>
      <c r="F357" t="s">
        <v>346</v>
      </c>
      <c r="G357">
        <v>140</v>
      </c>
      <c r="H357" t="s">
        <v>93</v>
      </c>
      <c r="I357" t="s">
        <v>94</v>
      </c>
      <c r="J357" t="s">
        <v>44</v>
      </c>
      <c r="K357" t="s">
        <v>45</v>
      </c>
      <c r="L357">
        <v>0</v>
      </c>
      <c r="M357" t="s">
        <v>46</v>
      </c>
      <c r="N357" t="s">
        <v>47</v>
      </c>
      <c r="O357">
        <v>0</v>
      </c>
      <c r="P357" t="s">
        <v>46</v>
      </c>
      <c r="Q357" t="s">
        <v>47</v>
      </c>
      <c r="R357" t="s">
        <v>48</v>
      </c>
      <c r="S357" t="s">
        <v>49</v>
      </c>
      <c r="T357" t="b">
        <v>1</v>
      </c>
      <c r="U357" t="s">
        <v>50</v>
      </c>
      <c r="V357" t="s">
        <v>51</v>
      </c>
      <c r="W357">
        <v>4</v>
      </c>
      <c r="X357" t="b">
        <v>0</v>
      </c>
      <c r="Y357" t="s">
        <v>52</v>
      </c>
      <c r="Z357" t="s">
        <v>53</v>
      </c>
      <c r="AA357" t="s">
        <v>54</v>
      </c>
      <c r="AB357">
        <v>0</v>
      </c>
      <c r="AC357" t="s">
        <v>55</v>
      </c>
      <c r="AD357">
        <v>8</v>
      </c>
      <c r="AE357" t="s">
        <v>56</v>
      </c>
      <c r="AF357">
        <v>6058.4759999999997</v>
      </c>
      <c r="AG357" t="b">
        <v>1</v>
      </c>
      <c r="AH357">
        <v>-1</v>
      </c>
      <c r="AI357" t="s">
        <v>64</v>
      </c>
      <c r="AJ357">
        <v>0</v>
      </c>
      <c r="AK357" t="b">
        <v>0</v>
      </c>
      <c r="AL357">
        <v>6058.4759999999997</v>
      </c>
      <c r="AM357" t="b">
        <v>1</v>
      </c>
      <c r="AN357">
        <v>0</v>
      </c>
      <c r="AO357" t="b">
        <v>0</v>
      </c>
      <c r="AQ357">
        <v>51279574.116999999</v>
      </c>
      <c r="AR357">
        <v>51279574.116999999</v>
      </c>
      <c r="AS357">
        <v>6</v>
      </c>
      <c r="AT357" t="b">
        <v>0</v>
      </c>
      <c r="AU357" t="b">
        <v>1</v>
      </c>
      <c r="AV357" t="b">
        <v>1</v>
      </c>
      <c r="AW357" t="b">
        <v>1</v>
      </c>
      <c r="BC357" t="s">
        <v>374</v>
      </c>
    </row>
    <row r="358" spans="1:55" x14ac:dyDescent="0.2">
      <c r="A358" t="s">
        <v>39</v>
      </c>
      <c r="B358" t="s">
        <v>40</v>
      </c>
      <c r="C358">
        <v>20220101</v>
      </c>
      <c r="D358">
        <v>2022</v>
      </c>
      <c r="E358">
        <v>52</v>
      </c>
      <c r="F358" t="s">
        <v>346</v>
      </c>
      <c r="G358">
        <v>144</v>
      </c>
      <c r="H358" t="s">
        <v>317</v>
      </c>
      <c r="I358" t="s">
        <v>318</v>
      </c>
      <c r="J358" t="s">
        <v>44</v>
      </c>
      <c r="K358" t="s">
        <v>45</v>
      </c>
      <c r="L358">
        <v>0</v>
      </c>
      <c r="M358" t="s">
        <v>46</v>
      </c>
      <c r="N358" t="s">
        <v>47</v>
      </c>
      <c r="O358">
        <v>0</v>
      </c>
      <c r="P358" t="s">
        <v>46</v>
      </c>
      <c r="Q358" t="s">
        <v>47</v>
      </c>
      <c r="R358" t="s">
        <v>48</v>
      </c>
      <c r="S358" t="s">
        <v>49</v>
      </c>
      <c r="T358" t="b">
        <v>1</v>
      </c>
      <c r="U358" t="s">
        <v>50</v>
      </c>
      <c r="V358" t="s">
        <v>51</v>
      </c>
      <c r="W358">
        <v>4</v>
      </c>
      <c r="X358" t="b">
        <v>0</v>
      </c>
      <c r="Y358" t="s">
        <v>52</v>
      </c>
      <c r="Z358" t="s">
        <v>53</v>
      </c>
      <c r="AA358" t="s">
        <v>54</v>
      </c>
      <c r="AB358">
        <v>0</v>
      </c>
      <c r="AC358" t="s">
        <v>55</v>
      </c>
      <c r="AD358">
        <v>-1</v>
      </c>
      <c r="AE358" t="s">
        <v>64</v>
      </c>
      <c r="AF358">
        <v>0</v>
      </c>
      <c r="AG358" t="b">
        <v>0</v>
      </c>
      <c r="AH358">
        <v>-1</v>
      </c>
      <c r="AI358" t="s">
        <v>64</v>
      </c>
      <c r="AJ358">
        <v>0</v>
      </c>
      <c r="AK358" t="b">
        <v>0</v>
      </c>
      <c r="AL358">
        <v>0</v>
      </c>
      <c r="AM358" t="b">
        <v>0</v>
      </c>
      <c r="AN358">
        <v>0</v>
      </c>
      <c r="AO358" t="b">
        <v>0</v>
      </c>
      <c r="AP358">
        <v>0</v>
      </c>
      <c r="AQ358">
        <v>420.90499999999997</v>
      </c>
      <c r="AR358">
        <v>420.90499999999997</v>
      </c>
      <c r="AS358">
        <v>0</v>
      </c>
      <c r="AT358" t="b">
        <v>0</v>
      </c>
      <c r="AU358" t="b">
        <v>1</v>
      </c>
      <c r="AV358" t="b">
        <v>1</v>
      </c>
      <c r="AW358" t="b">
        <v>1</v>
      </c>
      <c r="BC358" t="s">
        <v>374</v>
      </c>
    </row>
    <row r="359" spans="1:55" x14ac:dyDescent="0.2">
      <c r="A359" t="s">
        <v>39</v>
      </c>
      <c r="B359" t="s">
        <v>40</v>
      </c>
      <c r="C359">
        <v>20220101</v>
      </c>
      <c r="D359">
        <v>2022</v>
      </c>
      <c r="E359">
        <v>52</v>
      </c>
      <c r="F359" t="s">
        <v>346</v>
      </c>
      <c r="G359">
        <v>152</v>
      </c>
      <c r="H359" t="s">
        <v>96</v>
      </c>
      <c r="I359" t="s">
        <v>97</v>
      </c>
      <c r="J359" t="s">
        <v>44</v>
      </c>
      <c r="K359" t="s">
        <v>45</v>
      </c>
      <c r="L359">
        <v>0</v>
      </c>
      <c r="M359" t="s">
        <v>46</v>
      </c>
      <c r="N359" t="s">
        <v>47</v>
      </c>
      <c r="O359">
        <v>0</v>
      </c>
      <c r="P359" t="s">
        <v>46</v>
      </c>
      <c r="Q359" t="s">
        <v>47</v>
      </c>
      <c r="R359" t="s">
        <v>347</v>
      </c>
      <c r="S359" t="s">
        <v>49</v>
      </c>
      <c r="T359" t="b">
        <v>1</v>
      </c>
      <c r="U359" t="s">
        <v>50</v>
      </c>
      <c r="V359" t="s">
        <v>51</v>
      </c>
      <c r="W359">
        <v>4</v>
      </c>
      <c r="X359" t="b">
        <v>0</v>
      </c>
      <c r="Y359" t="s">
        <v>52</v>
      </c>
      <c r="Z359" t="s">
        <v>53</v>
      </c>
      <c r="AA359" t="s">
        <v>54</v>
      </c>
      <c r="AB359">
        <v>0</v>
      </c>
      <c r="AC359" t="s">
        <v>55</v>
      </c>
      <c r="AD359">
        <v>8</v>
      </c>
      <c r="AE359" t="s">
        <v>56</v>
      </c>
      <c r="AF359">
        <v>14830.632</v>
      </c>
      <c r="AG359" t="b">
        <v>0</v>
      </c>
      <c r="AH359">
        <v>8</v>
      </c>
      <c r="AI359" t="s">
        <v>56</v>
      </c>
      <c r="AJ359">
        <v>14830.632</v>
      </c>
      <c r="AK359" t="b">
        <v>0</v>
      </c>
      <c r="AL359">
        <v>14830.632</v>
      </c>
      <c r="AM359" t="b">
        <v>0</v>
      </c>
      <c r="AN359">
        <v>0</v>
      </c>
      <c r="AO359" t="b">
        <v>0</v>
      </c>
      <c r="AQ359">
        <v>838381963.204</v>
      </c>
      <c r="AR359">
        <v>838381963.204</v>
      </c>
      <c r="AS359">
        <v>0</v>
      </c>
      <c r="AT359" t="b">
        <v>0</v>
      </c>
      <c r="AU359" t="b">
        <v>1</v>
      </c>
      <c r="AV359" t="b">
        <v>1</v>
      </c>
      <c r="AW359" t="b">
        <v>1</v>
      </c>
      <c r="BC359" t="s">
        <v>374</v>
      </c>
    </row>
    <row r="360" spans="1:55" x14ac:dyDescent="0.2">
      <c r="A360" t="s">
        <v>39</v>
      </c>
      <c r="B360" t="s">
        <v>40</v>
      </c>
      <c r="C360">
        <v>20220101</v>
      </c>
      <c r="D360">
        <v>2022</v>
      </c>
      <c r="E360">
        <v>52</v>
      </c>
      <c r="F360" t="s">
        <v>346</v>
      </c>
      <c r="G360">
        <v>156</v>
      </c>
      <c r="H360" t="s">
        <v>98</v>
      </c>
      <c r="I360" t="s">
        <v>99</v>
      </c>
      <c r="J360" t="s">
        <v>44</v>
      </c>
      <c r="K360" t="s">
        <v>45</v>
      </c>
      <c r="L360">
        <v>0</v>
      </c>
      <c r="M360" t="s">
        <v>46</v>
      </c>
      <c r="N360" t="s">
        <v>47</v>
      </c>
      <c r="O360">
        <v>0</v>
      </c>
      <c r="P360" t="s">
        <v>46</v>
      </c>
      <c r="Q360" t="s">
        <v>47</v>
      </c>
      <c r="R360" t="s">
        <v>347</v>
      </c>
      <c r="S360" t="s">
        <v>49</v>
      </c>
      <c r="T360" t="b">
        <v>1</v>
      </c>
      <c r="U360" t="s">
        <v>50</v>
      </c>
      <c r="V360" t="s">
        <v>51</v>
      </c>
      <c r="W360">
        <v>4</v>
      </c>
      <c r="X360" t="b">
        <v>0</v>
      </c>
      <c r="Y360" t="s">
        <v>52</v>
      </c>
      <c r="Z360" t="s">
        <v>53</v>
      </c>
      <c r="AA360" t="s">
        <v>54</v>
      </c>
      <c r="AB360">
        <v>0</v>
      </c>
      <c r="AC360" t="s">
        <v>55</v>
      </c>
      <c r="AD360">
        <v>8</v>
      </c>
      <c r="AE360" t="s">
        <v>56</v>
      </c>
      <c r="AF360">
        <v>55306.508000000002</v>
      </c>
      <c r="AG360" t="b">
        <v>1</v>
      </c>
      <c r="AH360">
        <v>-1</v>
      </c>
      <c r="AI360" t="s">
        <v>64</v>
      </c>
      <c r="AJ360">
        <v>0</v>
      </c>
      <c r="AK360" t="b">
        <v>0</v>
      </c>
      <c r="AL360">
        <v>55306.508000000002</v>
      </c>
      <c r="AM360" t="b">
        <v>1</v>
      </c>
      <c r="AN360">
        <v>0</v>
      </c>
      <c r="AO360" t="b">
        <v>0</v>
      </c>
      <c r="AQ360">
        <v>3281251509</v>
      </c>
      <c r="AR360">
        <v>3281251509</v>
      </c>
      <c r="AS360">
        <v>6</v>
      </c>
      <c r="AT360" t="b">
        <v>0</v>
      </c>
      <c r="AU360" t="b">
        <v>1</v>
      </c>
      <c r="AV360" t="b">
        <v>1</v>
      </c>
      <c r="AW360" t="b">
        <v>1</v>
      </c>
      <c r="BC360" t="s">
        <v>374</v>
      </c>
    </row>
    <row r="361" spans="1:55" x14ac:dyDescent="0.2">
      <c r="A361" t="s">
        <v>39</v>
      </c>
      <c r="B361" t="s">
        <v>40</v>
      </c>
      <c r="C361">
        <v>20220101</v>
      </c>
      <c r="D361">
        <v>2022</v>
      </c>
      <c r="E361">
        <v>52</v>
      </c>
      <c r="F361" t="s">
        <v>346</v>
      </c>
      <c r="G361">
        <v>178</v>
      </c>
      <c r="H361" t="s">
        <v>102</v>
      </c>
      <c r="I361" t="s">
        <v>103</v>
      </c>
      <c r="J361" t="s">
        <v>44</v>
      </c>
      <c r="K361" t="s">
        <v>45</v>
      </c>
      <c r="L361">
        <v>0</v>
      </c>
      <c r="M361" t="s">
        <v>46</v>
      </c>
      <c r="N361" t="s">
        <v>47</v>
      </c>
      <c r="O361">
        <v>0</v>
      </c>
      <c r="P361" t="s">
        <v>46</v>
      </c>
      <c r="Q361" t="s">
        <v>47</v>
      </c>
      <c r="R361" t="s">
        <v>48</v>
      </c>
      <c r="S361" t="s">
        <v>49</v>
      </c>
      <c r="T361" t="b">
        <v>1</v>
      </c>
      <c r="U361" t="s">
        <v>50</v>
      </c>
      <c r="V361" t="s">
        <v>51</v>
      </c>
      <c r="W361">
        <v>4</v>
      </c>
      <c r="X361" t="b">
        <v>0</v>
      </c>
      <c r="Y361" t="s">
        <v>52</v>
      </c>
      <c r="Z361" t="s">
        <v>53</v>
      </c>
      <c r="AA361" t="s">
        <v>54</v>
      </c>
      <c r="AB361">
        <v>0</v>
      </c>
      <c r="AC361" t="s">
        <v>55</v>
      </c>
      <c r="AD361">
        <v>8</v>
      </c>
      <c r="AE361" t="s">
        <v>56</v>
      </c>
      <c r="AF361">
        <v>18</v>
      </c>
      <c r="AG361" t="b">
        <v>0</v>
      </c>
      <c r="AH361">
        <v>8</v>
      </c>
      <c r="AI361" t="s">
        <v>56</v>
      </c>
      <c r="AJ361">
        <v>18</v>
      </c>
      <c r="AK361" t="b">
        <v>0</v>
      </c>
      <c r="AL361">
        <v>18</v>
      </c>
      <c r="AM361" t="b">
        <v>0</v>
      </c>
      <c r="AN361">
        <v>0</v>
      </c>
      <c r="AO361" t="b">
        <v>0</v>
      </c>
      <c r="AQ361">
        <v>27487.771000000001</v>
      </c>
      <c r="AR361">
        <v>27487.771000000001</v>
      </c>
      <c r="AS361">
        <v>0</v>
      </c>
      <c r="AT361" t="b">
        <v>0</v>
      </c>
      <c r="AU361" t="b">
        <v>1</v>
      </c>
      <c r="AV361" t="b">
        <v>1</v>
      </c>
      <c r="AW361" t="b">
        <v>1</v>
      </c>
      <c r="BC361" t="s">
        <v>374</v>
      </c>
    </row>
    <row r="362" spans="1:55" x14ac:dyDescent="0.2">
      <c r="A362" t="s">
        <v>39</v>
      </c>
      <c r="B362" t="s">
        <v>40</v>
      </c>
      <c r="C362">
        <v>20220101</v>
      </c>
      <c r="D362">
        <v>2022</v>
      </c>
      <c r="E362">
        <v>52</v>
      </c>
      <c r="F362" t="s">
        <v>346</v>
      </c>
      <c r="G362">
        <v>180</v>
      </c>
      <c r="H362" t="s">
        <v>104</v>
      </c>
      <c r="I362" t="s">
        <v>105</v>
      </c>
      <c r="J362" t="s">
        <v>44</v>
      </c>
      <c r="K362" t="s">
        <v>45</v>
      </c>
      <c r="L362">
        <v>0</v>
      </c>
      <c r="M362" t="s">
        <v>46</v>
      </c>
      <c r="N362" t="s">
        <v>47</v>
      </c>
      <c r="O362">
        <v>0</v>
      </c>
      <c r="P362" t="s">
        <v>46</v>
      </c>
      <c r="Q362" t="s">
        <v>47</v>
      </c>
      <c r="R362" t="s">
        <v>95</v>
      </c>
      <c r="S362" t="s">
        <v>49</v>
      </c>
      <c r="T362" t="b">
        <v>1</v>
      </c>
      <c r="U362" t="s">
        <v>50</v>
      </c>
      <c r="V362" t="s">
        <v>51</v>
      </c>
      <c r="W362">
        <v>4</v>
      </c>
      <c r="X362" t="b">
        <v>0</v>
      </c>
      <c r="Y362" t="s">
        <v>52</v>
      </c>
      <c r="Z362" t="s">
        <v>53</v>
      </c>
      <c r="AA362" t="s">
        <v>54</v>
      </c>
      <c r="AB362">
        <v>0</v>
      </c>
      <c r="AC362" t="s">
        <v>55</v>
      </c>
      <c r="AD362">
        <v>-1</v>
      </c>
      <c r="AE362" t="s">
        <v>64</v>
      </c>
      <c r="AF362">
        <v>0</v>
      </c>
      <c r="AG362" t="b">
        <v>0</v>
      </c>
      <c r="AH362">
        <v>-1</v>
      </c>
      <c r="AI362" t="s">
        <v>64</v>
      </c>
      <c r="AJ362">
        <v>0</v>
      </c>
      <c r="AK362" t="b">
        <v>0</v>
      </c>
      <c r="AM362" t="b">
        <v>0</v>
      </c>
      <c r="AN362">
        <v>0</v>
      </c>
      <c r="AO362" t="b">
        <v>0</v>
      </c>
      <c r="AQ362">
        <v>2663727.1329999999</v>
      </c>
      <c r="AR362">
        <v>2663727.1329999999</v>
      </c>
      <c r="AS362">
        <v>0</v>
      </c>
      <c r="AT362" t="b">
        <v>0</v>
      </c>
      <c r="AU362" t="b">
        <v>1</v>
      </c>
      <c r="AV362" t="b">
        <v>1</v>
      </c>
      <c r="AW362" t="b">
        <v>1</v>
      </c>
      <c r="BC362" t="s">
        <v>374</v>
      </c>
    </row>
    <row r="363" spans="1:55" x14ac:dyDescent="0.2">
      <c r="A363" t="s">
        <v>39</v>
      </c>
      <c r="B363" t="s">
        <v>40</v>
      </c>
      <c r="C363">
        <v>20220101</v>
      </c>
      <c r="D363">
        <v>2022</v>
      </c>
      <c r="E363">
        <v>52</v>
      </c>
      <c r="F363" t="s">
        <v>346</v>
      </c>
      <c r="G363">
        <v>188</v>
      </c>
      <c r="H363" t="s">
        <v>106</v>
      </c>
      <c r="I363" t="s">
        <v>107</v>
      </c>
      <c r="J363" t="s">
        <v>44</v>
      </c>
      <c r="K363" t="s">
        <v>45</v>
      </c>
      <c r="L363">
        <v>0</v>
      </c>
      <c r="M363" t="s">
        <v>46</v>
      </c>
      <c r="N363" t="s">
        <v>47</v>
      </c>
      <c r="O363">
        <v>0</v>
      </c>
      <c r="P363" t="s">
        <v>46</v>
      </c>
      <c r="Q363" t="s">
        <v>47</v>
      </c>
      <c r="R363" t="s">
        <v>347</v>
      </c>
      <c r="S363" t="s">
        <v>49</v>
      </c>
      <c r="T363" t="b">
        <v>1</v>
      </c>
      <c r="U363" t="s">
        <v>50</v>
      </c>
      <c r="V363" t="s">
        <v>51</v>
      </c>
      <c r="W363">
        <v>4</v>
      </c>
      <c r="X363" t="b">
        <v>0</v>
      </c>
      <c r="Y363" t="s">
        <v>52</v>
      </c>
      <c r="Z363" t="s">
        <v>53</v>
      </c>
      <c r="AA363" t="s">
        <v>54</v>
      </c>
      <c r="AB363">
        <v>0</v>
      </c>
      <c r="AC363" t="s">
        <v>55</v>
      </c>
      <c r="AD363">
        <v>8</v>
      </c>
      <c r="AE363" t="s">
        <v>56</v>
      </c>
      <c r="AF363">
        <v>425.05500000000001</v>
      </c>
      <c r="AG363" t="b">
        <v>0</v>
      </c>
      <c r="AH363">
        <v>8</v>
      </c>
      <c r="AI363" t="s">
        <v>56</v>
      </c>
      <c r="AJ363">
        <v>425.05500000000001</v>
      </c>
      <c r="AK363" t="b">
        <v>0</v>
      </c>
      <c r="AL363">
        <v>425.05500000000001</v>
      </c>
      <c r="AM363" t="b">
        <v>0</v>
      </c>
      <c r="AN363">
        <v>0</v>
      </c>
      <c r="AO363" t="b">
        <v>0</v>
      </c>
      <c r="AQ363">
        <v>9554899.7400000002</v>
      </c>
      <c r="AR363">
        <v>9554899.7400000002</v>
      </c>
      <c r="AS363">
        <v>0</v>
      </c>
      <c r="AT363" t="b">
        <v>0</v>
      </c>
      <c r="AU363" t="b">
        <v>1</v>
      </c>
      <c r="AV363" t="b">
        <v>1</v>
      </c>
      <c r="AW363" t="b">
        <v>1</v>
      </c>
      <c r="BC363" t="s">
        <v>374</v>
      </c>
    </row>
    <row r="364" spans="1:55" x14ac:dyDescent="0.2">
      <c r="A364" t="s">
        <v>39</v>
      </c>
      <c r="B364" t="s">
        <v>40</v>
      </c>
      <c r="C364">
        <v>20220101</v>
      </c>
      <c r="D364">
        <v>2022</v>
      </c>
      <c r="E364">
        <v>52</v>
      </c>
      <c r="F364" t="s">
        <v>346</v>
      </c>
      <c r="G364">
        <v>191</v>
      </c>
      <c r="H364" t="s">
        <v>108</v>
      </c>
      <c r="I364" t="s">
        <v>109</v>
      </c>
      <c r="J364" t="s">
        <v>44</v>
      </c>
      <c r="K364" t="s">
        <v>45</v>
      </c>
      <c r="L364">
        <v>0</v>
      </c>
      <c r="M364" t="s">
        <v>46</v>
      </c>
      <c r="N364" t="s">
        <v>47</v>
      </c>
      <c r="O364">
        <v>0</v>
      </c>
      <c r="P364" t="s">
        <v>46</v>
      </c>
      <c r="Q364" t="s">
        <v>47</v>
      </c>
      <c r="R364" t="s">
        <v>347</v>
      </c>
      <c r="S364" t="s">
        <v>49</v>
      </c>
      <c r="T364" t="b">
        <v>1</v>
      </c>
      <c r="U364" t="s">
        <v>50</v>
      </c>
      <c r="V364" t="s">
        <v>51</v>
      </c>
      <c r="W364">
        <v>4</v>
      </c>
      <c r="X364" t="b">
        <v>0</v>
      </c>
      <c r="Y364" t="s">
        <v>52</v>
      </c>
      <c r="Z364" t="s">
        <v>53</v>
      </c>
      <c r="AA364" t="s">
        <v>54</v>
      </c>
      <c r="AB364">
        <v>0</v>
      </c>
      <c r="AC364" t="s">
        <v>55</v>
      </c>
      <c r="AD364">
        <v>8</v>
      </c>
      <c r="AE364" t="s">
        <v>56</v>
      </c>
      <c r="AF364">
        <v>2521.529</v>
      </c>
      <c r="AG364" t="b">
        <v>0</v>
      </c>
      <c r="AH364">
        <v>15</v>
      </c>
      <c r="AI364" t="s">
        <v>59</v>
      </c>
      <c r="AJ364">
        <v>2521529.4</v>
      </c>
      <c r="AK364" t="b">
        <v>0</v>
      </c>
      <c r="AL364">
        <v>2531.3000000000002</v>
      </c>
      <c r="AM364" t="b">
        <v>0</v>
      </c>
      <c r="AN364">
        <v>0</v>
      </c>
      <c r="AO364" t="b">
        <v>0</v>
      </c>
      <c r="AQ364">
        <v>139502581</v>
      </c>
      <c r="AR364">
        <v>139502581</v>
      </c>
      <c r="AS364">
        <v>0</v>
      </c>
      <c r="AT364" t="b">
        <v>0</v>
      </c>
      <c r="AU364" t="b">
        <v>1</v>
      </c>
      <c r="AV364" t="b">
        <v>1</v>
      </c>
      <c r="AW364" t="b">
        <v>1</v>
      </c>
      <c r="BC364" t="s">
        <v>374</v>
      </c>
    </row>
    <row r="365" spans="1:55" x14ac:dyDescent="0.2">
      <c r="A365" t="s">
        <v>39</v>
      </c>
      <c r="B365" t="s">
        <v>40</v>
      </c>
      <c r="C365">
        <v>20220101</v>
      </c>
      <c r="D365">
        <v>2022</v>
      </c>
      <c r="E365">
        <v>52</v>
      </c>
      <c r="F365" t="s">
        <v>346</v>
      </c>
      <c r="G365">
        <v>196</v>
      </c>
      <c r="H365" t="s">
        <v>112</v>
      </c>
      <c r="I365" t="s">
        <v>113</v>
      </c>
      <c r="J365" t="s">
        <v>44</v>
      </c>
      <c r="K365" t="s">
        <v>45</v>
      </c>
      <c r="L365">
        <v>0</v>
      </c>
      <c r="M365" t="s">
        <v>46</v>
      </c>
      <c r="N365" t="s">
        <v>47</v>
      </c>
      <c r="O365">
        <v>0</v>
      </c>
      <c r="P365" t="s">
        <v>46</v>
      </c>
      <c r="Q365" t="s">
        <v>47</v>
      </c>
      <c r="R365" t="s">
        <v>347</v>
      </c>
      <c r="S365" t="s">
        <v>49</v>
      </c>
      <c r="T365" t="b">
        <v>1</v>
      </c>
      <c r="U365" t="s">
        <v>50</v>
      </c>
      <c r="V365" t="s">
        <v>51</v>
      </c>
      <c r="W365">
        <v>4</v>
      </c>
      <c r="X365" t="b">
        <v>0</v>
      </c>
      <c r="Y365" t="s">
        <v>52</v>
      </c>
      <c r="Z365" t="s">
        <v>53</v>
      </c>
      <c r="AA365" t="s">
        <v>54</v>
      </c>
      <c r="AB365">
        <v>0</v>
      </c>
      <c r="AC365" t="s">
        <v>55</v>
      </c>
      <c r="AD365">
        <v>8</v>
      </c>
      <c r="AE365" t="s">
        <v>56</v>
      </c>
      <c r="AF365">
        <v>497.863</v>
      </c>
      <c r="AG365" t="b">
        <v>0</v>
      </c>
      <c r="AH365">
        <v>15</v>
      </c>
      <c r="AI365" t="s">
        <v>59</v>
      </c>
      <c r="AJ365">
        <v>497863</v>
      </c>
      <c r="AK365" t="b">
        <v>0</v>
      </c>
      <c r="AL365">
        <v>511</v>
      </c>
      <c r="AM365" t="b">
        <v>0</v>
      </c>
      <c r="AN365">
        <v>0</v>
      </c>
      <c r="AO365" t="b">
        <v>0</v>
      </c>
      <c r="AQ365">
        <v>25238641.868000001</v>
      </c>
      <c r="AR365">
        <v>25238641.868000001</v>
      </c>
      <c r="AS365">
        <v>0</v>
      </c>
      <c r="AT365" t="b">
        <v>0</v>
      </c>
      <c r="AU365" t="b">
        <v>1</v>
      </c>
      <c r="AV365" t="b">
        <v>1</v>
      </c>
      <c r="AW365" t="b">
        <v>1</v>
      </c>
      <c r="BC365" t="s">
        <v>374</v>
      </c>
    </row>
    <row r="366" spans="1:55" x14ac:dyDescent="0.2">
      <c r="A366" t="s">
        <v>39</v>
      </c>
      <c r="B366" t="s">
        <v>40</v>
      </c>
      <c r="C366">
        <v>20220101</v>
      </c>
      <c r="D366">
        <v>2022</v>
      </c>
      <c r="E366">
        <v>52</v>
      </c>
      <c r="F366" t="s">
        <v>346</v>
      </c>
      <c r="G366">
        <v>203</v>
      </c>
      <c r="H366" t="s">
        <v>114</v>
      </c>
      <c r="I366" t="s">
        <v>115</v>
      </c>
      <c r="J366" t="s">
        <v>44</v>
      </c>
      <c r="K366" t="s">
        <v>45</v>
      </c>
      <c r="L366">
        <v>0</v>
      </c>
      <c r="M366" t="s">
        <v>46</v>
      </c>
      <c r="N366" t="s">
        <v>47</v>
      </c>
      <c r="O366">
        <v>0</v>
      </c>
      <c r="P366" t="s">
        <v>46</v>
      </c>
      <c r="Q366" t="s">
        <v>47</v>
      </c>
      <c r="R366" t="s">
        <v>347</v>
      </c>
      <c r="S366" t="s">
        <v>49</v>
      </c>
      <c r="T366" t="b">
        <v>1</v>
      </c>
      <c r="U366" t="s">
        <v>50</v>
      </c>
      <c r="V366" t="s">
        <v>51</v>
      </c>
      <c r="W366">
        <v>4</v>
      </c>
      <c r="X366" t="b">
        <v>0</v>
      </c>
      <c r="Y366" t="s">
        <v>52</v>
      </c>
      <c r="Z366" t="s">
        <v>53</v>
      </c>
      <c r="AA366" t="s">
        <v>54</v>
      </c>
      <c r="AB366">
        <v>0</v>
      </c>
      <c r="AC366" t="s">
        <v>55</v>
      </c>
      <c r="AD366">
        <v>-1</v>
      </c>
      <c r="AE366" t="s">
        <v>64</v>
      </c>
      <c r="AF366">
        <v>0</v>
      </c>
      <c r="AG366" t="b">
        <v>0</v>
      </c>
      <c r="AH366">
        <v>-1</v>
      </c>
      <c r="AI366" t="s">
        <v>64</v>
      </c>
      <c r="AJ366">
        <v>0</v>
      </c>
      <c r="AK366" t="b">
        <v>0</v>
      </c>
      <c r="AM366" t="b">
        <v>0</v>
      </c>
      <c r="AN366">
        <v>0</v>
      </c>
      <c r="AO366" t="b">
        <v>0</v>
      </c>
      <c r="AQ366">
        <v>91869715</v>
      </c>
      <c r="AR366">
        <v>91869715</v>
      </c>
      <c r="AS366">
        <v>0</v>
      </c>
      <c r="AT366" t="b">
        <v>0</v>
      </c>
      <c r="AU366" t="b">
        <v>1</v>
      </c>
      <c r="AV366" t="b">
        <v>1</v>
      </c>
      <c r="AW366" t="b">
        <v>1</v>
      </c>
      <c r="BC366" t="s">
        <v>374</v>
      </c>
    </row>
    <row r="367" spans="1:55" x14ac:dyDescent="0.2">
      <c r="A367" t="s">
        <v>39</v>
      </c>
      <c r="B367" t="s">
        <v>40</v>
      </c>
      <c r="C367">
        <v>20220101</v>
      </c>
      <c r="D367">
        <v>2022</v>
      </c>
      <c r="E367">
        <v>52</v>
      </c>
      <c r="F367" t="s">
        <v>346</v>
      </c>
      <c r="G367">
        <v>204</v>
      </c>
      <c r="H367" t="s">
        <v>116</v>
      </c>
      <c r="I367" t="s">
        <v>117</v>
      </c>
      <c r="J367" t="s">
        <v>44</v>
      </c>
      <c r="K367" t="s">
        <v>45</v>
      </c>
      <c r="L367">
        <v>0</v>
      </c>
      <c r="M367" t="s">
        <v>46</v>
      </c>
      <c r="N367" t="s">
        <v>47</v>
      </c>
      <c r="O367">
        <v>0</v>
      </c>
      <c r="P367" t="s">
        <v>46</v>
      </c>
      <c r="Q367" t="s">
        <v>47</v>
      </c>
      <c r="R367" t="s">
        <v>347</v>
      </c>
      <c r="S367" t="s">
        <v>49</v>
      </c>
      <c r="T367" t="b">
        <v>1</v>
      </c>
      <c r="U367" t="s">
        <v>50</v>
      </c>
      <c r="V367" t="s">
        <v>51</v>
      </c>
      <c r="W367">
        <v>4</v>
      </c>
      <c r="X367" t="b">
        <v>0</v>
      </c>
      <c r="Y367" t="s">
        <v>52</v>
      </c>
      <c r="Z367" t="s">
        <v>53</v>
      </c>
      <c r="AA367" t="s">
        <v>54</v>
      </c>
      <c r="AB367">
        <v>0</v>
      </c>
      <c r="AC367" t="s">
        <v>55</v>
      </c>
      <c r="AD367">
        <v>8</v>
      </c>
      <c r="AE367" t="s">
        <v>56</v>
      </c>
      <c r="AF367">
        <v>2905</v>
      </c>
      <c r="AG367" t="b">
        <v>0</v>
      </c>
      <c r="AH367">
        <v>8</v>
      </c>
      <c r="AI367" t="s">
        <v>56</v>
      </c>
      <c r="AJ367">
        <v>2905</v>
      </c>
      <c r="AK367" t="b">
        <v>0</v>
      </c>
      <c r="AL367">
        <v>2905</v>
      </c>
      <c r="AM367" t="b">
        <v>0</v>
      </c>
      <c r="AN367">
        <v>0</v>
      </c>
      <c r="AO367" t="b">
        <v>0</v>
      </c>
      <c r="AQ367">
        <v>4513909.5089999996</v>
      </c>
      <c r="AR367">
        <v>4513909.5089999996</v>
      </c>
      <c r="AS367">
        <v>0</v>
      </c>
      <c r="AT367" t="b">
        <v>0</v>
      </c>
      <c r="AU367" t="b">
        <v>1</v>
      </c>
      <c r="AV367" t="b">
        <v>1</v>
      </c>
      <c r="AW367" t="b">
        <v>1</v>
      </c>
      <c r="BC367" t="s">
        <v>374</v>
      </c>
    </row>
    <row r="368" spans="1:55" x14ac:dyDescent="0.2">
      <c r="A368" t="s">
        <v>39</v>
      </c>
      <c r="B368" t="s">
        <v>40</v>
      </c>
      <c r="C368">
        <v>20220101</v>
      </c>
      <c r="D368">
        <v>2022</v>
      </c>
      <c r="E368">
        <v>52</v>
      </c>
      <c r="F368" t="s">
        <v>346</v>
      </c>
      <c r="G368">
        <v>208</v>
      </c>
      <c r="H368" t="s">
        <v>118</v>
      </c>
      <c r="I368" t="s">
        <v>119</v>
      </c>
      <c r="J368" t="s">
        <v>44</v>
      </c>
      <c r="K368" t="s">
        <v>45</v>
      </c>
      <c r="L368">
        <v>0</v>
      </c>
      <c r="M368" t="s">
        <v>46</v>
      </c>
      <c r="N368" t="s">
        <v>47</v>
      </c>
      <c r="O368">
        <v>0</v>
      </c>
      <c r="P368" t="s">
        <v>46</v>
      </c>
      <c r="Q368" t="s">
        <v>47</v>
      </c>
      <c r="R368" t="s">
        <v>347</v>
      </c>
      <c r="S368" t="s">
        <v>49</v>
      </c>
      <c r="T368" t="b">
        <v>1</v>
      </c>
      <c r="U368" t="s">
        <v>50</v>
      </c>
      <c r="V368" t="s">
        <v>51</v>
      </c>
      <c r="W368">
        <v>4</v>
      </c>
      <c r="X368" t="b">
        <v>0</v>
      </c>
      <c r="Y368" t="s">
        <v>52</v>
      </c>
      <c r="Z368" t="s">
        <v>53</v>
      </c>
      <c r="AA368" t="s">
        <v>54</v>
      </c>
      <c r="AB368">
        <v>0</v>
      </c>
      <c r="AC368" t="s">
        <v>55</v>
      </c>
      <c r="AD368">
        <v>-1</v>
      </c>
      <c r="AE368" t="s">
        <v>64</v>
      </c>
      <c r="AF368">
        <v>0</v>
      </c>
      <c r="AG368" t="b">
        <v>0</v>
      </c>
      <c r="AH368">
        <v>-1</v>
      </c>
      <c r="AI368" t="s">
        <v>64</v>
      </c>
      <c r="AJ368">
        <v>0</v>
      </c>
      <c r="AK368" t="b">
        <v>0</v>
      </c>
      <c r="AM368" t="b">
        <v>0</v>
      </c>
      <c r="AN368">
        <v>0</v>
      </c>
      <c r="AO368" t="b">
        <v>0</v>
      </c>
      <c r="AQ368">
        <v>24831195.760000002</v>
      </c>
      <c r="AR368">
        <v>24831195.760000002</v>
      </c>
      <c r="AS368">
        <v>0</v>
      </c>
      <c r="AT368" t="b">
        <v>0</v>
      </c>
      <c r="AU368" t="b">
        <v>1</v>
      </c>
      <c r="AV368" t="b">
        <v>1</v>
      </c>
      <c r="AW368" t="b">
        <v>1</v>
      </c>
      <c r="BC368" t="s">
        <v>374</v>
      </c>
    </row>
    <row r="369" spans="1:55" x14ac:dyDescent="0.2">
      <c r="A369" t="s">
        <v>39</v>
      </c>
      <c r="B369" t="s">
        <v>40</v>
      </c>
      <c r="C369">
        <v>20220101</v>
      </c>
      <c r="D369">
        <v>2022</v>
      </c>
      <c r="E369">
        <v>52</v>
      </c>
      <c r="F369" t="s">
        <v>346</v>
      </c>
      <c r="G369">
        <v>218</v>
      </c>
      <c r="H369" t="s">
        <v>122</v>
      </c>
      <c r="I369" t="s">
        <v>123</v>
      </c>
      <c r="J369" t="s">
        <v>44</v>
      </c>
      <c r="K369" t="s">
        <v>45</v>
      </c>
      <c r="L369">
        <v>0</v>
      </c>
      <c r="M369" t="s">
        <v>46</v>
      </c>
      <c r="N369" t="s">
        <v>47</v>
      </c>
      <c r="O369">
        <v>0</v>
      </c>
      <c r="P369" t="s">
        <v>46</v>
      </c>
      <c r="Q369" t="s">
        <v>47</v>
      </c>
      <c r="R369" t="s">
        <v>48</v>
      </c>
      <c r="S369" t="s">
        <v>49</v>
      </c>
      <c r="T369" t="b">
        <v>1</v>
      </c>
      <c r="U369" t="s">
        <v>50</v>
      </c>
      <c r="V369" t="s">
        <v>51</v>
      </c>
      <c r="W369">
        <v>4</v>
      </c>
      <c r="X369" t="b">
        <v>0</v>
      </c>
      <c r="Y369" t="s">
        <v>52</v>
      </c>
      <c r="Z369" t="s">
        <v>53</v>
      </c>
      <c r="AA369" t="s">
        <v>54</v>
      </c>
      <c r="AB369">
        <v>0</v>
      </c>
      <c r="AC369" t="s">
        <v>55</v>
      </c>
      <c r="AD369">
        <v>8</v>
      </c>
      <c r="AE369" t="s">
        <v>56</v>
      </c>
      <c r="AF369">
        <v>19216.7</v>
      </c>
      <c r="AG369" t="b">
        <v>0</v>
      </c>
      <c r="AH369">
        <v>21</v>
      </c>
      <c r="AI369" t="s">
        <v>306</v>
      </c>
      <c r="AJ369">
        <v>19.216999999999999</v>
      </c>
      <c r="AK369" t="b">
        <v>0</v>
      </c>
      <c r="AL369">
        <v>19216.7</v>
      </c>
      <c r="AM369" t="b">
        <v>0</v>
      </c>
      <c r="AN369">
        <v>0</v>
      </c>
      <c r="AO369" t="b">
        <v>0</v>
      </c>
      <c r="AQ369">
        <v>902808962.29999995</v>
      </c>
      <c r="AR369">
        <v>902808962.29999995</v>
      </c>
      <c r="AS369">
        <v>0</v>
      </c>
      <c r="AT369" t="b">
        <v>0</v>
      </c>
      <c r="AU369" t="b">
        <v>1</v>
      </c>
      <c r="AV369" t="b">
        <v>1</v>
      </c>
      <c r="AW369" t="b">
        <v>1</v>
      </c>
      <c r="BC369" t="s">
        <v>374</v>
      </c>
    </row>
    <row r="370" spans="1:55" x14ac:dyDescent="0.2">
      <c r="A370" t="s">
        <v>39</v>
      </c>
      <c r="B370" t="s">
        <v>40</v>
      </c>
      <c r="C370">
        <v>20220101</v>
      </c>
      <c r="D370">
        <v>2022</v>
      </c>
      <c r="E370">
        <v>52</v>
      </c>
      <c r="F370" t="s">
        <v>346</v>
      </c>
      <c r="G370">
        <v>222</v>
      </c>
      <c r="H370" t="s">
        <v>319</v>
      </c>
      <c r="I370" t="s">
        <v>320</v>
      </c>
      <c r="J370" t="s">
        <v>44</v>
      </c>
      <c r="K370" t="s">
        <v>45</v>
      </c>
      <c r="L370">
        <v>0</v>
      </c>
      <c r="M370" t="s">
        <v>46</v>
      </c>
      <c r="N370" t="s">
        <v>47</v>
      </c>
      <c r="O370">
        <v>0</v>
      </c>
      <c r="P370" t="s">
        <v>46</v>
      </c>
      <c r="Q370" t="s">
        <v>47</v>
      </c>
      <c r="R370" t="s">
        <v>347</v>
      </c>
      <c r="S370" t="s">
        <v>49</v>
      </c>
      <c r="T370" t="b">
        <v>1</v>
      </c>
      <c r="U370" t="s">
        <v>50</v>
      </c>
      <c r="V370" t="s">
        <v>51</v>
      </c>
      <c r="W370">
        <v>4</v>
      </c>
      <c r="X370" t="b">
        <v>0</v>
      </c>
      <c r="Y370" t="s">
        <v>52</v>
      </c>
      <c r="Z370" t="s">
        <v>53</v>
      </c>
      <c r="AA370" t="s">
        <v>54</v>
      </c>
      <c r="AB370">
        <v>0</v>
      </c>
      <c r="AC370" t="s">
        <v>55</v>
      </c>
      <c r="AD370">
        <v>-1</v>
      </c>
      <c r="AE370" t="s">
        <v>64</v>
      </c>
      <c r="AF370">
        <v>0</v>
      </c>
      <c r="AG370" t="b">
        <v>0</v>
      </c>
      <c r="AH370">
        <v>-1</v>
      </c>
      <c r="AI370" t="s">
        <v>64</v>
      </c>
      <c r="AJ370">
        <v>0</v>
      </c>
      <c r="AK370" t="b">
        <v>0</v>
      </c>
      <c r="AL370">
        <v>0</v>
      </c>
      <c r="AM370" t="b">
        <v>0</v>
      </c>
      <c r="AN370">
        <v>0</v>
      </c>
      <c r="AO370" t="b">
        <v>0</v>
      </c>
      <c r="AP370">
        <v>0</v>
      </c>
      <c r="AQ370">
        <v>54731.72</v>
      </c>
      <c r="AR370">
        <v>54731.72</v>
      </c>
      <c r="AS370">
        <v>0</v>
      </c>
      <c r="AT370" t="b">
        <v>0</v>
      </c>
      <c r="AU370" t="b">
        <v>1</v>
      </c>
      <c r="AV370" t="b">
        <v>1</v>
      </c>
      <c r="AW370" t="b">
        <v>1</v>
      </c>
      <c r="BC370" t="s">
        <v>374</v>
      </c>
    </row>
    <row r="371" spans="1:55" x14ac:dyDescent="0.2">
      <c r="A371" t="s">
        <v>39</v>
      </c>
      <c r="B371" t="s">
        <v>40</v>
      </c>
      <c r="C371">
        <v>20220101</v>
      </c>
      <c r="D371">
        <v>2022</v>
      </c>
      <c r="E371">
        <v>52</v>
      </c>
      <c r="F371" t="s">
        <v>346</v>
      </c>
      <c r="G371">
        <v>233</v>
      </c>
      <c r="H371" t="s">
        <v>124</v>
      </c>
      <c r="I371" t="s">
        <v>125</v>
      </c>
      <c r="J371" t="s">
        <v>44</v>
      </c>
      <c r="K371" t="s">
        <v>45</v>
      </c>
      <c r="L371">
        <v>0</v>
      </c>
      <c r="M371" t="s">
        <v>46</v>
      </c>
      <c r="N371" t="s">
        <v>47</v>
      </c>
      <c r="O371">
        <v>0</v>
      </c>
      <c r="P371" t="s">
        <v>46</v>
      </c>
      <c r="Q371" t="s">
        <v>47</v>
      </c>
      <c r="R371" t="s">
        <v>347</v>
      </c>
      <c r="S371" t="s">
        <v>49</v>
      </c>
      <c r="T371" t="b">
        <v>1</v>
      </c>
      <c r="U371" t="s">
        <v>50</v>
      </c>
      <c r="V371" t="s">
        <v>51</v>
      </c>
      <c r="W371">
        <v>4</v>
      </c>
      <c r="X371" t="b">
        <v>0</v>
      </c>
      <c r="Y371" t="s">
        <v>52</v>
      </c>
      <c r="Z371" t="s">
        <v>53</v>
      </c>
      <c r="AA371" t="s">
        <v>54</v>
      </c>
      <c r="AB371">
        <v>0</v>
      </c>
      <c r="AC371" t="s">
        <v>55</v>
      </c>
      <c r="AD371">
        <v>8</v>
      </c>
      <c r="AE371" t="s">
        <v>56</v>
      </c>
      <c r="AF371">
        <v>2039.8009999999999</v>
      </c>
      <c r="AG371" t="b">
        <v>0</v>
      </c>
      <c r="AH371">
        <v>15</v>
      </c>
      <c r="AI371" t="s">
        <v>59</v>
      </c>
      <c r="AJ371">
        <v>2039800.852</v>
      </c>
      <c r="AK371" t="b">
        <v>0</v>
      </c>
      <c r="AL371">
        <v>2039.809</v>
      </c>
      <c r="AM371" t="b">
        <v>0</v>
      </c>
      <c r="AN371">
        <v>0</v>
      </c>
      <c r="AO371" t="b">
        <v>0</v>
      </c>
      <c r="AQ371">
        <v>113473859.84</v>
      </c>
      <c r="AR371">
        <v>113473859.84</v>
      </c>
      <c r="AS371">
        <v>0</v>
      </c>
      <c r="AT371" t="b">
        <v>0</v>
      </c>
      <c r="AU371" t="b">
        <v>1</v>
      </c>
      <c r="AV371" t="b">
        <v>1</v>
      </c>
      <c r="AW371" t="b">
        <v>1</v>
      </c>
      <c r="BC371" t="s">
        <v>374</v>
      </c>
    </row>
    <row r="372" spans="1:55" x14ac:dyDescent="0.2">
      <c r="A372" t="s">
        <v>39</v>
      </c>
      <c r="B372" t="s">
        <v>40</v>
      </c>
      <c r="C372">
        <v>20220101</v>
      </c>
      <c r="D372">
        <v>2022</v>
      </c>
      <c r="E372">
        <v>52</v>
      </c>
      <c r="F372" t="s">
        <v>346</v>
      </c>
      <c r="G372">
        <v>242</v>
      </c>
      <c r="H372" t="s">
        <v>126</v>
      </c>
      <c r="I372" t="s">
        <v>127</v>
      </c>
      <c r="J372" t="s">
        <v>44</v>
      </c>
      <c r="K372" t="s">
        <v>45</v>
      </c>
      <c r="L372">
        <v>0</v>
      </c>
      <c r="M372" t="s">
        <v>46</v>
      </c>
      <c r="N372" t="s">
        <v>47</v>
      </c>
      <c r="O372">
        <v>0</v>
      </c>
      <c r="P372" t="s">
        <v>46</v>
      </c>
      <c r="Q372" t="s">
        <v>47</v>
      </c>
      <c r="R372" t="s">
        <v>347</v>
      </c>
      <c r="S372" t="s">
        <v>49</v>
      </c>
      <c r="T372" t="b">
        <v>1</v>
      </c>
      <c r="U372" t="s">
        <v>50</v>
      </c>
      <c r="V372" t="s">
        <v>51</v>
      </c>
      <c r="W372">
        <v>4</v>
      </c>
      <c r="X372" t="b">
        <v>0</v>
      </c>
      <c r="Y372" t="s">
        <v>52</v>
      </c>
      <c r="Z372" t="s">
        <v>53</v>
      </c>
      <c r="AA372" t="s">
        <v>54</v>
      </c>
      <c r="AB372">
        <v>0</v>
      </c>
      <c r="AC372" t="s">
        <v>55</v>
      </c>
      <c r="AD372">
        <v>8</v>
      </c>
      <c r="AE372" t="s">
        <v>56</v>
      </c>
      <c r="AF372">
        <v>817.14</v>
      </c>
      <c r="AG372" t="b">
        <v>0</v>
      </c>
      <c r="AH372">
        <v>8</v>
      </c>
      <c r="AI372" t="s">
        <v>56</v>
      </c>
      <c r="AJ372">
        <v>817.14</v>
      </c>
      <c r="AK372" t="b">
        <v>0</v>
      </c>
      <c r="AL372">
        <v>817.14</v>
      </c>
      <c r="AM372" t="b">
        <v>0</v>
      </c>
      <c r="AN372">
        <v>0</v>
      </c>
      <c r="AO372" t="b">
        <v>0</v>
      </c>
      <c r="AQ372">
        <v>46041651.306000002</v>
      </c>
      <c r="AR372">
        <v>46041651.306000002</v>
      </c>
      <c r="AS372">
        <v>0</v>
      </c>
      <c r="AT372" t="b">
        <v>0</v>
      </c>
      <c r="AU372" t="b">
        <v>1</v>
      </c>
      <c r="AV372" t="b">
        <v>1</v>
      </c>
      <c r="AW372" t="b">
        <v>1</v>
      </c>
      <c r="BC372" t="s">
        <v>374</v>
      </c>
    </row>
    <row r="373" spans="1:55" x14ac:dyDescent="0.2">
      <c r="A373" t="s">
        <v>39</v>
      </c>
      <c r="B373" t="s">
        <v>40</v>
      </c>
      <c r="C373">
        <v>20220101</v>
      </c>
      <c r="D373">
        <v>2022</v>
      </c>
      <c r="E373">
        <v>52</v>
      </c>
      <c r="F373" t="s">
        <v>346</v>
      </c>
      <c r="G373">
        <v>246</v>
      </c>
      <c r="H373" t="s">
        <v>128</v>
      </c>
      <c r="I373" t="s">
        <v>129</v>
      </c>
      <c r="J373" t="s">
        <v>44</v>
      </c>
      <c r="K373" t="s">
        <v>45</v>
      </c>
      <c r="L373">
        <v>0</v>
      </c>
      <c r="M373" t="s">
        <v>46</v>
      </c>
      <c r="N373" t="s">
        <v>47</v>
      </c>
      <c r="O373">
        <v>0</v>
      </c>
      <c r="P373" t="s">
        <v>46</v>
      </c>
      <c r="Q373" t="s">
        <v>47</v>
      </c>
      <c r="R373" t="s">
        <v>347</v>
      </c>
      <c r="S373" t="s">
        <v>49</v>
      </c>
      <c r="T373" t="b">
        <v>1</v>
      </c>
      <c r="U373" t="s">
        <v>50</v>
      </c>
      <c r="V373" t="s">
        <v>51</v>
      </c>
      <c r="W373">
        <v>4</v>
      </c>
      <c r="X373" t="b">
        <v>0</v>
      </c>
      <c r="Y373" t="s">
        <v>52</v>
      </c>
      <c r="Z373" t="s">
        <v>53</v>
      </c>
      <c r="AA373" t="s">
        <v>54</v>
      </c>
      <c r="AB373">
        <v>0</v>
      </c>
      <c r="AC373" t="s">
        <v>55</v>
      </c>
      <c r="AD373">
        <v>8</v>
      </c>
      <c r="AE373" t="s">
        <v>56</v>
      </c>
      <c r="AF373">
        <v>143.52699999999999</v>
      </c>
      <c r="AG373" t="b">
        <v>1</v>
      </c>
      <c r="AH373">
        <v>-1</v>
      </c>
      <c r="AI373" t="s">
        <v>64</v>
      </c>
      <c r="AJ373">
        <v>0</v>
      </c>
      <c r="AK373" t="b">
        <v>0</v>
      </c>
      <c r="AL373">
        <v>147.04300000000001</v>
      </c>
      <c r="AM373" t="b">
        <v>1</v>
      </c>
      <c r="AN373">
        <v>0</v>
      </c>
      <c r="AO373" t="b">
        <v>0</v>
      </c>
      <c r="AQ373">
        <v>6666163.2359999996</v>
      </c>
      <c r="AR373">
        <v>6666163.2359999996</v>
      </c>
      <c r="AS373">
        <v>6</v>
      </c>
      <c r="AT373" t="b">
        <v>0</v>
      </c>
      <c r="AU373" t="b">
        <v>1</v>
      </c>
      <c r="AV373" t="b">
        <v>1</v>
      </c>
      <c r="AW373" t="b">
        <v>1</v>
      </c>
      <c r="BC373" t="s">
        <v>374</v>
      </c>
    </row>
    <row r="374" spans="1:55" x14ac:dyDescent="0.2">
      <c r="A374" t="s">
        <v>39</v>
      </c>
      <c r="B374" t="s">
        <v>40</v>
      </c>
      <c r="C374">
        <v>20220101</v>
      </c>
      <c r="D374">
        <v>2022</v>
      </c>
      <c r="E374">
        <v>52</v>
      </c>
      <c r="F374" t="s">
        <v>346</v>
      </c>
      <c r="G374">
        <v>251</v>
      </c>
      <c r="H374" t="s">
        <v>130</v>
      </c>
      <c r="I374" t="s">
        <v>131</v>
      </c>
      <c r="J374" t="s">
        <v>44</v>
      </c>
      <c r="K374" t="s">
        <v>45</v>
      </c>
      <c r="L374">
        <v>0</v>
      </c>
      <c r="M374" t="s">
        <v>46</v>
      </c>
      <c r="N374" t="s">
        <v>47</v>
      </c>
      <c r="O374">
        <v>0</v>
      </c>
      <c r="P374" t="s">
        <v>46</v>
      </c>
      <c r="Q374" t="s">
        <v>47</v>
      </c>
      <c r="R374" t="s">
        <v>347</v>
      </c>
      <c r="S374" t="s">
        <v>49</v>
      </c>
      <c r="T374" t="b">
        <v>1</v>
      </c>
      <c r="U374" t="s">
        <v>50</v>
      </c>
      <c r="V374" t="s">
        <v>51</v>
      </c>
      <c r="W374">
        <v>4</v>
      </c>
      <c r="X374" t="b">
        <v>0</v>
      </c>
      <c r="Y374" t="s">
        <v>52</v>
      </c>
      <c r="Z374" t="s">
        <v>53</v>
      </c>
      <c r="AA374" t="s">
        <v>54</v>
      </c>
      <c r="AB374">
        <v>0</v>
      </c>
      <c r="AC374" t="s">
        <v>55</v>
      </c>
      <c r="AD374">
        <v>-1</v>
      </c>
      <c r="AE374" t="s">
        <v>64</v>
      </c>
      <c r="AF374">
        <v>0</v>
      </c>
      <c r="AG374" t="b">
        <v>0</v>
      </c>
      <c r="AH374">
        <v>-1</v>
      </c>
      <c r="AI374" t="s">
        <v>64</v>
      </c>
      <c r="AJ374">
        <v>0</v>
      </c>
      <c r="AK374" t="b">
        <v>0</v>
      </c>
      <c r="AM374" t="b">
        <v>0</v>
      </c>
      <c r="AN374">
        <v>0</v>
      </c>
      <c r="AO374" t="b">
        <v>0</v>
      </c>
      <c r="AQ374">
        <v>1926499469.701</v>
      </c>
      <c r="AR374">
        <v>1926499469.701</v>
      </c>
      <c r="AS374">
        <v>0</v>
      </c>
      <c r="AT374" t="b">
        <v>0</v>
      </c>
      <c r="AU374" t="b">
        <v>1</v>
      </c>
      <c r="AV374" t="b">
        <v>1</v>
      </c>
      <c r="AW374" t="b">
        <v>1</v>
      </c>
      <c r="BC374" t="s">
        <v>374</v>
      </c>
    </row>
    <row r="375" spans="1:55" x14ac:dyDescent="0.2">
      <c r="A375" t="s">
        <v>39</v>
      </c>
      <c r="B375" t="s">
        <v>40</v>
      </c>
      <c r="C375">
        <v>20220101</v>
      </c>
      <c r="D375">
        <v>2022</v>
      </c>
      <c r="E375">
        <v>52</v>
      </c>
      <c r="F375" t="s">
        <v>346</v>
      </c>
      <c r="G375">
        <v>258</v>
      </c>
      <c r="H375" t="s">
        <v>132</v>
      </c>
      <c r="I375" t="s">
        <v>133</v>
      </c>
      <c r="J375" t="s">
        <v>44</v>
      </c>
      <c r="K375" t="s">
        <v>45</v>
      </c>
      <c r="L375">
        <v>0</v>
      </c>
      <c r="M375" t="s">
        <v>46</v>
      </c>
      <c r="N375" t="s">
        <v>47</v>
      </c>
      <c r="O375">
        <v>0</v>
      </c>
      <c r="P375" t="s">
        <v>46</v>
      </c>
      <c r="Q375" t="s">
        <v>47</v>
      </c>
      <c r="R375" t="s">
        <v>48</v>
      </c>
      <c r="S375" t="s">
        <v>49</v>
      </c>
      <c r="T375" t="b">
        <v>1</v>
      </c>
      <c r="U375" t="s">
        <v>50</v>
      </c>
      <c r="V375" t="s">
        <v>51</v>
      </c>
      <c r="W375">
        <v>4</v>
      </c>
      <c r="X375" t="b">
        <v>0</v>
      </c>
      <c r="Y375" t="s">
        <v>52</v>
      </c>
      <c r="Z375" t="s">
        <v>53</v>
      </c>
      <c r="AA375" t="s">
        <v>54</v>
      </c>
      <c r="AB375">
        <v>0</v>
      </c>
      <c r="AC375" t="s">
        <v>55</v>
      </c>
      <c r="AD375">
        <v>8</v>
      </c>
      <c r="AE375" t="s">
        <v>56</v>
      </c>
      <c r="AF375">
        <v>10.46</v>
      </c>
      <c r="AG375" t="b">
        <v>0</v>
      </c>
      <c r="AH375">
        <v>15</v>
      </c>
      <c r="AI375" t="s">
        <v>59</v>
      </c>
      <c r="AJ375">
        <v>10460</v>
      </c>
      <c r="AK375" t="b">
        <v>0</v>
      </c>
      <c r="AL375">
        <v>10.455</v>
      </c>
      <c r="AM375" t="b">
        <v>0</v>
      </c>
      <c r="AN375">
        <v>0</v>
      </c>
      <c r="AO375" t="b">
        <v>0</v>
      </c>
      <c r="AQ375">
        <v>242108.10399999999</v>
      </c>
      <c r="AR375">
        <v>242108.10399999999</v>
      </c>
      <c r="AS375">
        <v>0</v>
      </c>
      <c r="AT375" t="b">
        <v>0</v>
      </c>
      <c r="AU375" t="b">
        <v>1</v>
      </c>
      <c r="AV375" t="b">
        <v>1</v>
      </c>
      <c r="AW375" t="b">
        <v>1</v>
      </c>
      <c r="BC375" t="s">
        <v>374</v>
      </c>
    </row>
    <row r="376" spans="1:55" x14ac:dyDescent="0.2">
      <c r="A376" t="s">
        <v>39</v>
      </c>
      <c r="B376" t="s">
        <v>40</v>
      </c>
      <c r="C376">
        <v>20220101</v>
      </c>
      <c r="D376">
        <v>2022</v>
      </c>
      <c r="E376">
        <v>52</v>
      </c>
      <c r="F376" t="s">
        <v>346</v>
      </c>
      <c r="G376">
        <v>266</v>
      </c>
      <c r="H376" t="s">
        <v>134</v>
      </c>
      <c r="I376" t="s">
        <v>135</v>
      </c>
      <c r="J376" t="s">
        <v>44</v>
      </c>
      <c r="K376" t="s">
        <v>45</v>
      </c>
      <c r="L376">
        <v>0</v>
      </c>
      <c r="M376" t="s">
        <v>46</v>
      </c>
      <c r="N376" t="s">
        <v>47</v>
      </c>
      <c r="O376">
        <v>0</v>
      </c>
      <c r="P376" t="s">
        <v>46</v>
      </c>
      <c r="Q376" t="s">
        <v>47</v>
      </c>
      <c r="R376" t="s">
        <v>48</v>
      </c>
      <c r="S376" t="s">
        <v>49</v>
      </c>
      <c r="T376" t="b">
        <v>1</v>
      </c>
      <c r="U376" t="s">
        <v>50</v>
      </c>
      <c r="V376" t="s">
        <v>51</v>
      </c>
      <c r="W376">
        <v>4</v>
      </c>
      <c r="X376" t="b">
        <v>0</v>
      </c>
      <c r="Y376" t="s">
        <v>52</v>
      </c>
      <c r="Z376" t="s">
        <v>53</v>
      </c>
      <c r="AA376" t="s">
        <v>54</v>
      </c>
      <c r="AB376">
        <v>0</v>
      </c>
      <c r="AC376" t="s">
        <v>55</v>
      </c>
      <c r="AD376">
        <v>8</v>
      </c>
      <c r="AE376" t="s">
        <v>56</v>
      </c>
      <c r="AF376">
        <v>1366.758</v>
      </c>
      <c r="AG376" t="b">
        <v>0</v>
      </c>
      <c r="AH376">
        <v>8</v>
      </c>
      <c r="AI376" t="s">
        <v>56</v>
      </c>
      <c r="AJ376">
        <v>1366.758</v>
      </c>
      <c r="AK376" t="b">
        <v>0</v>
      </c>
      <c r="AL376">
        <v>1366.758</v>
      </c>
      <c r="AM376" t="b">
        <v>0</v>
      </c>
      <c r="AN376">
        <v>0</v>
      </c>
      <c r="AO376" t="b">
        <v>0</v>
      </c>
      <c r="AQ376">
        <v>70161902.997999996</v>
      </c>
      <c r="AR376">
        <v>70161902.997999996</v>
      </c>
      <c r="AS376">
        <v>0</v>
      </c>
      <c r="AT376" t="b">
        <v>0</v>
      </c>
      <c r="AU376" t="b">
        <v>1</v>
      </c>
      <c r="AV376" t="b">
        <v>1</v>
      </c>
      <c r="AW376" t="b">
        <v>1</v>
      </c>
      <c r="BC376" t="s">
        <v>374</v>
      </c>
    </row>
    <row r="377" spans="1:55" x14ac:dyDescent="0.2">
      <c r="A377" t="s">
        <v>39</v>
      </c>
      <c r="B377" t="s">
        <v>40</v>
      </c>
      <c r="C377">
        <v>20220101</v>
      </c>
      <c r="D377">
        <v>2022</v>
      </c>
      <c r="E377">
        <v>52</v>
      </c>
      <c r="F377" t="s">
        <v>346</v>
      </c>
      <c r="G377">
        <v>268</v>
      </c>
      <c r="H377" t="s">
        <v>137</v>
      </c>
      <c r="I377" t="s">
        <v>138</v>
      </c>
      <c r="J377" t="s">
        <v>44</v>
      </c>
      <c r="K377" t="s">
        <v>45</v>
      </c>
      <c r="L377">
        <v>0</v>
      </c>
      <c r="M377" t="s">
        <v>46</v>
      </c>
      <c r="N377" t="s">
        <v>47</v>
      </c>
      <c r="O377">
        <v>0</v>
      </c>
      <c r="P377" t="s">
        <v>46</v>
      </c>
      <c r="Q377" t="s">
        <v>47</v>
      </c>
      <c r="R377" t="s">
        <v>48</v>
      </c>
      <c r="S377" t="s">
        <v>49</v>
      </c>
      <c r="T377" t="b">
        <v>1</v>
      </c>
      <c r="U377" t="s">
        <v>50</v>
      </c>
      <c r="V377" t="s">
        <v>51</v>
      </c>
      <c r="W377">
        <v>4</v>
      </c>
      <c r="X377" t="b">
        <v>0</v>
      </c>
      <c r="Y377" t="s">
        <v>52</v>
      </c>
      <c r="Z377" t="s">
        <v>53</v>
      </c>
      <c r="AA377" t="s">
        <v>54</v>
      </c>
      <c r="AB377">
        <v>0</v>
      </c>
      <c r="AC377" t="s">
        <v>55</v>
      </c>
      <c r="AD377">
        <v>8</v>
      </c>
      <c r="AE377" t="s">
        <v>56</v>
      </c>
      <c r="AF377">
        <v>2680.13</v>
      </c>
      <c r="AG377" t="b">
        <v>0</v>
      </c>
      <c r="AH377">
        <v>8</v>
      </c>
      <c r="AI377" t="s">
        <v>56</v>
      </c>
      <c r="AJ377">
        <v>2680.13</v>
      </c>
      <c r="AK377" t="b">
        <v>0</v>
      </c>
      <c r="AL377">
        <v>2680.078</v>
      </c>
      <c r="AM377" t="b">
        <v>0</v>
      </c>
      <c r="AN377">
        <v>0</v>
      </c>
      <c r="AO377" t="b">
        <v>0</v>
      </c>
      <c r="AQ377">
        <v>81476704.963</v>
      </c>
      <c r="AR377">
        <v>81476704.963</v>
      </c>
      <c r="AS377">
        <v>0</v>
      </c>
      <c r="AT377" t="b">
        <v>0</v>
      </c>
      <c r="AU377" t="b">
        <v>1</v>
      </c>
      <c r="AV377" t="b">
        <v>1</v>
      </c>
      <c r="AW377" t="b">
        <v>1</v>
      </c>
      <c r="BC377" t="s">
        <v>374</v>
      </c>
    </row>
    <row r="378" spans="1:55" x14ac:dyDescent="0.2">
      <c r="A378" t="s">
        <v>39</v>
      </c>
      <c r="B378" t="s">
        <v>40</v>
      </c>
      <c r="C378">
        <v>20220101</v>
      </c>
      <c r="D378">
        <v>2022</v>
      </c>
      <c r="E378">
        <v>52</v>
      </c>
      <c r="F378" t="s">
        <v>346</v>
      </c>
      <c r="G378">
        <v>300</v>
      </c>
      <c r="H378" t="s">
        <v>143</v>
      </c>
      <c r="I378" t="s">
        <v>144</v>
      </c>
      <c r="J378" t="s">
        <v>44</v>
      </c>
      <c r="K378" t="s">
        <v>45</v>
      </c>
      <c r="L378">
        <v>0</v>
      </c>
      <c r="M378" t="s">
        <v>46</v>
      </c>
      <c r="N378" t="s">
        <v>47</v>
      </c>
      <c r="O378">
        <v>0</v>
      </c>
      <c r="P378" t="s">
        <v>46</v>
      </c>
      <c r="Q378" t="s">
        <v>47</v>
      </c>
      <c r="R378" t="s">
        <v>347</v>
      </c>
      <c r="S378" t="s">
        <v>49</v>
      </c>
      <c r="T378" t="b">
        <v>1</v>
      </c>
      <c r="U378" t="s">
        <v>50</v>
      </c>
      <c r="V378" t="s">
        <v>51</v>
      </c>
      <c r="W378">
        <v>4</v>
      </c>
      <c r="X378" t="b">
        <v>0</v>
      </c>
      <c r="Y378" t="s">
        <v>52</v>
      </c>
      <c r="Z378" t="s">
        <v>53</v>
      </c>
      <c r="AA378" t="s">
        <v>54</v>
      </c>
      <c r="AB378">
        <v>0</v>
      </c>
      <c r="AC378" t="s">
        <v>55</v>
      </c>
      <c r="AD378">
        <v>8</v>
      </c>
      <c r="AE378" t="s">
        <v>56</v>
      </c>
      <c r="AF378">
        <v>1495.085</v>
      </c>
      <c r="AG378" t="b">
        <v>1</v>
      </c>
      <c r="AH378">
        <v>-1</v>
      </c>
      <c r="AI378" t="s">
        <v>64</v>
      </c>
      <c r="AJ378">
        <v>0</v>
      </c>
      <c r="AK378" t="b">
        <v>0</v>
      </c>
      <c r="AM378" t="b">
        <v>0</v>
      </c>
      <c r="AN378">
        <v>0</v>
      </c>
      <c r="AO378" t="b">
        <v>0</v>
      </c>
      <c r="AQ378">
        <v>40449862.986000001</v>
      </c>
      <c r="AR378">
        <v>40449862.986000001</v>
      </c>
      <c r="AS378">
        <v>2</v>
      </c>
      <c r="AT378" t="b">
        <v>0</v>
      </c>
      <c r="AU378" t="b">
        <v>1</v>
      </c>
      <c r="AV378" t="b">
        <v>1</v>
      </c>
      <c r="AW378" t="b">
        <v>1</v>
      </c>
      <c r="BC378" t="s">
        <v>374</v>
      </c>
    </row>
    <row r="379" spans="1:55" x14ac:dyDescent="0.2">
      <c r="A379" t="s">
        <v>39</v>
      </c>
      <c r="B379" t="s">
        <v>40</v>
      </c>
      <c r="C379">
        <v>20220101</v>
      </c>
      <c r="D379">
        <v>2022</v>
      </c>
      <c r="E379">
        <v>52</v>
      </c>
      <c r="F379" t="s">
        <v>346</v>
      </c>
      <c r="G379">
        <v>328</v>
      </c>
      <c r="H379" t="s">
        <v>145</v>
      </c>
      <c r="I379" t="s">
        <v>146</v>
      </c>
      <c r="J379" t="s">
        <v>44</v>
      </c>
      <c r="K379" t="s">
        <v>45</v>
      </c>
      <c r="L379">
        <v>0</v>
      </c>
      <c r="M379" t="s">
        <v>46</v>
      </c>
      <c r="N379" t="s">
        <v>47</v>
      </c>
      <c r="O379">
        <v>0</v>
      </c>
      <c r="P379" t="s">
        <v>46</v>
      </c>
      <c r="Q379" t="s">
        <v>47</v>
      </c>
      <c r="R379" t="s">
        <v>48</v>
      </c>
      <c r="S379" t="s">
        <v>49</v>
      </c>
      <c r="T379" t="b">
        <v>1</v>
      </c>
      <c r="U379" t="s">
        <v>50</v>
      </c>
      <c r="V379" t="s">
        <v>51</v>
      </c>
      <c r="W379">
        <v>4</v>
      </c>
      <c r="X379" t="b">
        <v>0</v>
      </c>
      <c r="Y379" t="s">
        <v>52</v>
      </c>
      <c r="Z379" t="s">
        <v>53</v>
      </c>
      <c r="AA379" t="s">
        <v>54</v>
      </c>
      <c r="AB379">
        <v>0</v>
      </c>
      <c r="AC379" t="s">
        <v>55</v>
      </c>
      <c r="AD379">
        <v>8</v>
      </c>
      <c r="AE379" t="s">
        <v>56</v>
      </c>
      <c r="AF379">
        <v>30042.54</v>
      </c>
      <c r="AG379" t="b">
        <v>0</v>
      </c>
      <c r="AH379">
        <v>8</v>
      </c>
      <c r="AI379" t="s">
        <v>56</v>
      </c>
      <c r="AJ379">
        <v>30042.54</v>
      </c>
      <c r="AK379" t="b">
        <v>0</v>
      </c>
      <c r="AL379">
        <v>30042.54</v>
      </c>
      <c r="AM379" t="b">
        <v>0</v>
      </c>
      <c r="AN379">
        <v>0</v>
      </c>
      <c r="AO379" t="b">
        <v>0</v>
      </c>
      <c r="AQ379">
        <v>1655477903.0320001</v>
      </c>
      <c r="AR379">
        <v>1655477903.0320001</v>
      </c>
      <c r="AS379">
        <v>0</v>
      </c>
      <c r="AT379" t="b">
        <v>0</v>
      </c>
      <c r="AU379" t="b">
        <v>1</v>
      </c>
      <c r="AV379" t="b">
        <v>1</v>
      </c>
      <c r="AW379" t="b">
        <v>1</v>
      </c>
      <c r="BC379" t="s">
        <v>374</v>
      </c>
    </row>
    <row r="380" spans="1:55" x14ac:dyDescent="0.2">
      <c r="A380" t="s">
        <v>39</v>
      </c>
      <c r="B380" t="s">
        <v>40</v>
      </c>
      <c r="C380">
        <v>20220101</v>
      </c>
      <c r="D380">
        <v>2022</v>
      </c>
      <c r="E380">
        <v>52</v>
      </c>
      <c r="F380" t="s">
        <v>346</v>
      </c>
      <c r="G380">
        <v>348</v>
      </c>
      <c r="H380" t="s">
        <v>151</v>
      </c>
      <c r="I380" t="s">
        <v>152</v>
      </c>
      <c r="J380" t="s">
        <v>44</v>
      </c>
      <c r="K380" t="s">
        <v>45</v>
      </c>
      <c r="L380">
        <v>0</v>
      </c>
      <c r="M380" t="s">
        <v>46</v>
      </c>
      <c r="N380" t="s">
        <v>47</v>
      </c>
      <c r="O380">
        <v>0</v>
      </c>
      <c r="P380" t="s">
        <v>46</v>
      </c>
      <c r="Q380" t="s">
        <v>47</v>
      </c>
      <c r="R380" t="s">
        <v>347</v>
      </c>
      <c r="S380" t="s">
        <v>49</v>
      </c>
      <c r="T380" t="b">
        <v>1</v>
      </c>
      <c r="U380" t="s">
        <v>50</v>
      </c>
      <c r="V380" t="s">
        <v>51</v>
      </c>
      <c r="W380">
        <v>4</v>
      </c>
      <c r="X380" t="b">
        <v>0</v>
      </c>
      <c r="Y380" t="s">
        <v>52</v>
      </c>
      <c r="Z380" t="s">
        <v>53</v>
      </c>
      <c r="AA380" t="s">
        <v>54</v>
      </c>
      <c r="AB380">
        <v>0</v>
      </c>
      <c r="AC380" t="s">
        <v>55</v>
      </c>
      <c r="AD380">
        <v>-1</v>
      </c>
      <c r="AE380" t="s">
        <v>64</v>
      </c>
      <c r="AF380">
        <v>0</v>
      </c>
      <c r="AG380" t="b">
        <v>1</v>
      </c>
      <c r="AH380">
        <v>-1</v>
      </c>
      <c r="AI380" t="s">
        <v>64</v>
      </c>
      <c r="AJ380">
        <v>0</v>
      </c>
      <c r="AK380" t="b">
        <v>0</v>
      </c>
      <c r="AL380">
        <v>0</v>
      </c>
      <c r="AM380" t="b">
        <v>1</v>
      </c>
      <c r="AN380">
        <v>0</v>
      </c>
      <c r="AO380" t="b">
        <v>0</v>
      </c>
      <c r="AQ380">
        <v>52146532</v>
      </c>
      <c r="AR380">
        <v>52146532</v>
      </c>
      <c r="AS380">
        <v>6</v>
      </c>
      <c r="AT380" t="b">
        <v>0</v>
      </c>
      <c r="AU380" t="b">
        <v>1</v>
      </c>
      <c r="AV380" t="b">
        <v>1</v>
      </c>
      <c r="AW380" t="b">
        <v>1</v>
      </c>
      <c r="BC380" t="s">
        <v>374</v>
      </c>
    </row>
    <row r="381" spans="1:55" x14ac:dyDescent="0.2">
      <c r="A381" t="s">
        <v>39</v>
      </c>
      <c r="B381" t="s">
        <v>40</v>
      </c>
      <c r="C381">
        <v>20220101</v>
      </c>
      <c r="D381">
        <v>2022</v>
      </c>
      <c r="E381">
        <v>52</v>
      </c>
      <c r="F381" t="s">
        <v>346</v>
      </c>
      <c r="G381">
        <v>360</v>
      </c>
      <c r="H381" t="s">
        <v>155</v>
      </c>
      <c r="I381" t="s">
        <v>156</v>
      </c>
      <c r="J381" t="s">
        <v>44</v>
      </c>
      <c r="K381" t="s">
        <v>45</v>
      </c>
      <c r="L381">
        <v>0</v>
      </c>
      <c r="M381" t="s">
        <v>46</v>
      </c>
      <c r="N381" t="s">
        <v>47</v>
      </c>
      <c r="O381">
        <v>0</v>
      </c>
      <c r="P381" t="s">
        <v>46</v>
      </c>
      <c r="Q381" t="s">
        <v>47</v>
      </c>
      <c r="R381" t="s">
        <v>347</v>
      </c>
      <c r="S381" t="s">
        <v>49</v>
      </c>
      <c r="T381" t="b">
        <v>1</v>
      </c>
      <c r="U381" t="s">
        <v>50</v>
      </c>
      <c r="V381" t="s">
        <v>51</v>
      </c>
      <c r="W381">
        <v>4</v>
      </c>
      <c r="X381" t="b">
        <v>0</v>
      </c>
      <c r="Y381" t="s">
        <v>52</v>
      </c>
      <c r="Z381" t="s">
        <v>53</v>
      </c>
      <c r="AA381" t="s">
        <v>54</v>
      </c>
      <c r="AB381">
        <v>0</v>
      </c>
      <c r="AC381" t="s">
        <v>55</v>
      </c>
      <c r="AD381">
        <v>-1</v>
      </c>
      <c r="AE381" t="s">
        <v>64</v>
      </c>
      <c r="AF381">
        <v>0</v>
      </c>
      <c r="AG381" t="b">
        <v>0</v>
      </c>
      <c r="AH381">
        <v>-1</v>
      </c>
      <c r="AI381" t="s">
        <v>64</v>
      </c>
      <c r="AJ381">
        <v>0</v>
      </c>
      <c r="AK381" t="b">
        <v>0</v>
      </c>
      <c r="AM381" t="b">
        <v>0</v>
      </c>
      <c r="AN381">
        <v>0</v>
      </c>
      <c r="AO381" t="b">
        <v>0</v>
      </c>
      <c r="AQ381">
        <v>1027513951.913</v>
      </c>
      <c r="AR381">
        <v>1027513951.913</v>
      </c>
      <c r="AS381">
        <v>0</v>
      </c>
      <c r="AT381" t="b">
        <v>0</v>
      </c>
      <c r="AU381" t="b">
        <v>1</v>
      </c>
      <c r="AV381" t="b">
        <v>1</v>
      </c>
      <c r="AW381" t="b">
        <v>1</v>
      </c>
      <c r="BC381" t="s">
        <v>374</v>
      </c>
    </row>
    <row r="382" spans="1:55" x14ac:dyDescent="0.2">
      <c r="A382" t="s">
        <v>39</v>
      </c>
      <c r="B382" t="s">
        <v>40</v>
      </c>
      <c r="C382">
        <v>20220101</v>
      </c>
      <c r="D382">
        <v>2022</v>
      </c>
      <c r="E382">
        <v>52</v>
      </c>
      <c r="F382" t="s">
        <v>346</v>
      </c>
      <c r="G382">
        <v>372</v>
      </c>
      <c r="H382" t="s">
        <v>157</v>
      </c>
      <c r="I382" t="s">
        <v>158</v>
      </c>
      <c r="J382" t="s">
        <v>44</v>
      </c>
      <c r="K382" t="s">
        <v>45</v>
      </c>
      <c r="L382">
        <v>0</v>
      </c>
      <c r="M382" t="s">
        <v>46</v>
      </c>
      <c r="N382" t="s">
        <v>47</v>
      </c>
      <c r="O382">
        <v>0</v>
      </c>
      <c r="P382" t="s">
        <v>46</v>
      </c>
      <c r="Q382" t="s">
        <v>47</v>
      </c>
      <c r="R382" t="s">
        <v>347</v>
      </c>
      <c r="S382" t="s">
        <v>49</v>
      </c>
      <c r="T382" t="b">
        <v>1</v>
      </c>
      <c r="U382" t="s">
        <v>50</v>
      </c>
      <c r="V382" t="s">
        <v>51</v>
      </c>
      <c r="W382">
        <v>4</v>
      </c>
      <c r="X382" t="b">
        <v>0</v>
      </c>
      <c r="Y382" t="s">
        <v>52</v>
      </c>
      <c r="Z382" t="s">
        <v>53</v>
      </c>
      <c r="AA382" t="s">
        <v>54</v>
      </c>
      <c r="AB382">
        <v>0</v>
      </c>
      <c r="AC382" t="s">
        <v>55</v>
      </c>
      <c r="AD382">
        <v>8</v>
      </c>
      <c r="AE382" t="s">
        <v>56</v>
      </c>
      <c r="AF382">
        <v>463.97</v>
      </c>
      <c r="AG382" t="b">
        <v>0</v>
      </c>
      <c r="AH382">
        <v>15</v>
      </c>
      <c r="AI382" t="s">
        <v>59</v>
      </c>
      <c r="AJ382">
        <v>463970</v>
      </c>
      <c r="AK382" t="b">
        <v>0</v>
      </c>
      <c r="AM382" t="b">
        <v>0</v>
      </c>
      <c r="AN382">
        <v>0</v>
      </c>
      <c r="AO382" t="b">
        <v>0</v>
      </c>
      <c r="AQ382">
        <v>15969881.579</v>
      </c>
      <c r="AR382">
        <v>15969881.579</v>
      </c>
      <c r="AS382">
        <v>0</v>
      </c>
      <c r="AT382" t="b">
        <v>0</v>
      </c>
      <c r="AU382" t="b">
        <v>1</v>
      </c>
      <c r="AV382" t="b">
        <v>1</v>
      </c>
      <c r="AW382" t="b">
        <v>1</v>
      </c>
      <c r="BC382" t="s">
        <v>374</v>
      </c>
    </row>
    <row r="383" spans="1:55" x14ac:dyDescent="0.2">
      <c r="A383" t="s">
        <v>39</v>
      </c>
      <c r="B383" t="s">
        <v>40</v>
      </c>
      <c r="C383">
        <v>20220101</v>
      </c>
      <c r="D383">
        <v>2022</v>
      </c>
      <c r="E383">
        <v>52</v>
      </c>
      <c r="F383" t="s">
        <v>346</v>
      </c>
      <c r="G383">
        <v>376</v>
      </c>
      <c r="H383" t="s">
        <v>159</v>
      </c>
      <c r="I383" t="s">
        <v>160</v>
      </c>
      <c r="J383" t="s">
        <v>44</v>
      </c>
      <c r="K383" t="s">
        <v>45</v>
      </c>
      <c r="L383">
        <v>0</v>
      </c>
      <c r="M383" t="s">
        <v>46</v>
      </c>
      <c r="N383" t="s">
        <v>47</v>
      </c>
      <c r="O383">
        <v>0</v>
      </c>
      <c r="P383" t="s">
        <v>46</v>
      </c>
      <c r="Q383" t="s">
        <v>47</v>
      </c>
      <c r="R383" t="s">
        <v>347</v>
      </c>
      <c r="S383" t="s">
        <v>49</v>
      </c>
      <c r="T383" t="b">
        <v>1</v>
      </c>
      <c r="U383" t="s">
        <v>50</v>
      </c>
      <c r="V383" t="s">
        <v>51</v>
      </c>
      <c r="W383">
        <v>4</v>
      </c>
      <c r="X383" t="b">
        <v>0</v>
      </c>
      <c r="Y383" t="s">
        <v>52</v>
      </c>
      <c r="Z383" t="s">
        <v>53</v>
      </c>
      <c r="AA383" t="s">
        <v>54</v>
      </c>
      <c r="AB383">
        <v>0</v>
      </c>
      <c r="AC383" t="s">
        <v>55</v>
      </c>
      <c r="AD383">
        <v>8</v>
      </c>
      <c r="AE383" t="s">
        <v>56</v>
      </c>
      <c r="AF383">
        <v>114.919</v>
      </c>
      <c r="AG383" t="b">
        <v>1</v>
      </c>
      <c r="AH383">
        <v>-1</v>
      </c>
      <c r="AI383" t="s">
        <v>64</v>
      </c>
      <c r="AJ383">
        <v>0</v>
      </c>
      <c r="AK383" t="b">
        <v>0</v>
      </c>
      <c r="AL383">
        <v>114.919</v>
      </c>
      <c r="AM383" t="b">
        <v>1</v>
      </c>
      <c r="AN383">
        <v>0</v>
      </c>
      <c r="AO383" t="b">
        <v>0</v>
      </c>
      <c r="AQ383">
        <v>6341000</v>
      </c>
      <c r="AR383">
        <v>6341000</v>
      </c>
      <c r="AS383">
        <v>6</v>
      </c>
      <c r="AT383" t="b">
        <v>0</v>
      </c>
      <c r="AU383" t="b">
        <v>1</v>
      </c>
      <c r="AV383" t="b">
        <v>1</v>
      </c>
      <c r="AW383" t="b">
        <v>1</v>
      </c>
      <c r="BC383" t="s">
        <v>374</v>
      </c>
    </row>
    <row r="384" spans="1:55" x14ac:dyDescent="0.2">
      <c r="A384" t="s">
        <v>39</v>
      </c>
      <c r="B384" t="s">
        <v>40</v>
      </c>
      <c r="C384">
        <v>20220101</v>
      </c>
      <c r="D384">
        <v>2022</v>
      </c>
      <c r="E384">
        <v>52</v>
      </c>
      <c r="F384" t="s">
        <v>346</v>
      </c>
      <c r="G384">
        <v>384</v>
      </c>
      <c r="H384" t="s">
        <v>163</v>
      </c>
      <c r="I384" t="s">
        <v>164</v>
      </c>
      <c r="J384" t="s">
        <v>44</v>
      </c>
      <c r="K384" t="s">
        <v>45</v>
      </c>
      <c r="L384">
        <v>0</v>
      </c>
      <c r="M384" t="s">
        <v>46</v>
      </c>
      <c r="N384" t="s">
        <v>47</v>
      </c>
      <c r="O384">
        <v>0</v>
      </c>
      <c r="P384" t="s">
        <v>46</v>
      </c>
      <c r="Q384" t="s">
        <v>47</v>
      </c>
      <c r="R384" t="s">
        <v>48</v>
      </c>
      <c r="S384" t="s">
        <v>49</v>
      </c>
      <c r="T384" t="b">
        <v>1</v>
      </c>
      <c r="U384" t="s">
        <v>50</v>
      </c>
      <c r="V384" t="s">
        <v>51</v>
      </c>
      <c r="W384">
        <v>4</v>
      </c>
      <c r="X384" t="b">
        <v>0</v>
      </c>
      <c r="Y384" t="s">
        <v>52</v>
      </c>
      <c r="Z384" t="s">
        <v>53</v>
      </c>
      <c r="AA384" t="s">
        <v>54</v>
      </c>
      <c r="AB384">
        <v>0</v>
      </c>
      <c r="AC384" t="s">
        <v>55</v>
      </c>
      <c r="AD384">
        <v>8</v>
      </c>
      <c r="AE384" t="s">
        <v>56</v>
      </c>
      <c r="AF384">
        <v>47608</v>
      </c>
      <c r="AG384" t="b">
        <v>0</v>
      </c>
      <c r="AH384">
        <v>8</v>
      </c>
      <c r="AI384" t="s">
        <v>56</v>
      </c>
      <c r="AJ384">
        <v>47608</v>
      </c>
      <c r="AK384" t="b">
        <v>0</v>
      </c>
      <c r="AL384">
        <v>47608</v>
      </c>
      <c r="AM384" t="b">
        <v>0</v>
      </c>
      <c r="AN384">
        <v>0</v>
      </c>
      <c r="AO384" t="b">
        <v>0</v>
      </c>
      <c r="AQ384">
        <v>1917185404.605</v>
      </c>
      <c r="AR384">
        <v>1917185404.605</v>
      </c>
      <c r="AS384">
        <v>0</v>
      </c>
      <c r="AT384" t="b">
        <v>0</v>
      </c>
      <c r="AU384" t="b">
        <v>1</v>
      </c>
      <c r="AV384" t="b">
        <v>1</v>
      </c>
      <c r="AW384" t="b">
        <v>1</v>
      </c>
      <c r="BC384" t="s">
        <v>374</v>
      </c>
    </row>
    <row r="385" spans="1:55" x14ac:dyDescent="0.2">
      <c r="A385" t="s">
        <v>39</v>
      </c>
      <c r="B385" t="s">
        <v>40</v>
      </c>
      <c r="C385">
        <v>20220101</v>
      </c>
      <c r="D385">
        <v>2022</v>
      </c>
      <c r="E385">
        <v>52</v>
      </c>
      <c r="F385" t="s">
        <v>346</v>
      </c>
      <c r="G385">
        <v>398</v>
      </c>
      <c r="H385" t="s">
        <v>167</v>
      </c>
      <c r="I385" t="s">
        <v>168</v>
      </c>
      <c r="J385" t="s">
        <v>44</v>
      </c>
      <c r="K385" t="s">
        <v>45</v>
      </c>
      <c r="L385">
        <v>0</v>
      </c>
      <c r="M385" t="s">
        <v>46</v>
      </c>
      <c r="N385" t="s">
        <v>47</v>
      </c>
      <c r="O385">
        <v>0</v>
      </c>
      <c r="P385" t="s">
        <v>46</v>
      </c>
      <c r="Q385" t="s">
        <v>47</v>
      </c>
      <c r="R385" t="s">
        <v>347</v>
      </c>
      <c r="S385" t="s">
        <v>49</v>
      </c>
      <c r="T385" t="b">
        <v>1</v>
      </c>
      <c r="U385" t="s">
        <v>50</v>
      </c>
      <c r="V385" t="s">
        <v>51</v>
      </c>
      <c r="W385">
        <v>4</v>
      </c>
      <c r="X385" t="b">
        <v>0</v>
      </c>
      <c r="Y385" t="s">
        <v>52</v>
      </c>
      <c r="Z385" t="s">
        <v>53</v>
      </c>
      <c r="AA385" t="s">
        <v>54</v>
      </c>
      <c r="AB385">
        <v>0</v>
      </c>
      <c r="AC385" t="s">
        <v>55</v>
      </c>
      <c r="AD385">
        <v>-1</v>
      </c>
      <c r="AE385" t="s">
        <v>64</v>
      </c>
      <c r="AF385">
        <v>0</v>
      </c>
      <c r="AG385" t="b">
        <v>0</v>
      </c>
      <c r="AH385">
        <v>-1</v>
      </c>
      <c r="AI385" t="s">
        <v>64</v>
      </c>
      <c r="AJ385">
        <v>0</v>
      </c>
      <c r="AK385" t="b">
        <v>0</v>
      </c>
      <c r="AM385" t="b">
        <v>0</v>
      </c>
      <c r="AN385">
        <v>0</v>
      </c>
      <c r="AO385" t="b">
        <v>0</v>
      </c>
      <c r="AQ385">
        <v>83941078.209999993</v>
      </c>
      <c r="AR385">
        <v>83941078.209999993</v>
      </c>
      <c r="AS385">
        <v>0</v>
      </c>
      <c r="AT385" t="b">
        <v>0</v>
      </c>
      <c r="AU385" t="b">
        <v>1</v>
      </c>
      <c r="AV385" t="b">
        <v>1</v>
      </c>
      <c r="AW385" t="b">
        <v>1</v>
      </c>
      <c r="BC385" t="s">
        <v>374</v>
      </c>
    </row>
    <row r="386" spans="1:55" x14ac:dyDescent="0.2">
      <c r="A386" t="s">
        <v>39</v>
      </c>
      <c r="B386" t="s">
        <v>40</v>
      </c>
      <c r="C386">
        <v>20220101</v>
      </c>
      <c r="D386">
        <v>2022</v>
      </c>
      <c r="E386">
        <v>52</v>
      </c>
      <c r="F386" t="s">
        <v>346</v>
      </c>
      <c r="G386">
        <v>400</v>
      </c>
      <c r="H386" t="s">
        <v>169</v>
      </c>
      <c r="I386" t="s">
        <v>170</v>
      </c>
      <c r="J386" t="s">
        <v>44</v>
      </c>
      <c r="K386" t="s">
        <v>45</v>
      </c>
      <c r="L386">
        <v>0</v>
      </c>
      <c r="M386" t="s">
        <v>46</v>
      </c>
      <c r="N386" t="s">
        <v>47</v>
      </c>
      <c r="O386">
        <v>0</v>
      </c>
      <c r="P386" t="s">
        <v>46</v>
      </c>
      <c r="Q386" t="s">
        <v>47</v>
      </c>
      <c r="R386" t="s">
        <v>347</v>
      </c>
      <c r="S386" t="s">
        <v>49</v>
      </c>
      <c r="T386" t="b">
        <v>1</v>
      </c>
      <c r="U386" t="s">
        <v>50</v>
      </c>
      <c r="V386" t="s">
        <v>51</v>
      </c>
      <c r="W386">
        <v>4</v>
      </c>
      <c r="X386" t="b">
        <v>0</v>
      </c>
      <c r="Y386" t="s">
        <v>52</v>
      </c>
      <c r="Z386" t="s">
        <v>53</v>
      </c>
      <c r="AA386" t="s">
        <v>54</v>
      </c>
      <c r="AB386">
        <v>0</v>
      </c>
      <c r="AC386" t="s">
        <v>55</v>
      </c>
      <c r="AD386">
        <v>8</v>
      </c>
      <c r="AE386" t="s">
        <v>56</v>
      </c>
      <c r="AF386">
        <v>753.03200000000004</v>
      </c>
      <c r="AG386" t="b">
        <v>1</v>
      </c>
      <c r="AH386">
        <v>-1</v>
      </c>
      <c r="AI386" t="s">
        <v>64</v>
      </c>
      <c r="AJ386">
        <v>0</v>
      </c>
      <c r="AK386" t="b">
        <v>0</v>
      </c>
      <c r="AL386">
        <v>753.03200000000004</v>
      </c>
      <c r="AM386" t="b">
        <v>1</v>
      </c>
      <c r="AN386">
        <v>0</v>
      </c>
      <c r="AO386" t="b">
        <v>0</v>
      </c>
      <c r="AQ386">
        <v>41545199.960000001</v>
      </c>
      <c r="AR386">
        <v>41545199.960000001</v>
      </c>
      <c r="AS386">
        <v>6</v>
      </c>
      <c r="AT386" t="b">
        <v>0</v>
      </c>
      <c r="AU386" t="b">
        <v>1</v>
      </c>
      <c r="AV386" t="b">
        <v>1</v>
      </c>
      <c r="AW386" t="b">
        <v>1</v>
      </c>
      <c r="BC386" t="s">
        <v>374</v>
      </c>
    </row>
    <row r="387" spans="1:55" x14ac:dyDescent="0.2">
      <c r="A387" t="s">
        <v>39</v>
      </c>
      <c r="B387" t="s">
        <v>40</v>
      </c>
      <c r="C387">
        <v>20220101</v>
      </c>
      <c r="D387">
        <v>2022</v>
      </c>
      <c r="E387">
        <v>52</v>
      </c>
      <c r="F387" t="s">
        <v>346</v>
      </c>
      <c r="G387">
        <v>404</v>
      </c>
      <c r="H387" t="s">
        <v>171</v>
      </c>
      <c r="I387" t="s">
        <v>172</v>
      </c>
      <c r="J387" t="s">
        <v>44</v>
      </c>
      <c r="K387" t="s">
        <v>45</v>
      </c>
      <c r="L387">
        <v>0</v>
      </c>
      <c r="M387" t="s">
        <v>46</v>
      </c>
      <c r="N387" t="s">
        <v>47</v>
      </c>
      <c r="O387">
        <v>0</v>
      </c>
      <c r="P387" t="s">
        <v>46</v>
      </c>
      <c r="Q387" t="s">
        <v>47</v>
      </c>
      <c r="R387" t="s">
        <v>347</v>
      </c>
      <c r="S387" t="s">
        <v>49</v>
      </c>
      <c r="T387" t="b">
        <v>1</v>
      </c>
      <c r="U387" t="s">
        <v>50</v>
      </c>
      <c r="V387" t="s">
        <v>51</v>
      </c>
      <c r="W387">
        <v>4</v>
      </c>
      <c r="X387" t="b">
        <v>0</v>
      </c>
      <c r="Y387" t="s">
        <v>52</v>
      </c>
      <c r="Z387" t="s">
        <v>53</v>
      </c>
      <c r="AA387" t="s">
        <v>54</v>
      </c>
      <c r="AB387">
        <v>0</v>
      </c>
      <c r="AC387" t="s">
        <v>55</v>
      </c>
      <c r="AD387">
        <v>8</v>
      </c>
      <c r="AE387" t="s">
        <v>56</v>
      </c>
      <c r="AF387">
        <v>672.16099999999994</v>
      </c>
      <c r="AG387" t="b">
        <v>0</v>
      </c>
      <c r="AH387">
        <v>15</v>
      </c>
      <c r="AI387" t="s">
        <v>59</v>
      </c>
      <c r="AJ387">
        <v>672161.4</v>
      </c>
      <c r="AK387" t="b">
        <v>0</v>
      </c>
      <c r="AL387">
        <v>683.8</v>
      </c>
      <c r="AM387" t="b">
        <v>0</v>
      </c>
      <c r="AN387">
        <v>0</v>
      </c>
      <c r="AO387" t="b">
        <v>0</v>
      </c>
      <c r="AQ387">
        <v>32437409.848000001</v>
      </c>
      <c r="AR387">
        <v>32437409.848000001</v>
      </c>
      <c r="AS387">
        <v>0</v>
      </c>
      <c r="AT387" t="b">
        <v>0</v>
      </c>
      <c r="AU387" t="b">
        <v>1</v>
      </c>
      <c r="AV387" t="b">
        <v>1</v>
      </c>
      <c r="AW387" t="b">
        <v>1</v>
      </c>
      <c r="BC387" t="s">
        <v>374</v>
      </c>
    </row>
    <row r="388" spans="1:55" x14ac:dyDescent="0.2">
      <c r="A388" t="s">
        <v>39</v>
      </c>
      <c r="B388" t="s">
        <v>40</v>
      </c>
      <c r="C388">
        <v>20220101</v>
      </c>
      <c r="D388">
        <v>2022</v>
      </c>
      <c r="E388">
        <v>52</v>
      </c>
      <c r="F388" t="s">
        <v>346</v>
      </c>
      <c r="G388">
        <v>410</v>
      </c>
      <c r="H388" t="s">
        <v>173</v>
      </c>
      <c r="I388" t="s">
        <v>174</v>
      </c>
      <c r="J388" t="s">
        <v>44</v>
      </c>
      <c r="K388" t="s">
        <v>45</v>
      </c>
      <c r="L388">
        <v>0</v>
      </c>
      <c r="M388" t="s">
        <v>46</v>
      </c>
      <c r="N388" t="s">
        <v>47</v>
      </c>
      <c r="O388">
        <v>0</v>
      </c>
      <c r="P388" t="s">
        <v>46</v>
      </c>
      <c r="Q388" t="s">
        <v>47</v>
      </c>
      <c r="R388" t="s">
        <v>347</v>
      </c>
      <c r="S388" t="s">
        <v>49</v>
      </c>
      <c r="T388" t="b">
        <v>1</v>
      </c>
      <c r="U388" t="s">
        <v>50</v>
      </c>
      <c r="V388" t="s">
        <v>51</v>
      </c>
      <c r="W388">
        <v>4</v>
      </c>
      <c r="X388" t="b">
        <v>0</v>
      </c>
      <c r="Y388" t="s">
        <v>52</v>
      </c>
      <c r="Z388" t="s">
        <v>53</v>
      </c>
      <c r="AA388" t="s">
        <v>54</v>
      </c>
      <c r="AB388">
        <v>0</v>
      </c>
      <c r="AC388" t="s">
        <v>55</v>
      </c>
      <c r="AD388">
        <v>-1</v>
      </c>
      <c r="AE388" t="s">
        <v>64</v>
      </c>
      <c r="AF388">
        <v>0</v>
      </c>
      <c r="AG388" t="b">
        <v>0</v>
      </c>
      <c r="AH388">
        <v>-1</v>
      </c>
      <c r="AI388" t="s">
        <v>64</v>
      </c>
      <c r="AJ388">
        <v>0</v>
      </c>
      <c r="AK388" t="b">
        <v>0</v>
      </c>
      <c r="AM388" t="b">
        <v>0</v>
      </c>
      <c r="AN388">
        <v>0</v>
      </c>
      <c r="AO388" t="b">
        <v>0</v>
      </c>
      <c r="AQ388">
        <v>1299818619</v>
      </c>
      <c r="AR388">
        <v>1299818619</v>
      </c>
      <c r="AS388">
        <v>0</v>
      </c>
      <c r="AT388" t="b">
        <v>0</v>
      </c>
      <c r="AU388" t="b">
        <v>1</v>
      </c>
      <c r="AV388" t="b">
        <v>1</v>
      </c>
      <c r="AW388" t="b">
        <v>1</v>
      </c>
      <c r="BC388" t="s">
        <v>374</v>
      </c>
    </row>
    <row r="389" spans="1:55" x14ac:dyDescent="0.2">
      <c r="A389" t="s">
        <v>39</v>
      </c>
      <c r="B389" t="s">
        <v>40</v>
      </c>
      <c r="C389">
        <v>20220101</v>
      </c>
      <c r="D389">
        <v>2022</v>
      </c>
      <c r="E389">
        <v>52</v>
      </c>
      <c r="F389" t="s">
        <v>346</v>
      </c>
      <c r="G389">
        <v>414</v>
      </c>
      <c r="H389" t="s">
        <v>175</v>
      </c>
      <c r="I389" t="s">
        <v>176</v>
      </c>
      <c r="J389" t="s">
        <v>44</v>
      </c>
      <c r="K389" t="s">
        <v>45</v>
      </c>
      <c r="L389">
        <v>0</v>
      </c>
      <c r="M389" t="s">
        <v>46</v>
      </c>
      <c r="N389" t="s">
        <v>47</v>
      </c>
      <c r="O389">
        <v>0</v>
      </c>
      <c r="P389" t="s">
        <v>46</v>
      </c>
      <c r="Q389" t="s">
        <v>47</v>
      </c>
      <c r="R389" t="s">
        <v>347</v>
      </c>
      <c r="S389" t="s">
        <v>49</v>
      </c>
      <c r="T389" t="b">
        <v>1</v>
      </c>
      <c r="U389" t="s">
        <v>50</v>
      </c>
      <c r="V389" t="s">
        <v>51</v>
      </c>
      <c r="W389">
        <v>4</v>
      </c>
      <c r="X389" t="b">
        <v>0</v>
      </c>
      <c r="Y389" t="s">
        <v>52</v>
      </c>
      <c r="Z389" t="s">
        <v>53</v>
      </c>
      <c r="AA389" t="s">
        <v>54</v>
      </c>
      <c r="AB389">
        <v>0</v>
      </c>
      <c r="AC389" t="s">
        <v>55</v>
      </c>
      <c r="AD389">
        <v>8</v>
      </c>
      <c r="AE389" t="s">
        <v>56</v>
      </c>
      <c r="AF389">
        <v>748.99400000000003</v>
      </c>
      <c r="AG389" t="b">
        <v>1</v>
      </c>
      <c r="AH389">
        <v>-1</v>
      </c>
      <c r="AI389" t="s">
        <v>64</v>
      </c>
      <c r="AJ389">
        <v>0</v>
      </c>
      <c r="AK389" t="b">
        <v>0</v>
      </c>
      <c r="AL389">
        <v>748.99400000000003</v>
      </c>
      <c r="AM389" t="b">
        <v>1</v>
      </c>
      <c r="AN389">
        <v>0</v>
      </c>
      <c r="AO389" t="b">
        <v>0</v>
      </c>
      <c r="AQ389">
        <v>41320910.340999998</v>
      </c>
      <c r="AR389">
        <v>41320910.340999998</v>
      </c>
      <c r="AS389">
        <v>6</v>
      </c>
      <c r="AT389" t="b">
        <v>0</v>
      </c>
      <c r="AU389" t="b">
        <v>1</v>
      </c>
      <c r="AV389" t="b">
        <v>1</v>
      </c>
      <c r="AW389" t="b">
        <v>1</v>
      </c>
      <c r="BC389" t="s">
        <v>374</v>
      </c>
    </row>
    <row r="390" spans="1:55" x14ac:dyDescent="0.2">
      <c r="A390" t="s">
        <v>39</v>
      </c>
      <c r="B390" t="s">
        <v>40</v>
      </c>
      <c r="C390">
        <v>20220101</v>
      </c>
      <c r="D390">
        <v>2022</v>
      </c>
      <c r="E390">
        <v>52</v>
      </c>
      <c r="F390" t="s">
        <v>346</v>
      </c>
      <c r="G390">
        <v>417</v>
      </c>
      <c r="H390" t="s">
        <v>177</v>
      </c>
      <c r="I390" t="s">
        <v>178</v>
      </c>
      <c r="J390" t="s">
        <v>44</v>
      </c>
      <c r="K390" t="s">
        <v>45</v>
      </c>
      <c r="L390">
        <v>0</v>
      </c>
      <c r="M390" t="s">
        <v>46</v>
      </c>
      <c r="N390" t="s">
        <v>47</v>
      </c>
      <c r="O390">
        <v>0</v>
      </c>
      <c r="P390" t="s">
        <v>46</v>
      </c>
      <c r="Q390" t="s">
        <v>47</v>
      </c>
      <c r="R390" t="s">
        <v>347</v>
      </c>
      <c r="S390" t="s">
        <v>49</v>
      </c>
      <c r="T390" t="b">
        <v>1</v>
      </c>
      <c r="U390" t="s">
        <v>50</v>
      </c>
      <c r="V390" t="s">
        <v>51</v>
      </c>
      <c r="W390">
        <v>4</v>
      </c>
      <c r="X390" t="b">
        <v>0</v>
      </c>
      <c r="Y390" t="s">
        <v>52</v>
      </c>
      <c r="Z390" t="s">
        <v>53</v>
      </c>
      <c r="AA390" t="s">
        <v>54</v>
      </c>
      <c r="AB390">
        <v>0</v>
      </c>
      <c r="AC390" t="s">
        <v>55</v>
      </c>
      <c r="AD390">
        <v>8</v>
      </c>
      <c r="AE390" t="s">
        <v>56</v>
      </c>
      <c r="AF390">
        <v>290</v>
      </c>
      <c r="AG390" t="b">
        <v>0</v>
      </c>
      <c r="AH390">
        <v>8</v>
      </c>
      <c r="AI390" t="s">
        <v>56</v>
      </c>
      <c r="AJ390">
        <v>290</v>
      </c>
      <c r="AK390" t="b">
        <v>0</v>
      </c>
      <c r="AL390">
        <v>290</v>
      </c>
      <c r="AM390" t="b">
        <v>0</v>
      </c>
      <c r="AN390">
        <v>0</v>
      </c>
      <c r="AO390" t="b">
        <v>0</v>
      </c>
      <c r="AQ390">
        <v>13064926</v>
      </c>
      <c r="AR390">
        <v>13064926</v>
      </c>
      <c r="AS390">
        <v>0</v>
      </c>
      <c r="AT390" t="b">
        <v>0</v>
      </c>
      <c r="AU390" t="b">
        <v>1</v>
      </c>
      <c r="AV390" t="b">
        <v>1</v>
      </c>
      <c r="AW390" t="b">
        <v>1</v>
      </c>
      <c r="BC390" t="s">
        <v>374</v>
      </c>
    </row>
    <row r="391" spans="1:55" x14ac:dyDescent="0.2">
      <c r="A391" t="s">
        <v>39</v>
      </c>
      <c r="B391" t="s">
        <v>40</v>
      </c>
      <c r="C391">
        <v>20220101</v>
      </c>
      <c r="D391">
        <v>2022</v>
      </c>
      <c r="E391">
        <v>52</v>
      </c>
      <c r="F391" t="s">
        <v>346</v>
      </c>
      <c r="G391">
        <v>418</v>
      </c>
      <c r="H391" t="s">
        <v>179</v>
      </c>
      <c r="I391" t="s">
        <v>180</v>
      </c>
      <c r="J391" t="s">
        <v>44</v>
      </c>
      <c r="K391" t="s">
        <v>45</v>
      </c>
      <c r="L391">
        <v>0</v>
      </c>
      <c r="M391" t="s">
        <v>46</v>
      </c>
      <c r="N391" t="s">
        <v>47</v>
      </c>
      <c r="O391">
        <v>0</v>
      </c>
      <c r="P391" t="s">
        <v>46</v>
      </c>
      <c r="Q391" t="s">
        <v>47</v>
      </c>
      <c r="R391" t="s">
        <v>347</v>
      </c>
      <c r="S391" t="s">
        <v>49</v>
      </c>
      <c r="T391" t="b">
        <v>1</v>
      </c>
      <c r="U391" t="s">
        <v>50</v>
      </c>
      <c r="V391" t="s">
        <v>51</v>
      </c>
      <c r="W391">
        <v>4</v>
      </c>
      <c r="X391" t="b">
        <v>0</v>
      </c>
      <c r="Y391" t="s">
        <v>52</v>
      </c>
      <c r="Z391" t="s">
        <v>53</v>
      </c>
      <c r="AA391" t="s">
        <v>54</v>
      </c>
      <c r="AB391">
        <v>0</v>
      </c>
      <c r="AC391" t="s">
        <v>55</v>
      </c>
      <c r="AD391">
        <v>8</v>
      </c>
      <c r="AE391" t="s">
        <v>56</v>
      </c>
      <c r="AF391">
        <v>32768.245000000003</v>
      </c>
      <c r="AG391" t="b">
        <v>1</v>
      </c>
      <c r="AH391">
        <v>-1</v>
      </c>
      <c r="AI391" t="s">
        <v>64</v>
      </c>
      <c r="AJ391">
        <v>0</v>
      </c>
      <c r="AK391" t="b">
        <v>0</v>
      </c>
      <c r="AL391">
        <v>32768.245000000003</v>
      </c>
      <c r="AM391" t="b">
        <v>1</v>
      </c>
      <c r="AN391">
        <v>0</v>
      </c>
      <c r="AO391" t="b">
        <v>0</v>
      </c>
      <c r="AQ391">
        <v>805495672.77999997</v>
      </c>
      <c r="AR391">
        <v>805495672.77999997</v>
      </c>
      <c r="AS391">
        <v>6</v>
      </c>
      <c r="AT391" t="b">
        <v>0</v>
      </c>
      <c r="AU391" t="b">
        <v>1</v>
      </c>
      <c r="AV391" t="b">
        <v>1</v>
      </c>
      <c r="AW391" t="b">
        <v>1</v>
      </c>
      <c r="BC391" t="s">
        <v>374</v>
      </c>
    </row>
    <row r="392" spans="1:55" x14ac:dyDescent="0.2">
      <c r="A392" t="s">
        <v>39</v>
      </c>
      <c r="B392" t="s">
        <v>40</v>
      </c>
      <c r="C392">
        <v>20220101</v>
      </c>
      <c r="D392">
        <v>2022</v>
      </c>
      <c r="E392">
        <v>52</v>
      </c>
      <c r="F392" t="s">
        <v>346</v>
      </c>
      <c r="G392">
        <v>422</v>
      </c>
      <c r="H392" t="s">
        <v>181</v>
      </c>
      <c r="I392" t="s">
        <v>182</v>
      </c>
      <c r="J392" t="s">
        <v>44</v>
      </c>
      <c r="K392" t="s">
        <v>45</v>
      </c>
      <c r="L392">
        <v>0</v>
      </c>
      <c r="M392" t="s">
        <v>46</v>
      </c>
      <c r="N392" t="s">
        <v>47</v>
      </c>
      <c r="O392">
        <v>0</v>
      </c>
      <c r="P392" t="s">
        <v>46</v>
      </c>
      <c r="Q392" t="s">
        <v>47</v>
      </c>
      <c r="R392" t="s">
        <v>48</v>
      </c>
      <c r="S392" t="s">
        <v>49</v>
      </c>
      <c r="T392" t="b">
        <v>1</v>
      </c>
      <c r="U392" t="s">
        <v>50</v>
      </c>
      <c r="V392" t="s">
        <v>51</v>
      </c>
      <c r="W392">
        <v>4</v>
      </c>
      <c r="X392" t="b">
        <v>0</v>
      </c>
      <c r="Y392" t="s">
        <v>52</v>
      </c>
      <c r="Z392" t="s">
        <v>53</v>
      </c>
      <c r="AA392" t="s">
        <v>54</v>
      </c>
      <c r="AB392">
        <v>0</v>
      </c>
      <c r="AC392" t="s">
        <v>55</v>
      </c>
      <c r="AD392">
        <v>8</v>
      </c>
      <c r="AE392" t="s">
        <v>56</v>
      </c>
      <c r="AF392">
        <v>16619</v>
      </c>
      <c r="AG392" t="b">
        <v>0</v>
      </c>
      <c r="AH392">
        <v>8</v>
      </c>
      <c r="AI392" t="s">
        <v>56</v>
      </c>
      <c r="AJ392">
        <v>16619</v>
      </c>
      <c r="AK392" t="b">
        <v>0</v>
      </c>
      <c r="AL392">
        <v>16619</v>
      </c>
      <c r="AM392" t="b">
        <v>0</v>
      </c>
      <c r="AN392">
        <v>0</v>
      </c>
      <c r="AO392" t="b">
        <v>0</v>
      </c>
      <c r="AQ392">
        <v>195910563</v>
      </c>
      <c r="AR392">
        <v>195910563</v>
      </c>
      <c r="AS392">
        <v>0</v>
      </c>
      <c r="AT392" t="b">
        <v>0</v>
      </c>
      <c r="AU392" t="b">
        <v>1</v>
      </c>
      <c r="AV392" t="b">
        <v>1</v>
      </c>
      <c r="AW392" t="b">
        <v>1</v>
      </c>
      <c r="BC392" t="s">
        <v>374</v>
      </c>
    </row>
    <row r="393" spans="1:55" x14ac:dyDescent="0.2">
      <c r="A393" t="s">
        <v>39</v>
      </c>
      <c r="B393" t="s">
        <v>40</v>
      </c>
      <c r="C393">
        <v>20220101</v>
      </c>
      <c r="D393">
        <v>2022</v>
      </c>
      <c r="E393">
        <v>52</v>
      </c>
      <c r="F393" t="s">
        <v>346</v>
      </c>
      <c r="G393">
        <v>428</v>
      </c>
      <c r="H393" t="s">
        <v>183</v>
      </c>
      <c r="I393" t="s">
        <v>184</v>
      </c>
      <c r="J393" t="s">
        <v>44</v>
      </c>
      <c r="K393" t="s">
        <v>45</v>
      </c>
      <c r="L393">
        <v>0</v>
      </c>
      <c r="M393" t="s">
        <v>46</v>
      </c>
      <c r="N393" t="s">
        <v>47</v>
      </c>
      <c r="O393">
        <v>0</v>
      </c>
      <c r="P393" t="s">
        <v>46</v>
      </c>
      <c r="Q393" t="s">
        <v>47</v>
      </c>
      <c r="R393" t="s">
        <v>347</v>
      </c>
      <c r="S393" t="s">
        <v>49</v>
      </c>
      <c r="T393" t="b">
        <v>1</v>
      </c>
      <c r="U393" t="s">
        <v>50</v>
      </c>
      <c r="V393" t="s">
        <v>51</v>
      </c>
      <c r="W393">
        <v>4</v>
      </c>
      <c r="X393" t="b">
        <v>0</v>
      </c>
      <c r="Y393" t="s">
        <v>52</v>
      </c>
      <c r="Z393" t="s">
        <v>53</v>
      </c>
      <c r="AA393" t="s">
        <v>54</v>
      </c>
      <c r="AB393">
        <v>0</v>
      </c>
      <c r="AC393" t="s">
        <v>55</v>
      </c>
      <c r="AD393">
        <v>8</v>
      </c>
      <c r="AE393" t="s">
        <v>56</v>
      </c>
      <c r="AF393">
        <v>267.52199999999999</v>
      </c>
      <c r="AG393" t="b">
        <v>0</v>
      </c>
      <c r="AH393">
        <v>15</v>
      </c>
      <c r="AI393" t="s">
        <v>59</v>
      </c>
      <c r="AJ393">
        <v>267522</v>
      </c>
      <c r="AK393" t="b">
        <v>0</v>
      </c>
      <c r="AL393">
        <v>265.12</v>
      </c>
      <c r="AM393" t="b">
        <v>0</v>
      </c>
      <c r="AN393">
        <v>0</v>
      </c>
      <c r="AO393" t="b">
        <v>0</v>
      </c>
      <c r="AQ393">
        <v>15190565.569</v>
      </c>
      <c r="AR393">
        <v>15190565.569</v>
      </c>
      <c r="AS393">
        <v>0</v>
      </c>
      <c r="AT393" t="b">
        <v>0</v>
      </c>
      <c r="AU393" t="b">
        <v>1</v>
      </c>
      <c r="AV393" t="b">
        <v>1</v>
      </c>
      <c r="AW393" t="b">
        <v>1</v>
      </c>
      <c r="BC393" t="s">
        <v>374</v>
      </c>
    </row>
    <row r="394" spans="1:55" x14ac:dyDescent="0.2">
      <c r="A394" t="s">
        <v>39</v>
      </c>
      <c r="B394" t="s">
        <v>40</v>
      </c>
      <c r="C394">
        <v>20220101</v>
      </c>
      <c r="D394">
        <v>2022</v>
      </c>
      <c r="E394">
        <v>52</v>
      </c>
      <c r="F394" t="s">
        <v>346</v>
      </c>
      <c r="G394">
        <v>440</v>
      </c>
      <c r="H394" t="s">
        <v>189</v>
      </c>
      <c r="I394" t="s">
        <v>190</v>
      </c>
      <c r="J394" t="s">
        <v>44</v>
      </c>
      <c r="K394" t="s">
        <v>45</v>
      </c>
      <c r="L394">
        <v>0</v>
      </c>
      <c r="M394" t="s">
        <v>46</v>
      </c>
      <c r="N394" t="s">
        <v>47</v>
      </c>
      <c r="O394">
        <v>0</v>
      </c>
      <c r="P394" t="s">
        <v>46</v>
      </c>
      <c r="Q394" t="s">
        <v>47</v>
      </c>
      <c r="R394" t="s">
        <v>347</v>
      </c>
      <c r="S394" t="s">
        <v>49</v>
      </c>
      <c r="T394" t="b">
        <v>1</v>
      </c>
      <c r="U394" t="s">
        <v>50</v>
      </c>
      <c r="V394" t="s">
        <v>51</v>
      </c>
      <c r="W394">
        <v>4</v>
      </c>
      <c r="X394" t="b">
        <v>0</v>
      </c>
      <c r="Y394" t="s">
        <v>52</v>
      </c>
      <c r="Z394" t="s">
        <v>53</v>
      </c>
      <c r="AA394" t="s">
        <v>54</v>
      </c>
      <c r="AB394">
        <v>0</v>
      </c>
      <c r="AC394" t="s">
        <v>55</v>
      </c>
      <c r="AD394">
        <v>8</v>
      </c>
      <c r="AE394" t="s">
        <v>56</v>
      </c>
      <c r="AF394">
        <v>19.541</v>
      </c>
      <c r="AG394" t="b">
        <v>0</v>
      </c>
      <c r="AH394">
        <v>15</v>
      </c>
      <c r="AI394" t="s">
        <v>59</v>
      </c>
      <c r="AJ394">
        <v>19540.82</v>
      </c>
      <c r="AK394" t="b">
        <v>0</v>
      </c>
      <c r="AL394">
        <v>19.542999999999999</v>
      </c>
      <c r="AM394" t="b">
        <v>0</v>
      </c>
      <c r="AN394">
        <v>0</v>
      </c>
      <c r="AO394" t="b">
        <v>0</v>
      </c>
      <c r="AQ394">
        <v>674834</v>
      </c>
      <c r="AR394">
        <v>674834</v>
      </c>
      <c r="AS394">
        <v>0</v>
      </c>
      <c r="AT394" t="b">
        <v>0</v>
      </c>
      <c r="AU394" t="b">
        <v>1</v>
      </c>
      <c r="AV394" t="b">
        <v>1</v>
      </c>
      <c r="AW394" t="b">
        <v>1</v>
      </c>
      <c r="BC394" t="s">
        <v>374</v>
      </c>
    </row>
    <row r="395" spans="1:55" x14ac:dyDescent="0.2">
      <c r="A395" t="s">
        <v>39</v>
      </c>
      <c r="B395" t="s">
        <v>40</v>
      </c>
      <c r="C395">
        <v>20220101</v>
      </c>
      <c r="D395">
        <v>2022</v>
      </c>
      <c r="E395">
        <v>52</v>
      </c>
      <c r="F395" t="s">
        <v>346</v>
      </c>
      <c r="G395">
        <v>442</v>
      </c>
      <c r="H395" t="s">
        <v>191</v>
      </c>
      <c r="I395" t="s">
        <v>192</v>
      </c>
      <c r="J395" t="s">
        <v>44</v>
      </c>
      <c r="K395" t="s">
        <v>45</v>
      </c>
      <c r="L395">
        <v>0</v>
      </c>
      <c r="M395" t="s">
        <v>46</v>
      </c>
      <c r="N395" t="s">
        <v>47</v>
      </c>
      <c r="O395">
        <v>0</v>
      </c>
      <c r="P395" t="s">
        <v>46</v>
      </c>
      <c r="Q395" t="s">
        <v>47</v>
      </c>
      <c r="R395" t="s">
        <v>347</v>
      </c>
      <c r="S395" t="s">
        <v>49</v>
      </c>
      <c r="T395" t="b">
        <v>1</v>
      </c>
      <c r="U395" t="s">
        <v>50</v>
      </c>
      <c r="V395" t="s">
        <v>51</v>
      </c>
      <c r="W395">
        <v>4</v>
      </c>
      <c r="X395" t="b">
        <v>0</v>
      </c>
      <c r="Y395" t="s">
        <v>52</v>
      </c>
      <c r="Z395" t="s">
        <v>53</v>
      </c>
      <c r="AA395" t="s">
        <v>54</v>
      </c>
      <c r="AB395">
        <v>0</v>
      </c>
      <c r="AC395" t="s">
        <v>55</v>
      </c>
      <c r="AD395">
        <v>8</v>
      </c>
      <c r="AE395" t="s">
        <v>56</v>
      </c>
      <c r="AF395">
        <v>1657.9169999999999</v>
      </c>
      <c r="AG395" t="b">
        <v>0</v>
      </c>
      <c r="AH395">
        <v>15</v>
      </c>
      <c r="AI395" t="s">
        <v>59</v>
      </c>
      <c r="AJ395">
        <v>1549019.54</v>
      </c>
      <c r="AK395" t="b">
        <v>0</v>
      </c>
      <c r="AL395">
        <v>3027.9960000000001</v>
      </c>
      <c r="AM395" t="b">
        <v>0</v>
      </c>
      <c r="AN395">
        <v>0</v>
      </c>
      <c r="AO395" t="b">
        <v>0</v>
      </c>
      <c r="AQ395">
        <v>87087787.364999995</v>
      </c>
      <c r="AR395">
        <v>87087787.364999995</v>
      </c>
      <c r="AS395">
        <v>0</v>
      </c>
      <c r="AT395" t="b">
        <v>0</v>
      </c>
      <c r="AU395" t="b">
        <v>1</v>
      </c>
      <c r="AV395" t="b">
        <v>1</v>
      </c>
      <c r="AW395" t="b">
        <v>1</v>
      </c>
      <c r="BC395" t="s">
        <v>374</v>
      </c>
    </row>
    <row r="396" spans="1:55" x14ac:dyDescent="0.2">
      <c r="A396" t="s">
        <v>39</v>
      </c>
      <c r="B396" t="s">
        <v>40</v>
      </c>
      <c r="C396">
        <v>20220101</v>
      </c>
      <c r="D396">
        <v>2022</v>
      </c>
      <c r="E396">
        <v>52</v>
      </c>
      <c r="F396" t="s">
        <v>346</v>
      </c>
      <c r="G396">
        <v>446</v>
      </c>
      <c r="H396" t="s">
        <v>323</v>
      </c>
      <c r="I396" t="s">
        <v>324</v>
      </c>
      <c r="J396" t="s">
        <v>44</v>
      </c>
      <c r="K396" t="s">
        <v>45</v>
      </c>
      <c r="L396">
        <v>0</v>
      </c>
      <c r="M396" t="s">
        <v>46</v>
      </c>
      <c r="N396" t="s">
        <v>47</v>
      </c>
      <c r="O396">
        <v>0</v>
      </c>
      <c r="P396" t="s">
        <v>46</v>
      </c>
      <c r="Q396" t="s">
        <v>47</v>
      </c>
      <c r="R396" t="s">
        <v>347</v>
      </c>
      <c r="S396" t="s">
        <v>49</v>
      </c>
      <c r="T396" t="b">
        <v>1</v>
      </c>
      <c r="U396" t="s">
        <v>50</v>
      </c>
      <c r="V396" t="s">
        <v>51</v>
      </c>
      <c r="W396">
        <v>4</v>
      </c>
      <c r="X396" t="b">
        <v>0</v>
      </c>
      <c r="Y396" t="s">
        <v>52</v>
      </c>
      <c r="Z396" t="s">
        <v>53</v>
      </c>
      <c r="AA396" t="s">
        <v>54</v>
      </c>
      <c r="AB396">
        <v>0</v>
      </c>
      <c r="AC396" t="s">
        <v>55</v>
      </c>
      <c r="AD396">
        <v>8</v>
      </c>
      <c r="AE396" t="s">
        <v>56</v>
      </c>
      <c r="AF396">
        <v>285</v>
      </c>
      <c r="AG396" t="b">
        <v>0</v>
      </c>
      <c r="AH396">
        <v>8</v>
      </c>
      <c r="AI396" t="s">
        <v>56</v>
      </c>
      <c r="AJ396">
        <v>285</v>
      </c>
      <c r="AK396" t="b">
        <v>0</v>
      </c>
      <c r="AL396">
        <v>285</v>
      </c>
      <c r="AM396" t="b">
        <v>0</v>
      </c>
      <c r="AN396">
        <v>0</v>
      </c>
      <c r="AO396" t="b">
        <v>0</v>
      </c>
      <c r="AQ396">
        <v>15499235.422</v>
      </c>
      <c r="AR396">
        <v>15499235.422</v>
      </c>
      <c r="AS396">
        <v>0</v>
      </c>
      <c r="AT396" t="b">
        <v>0</v>
      </c>
      <c r="AU396" t="b">
        <v>1</v>
      </c>
      <c r="AV396" t="b">
        <v>1</v>
      </c>
      <c r="AW396" t="b">
        <v>1</v>
      </c>
      <c r="BC396" t="s">
        <v>374</v>
      </c>
    </row>
    <row r="397" spans="1:55" x14ac:dyDescent="0.2">
      <c r="A397" t="s">
        <v>39</v>
      </c>
      <c r="B397" t="s">
        <v>40</v>
      </c>
      <c r="C397">
        <v>20220101</v>
      </c>
      <c r="D397">
        <v>2022</v>
      </c>
      <c r="E397">
        <v>52</v>
      </c>
      <c r="F397" t="s">
        <v>346</v>
      </c>
      <c r="G397">
        <v>458</v>
      </c>
      <c r="H397" t="s">
        <v>195</v>
      </c>
      <c r="I397" t="s">
        <v>196</v>
      </c>
      <c r="J397" t="s">
        <v>44</v>
      </c>
      <c r="K397" t="s">
        <v>45</v>
      </c>
      <c r="L397">
        <v>0</v>
      </c>
      <c r="M397" t="s">
        <v>46</v>
      </c>
      <c r="N397" t="s">
        <v>47</v>
      </c>
      <c r="O397">
        <v>0</v>
      </c>
      <c r="P397" t="s">
        <v>46</v>
      </c>
      <c r="Q397" t="s">
        <v>47</v>
      </c>
      <c r="R397" t="s">
        <v>347</v>
      </c>
      <c r="S397" t="s">
        <v>49</v>
      </c>
      <c r="T397" t="b">
        <v>1</v>
      </c>
      <c r="U397" t="s">
        <v>50</v>
      </c>
      <c r="V397" t="s">
        <v>51</v>
      </c>
      <c r="W397">
        <v>4</v>
      </c>
      <c r="X397" t="b">
        <v>0</v>
      </c>
      <c r="Y397" t="s">
        <v>52</v>
      </c>
      <c r="Z397" t="s">
        <v>53</v>
      </c>
      <c r="AA397" t="s">
        <v>54</v>
      </c>
      <c r="AB397">
        <v>0</v>
      </c>
      <c r="AC397" t="s">
        <v>55</v>
      </c>
      <c r="AD397">
        <v>8</v>
      </c>
      <c r="AE397" t="s">
        <v>56</v>
      </c>
      <c r="AF397">
        <v>6402.8320000000003</v>
      </c>
      <c r="AG397" t="b">
        <v>0</v>
      </c>
      <c r="AH397">
        <v>8</v>
      </c>
      <c r="AI397" t="s">
        <v>56</v>
      </c>
      <c r="AJ397">
        <v>6402.8320000000003</v>
      </c>
      <c r="AK397" t="b">
        <v>0</v>
      </c>
      <c r="AL397">
        <v>6402.8320000000003</v>
      </c>
      <c r="AM397" t="b">
        <v>0</v>
      </c>
      <c r="AN397">
        <v>0</v>
      </c>
      <c r="AO397" t="b">
        <v>0</v>
      </c>
      <c r="AQ397">
        <v>313386487.83700001</v>
      </c>
      <c r="AR397">
        <v>313386487.83700001</v>
      </c>
      <c r="AS397">
        <v>0</v>
      </c>
      <c r="AT397" t="b">
        <v>0</v>
      </c>
      <c r="AU397" t="b">
        <v>1</v>
      </c>
      <c r="AV397" t="b">
        <v>1</v>
      </c>
      <c r="AW397" t="b">
        <v>1</v>
      </c>
      <c r="BC397" t="s">
        <v>374</v>
      </c>
    </row>
    <row r="398" spans="1:55" x14ac:dyDescent="0.2">
      <c r="A398" t="s">
        <v>39</v>
      </c>
      <c r="B398" t="s">
        <v>40</v>
      </c>
      <c r="C398">
        <v>20220101</v>
      </c>
      <c r="D398">
        <v>2022</v>
      </c>
      <c r="E398">
        <v>52</v>
      </c>
      <c r="F398" t="s">
        <v>346</v>
      </c>
      <c r="G398">
        <v>466</v>
      </c>
      <c r="H398" t="s">
        <v>197</v>
      </c>
      <c r="I398" t="s">
        <v>198</v>
      </c>
      <c r="J398" t="s">
        <v>44</v>
      </c>
      <c r="K398" t="s">
        <v>45</v>
      </c>
      <c r="L398">
        <v>0</v>
      </c>
      <c r="M398" t="s">
        <v>46</v>
      </c>
      <c r="N398" t="s">
        <v>47</v>
      </c>
      <c r="O398">
        <v>0</v>
      </c>
      <c r="P398" t="s">
        <v>46</v>
      </c>
      <c r="Q398" t="s">
        <v>47</v>
      </c>
      <c r="R398" t="s">
        <v>48</v>
      </c>
      <c r="S398" t="s">
        <v>49</v>
      </c>
      <c r="T398" t="b">
        <v>1</v>
      </c>
      <c r="U398" t="s">
        <v>50</v>
      </c>
      <c r="V398" t="s">
        <v>51</v>
      </c>
      <c r="W398">
        <v>4</v>
      </c>
      <c r="X398" t="b">
        <v>0</v>
      </c>
      <c r="Y398" t="s">
        <v>52</v>
      </c>
      <c r="Z398" t="s">
        <v>53</v>
      </c>
      <c r="AA398" t="s">
        <v>54</v>
      </c>
      <c r="AB398">
        <v>0</v>
      </c>
      <c r="AC398" t="s">
        <v>55</v>
      </c>
      <c r="AD398">
        <v>8</v>
      </c>
      <c r="AE398" t="s">
        <v>56</v>
      </c>
      <c r="AF398">
        <v>65693.928</v>
      </c>
      <c r="AG398" t="b">
        <v>0</v>
      </c>
      <c r="AH398">
        <v>8</v>
      </c>
      <c r="AI398" t="s">
        <v>56</v>
      </c>
      <c r="AJ398">
        <v>65693.928</v>
      </c>
      <c r="AK398" t="b">
        <v>0</v>
      </c>
      <c r="AL398">
        <v>65693.928</v>
      </c>
      <c r="AM398" t="b">
        <v>0</v>
      </c>
      <c r="AN398">
        <v>0</v>
      </c>
      <c r="AO398" t="b">
        <v>0</v>
      </c>
      <c r="AQ398">
        <v>3051023890.1469998</v>
      </c>
      <c r="AR398">
        <v>3051023890.1469998</v>
      </c>
      <c r="AS398">
        <v>0</v>
      </c>
      <c r="AT398" t="b">
        <v>0</v>
      </c>
      <c r="AU398" t="b">
        <v>1</v>
      </c>
      <c r="AV398" t="b">
        <v>1</v>
      </c>
      <c r="AW398" t="b">
        <v>1</v>
      </c>
      <c r="BC398" t="s">
        <v>374</v>
      </c>
    </row>
    <row r="399" spans="1:55" x14ac:dyDescent="0.2">
      <c r="A399" t="s">
        <v>39</v>
      </c>
      <c r="B399" t="s">
        <v>40</v>
      </c>
      <c r="C399">
        <v>20220101</v>
      </c>
      <c r="D399">
        <v>2022</v>
      </c>
      <c r="E399">
        <v>52</v>
      </c>
      <c r="F399" t="s">
        <v>346</v>
      </c>
      <c r="G399">
        <v>470</v>
      </c>
      <c r="H399" t="s">
        <v>199</v>
      </c>
      <c r="I399" t="s">
        <v>200</v>
      </c>
      <c r="J399" t="s">
        <v>44</v>
      </c>
      <c r="K399" t="s">
        <v>45</v>
      </c>
      <c r="L399">
        <v>0</v>
      </c>
      <c r="M399" t="s">
        <v>46</v>
      </c>
      <c r="N399" t="s">
        <v>47</v>
      </c>
      <c r="O399">
        <v>0</v>
      </c>
      <c r="P399" t="s">
        <v>46</v>
      </c>
      <c r="Q399" t="s">
        <v>47</v>
      </c>
      <c r="R399" t="s">
        <v>347</v>
      </c>
      <c r="S399" t="s">
        <v>49</v>
      </c>
      <c r="T399" t="b">
        <v>1</v>
      </c>
      <c r="U399" t="s">
        <v>50</v>
      </c>
      <c r="V399" t="s">
        <v>51</v>
      </c>
      <c r="W399">
        <v>4</v>
      </c>
      <c r="X399" t="b">
        <v>0</v>
      </c>
      <c r="Y399" t="s">
        <v>52</v>
      </c>
      <c r="Z399" t="s">
        <v>53</v>
      </c>
      <c r="AA399" t="s">
        <v>54</v>
      </c>
      <c r="AB399">
        <v>0</v>
      </c>
      <c r="AC399" t="s">
        <v>55</v>
      </c>
      <c r="AD399">
        <v>8</v>
      </c>
      <c r="AE399" t="s">
        <v>56</v>
      </c>
      <c r="AF399">
        <v>54.57</v>
      </c>
      <c r="AG399" t="b">
        <v>0</v>
      </c>
      <c r="AH399">
        <v>15</v>
      </c>
      <c r="AI399" t="s">
        <v>59</v>
      </c>
      <c r="AJ399">
        <v>54570</v>
      </c>
      <c r="AK399" t="b">
        <v>0</v>
      </c>
      <c r="AL399">
        <v>57</v>
      </c>
      <c r="AM399" t="b">
        <v>0</v>
      </c>
      <c r="AN399">
        <v>0</v>
      </c>
      <c r="AO399" t="b">
        <v>0</v>
      </c>
      <c r="AQ399">
        <v>2205304.9709999999</v>
      </c>
      <c r="AR399">
        <v>2205304.9709999999</v>
      </c>
      <c r="AS399">
        <v>0</v>
      </c>
      <c r="AT399" t="b">
        <v>0</v>
      </c>
      <c r="AU399" t="b">
        <v>1</v>
      </c>
      <c r="AV399" t="b">
        <v>1</v>
      </c>
      <c r="AW399" t="b">
        <v>1</v>
      </c>
      <c r="BC399" t="s">
        <v>374</v>
      </c>
    </row>
    <row r="400" spans="1:55" x14ac:dyDescent="0.2">
      <c r="A400" t="s">
        <v>39</v>
      </c>
      <c r="B400" t="s">
        <v>40</v>
      </c>
      <c r="C400">
        <v>20220101</v>
      </c>
      <c r="D400">
        <v>2022</v>
      </c>
      <c r="E400">
        <v>52</v>
      </c>
      <c r="F400" t="s">
        <v>346</v>
      </c>
      <c r="G400">
        <v>478</v>
      </c>
      <c r="H400" t="s">
        <v>325</v>
      </c>
      <c r="I400" t="s">
        <v>326</v>
      </c>
      <c r="J400" t="s">
        <v>44</v>
      </c>
      <c r="K400" t="s">
        <v>45</v>
      </c>
      <c r="L400">
        <v>0</v>
      </c>
      <c r="M400" t="s">
        <v>46</v>
      </c>
      <c r="N400" t="s">
        <v>47</v>
      </c>
      <c r="O400">
        <v>0</v>
      </c>
      <c r="P400" t="s">
        <v>46</v>
      </c>
      <c r="Q400" t="s">
        <v>47</v>
      </c>
      <c r="R400" t="s">
        <v>48</v>
      </c>
      <c r="S400" t="s">
        <v>49</v>
      </c>
      <c r="T400" t="b">
        <v>1</v>
      </c>
      <c r="U400" t="s">
        <v>50</v>
      </c>
      <c r="V400" t="s">
        <v>51</v>
      </c>
      <c r="W400">
        <v>4</v>
      </c>
      <c r="X400" t="b">
        <v>0</v>
      </c>
      <c r="Y400" t="s">
        <v>52</v>
      </c>
      <c r="Z400" t="s">
        <v>53</v>
      </c>
      <c r="AA400" t="s">
        <v>54</v>
      </c>
      <c r="AB400">
        <v>0</v>
      </c>
      <c r="AC400" t="s">
        <v>55</v>
      </c>
      <c r="AD400">
        <v>8</v>
      </c>
      <c r="AE400" t="s">
        <v>56</v>
      </c>
      <c r="AF400">
        <v>21383.14</v>
      </c>
      <c r="AG400" t="b">
        <v>0</v>
      </c>
      <c r="AH400">
        <v>8</v>
      </c>
      <c r="AI400" t="s">
        <v>56</v>
      </c>
      <c r="AJ400">
        <v>21383.14</v>
      </c>
      <c r="AK400" t="b">
        <v>0</v>
      </c>
      <c r="AL400">
        <v>21383.14</v>
      </c>
      <c r="AM400" t="b">
        <v>0</v>
      </c>
      <c r="AN400">
        <v>0</v>
      </c>
      <c r="AO400" t="b">
        <v>0</v>
      </c>
      <c r="AQ400">
        <v>1169248635.2939999</v>
      </c>
      <c r="AR400">
        <v>1169248635.2939999</v>
      </c>
      <c r="AS400">
        <v>0</v>
      </c>
      <c r="AT400" t="b">
        <v>0</v>
      </c>
      <c r="AU400" t="b">
        <v>1</v>
      </c>
      <c r="AV400" t="b">
        <v>1</v>
      </c>
      <c r="AW400" t="b">
        <v>1</v>
      </c>
      <c r="BC400" t="s">
        <v>374</v>
      </c>
    </row>
    <row r="401" spans="1:55" x14ac:dyDescent="0.2">
      <c r="A401" t="s">
        <v>39</v>
      </c>
      <c r="B401" t="s">
        <v>40</v>
      </c>
      <c r="C401">
        <v>20220101</v>
      </c>
      <c r="D401">
        <v>2022</v>
      </c>
      <c r="E401">
        <v>52</v>
      </c>
      <c r="F401" t="s">
        <v>346</v>
      </c>
      <c r="G401">
        <v>480</v>
      </c>
      <c r="H401" t="s">
        <v>201</v>
      </c>
      <c r="I401" t="s">
        <v>202</v>
      </c>
      <c r="J401" t="s">
        <v>44</v>
      </c>
      <c r="K401" t="s">
        <v>45</v>
      </c>
      <c r="L401">
        <v>0</v>
      </c>
      <c r="M401" t="s">
        <v>46</v>
      </c>
      <c r="N401" t="s">
        <v>47</v>
      </c>
      <c r="O401">
        <v>0</v>
      </c>
      <c r="P401" t="s">
        <v>46</v>
      </c>
      <c r="Q401" t="s">
        <v>47</v>
      </c>
      <c r="R401" t="s">
        <v>347</v>
      </c>
      <c r="S401" t="s">
        <v>49</v>
      </c>
      <c r="T401" t="b">
        <v>1</v>
      </c>
      <c r="U401" t="s">
        <v>50</v>
      </c>
      <c r="V401" t="s">
        <v>51</v>
      </c>
      <c r="W401">
        <v>4</v>
      </c>
      <c r="X401" t="b">
        <v>0</v>
      </c>
      <c r="Y401" t="s">
        <v>52</v>
      </c>
      <c r="Z401" t="s">
        <v>53</v>
      </c>
      <c r="AA401" t="s">
        <v>54</v>
      </c>
      <c r="AB401">
        <v>0</v>
      </c>
      <c r="AC401" t="s">
        <v>55</v>
      </c>
      <c r="AD401">
        <v>8</v>
      </c>
      <c r="AE401" t="s">
        <v>56</v>
      </c>
      <c r="AF401">
        <v>16</v>
      </c>
      <c r="AG401" t="b">
        <v>0</v>
      </c>
      <c r="AH401">
        <v>8</v>
      </c>
      <c r="AI401" t="s">
        <v>56</v>
      </c>
      <c r="AJ401">
        <v>16</v>
      </c>
      <c r="AK401" t="b">
        <v>0</v>
      </c>
      <c r="AL401">
        <v>10</v>
      </c>
      <c r="AM401" t="b">
        <v>0</v>
      </c>
      <c r="AN401">
        <v>0</v>
      </c>
      <c r="AO401" t="b">
        <v>0</v>
      </c>
      <c r="AQ401">
        <v>318619.16899999999</v>
      </c>
      <c r="AR401">
        <v>318619.16899999999</v>
      </c>
      <c r="AS401">
        <v>0</v>
      </c>
      <c r="AT401" t="b">
        <v>0</v>
      </c>
      <c r="AU401" t="b">
        <v>1</v>
      </c>
      <c r="AV401" t="b">
        <v>1</v>
      </c>
      <c r="AW401" t="b">
        <v>1</v>
      </c>
      <c r="BC401" t="s">
        <v>374</v>
      </c>
    </row>
    <row r="402" spans="1:55" x14ac:dyDescent="0.2">
      <c r="A402" t="s">
        <v>39</v>
      </c>
      <c r="B402" t="s">
        <v>40</v>
      </c>
      <c r="C402">
        <v>20220101</v>
      </c>
      <c r="D402">
        <v>2022</v>
      </c>
      <c r="E402">
        <v>52</v>
      </c>
      <c r="F402" t="s">
        <v>346</v>
      </c>
      <c r="G402">
        <v>484</v>
      </c>
      <c r="H402" t="s">
        <v>203</v>
      </c>
      <c r="I402" t="s">
        <v>204</v>
      </c>
      <c r="J402" t="s">
        <v>44</v>
      </c>
      <c r="K402" t="s">
        <v>45</v>
      </c>
      <c r="L402">
        <v>0</v>
      </c>
      <c r="M402" t="s">
        <v>46</v>
      </c>
      <c r="N402" t="s">
        <v>47</v>
      </c>
      <c r="O402">
        <v>0</v>
      </c>
      <c r="P402" t="s">
        <v>46</v>
      </c>
      <c r="Q402" t="s">
        <v>47</v>
      </c>
      <c r="R402" t="s">
        <v>347</v>
      </c>
      <c r="S402" t="s">
        <v>49</v>
      </c>
      <c r="T402" t="b">
        <v>1</v>
      </c>
      <c r="U402" t="s">
        <v>50</v>
      </c>
      <c r="V402" t="s">
        <v>51</v>
      </c>
      <c r="W402">
        <v>4</v>
      </c>
      <c r="X402" t="b">
        <v>0</v>
      </c>
      <c r="Y402" t="s">
        <v>52</v>
      </c>
      <c r="Z402" t="s">
        <v>53</v>
      </c>
      <c r="AA402" t="s">
        <v>54</v>
      </c>
      <c r="AB402">
        <v>0</v>
      </c>
      <c r="AC402" t="s">
        <v>55</v>
      </c>
      <c r="AD402">
        <v>-1</v>
      </c>
      <c r="AE402" t="s">
        <v>64</v>
      </c>
      <c r="AF402">
        <v>0</v>
      </c>
      <c r="AG402" t="b">
        <v>1</v>
      </c>
      <c r="AH402">
        <v>-1</v>
      </c>
      <c r="AI402" t="s">
        <v>64</v>
      </c>
      <c r="AJ402">
        <v>0</v>
      </c>
      <c r="AK402" t="b">
        <v>0</v>
      </c>
      <c r="AL402">
        <v>0</v>
      </c>
      <c r="AM402" t="b">
        <v>1</v>
      </c>
      <c r="AN402">
        <v>0</v>
      </c>
      <c r="AO402" t="b">
        <v>0</v>
      </c>
      <c r="AQ402">
        <v>3098803598</v>
      </c>
      <c r="AR402">
        <v>3098803598</v>
      </c>
      <c r="AS402">
        <v>6</v>
      </c>
      <c r="AT402" t="b">
        <v>0</v>
      </c>
      <c r="AU402" t="b">
        <v>1</v>
      </c>
      <c r="AV402" t="b">
        <v>1</v>
      </c>
      <c r="AW402" t="b">
        <v>1</v>
      </c>
      <c r="BC402" t="s">
        <v>374</v>
      </c>
    </row>
    <row r="403" spans="1:55" x14ac:dyDescent="0.2">
      <c r="A403" t="s">
        <v>39</v>
      </c>
      <c r="B403" t="s">
        <v>40</v>
      </c>
      <c r="C403">
        <v>20220101</v>
      </c>
      <c r="D403">
        <v>2022</v>
      </c>
      <c r="E403">
        <v>52</v>
      </c>
      <c r="F403" t="s">
        <v>346</v>
      </c>
      <c r="G403">
        <v>490</v>
      </c>
      <c r="H403" t="s">
        <v>205</v>
      </c>
      <c r="I403" t="s">
        <v>206</v>
      </c>
      <c r="J403" t="s">
        <v>44</v>
      </c>
      <c r="K403" t="s">
        <v>45</v>
      </c>
      <c r="L403">
        <v>0</v>
      </c>
      <c r="M403" t="s">
        <v>46</v>
      </c>
      <c r="N403" t="s">
        <v>47</v>
      </c>
      <c r="O403">
        <v>0</v>
      </c>
      <c r="P403" t="s">
        <v>46</v>
      </c>
      <c r="Q403" t="s">
        <v>47</v>
      </c>
      <c r="R403" t="s">
        <v>48</v>
      </c>
      <c r="S403" t="s">
        <v>49</v>
      </c>
      <c r="T403" t="b">
        <v>1</v>
      </c>
      <c r="U403" t="s">
        <v>50</v>
      </c>
      <c r="V403" t="s">
        <v>51</v>
      </c>
      <c r="W403">
        <v>4</v>
      </c>
      <c r="X403" t="b">
        <v>0</v>
      </c>
      <c r="Y403" t="s">
        <v>52</v>
      </c>
      <c r="Z403" t="s">
        <v>53</v>
      </c>
      <c r="AA403" t="s">
        <v>54</v>
      </c>
      <c r="AB403">
        <v>0</v>
      </c>
      <c r="AC403" t="s">
        <v>55</v>
      </c>
      <c r="AD403">
        <v>8</v>
      </c>
      <c r="AE403" t="s">
        <v>56</v>
      </c>
      <c r="AF403">
        <v>19531.532999999999</v>
      </c>
      <c r="AG403" t="b">
        <v>1</v>
      </c>
      <c r="AH403">
        <v>-1</v>
      </c>
      <c r="AI403" t="s">
        <v>64</v>
      </c>
      <c r="AJ403">
        <v>0</v>
      </c>
      <c r="AK403" t="b">
        <v>0</v>
      </c>
      <c r="AL403">
        <v>19531.532999999999</v>
      </c>
      <c r="AM403" t="b">
        <v>1</v>
      </c>
      <c r="AN403">
        <v>0</v>
      </c>
      <c r="AO403" t="b">
        <v>0</v>
      </c>
      <c r="AQ403">
        <v>1074986252.4000001</v>
      </c>
      <c r="AR403">
        <v>1074986252.4000001</v>
      </c>
      <c r="AS403">
        <v>6</v>
      </c>
      <c r="AT403" t="b">
        <v>0</v>
      </c>
      <c r="AU403" t="b">
        <v>1</v>
      </c>
      <c r="AV403" t="b">
        <v>1</v>
      </c>
      <c r="AW403" t="b">
        <v>1</v>
      </c>
      <c r="BC403" t="s">
        <v>374</v>
      </c>
    </row>
    <row r="404" spans="1:55" x14ac:dyDescent="0.2">
      <c r="A404" t="s">
        <v>39</v>
      </c>
      <c r="B404" t="s">
        <v>40</v>
      </c>
      <c r="C404">
        <v>20220101</v>
      </c>
      <c r="D404">
        <v>2022</v>
      </c>
      <c r="E404">
        <v>52</v>
      </c>
      <c r="F404" t="s">
        <v>346</v>
      </c>
      <c r="G404">
        <v>496</v>
      </c>
      <c r="H404" t="s">
        <v>207</v>
      </c>
      <c r="I404" t="s">
        <v>208</v>
      </c>
      <c r="J404" t="s">
        <v>44</v>
      </c>
      <c r="K404" t="s">
        <v>45</v>
      </c>
      <c r="L404">
        <v>0</v>
      </c>
      <c r="M404" t="s">
        <v>46</v>
      </c>
      <c r="N404" t="s">
        <v>47</v>
      </c>
      <c r="O404">
        <v>0</v>
      </c>
      <c r="P404" t="s">
        <v>46</v>
      </c>
      <c r="Q404" t="s">
        <v>47</v>
      </c>
      <c r="R404" t="s">
        <v>347</v>
      </c>
      <c r="S404" t="s">
        <v>49</v>
      </c>
      <c r="T404" t="b">
        <v>1</v>
      </c>
      <c r="U404" t="s">
        <v>50</v>
      </c>
      <c r="V404" t="s">
        <v>51</v>
      </c>
      <c r="W404">
        <v>4</v>
      </c>
      <c r="X404" t="b">
        <v>0</v>
      </c>
      <c r="Y404" t="s">
        <v>52</v>
      </c>
      <c r="Z404" t="s">
        <v>53</v>
      </c>
      <c r="AA404" t="s">
        <v>54</v>
      </c>
      <c r="AB404">
        <v>0</v>
      </c>
      <c r="AC404" t="s">
        <v>55</v>
      </c>
      <c r="AD404">
        <v>8</v>
      </c>
      <c r="AE404" t="s">
        <v>56</v>
      </c>
      <c r="AF404">
        <v>19219.59</v>
      </c>
      <c r="AG404" t="b">
        <v>0</v>
      </c>
      <c r="AH404">
        <v>8</v>
      </c>
      <c r="AI404" t="s">
        <v>56</v>
      </c>
      <c r="AJ404">
        <v>19219.59</v>
      </c>
      <c r="AK404" t="b">
        <v>0</v>
      </c>
      <c r="AL404">
        <v>19219.59</v>
      </c>
      <c r="AM404" t="b">
        <v>0</v>
      </c>
      <c r="AN404">
        <v>0</v>
      </c>
      <c r="AO404" t="b">
        <v>0</v>
      </c>
      <c r="AQ404">
        <v>1104152518.6400001</v>
      </c>
      <c r="AR404">
        <v>1104152518.6400001</v>
      </c>
      <c r="AS404">
        <v>0</v>
      </c>
      <c r="AT404" t="b">
        <v>0</v>
      </c>
      <c r="AU404" t="b">
        <v>1</v>
      </c>
      <c r="AV404" t="b">
        <v>1</v>
      </c>
      <c r="AW404" t="b">
        <v>1</v>
      </c>
      <c r="BC404" t="s">
        <v>374</v>
      </c>
    </row>
    <row r="405" spans="1:55" x14ac:dyDescent="0.2">
      <c r="A405" t="s">
        <v>39</v>
      </c>
      <c r="B405" t="s">
        <v>40</v>
      </c>
      <c r="C405">
        <v>20220101</v>
      </c>
      <c r="D405">
        <v>2022</v>
      </c>
      <c r="E405">
        <v>52</v>
      </c>
      <c r="F405" t="s">
        <v>346</v>
      </c>
      <c r="G405">
        <v>498</v>
      </c>
      <c r="H405" t="s">
        <v>209</v>
      </c>
      <c r="I405" t="s">
        <v>210</v>
      </c>
      <c r="J405" t="s">
        <v>44</v>
      </c>
      <c r="K405" t="s">
        <v>45</v>
      </c>
      <c r="L405">
        <v>0</v>
      </c>
      <c r="M405" t="s">
        <v>46</v>
      </c>
      <c r="N405" t="s">
        <v>47</v>
      </c>
      <c r="O405">
        <v>0</v>
      </c>
      <c r="P405" t="s">
        <v>46</v>
      </c>
      <c r="Q405" t="s">
        <v>47</v>
      </c>
      <c r="R405" t="s">
        <v>48</v>
      </c>
      <c r="S405" t="s">
        <v>49</v>
      </c>
      <c r="T405" t="b">
        <v>1</v>
      </c>
      <c r="U405" t="s">
        <v>50</v>
      </c>
      <c r="V405" t="s">
        <v>51</v>
      </c>
      <c r="W405">
        <v>4</v>
      </c>
      <c r="X405" t="b">
        <v>0</v>
      </c>
      <c r="Y405" t="s">
        <v>52</v>
      </c>
      <c r="Z405" t="s">
        <v>53</v>
      </c>
      <c r="AA405" t="s">
        <v>54</v>
      </c>
      <c r="AB405">
        <v>0</v>
      </c>
      <c r="AC405" t="s">
        <v>55</v>
      </c>
      <c r="AD405">
        <v>8</v>
      </c>
      <c r="AE405" t="s">
        <v>56</v>
      </c>
      <c r="AF405">
        <v>37.21</v>
      </c>
      <c r="AG405" t="b">
        <v>0</v>
      </c>
      <c r="AH405">
        <v>15</v>
      </c>
      <c r="AI405" t="s">
        <v>59</v>
      </c>
      <c r="AJ405">
        <v>37210</v>
      </c>
      <c r="AK405" t="b">
        <v>0</v>
      </c>
      <c r="AL405">
        <v>37</v>
      </c>
      <c r="AM405" t="b">
        <v>0</v>
      </c>
      <c r="AN405">
        <v>0</v>
      </c>
      <c r="AO405" t="b">
        <v>0</v>
      </c>
      <c r="AQ405">
        <v>1320512</v>
      </c>
      <c r="AR405">
        <v>1320512</v>
      </c>
      <c r="AS405">
        <v>0</v>
      </c>
      <c r="AT405" t="b">
        <v>0</v>
      </c>
      <c r="AU405" t="b">
        <v>1</v>
      </c>
      <c r="AV405" t="b">
        <v>1</v>
      </c>
      <c r="AW405" t="b">
        <v>1</v>
      </c>
      <c r="BC405" t="s">
        <v>374</v>
      </c>
    </row>
    <row r="406" spans="1:55" x14ac:dyDescent="0.2">
      <c r="A406" t="s">
        <v>39</v>
      </c>
      <c r="B406" t="s">
        <v>40</v>
      </c>
      <c r="C406">
        <v>20220101</v>
      </c>
      <c r="D406">
        <v>2022</v>
      </c>
      <c r="E406">
        <v>52</v>
      </c>
      <c r="F406" t="s">
        <v>346</v>
      </c>
      <c r="G406">
        <v>504</v>
      </c>
      <c r="H406" t="s">
        <v>211</v>
      </c>
      <c r="I406" t="s">
        <v>212</v>
      </c>
      <c r="J406" t="s">
        <v>44</v>
      </c>
      <c r="K406" t="s">
        <v>45</v>
      </c>
      <c r="L406">
        <v>0</v>
      </c>
      <c r="M406" t="s">
        <v>46</v>
      </c>
      <c r="N406" t="s">
        <v>47</v>
      </c>
      <c r="O406">
        <v>0</v>
      </c>
      <c r="P406" t="s">
        <v>46</v>
      </c>
      <c r="Q406" t="s">
        <v>47</v>
      </c>
      <c r="R406" t="s">
        <v>347</v>
      </c>
      <c r="S406" t="s">
        <v>49</v>
      </c>
      <c r="T406" t="b">
        <v>1</v>
      </c>
      <c r="U406" t="s">
        <v>50</v>
      </c>
      <c r="V406" t="s">
        <v>51</v>
      </c>
      <c r="W406">
        <v>4</v>
      </c>
      <c r="X406" t="b">
        <v>0</v>
      </c>
      <c r="Y406" t="s">
        <v>52</v>
      </c>
      <c r="Z406" t="s">
        <v>53</v>
      </c>
      <c r="AA406" t="s">
        <v>54</v>
      </c>
      <c r="AB406">
        <v>0</v>
      </c>
      <c r="AC406" t="s">
        <v>55</v>
      </c>
      <c r="AD406">
        <v>-1</v>
      </c>
      <c r="AE406" t="s">
        <v>64</v>
      </c>
      <c r="AF406">
        <v>0</v>
      </c>
      <c r="AG406" t="b">
        <v>0</v>
      </c>
      <c r="AH406">
        <v>-1</v>
      </c>
      <c r="AI406" t="s">
        <v>64</v>
      </c>
      <c r="AJ406">
        <v>0</v>
      </c>
      <c r="AK406" t="b">
        <v>0</v>
      </c>
      <c r="AL406">
        <v>576.27</v>
      </c>
      <c r="AM406" t="b">
        <v>0</v>
      </c>
      <c r="AN406">
        <v>0</v>
      </c>
      <c r="AO406" t="b">
        <v>0</v>
      </c>
      <c r="AQ406">
        <v>27518404.151000001</v>
      </c>
      <c r="AR406">
        <v>27518404.151000001</v>
      </c>
      <c r="AS406">
        <v>0</v>
      </c>
      <c r="AT406" t="b">
        <v>0</v>
      </c>
      <c r="AU406" t="b">
        <v>1</v>
      </c>
      <c r="AV406" t="b">
        <v>1</v>
      </c>
      <c r="AW406" t="b">
        <v>1</v>
      </c>
      <c r="BC406" t="s">
        <v>374</v>
      </c>
    </row>
    <row r="407" spans="1:55" x14ac:dyDescent="0.2">
      <c r="A407" t="s">
        <v>39</v>
      </c>
      <c r="B407" t="s">
        <v>40</v>
      </c>
      <c r="C407">
        <v>20220101</v>
      </c>
      <c r="D407">
        <v>2022</v>
      </c>
      <c r="E407">
        <v>52</v>
      </c>
      <c r="F407" t="s">
        <v>346</v>
      </c>
      <c r="G407">
        <v>508</v>
      </c>
      <c r="H407" t="s">
        <v>213</v>
      </c>
      <c r="I407" t="s">
        <v>214</v>
      </c>
      <c r="J407" t="s">
        <v>44</v>
      </c>
      <c r="K407" t="s">
        <v>45</v>
      </c>
      <c r="L407">
        <v>0</v>
      </c>
      <c r="M407" t="s">
        <v>46</v>
      </c>
      <c r="N407" t="s">
        <v>47</v>
      </c>
      <c r="O407">
        <v>0</v>
      </c>
      <c r="P407" t="s">
        <v>46</v>
      </c>
      <c r="Q407" t="s">
        <v>47</v>
      </c>
      <c r="R407" t="s">
        <v>48</v>
      </c>
      <c r="S407" t="s">
        <v>49</v>
      </c>
      <c r="T407" t="b">
        <v>1</v>
      </c>
      <c r="U407" t="s">
        <v>50</v>
      </c>
      <c r="V407" t="s">
        <v>51</v>
      </c>
      <c r="W407">
        <v>4</v>
      </c>
      <c r="X407" t="b">
        <v>0</v>
      </c>
      <c r="Y407" t="s">
        <v>52</v>
      </c>
      <c r="Z407" t="s">
        <v>53</v>
      </c>
      <c r="AA407" t="s">
        <v>54</v>
      </c>
      <c r="AB407">
        <v>0</v>
      </c>
      <c r="AC407" t="s">
        <v>55</v>
      </c>
      <c r="AD407">
        <v>8</v>
      </c>
      <c r="AE407" t="s">
        <v>56</v>
      </c>
      <c r="AF407">
        <v>58.048999999999999</v>
      </c>
      <c r="AG407" t="b">
        <v>0</v>
      </c>
      <c r="AH407">
        <v>15</v>
      </c>
      <c r="AI407" t="s">
        <v>59</v>
      </c>
      <c r="AJ407">
        <v>56051</v>
      </c>
      <c r="AK407" t="b">
        <v>0</v>
      </c>
      <c r="AL407">
        <v>58.584000000000003</v>
      </c>
      <c r="AM407" t="b">
        <v>0</v>
      </c>
      <c r="AN407">
        <v>0</v>
      </c>
      <c r="AO407" t="b">
        <v>0</v>
      </c>
      <c r="AQ407">
        <v>2602982.08</v>
      </c>
      <c r="AR407">
        <v>2602982.08</v>
      </c>
      <c r="AS407">
        <v>0</v>
      </c>
      <c r="AT407" t="b">
        <v>0</v>
      </c>
      <c r="AU407" t="b">
        <v>1</v>
      </c>
      <c r="AV407" t="b">
        <v>1</v>
      </c>
      <c r="AW407" t="b">
        <v>1</v>
      </c>
      <c r="BC407" t="s">
        <v>374</v>
      </c>
    </row>
    <row r="408" spans="1:55" x14ac:dyDescent="0.2">
      <c r="A408" t="s">
        <v>39</v>
      </c>
      <c r="B408" t="s">
        <v>40</v>
      </c>
      <c r="C408">
        <v>20220101</v>
      </c>
      <c r="D408">
        <v>2022</v>
      </c>
      <c r="E408">
        <v>52</v>
      </c>
      <c r="F408" t="s">
        <v>346</v>
      </c>
      <c r="G408">
        <v>512</v>
      </c>
      <c r="H408" t="s">
        <v>215</v>
      </c>
      <c r="I408" t="s">
        <v>216</v>
      </c>
      <c r="J408" t="s">
        <v>44</v>
      </c>
      <c r="K408" t="s">
        <v>45</v>
      </c>
      <c r="L408">
        <v>0</v>
      </c>
      <c r="M408" t="s">
        <v>46</v>
      </c>
      <c r="N408" t="s">
        <v>47</v>
      </c>
      <c r="O408">
        <v>0</v>
      </c>
      <c r="P408" t="s">
        <v>46</v>
      </c>
      <c r="Q408" t="s">
        <v>47</v>
      </c>
      <c r="R408" t="s">
        <v>347</v>
      </c>
      <c r="S408" t="s">
        <v>49</v>
      </c>
      <c r="T408" t="b">
        <v>1</v>
      </c>
      <c r="U408" t="s">
        <v>50</v>
      </c>
      <c r="V408" t="s">
        <v>51</v>
      </c>
      <c r="W408">
        <v>4</v>
      </c>
      <c r="X408" t="b">
        <v>0</v>
      </c>
      <c r="Y408" t="s">
        <v>52</v>
      </c>
      <c r="Z408" t="s">
        <v>53</v>
      </c>
      <c r="AA408" t="s">
        <v>54</v>
      </c>
      <c r="AB408">
        <v>0</v>
      </c>
      <c r="AC408" t="s">
        <v>55</v>
      </c>
      <c r="AD408">
        <v>8</v>
      </c>
      <c r="AE408" t="s">
        <v>56</v>
      </c>
      <c r="AF408">
        <v>830.97799999999995</v>
      </c>
      <c r="AG408" t="b">
        <v>1</v>
      </c>
      <c r="AH408">
        <v>-1</v>
      </c>
      <c r="AI408" t="s">
        <v>64</v>
      </c>
      <c r="AJ408">
        <v>0</v>
      </c>
      <c r="AK408" t="b">
        <v>0</v>
      </c>
      <c r="AL408">
        <v>830.97799999999995</v>
      </c>
      <c r="AM408" t="b">
        <v>1</v>
      </c>
      <c r="AN408">
        <v>0</v>
      </c>
      <c r="AO408" t="b">
        <v>0</v>
      </c>
      <c r="AQ408">
        <v>45932260.005999997</v>
      </c>
      <c r="AR408">
        <v>45932260.005999997</v>
      </c>
      <c r="AS408">
        <v>6</v>
      </c>
      <c r="AT408" t="b">
        <v>0</v>
      </c>
      <c r="AU408" t="b">
        <v>1</v>
      </c>
      <c r="AV408" t="b">
        <v>1</v>
      </c>
      <c r="AW408" t="b">
        <v>1</v>
      </c>
      <c r="BC408" t="s">
        <v>374</v>
      </c>
    </row>
    <row r="409" spans="1:55" x14ac:dyDescent="0.2">
      <c r="A409" t="s">
        <v>39</v>
      </c>
      <c r="B409" t="s">
        <v>40</v>
      </c>
      <c r="C409">
        <v>20220101</v>
      </c>
      <c r="D409">
        <v>2022</v>
      </c>
      <c r="E409">
        <v>52</v>
      </c>
      <c r="F409" t="s">
        <v>346</v>
      </c>
      <c r="G409">
        <v>516</v>
      </c>
      <c r="H409" t="s">
        <v>217</v>
      </c>
      <c r="I409" t="s">
        <v>218</v>
      </c>
      <c r="J409" t="s">
        <v>44</v>
      </c>
      <c r="K409" t="s">
        <v>45</v>
      </c>
      <c r="L409">
        <v>0</v>
      </c>
      <c r="M409" t="s">
        <v>46</v>
      </c>
      <c r="N409" t="s">
        <v>47</v>
      </c>
      <c r="O409">
        <v>0</v>
      </c>
      <c r="P409" t="s">
        <v>46</v>
      </c>
      <c r="Q409" t="s">
        <v>47</v>
      </c>
      <c r="R409" t="s">
        <v>347</v>
      </c>
      <c r="S409" t="s">
        <v>49</v>
      </c>
      <c r="T409" t="b">
        <v>1</v>
      </c>
      <c r="U409" t="s">
        <v>50</v>
      </c>
      <c r="V409" t="s">
        <v>51</v>
      </c>
      <c r="W409">
        <v>4</v>
      </c>
      <c r="X409" t="b">
        <v>0</v>
      </c>
      <c r="Y409" t="s">
        <v>52</v>
      </c>
      <c r="Z409" t="s">
        <v>53</v>
      </c>
      <c r="AA409" t="s">
        <v>54</v>
      </c>
      <c r="AB409">
        <v>0</v>
      </c>
      <c r="AC409" t="s">
        <v>55</v>
      </c>
      <c r="AD409">
        <v>8</v>
      </c>
      <c r="AE409" t="s">
        <v>56</v>
      </c>
      <c r="AF409">
        <v>8096.77</v>
      </c>
      <c r="AG409" t="b">
        <v>0</v>
      </c>
      <c r="AH409">
        <v>8</v>
      </c>
      <c r="AI409" t="s">
        <v>56</v>
      </c>
      <c r="AJ409">
        <v>8096.77</v>
      </c>
      <c r="AK409" t="b">
        <v>0</v>
      </c>
      <c r="AL409">
        <v>8096.77</v>
      </c>
      <c r="AM409" t="b">
        <v>0</v>
      </c>
      <c r="AN409">
        <v>0</v>
      </c>
      <c r="AO409" t="b">
        <v>0</v>
      </c>
      <c r="AQ409">
        <v>438743261.912</v>
      </c>
      <c r="AR409">
        <v>438743261.912</v>
      </c>
      <c r="AS409">
        <v>0</v>
      </c>
      <c r="AT409" t="b">
        <v>0</v>
      </c>
      <c r="AU409" t="b">
        <v>1</v>
      </c>
      <c r="AV409" t="b">
        <v>1</v>
      </c>
      <c r="AW409" t="b">
        <v>1</v>
      </c>
      <c r="BC409" t="s">
        <v>374</v>
      </c>
    </row>
    <row r="410" spans="1:55" x14ac:dyDescent="0.2">
      <c r="A410" t="s">
        <v>39</v>
      </c>
      <c r="B410" t="s">
        <v>40</v>
      </c>
      <c r="C410">
        <v>20220101</v>
      </c>
      <c r="D410">
        <v>2022</v>
      </c>
      <c r="E410">
        <v>52</v>
      </c>
      <c r="F410" t="s">
        <v>346</v>
      </c>
      <c r="G410">
        <v>524</v>
      </c>
      <c r="H410" t="s">
        <v>350</v>
      </c>
      <c r="I410" t="s">
        <v>351</v>
      </c>
      <c r="J410" t="s">
        <v>44</v>
      </c>
      <c r="K410" t="s">
        <v>45</v>
      </c>
      <c r="L410">
        <v>0</v>
      </c>
      <c r="M410" t="s">
        <v>46</v>
      </c>
      <c r="N410" t="s">
        <v>47</v>
      </c>
      <c r="O410">
        <v>0</v>
      </c>
      <c r="P410" t="s">
        <v>46</v>
      </c>
      <c r="Q410" t="s">
        <v>47</v>
      </c>
      <c r="R410" t="s">
        <v>347</v>
      </c>
      <c r="S410" t="s">
        <v>49</v>
      </c>
      <c r="T410" t="b">
        <v>1</v>
      </c>
      <c r="U410" t="s">
        <v>50</v>
      </c>
      <c r="V410" t="s">
        <v>51</v>
      </c>
      <c r="W410">
        <v>4</v>
      </c>
      <c r="X410" t="b">
        <v>0</v>
      </c>
      <c r="Y410" t="s">
        <v>52</v>
      </c>
      <c r="Z410" t="s">
        <v>53</v>
      </c>
      <c r="AA410" t="s">
        <v>54</v>
      </c>
      <c r="AB410">
        <v>0</v>
      </c>
      <c r="AC410" t="s">
        <v>55</v>
      </c>
      <c r="AD410">
        <v>8</v>
      </c>
      <c r="AE410" t="s">
        <v>56</v>
      </c>
      <c r="AF410">
        <v>0.27800000000000002</v>
      </c>
      <c r="AG410" t="b">
        <v>0</v>
      </c>
      <c r="AH410">
        <v>15</v>
      </c>
      <c r="AI410" t="s">
        <v>59</v>
      </c>
      <c r="AJ410">
        <v>278</v>
      </c>
      <c r="AK410" t="b">
        <v>0</v>
      </c>
      <c r="AL410">
        <v>0.27800000000000002</v>
      </c>
      <c r="AM410" t="b">
        <v>0</v>
      </c>
      <c r="AN410">
        <v>0</v>
      </c>
      <c r="AO410" t="b">
        <v>0</v>
      </c>
      <c r="AQ410">
        <v>28750.371999999999</v>
      </c>
      <c r="AR410">
        <v>28750.371999999999</v>
      </c>
      <c r="AS410">
        <v>0</v>
      </c>
      <c r="AT410" t="b">
        <v>0</v>
      </c>
      <c r="AU410" t="b">
        <v>1</v>
      </c>
      <c r="AV410" t="b">
        <v>1</v>
      </c>
      <c r="AW410" t="b">
        <v>1</v>
      </c>
      <c r="BC410" t="s">
        <v>374</v>
      </c>
    </row>
    <row r="411" spans="1:55" x14ac:dyDescent="0.2">
      <c r="A411" t="s">
        <v>39</v>
      </c>
      <c r="B411" t="s">
        <v>40</v>
      </c>
      <c r="C411">
        <v>20220101</v>
      </c>
      <c r="D411">
        <v>2022</v>
      </c>
      <c r="E411">
        <v>52</v>
      </c>
      <c r="F411" t="s">
        <v>346</v>
      </c>
      <c r="G411">
        <v>528</v>
      </c>
      <c r="H411" t="s">
        <v>219</v>
      </c>
      <c r="I411" t="s">
        <v>220</v>
      </c>
      <c r="J411" t="s">
        <v>44</v>
      </c>
      <c r="K411" t="s">
        <v>45</v>
      </c>
      <c r="L411">
        <v>0</v>
      </c>
      <c r="M411" t="s">
        <v>46</v>
      </c>
      <c r="N411" t="s">
        <v>47</v>
      </c>
      <c r="O411">
        <v>0</v>
      </c>
      <c r="P411" t="s">
        <v>46</v>
      </c>
      <c r="Q411" t="s">
        <v>47</v>
      </c>
      <c r="R411" t="s">
        <v>347</v>
      </c>
      <c r="S411" t="s">
        <v>49</v>
      </c>
      <c r="T411" t="b">
        <v>1</v>
      </c>
      <c r="U411" t="s">
        <v>50</v>
      </c>
      <c r="V411" t="s">
        <v>51</v>
      </c>
      <c r="W411">
        <v>4</v>
      </c>
      <c r="X411" t="b">
        <v>0</v>
      </c>
      <c r="Y411" t="s">
        <v>52</v>
      </c>
      <c r="Z411" t="s">
        <v>53</v>
      </c>
      <c r="AA411" t="s">
        <v>54</v>
      </c>
      <c r="AB411">
        <v>0</v>
      </c>
      <c r="AC411" t="s">
        <v>55</v>
      </c>
      <c r="AD411">
        <v>8</v>
      </c>
      <c r="AE411" t="s">
        <v>56</v>
      </c>
      <c r="AF411">
        <v>5164.0820000000003</v>
      </c>
      <c r="AG411" t="b">
        <v>1</v>
      </c>
      <c r="AH411">
        <v>-1</v>
      </c>
      <c r="AI411" t="s">
        <v>64</v>
      </c>
      <c r="AJ411">
        <v>0</v>
      </c>
      <c r="AK411" t="b">
        <v>0</v>
      </c>
      <c r="AM411" t="b">
        <v>0</v>
      </c>
      <c r="AN411">
        <v>0</v>
      </c>
      <c r="AO411" t="b">
        <v>0</v>
      </c>
      <c r="AQ411">
        <v>248599020.81400001</v>
      </c>
      <c r="AR411">
        <v>248599020.81400001</v>
      </c>
      <c r="AS411">
        <v>2</v>
      </c>
      <c r="AT411" t="b">
        <v>0</v>
      </c>
      <c r="AU411" t="b">
        <v>1</v>
      </c>
      <c r="AV411" t="b">
        <v>1</v>
      </c>
      <c r="AW411" t="b">
        <v>1</v>
      </c>
      <c r="BC411" t="s">
        <v>374</v>
      </c>
    </row>
    <row r="412" spans="1:55" x14ac:dyDescent="0.2">
      <c r="A412" t="s">
        <v>39</v>
      </c>
      <c r="B412" t="s">
        <v>40</v>
      </c>
      <c r="C412">
        <v>20220101</v>
      </c>
      <c r="D412">
        <v>2022</v>
      </c>
      <c r="E412">
        <v>52</v>
      </c>
      <c r="F412" t="s">
        <v>346</v>
      </c>
      <c r="G412">
        <v>554</v>
      </c>
      <c r="H412" t="s">
        <v>223</v>
      </c>
      <c r="I412" t="s">
        <v>224</v>
      </c>
      <c r="J412" t="s">
        <v>44</v>
      </c>
      <c r="K412" t="s">
        <v>45</v>
      </c>
      <c r="L412">
        <v>0</v>
      </c>
      <c r="M412" t="s">
        <v>46</v>
      </c>
      <c r="N412" t="s">
        <v>47</v>
      </c>
      <c r="O412">
        <v>0</v>
      </c>
      <c r="P412" t="s">
        <v>46</v>
      </c>
      <c r="Q412" t="s">
        <v>47</v>
      </c>
      <c r="R412" t="s">
        <v>347</v>
      </c>
      <c r="S412" t="s">
        <v>49</v>
      </c>
      <c r="T412" t="b">
        <v>1</v>
      </c>
      <c r="U412" t="s">
        <v>50</v>
      </c>
      <c r="V412" t="s">
        <v>51</v>
      </c>
      <c r="W412">
        <v>4</v>
      </c>
      <c r="X412" t="b">
        <v>0</v>
      </c>
      <c r="Y412" t="s">
        <v>52</v>
      </c>
      <c r="Z412" t="s">
        <v>53</v>
      </c>
      <c r="AA412" t="s">
        <v>54</v>
      </c>
      <c r="AB412">
        <v>0</v>
      </c>
      <c r="AC412" t="s">
        <v>55</v>
      </c>
      <c r="AD412">
        <v>8</v>
      </c>
      <c r="AE412" t="s">
        <v>56</v>
      </c>
      <c r="AF412">
        <v>11569.549000000001</v>
      </c>
      <c r="AG412" t="b">
        <v>0</v>
      </c>
      <c r="AH412">
        <v>15</v>
      </c>
      <c r="AI412" t="s">
        <v>59</v>
      </c>
      <c r="AJ412">
        <v>11569549</v>
      </c>
      <c r="AK412" t="b">
        <v>0</v>
      </c>
      <c r="AL412">
        <v>11569.549000000001</v>
      </c>
      <c r="AM412" t="b">
        <v>0</v>
      </c>
      <c r="AN412">
        <v>0</v>
      </c>
      <c r="AO412" t="b">
        <v>0</v>
      </c>
      <c r="AQ412">
        <v>397958431.347</v>
      </c>
      <c r="AR412">
        <v>397958431.347</v>
      </c>
      <c r="AS412">
        <v>0</v>
      </c>
      <c r="AT412" t="b">
        <v>0</v>
      </c>
      <c r="AU412" t="b">
        <v>1</v>
      </c>
      <c r="AV412" t="b">
        <v>1</v>
      </c>
      <c r="AW412" t="b">
        <v>1</v>
      </c>
      <c r="BC412" t="s">
        <v>374</v>
      </c>
    </row>
    <row r="413" spans="1:55" x14ac:dyDescent="0.2">
      <c r="A413" t="s">
        <v>39</v>
      </c>
      <c r="B413" t="s">
        <v>40</v>
      </c>
      <c r="C413">
        <v>20220101</v>
      </c>
      <c r="D413">
        <v>2022</v>
      </c>
      <c r="E413">
        <v>52</v>
      </c>
      <c r="F413" t="s">
        <v>346</v>
      </c>
      <c r="G413">
        <v>558</v>
      </c>
      <c r="H413" t="s">
        <v>225</v>
      </c>
      <c r="I413" t="s">
        <v>226</v>
      </c>
      <c r="J413" t="s">
        <v>44</v>
      </c>
      <c r="K413" t="s">
        <v>45</v>
      </c>
      <c r="L413">
        <v>0</v>
      </c>
      <c r="M413" t="s">
        <v>46</v>
      </c>
      <c r="N413" t="s">
        <v>47</v>
      </c>
      <c r="O413">
        <v>0</v>
      </c>
      <c r="P413" t="s">
        <v>46</v>
      </c>
      <c r="Q413" t="s">
        <v>47</v>
      </c>
      <c r="R413" t="s">
        <v>347</v>
      </c>
      <c r="S413" t="s">
        <v>49</v>
      </c>
      <c r="T413" t="b">
        <v>1</v>
      </c>
      <c r="U413" t="s">
        <v>50</v>
      </c>
      <c r="V413" t="s">
        <v>51</v>
      </c>
      <c r="W413">
        <v>4</v>
      </c>
      <c r="X413" t="b">
        <v>0</v>
      </c>
      <c r="Y413" t="s">
        <v>52</v>
      </c>
      <c r="Z413" t="s">
        <v>53</v>
      </c>
      <c r="AA413" t="s">
        <v>54</v>
      </c>
      <c r="AB413">
        <v>0</v>
      </c>
      <c r="AC413" t="s">
        <v>55</v>
      </c>
      <c r="AD413">
        <v>8</v>
      </c>
      <c r="AE413" t="s">
        <v>56</v>
      </c>
      <c r="AF413">
        <v>18505.990000000002</v>
      </c>
      <c r="AG413" t="b">
        <v>0</v>
      </c>
      <c r="AH413">
        <v>8</v>
      </c>
      <c r="AI413" t="s">
        <v>56</v>
      </c>
      <c r="AJ413">
        <v>18505.990000000002</v>
      </c>
      <c r="AK413" t="b">
        <v>0</v>
      </c>
      <c r="AL413">
        <v>18505.990000000002</v>
      </c>
      <c r="AM413" t="b">
        <v>0</v>
      </c>
      <c r="AN413">
        <v>0</v>
      </c>
      <c r="AO413" t="b">
        <v>0</v>
      </c>
      <c r="AQ413">
        <v>927423809.29999995</v>
      </c>
      <c r="AR413">
        <v>927423809.29999995</v>
      </c>
      <c r="AS413">
        <v>0</v>
      </c>
      <c r="AT413" t="b">
        <v>0</v>
      </c>
      <c r="AU413" t="b">
        <v>1</v>
      </c>
      <c r="AV413" t="b">
        <v>1</v>
      </c>
      <c r="AW413" t="b">
        <v>1</v>
      </c>
      <c r="BC413" t="s">
        <v>374</v>
      </c>
    </row>
    <row r="414" spans="1:55" x14ac:dyDescent="0.2">
      <c r="A414" t="s">
        <v>39</v>
      </c>
      <c r="B414" t="s">
        <v>40</v>
      </c>
      <c r="C414">
        <v>20220101</v>
      </c>
      <c r="D414">
        <v>2022</v>
      </c>
      <c r="E414">
        <v>52</v>
      </c>
      <c r="F414" t="s">
        <v>346</v>
      </c>
      <c r="G414">
        <v>562</v>
      </c>
      <c r="H414" t="s">
        <v>227</v>
      </c>
      <c r="I414" t="s">
        <v>228</v>
      </c>
      <c r="J414" t="s">
        <v>44</v>
      </c>
      <c r="K414" t="s">
        <v>45</v>
      </c>
      <c r="L414">
        <v>0</v>
      </c>
      <c r="M414" t="s">
        <v>46</v>
      </c>
      <c r="N414" t="s">
        <v>47</v>
      </c>
      <c r="O414">
        <v>0</v>
      </c>
      <c r="P414" t="s">
        <v>46</v>
      </c>
      <c r="Q414" t="s">
        <v>47</v>
      </c>
      <c r="R414" t="s">
        <v>347</v>
      </c>
      <c r="S414" t="s">
        <v>49</v>
      </c>
      <c r="T414" t="b">
        <v>1</v>
      </c>
      <c r="U414" t="s">
        <v>50</v>
      </c>
      <c r="V414" t="s">
        <v>51</v>
      </c>
      <c r="W414">
        <v>4</v>
      </c>
      <c r="X414" t="b">
        <v>0</v>
      </c>
      <c r="Y414" t="s">
        <v>52</v>
      </c>
      <c r="Z414" t="s">
        <v>53</v>
      </c>
      <c r="AA414" t="s">
        <v>54</v>
      </c>
      <c r="AB414">
        <v>0</v>
      </c>
      <c r="AC414" t="s">
        <v>55</v>
      </c>
      <c r="AD414">
        <v>8</v>
      </c>
      <c r="AE414" t="s">
        <v>56</v>
      </c>
      <c r="AF414">
        <v>2465</v>
      </c>
      <c r="AG414" t="b">
        <v>0</v>
      </c>
      <c r="AH414">
        <v>8</v>
      </c>
      <c r="AI414" t="s">
        <v>56</v>
      </c>
      <c r="AJ414">
        <v>2465</v>
      </c>
      <c r="AK414" t="b">
        <v>0</v>
      </c>
      <c r="AL414">
        <v>2465</v>
      </c>
      <c r="AM414" t="b">
        <v>0</v>
      </c>
      <c r="AN414">
        <v>0</v>
      </c>
      <c r="AO414" t="b">
        <v>0</v>
      </c>
      <c r="AQ414">
        <v>70685210.177000001</v>
      </c>
      <c r="AR414">
        <v>70685210.177000001</v>
      </c>
      <c r="AS414">
        <v>0</v>
      </c>
      <c r="AT414" t="b">
        <v>0</v>
      </c>
      <c r="AU414" t="b">
        <v>1</v>
      </c>
      <c r="AV414" t="b">
        <v>1</v>
      </c>
      <c r="AW414" t="b">
        <v>1</v>
      </c>
      <c r="BC414" t="s">
        <v>374</v>
      </c>
    </row>
    <row r="415" spans="1:55" x14ac:dyDescent="0.2">
      <c r="A415" t="s">
        <v>39</v>
      </c>
      <c r="B415" t="s">
        <v>40</v>
      </c>
      <c r="C415">
        <v>20220101</v>
      </c>
      <c r="D415">
        <v>2022</v>
      </c>
      <c r="E415">
        <v>52</v>
      </c>
      <c r="F415" t="s">
        <v>346</v>
      </c>
      <c r="G415">
        <v>566</v>
      </c>
      <c r="H415" t="s">
        <v>329</v>
      </c>
      <c r="I415" t="s">
        <v>330</v>
      </c>
      <c r="J415" t="s">
        <v>44</v>
      </c>
      <c r="K415" t="s">
        <v>45</v>
      </c>
      <c r="L415">
        <v>0</v>
      </c>
      <c r="M415" t="s">
        <v>46</v>
      </c>
      <c r="N415" t="s">
        <v>47</v>
      </c>
      <c r="O415">
        <v>0</v>
      </c>
      <c r="P415" t="s">
        <v>46</v>
      </c>
      <c r="Q415" t="s">
        <v>47</v>
      </c>
      <c r="R415" t="s">
        <v>347</v>
      </c>
      <c r="S415" t="s">
        <v>49</v>
      </c>
      <c r="T415" t="b">
        <v>1</v>
      </c>
      <c r="U415" t="s">
        <v>50</v>
      </c>
      <c r="V415" t="s">
        <v>51</v>
      </c>
      <c r="W415">
        <v>4</v>
      </c>
      <c r="X415" t="b">
        <v>0</v>
      </c>
      <c r="Y415" t="s">
        <v>52</v>
      </c>
      <c r="Z415" t="s">
        <v>53</v>
      </c>
      <c r="AA415" t="s">
        <v>54</v>
      </c>
      <c r="AB415">
        <v>0</v>
      </c>
      <c r="AC415" t="s">
        <v>55</v>
      </c>
      <c r="AD415">
        <v>8</v>
      </c>
      <c r="AE415" t="s">
        <v>56</v>
      </c>
      <c r="AF415">
        <v>19360.458999999999</v>
      </c>
      <c r="AG415" t="b">
        <v>1</v>
      </c>
      <c r="AH415">
        <v>-1</v>
      </c>
      <c r="AI415" t="s">
        <v>64</v>
      </c>
      <c r="AJ415">
        <v>0</v>
      </c>
      <c r="AK415" t="b">
        <v>0</v>
      </c>
      <c r="AL415">
        <v>19360.458999999999</v>
      </c>
      <c r="AM415" t="b">
        <v>1</v>
      </c>
      <c r="AN415">
        <v>0</v>
      </c>
      <c r="AO415" t="b">
        <v>0</v>
      </c>
      <c r="AQ415">
        <v>150035854.85100001</v>
      </c>
      <c r="AR415">
        <v>150035854.85100001</v>
      </c>
      <c r="AS415">
        <v>6</v>
      </c>
      <c r="AT415" t="b">
        <v>0</v>
      </c>
      <c r="AU415" t="b">
        <v>1</v>
      </c>
      <c r="AV415" t="b">
        <v>1</v>
      </c>
      <c r="AW415" t="b">
        <v>1</v>
      </c>
      <c r="BC415" t="s">
        <v>374</v>
      </c>
    </row>
    <row r="416" spans="1:55" x14ac:dyDescent="0.2">
      <c r="A416" t="s">
        <v>39</v>
      </c>
      <c r="B416" t="s">
        <v>40</v>
      </c>
      <c r="C416">
        <v>20220101</v>
      </c>
      <c r="D416">
        <v>2022</v>
      </c>
      <c r="E416">
        <v>52</v>
      </c>
      <c r="F416" t="s">
        <v>346</v>
      </c>
      <c r="G416">
        <v>579</v>
      </c>
      <c r="H416" t="s">
        <v>229</v>
      </c>
      <c r="I416" t="s">
        <v>230</v>
      </c>
      <c r="J416" t="s">
        <v>44</v>
      </c>
      <c r="K416" t="s">
        <v>45</v>
      </c>
      <c r="L416">
        <v>0</v>
      </c>
      <c r="M416" t="s">
        <v>46</v>
      </c>
      <c r="N416" t="s">
        <v>47</v>
      </c>
      <c r="O416">
        <v>0</v>
      </c>
      <c r="P416" t="s">
        <v>46</v>
      </c>
      <c r="Q416" t="s">
        <v>47</v>
      </c>
      <c r="R416" t="s">
        <v>347</v>
      </c>
      <c r="S416" t="s">
        <v>49</v>
      </c>
      <c r="T416" t="b">
        <v>1</v>
      </c>
      <c r="U416" t="s">
        <v>50</v>
      </c>
      <c r="V416" t="s">
        <v>51</v>
      </c>
      <c r="W416">
        <v>4</v>
      </c>
      <c r="X416" t="b">
        <v>0</v>
      </c>
      <c r="Y416" t="s">
        <v>52</v>
      </c>
      <c r="Z416" t="s">
        <v>53</v>
      </c>
      <c r="AA416" t="s">
        <v>54</v>
      </c>
      <c r="AB416">
        <v>0</v>
      </c>
      <c r="AC416" t="s">
        <v>55</v>
      </c>
      <c r="AD416">
        <v>8</v>
      </c>
      <c r="AE416" t="s">
        <v>56</v>
      </c>
      <c r="AF416">
        <v>2655</v>
      </c>
      <c r="AG416" t="b">
        <v>0</v>
      </c>
      <c r="AH416">
        <v>8</v>
      </c>
      <c r="AI416" t="s">
        <v>56</v>
      </c>
      <c r="AJ416">
        <v>2655</v>
      </c>
      <c r="AK416" t="b">
        <v>0</v>
      </c>
      <c r="AL416">
        <v>2655</v>
      </c>
      <c r="AM416" t="b">
        <v>0</v>
      </c>
      <c r="AN416">
        <v>0</v>
      </c>
      <c r="AO416" t="b">
        <v>0</v>
      </c>
      <c r="AQ416">
        <v>139185331.18900001</v>
      </c>
      <c r="AR416">
        <v>139185331.18900001</v>
      </c>
      <c r="AS416">
        <v>0</v>
      </c>
      <c r="AT416" t="b">
        <v>0</v>
      </c>
      <c r="AU416" t="b">
        <v>1</v>
      </c>
      <c r="AV416" t="b">
        <v>1</v>
      </c>
      <c r="AW416" t="b">
        <v>1</v>
      </c>
      <c r="BC416" t="s">
        <v>374</v>
      </c>
    </row>
    <row r="417" spans="1:55" x14ac:dyDescent="0.2">
      <c r="A417" t="s">
        <v>39</v>
      </c>
      <c r="B417" t="s">
        <v>40</v>
      </c>
      <c r="C417">
        <v>20220101</v>
      </c>
      <c r="D417">
        <v>2022</v>
      </c>
      <c r="E417">
        <v>52</v>
      </c>
      <c r="F417" t="s">
        <v>346</v>
      </c>
      <c r="G417">
        <v>591</v>
      </c>
      <c r="H417" t="s">
        <v>231</v>
      </c>
      <c r="I417" t="s">
        <v>232</v>
      </c>
      <c r="J417" t="s">
        <v>44</v>
      </c>
      <c r="K417" t="s">
        <v>45</v>
      </c>
      <c r="L417">
        <v>0</v>
      </c>
      <c r="M417" t="s">
        <v>46</v>
      </c>
      <c r="N417" t="s">
        <v>47</v>
      </c>
      <c r="O417">
        <v>0</v>
      </c>
      <c r="P417" t="s">
        <v>46</v>
      </c>
      <c r="Q417" t="s">
        <v>47</v>
      </c>
      <c r="R417" t="s">
        <v>347</v>
      </c>
      <c r="S417" t="s">
        <v>49</v>
      </c>
      <c r="T417" t="b">
        <v>1</v>
      </c>
      <c r="U417" t="s">
        <v>50</v>
      </c>
      <c r="V417" t="s">
        <v>51</v>
      </c>
      <c r="W417">
        <v>4</v>
      </c>
      <c r="X417" t="b">
        <v>0</v>
      </c>
      <c r="Y417" t="s">
        <v>52</v>
      </c>
      <c r="Z417" t="s">
        <v>53</v>
      </c>
      <c r="AA417" t="s">
        <v>54</v>
      </c>
      <c r="AB417">
        <v>0</v>
      </c>
      <c r="AC417" t="s">
        <v>55</v>
      </c>
      <c r="AD417">
        <v>8</v>
      </c>
      <c r="AE417" t="s">
        <v>56</v>
      </c>
      <c r="AF417">
        <v>264</v>
      </c>
      <c r="AG417" t="b">
        <v>0</v>
      </c>
      <c r="AH417">
        <v>8</v>
      </c>
      <c r="AI417" t="s">
        <v>56</v>
      </c>
      <c r="AJ417">
        <v>264</v>
      </c>
      <c r="AK417" t="b">
        <v>0</v>
      </c>
      <c r="AL417">
        <v>264</v>
      </c>
      <c r="AM417" t="b">
        <v>0</v>
      </c>
      <c r="AN417">
        <v>264</v>
      </c>
      <c r="AO417" t="b">
        <v>0</v>
      </c>
      <c r="AQ417">
        <v>10544632</v>
      </c>
      <c r="AR417">
        <v>10544632</v>
      </c>
      <c r="AS417">
        <v>0</v>
      </c>
      <c r="AT417" t="b">
        <v>0</v>
      </c>
      <c r="AU417" t="b">
        <v>1</v>
      </c>
      <c r="AV417" t="b">
        <v>1</v>
      </c>
      <c r="AW417" t="b">
        <v>1</v>
      </c>
      <c r="BC417" t="s">
        <v>374</v>
      </c>
    </row>
    <row r="418" spans="1:55" x14ac:dyDescent="0.2">
      <c r="A418" t="s">
        <v>39</v>
      </c>
      <c r="B418" t="s">
        <v>40</v>
      </c>
      <c r="C418">
        <v>20220101</v>
      </c>
      <c r="D418">
        <v>2022</v>
      </c>
      <c r="E418">
        <v>52</v>
      </c>
      <c r="F418" t="s">
        <v>346</v>
      </c>
      <c r="G418">
        <v>598</v>
      </c>
      <c r="H418" t="s">
        <v>340</v>
      </c>
      <c r="I418" t="s">
        <v>341</v>
      </c>
      <c r="J418" t="s">
        <v>44</v>
      </c>
      <c r="K418" t="s">
        <v>45</v>
      </c>
      <c r="L418">
        <v>0</v>
      </c>
      <c r="M418" t="s">
        <v>46</v>
      </c>
      <c r="N418" t="s">
        <v>47</v>
      </c>
      <c r="O418">
        <v>0</v>
      </c>
      <c r="P418" t="s">
        <v>46</v>
      </c>
      <c r="Q418" t="s">
        <v>47</v>
      </c>
      <c r="R418" t="s">
        <v>48</v>
      </c>
      <c r="S418" t="s">
        <v>49</v>
      </c>
      <c r="T418" t="b">
        <v>1</v>
      </c>
      <c r="U418" t="s">
        <v>50</v>
      </c>
      <c r="V418" t="s">
        <v>51</v>
      </c>
      <c r="W418">
        <v>4</v>
      </c>
      <c r="X418" t="b">
        <v>0</v>
      </c>
      <c r="Y418" t="s">
        <v>52</v>
      </c>
      <c r="Z418" t="s">
        <v>53</v>
      </c>
      <c r="AA418" t="s">
        <v>54</v>
      </c>
      <c r="AB418">
        <v>0</v>
      </c>
      <c r="AC418" t="s">
        <v>55</v>
      </c>
      <c r="AD418">
        <v>8</v>
      </c>
      <c r="AE418" t="s">
        <v>56</v>
      </c>
      <c r="AF418">
        <v>3942.4380000000001</v>
      </c>
      <c r="AG418" t="b">
        <v>0</v>
      </c>
      <c r="AH418">
        <v>-1</v>
      </c>
      <c r="AI418" t="s">
        <v>64</v>
      </c>
      <c r="AJ418">
        <v>0</v>
      </c>
      <c r="AK418" t="b">
        <v>0</v>
      </c>
      <c r="AL418">
        <v>3942.4380000000001</v>
      </c>
      <c r="AM418" t="b">
        <v>0</v>
      </c>
      <c r="AN418">
        <v>0</v>
      </c>
      <c r="AO418" t="b">
        <v>0</v>
      </c>
      <c r="AQ418">
        <v>221250904.42300001</v>
      </c>
      <c r="AR418">
        <v>221250904.42300001</v>
      </c>
      <c r="AS418">
        <v>0</v>
      </c>
      <c r="AT418" t="b">
        <v>0</v>
      </c>
      <c r="AU418" t="b">
        <v>1</v>
      </c>
      <c r="AV418" t="b">
        <v>1</v>
      </c>
      <c r="AW418" t="b">
        <v>1</v>
      </c>
      <c r="BC418" t="s">
        <v>374</v>
      </c>
    </row>
    <row r="419" spans="1:55" x14ac:dyDescent="0.2">
      <c r="A419" t="s">
        <v>39</v>
      </c>
      <c r="B419" t="s">
        <v>40</v>
      </c>
      <c r="C419">
        <v>20220101</v>
      </c>
      <c r="D419">
        <v>2022</v>
      </c>
      <c r="E419">
        <v>52</v>
      </c>
      <c r="F419" t="s">
        <v>346</v>
      </c>
      <c r="G419">
        <v>600</v>
      </c>
      <c r="H419" t="s">
        <v>233</v>
      </c>
      <c r="I419" t="s">
        <v>234</v>
      </c>
      <c r="J419" t="s">
        <v>44</v>
      </c>
      <c r="K419" t="s">
        <v>45</v>
      </c>
      <c r="L419">
        <v>0</v>
      </c>
      <c r="M419" t="s">
        <v>46</v>
      </c>
      <c r="N419" t="s">
        <v>47</v>
      </c>
      <c r="O419">
        <v>0</v>
      </c>
      <c r="P419" t="s">
        <v>46</v>
      </c>
      <c r="Q419" t="s">
        <v>47</v>
      </c>
      <c r="R419" t="s">
        <v>347</v>
      </c>
      <c r="S419" t="s">
        <v>49</v>
      </c>
      <c r="T419" t="b">
        <v>1</v>
      </c>
      <c r="U419" t="s">
        <v>50</v>
      </c>
      <c r="V419" t="s">
        <v>51</v>
      </c>
      <c r="W419">
        <v>4</v>
      </c>
      <c r="X419" t="b">
        <v>0</v>
      </c>
      <c r="Y419" t="s">
        <v>52</v>
      </c>
      <c r="Z419" t="s">
        <v>53</v>
      </c>
      <c r="AA419" t="s">
        <v>54</v>
      </c>
      <c r="AB419">
        <v>0</v>
      </c>
      <c r="AC419" t="s">
        <v>55</v>
      </c>
      <c r="AD419">
        <v>8</v>
      </c>
      <c r="AE419" t="s">
        <v>56</v>
      </c>
      <c r="AF419">
        <v>86.569000000000003</v>
      </c>
      <c r="AG419" t="b">
        <v>0</v>
      </c>
      <c r="AH419">
        <v>8</v>
      </c>
      <c r="AI419" t="s">
        <v>56</v>
      </c>
      <c r="AJ419">
        <v>86.569000000000003</v>
      </c>
      <c r="AK419" t="b">
        <v>0</v>
      </c>
      <c r="AL419">
        <v>86.569000000000003</v>
      </c>
      <c r="AM419" t="b">
        <v>0</v>
      </c>
      <c r="AN419">
        <v>0</v>
      </c>
      <c r="AO419" t="b">
        <v>0</v>
      </c>
      <c r="AQ419">
        <v>4625468</v>
      </c>
      <c r="AR419">
        <v>4625468</v>
      </c>
      <c r="AS419">
        <v>0</v>
      </c>
      <c r="AT419" t="b">
        <v>0</v>
      </c>
      <c r="AU419" t="b">
        <v>1</v>
      </c>
      <c r="AV419" t="b">
        <v>1</v>
      </c>
      <c r="AW419" t="b">
        <v>1</v>
      </c>
      <c r="BC419" t="s">
        <v>374</v>
      </c>
    </row>
    <row r="420" spans="1:55" x14ac:dyDescent="0.2">
      <c r="A420" t="s">
        <v>39</v>
      </c>
      <c r="B420" t="s">
        <v>40</v>
      </c>
      <c r="C420">
        <v>20220101</v>
      </c>
      <c r="D420">
        <v>2022</v>
      </c>
      <c r="E420">
        <v>52</v>
      </c>
      <c r="F420" t="s">
        <v>346</v>
      </c>
      <c r="G420">
        <v>616</v>
      </c>
      <c r="H420" t="s">
        <v>239</v>
      </c>
      <c r="I420" t="s">
        <v>240</v>
      </c>
      <c r="J420" t="s">
        <v>44</v>
      </c>
      <c r="K420" t="s">
        <v>45</v>
      </c>
      <c r="L420">
        <v>0</v>
      </c>
      <c r="M420" t="s">
        <v>46</v>
      </c>
      <c r="N420" t="s">
        <v>47</v>
      </c>
      <c r="O420">
        <v>0</v>
      </c>
      <c r="P420" t="s">
        <v>46</v>
      </c>
      <c r="Q420" t="s">
        <v>47</v>
      </c>
      <c r="R420" t="s">
        <v>347</v>
      </c>
      <c r="S420" t="s">
        <v>49</v>
      </c>
      <c r="T420" t="b">
        <v>1</v>
      </c>
      <c r="U420" t="s">
        <v>50</v>
      </c>
      <c r="V420" t="s">
        <v>51</v>
      </c>
      <c r="W420">
        <v>4</v>
      </c>
      <c r="X420" t="b">
        <v>0</v>
      </c>
      <c r="Y420" t="s">
        <v>52</v>
      </c>
      <c r="Z420" t="s">
        <v>53</v>
      </c>
      <c r="AA420" t="s">
        <v>54</v>
      </c>
      <c r="AB420">
        <v>0</v>
      </c>
      <c r="AC420" t="s">
        <v>55</v>
      </c>
      <c r="AD420">
        <v>8</v>
      </c>
      <c r="AE420" t="s">
        <v>56</v>
      </c>
      <c r="AF420">
        <v>5878.3770000000004</v>
      </c>
      <c r="AG420" t="b">
        <v>1</v>
      </c>
      <c r="AH420">
        <v>-1</v>
      </c>
      <c r="AI420" t="s">
        <v>64</v>
      </c>
      <c r="AJ420">
        <v>0</v>
      </c>
      <c r="AK420" t="b">
        <v>0</v>
      </c>
      <c r="AL420">
        <v>5913.45</v>
      </c>
      <c r="AM420" t="b">
        <v>1</v>
      </c>
      <c r="AN420">
        <v>0</v>
      </c>
      <c r="AO420" t="b">
        <v>0</v>
      </c>
      <c r="AQ420">
        <v>170316100</v>
      </c>
      <c r="AR420">
        <v>170316100</v>
      </c>
      <c r="AS420">
        <v>6</v>
      </c>
      <c r="AT420" t="b">
        <v>0</v>
      </c>
      <c r="AU420" t="b">
        <v>1</v>
      </c>
      <c r="AV420" t="b">
        <v>1</v>
      </c>
      <c r="AW420" t="b">
        <v>1</v>
      </c>
      <c r="BC420" t="s">
        <v>374</v>
      </c>
    </row>
    <row r="421" spans="1:55" x14ac:dyDescent="0.2">
      <c r="A421" t="s">
        <v>39</v>
      </c>
      <c r="B421" t="s">
        <v>40</v>
      </c>
      <c r="C421">
        <v>20220101</v>
      </c>
      <c r="D421">
        <v>2022</v>
      </c>
      <c r="E421">
        <v>52</v>
      </c>
      <c r="F421" t="s">
        <v>346</v>
      </c>
      <c r="G421">
        <v>620</v>
      </c>
      <c r="H421" t="s">
        <v>241</v>
      </c>
      <c r="I421" t="s">
        <v>242</v>
      </c>
      <c r="J421" t="s">
        <v>44</v>
      </c>
      <c r="K421" t="s">
        <v>45</v>
      </c>
      <c r="L421">
        <v>0</v>
      </c>
      <c r="M421" t="s">
        <v>46</v>
      </c>
      <c r="N421" t="s">
        <v>47</v>
      </c>
      <c r="O421">
        <v>0</v>
      </c>
      <c r="P421" t="s">
        <v>46</v>
      </c>
      <c r="Q421" t="s">
        <v>47</v>
      </c>
      <c r="R421" t="s">
        <v>347</v>
      </c>
      <c r="S421" t="s">
        <v>49</v>
      </c>
      <c r="T421" t="b">
        <v>1</v>
      </c>
      <c r="U421" t="s">
        <v>50</v>
      </c>
      <c r="V421" t="s">
        <v>51</v>
      </c>
      <c r="W421">
        <v>4</v>
      </c>
      <c r="X421" t="b">
        <v>0</v>
      </c>
      <c r="Y421" t="s">
        <v>52</v>
      </c>
      <c r="Z421" t="s">
        <v>53</v>
      </c>
      <c r="AA421" t="s">
        <v>54</v>
      </c>
      <c r="AB421">
        <v>0</v>
      </c>
      <c r="AC421" t="s">
        <v>55</v>
      </c>
      <c r="AD421">
        <v>8</v>
      </c>
      <c r="AE421" t="s">
        <v>56</v>
      </c>
      <c r="AF421">
        <v>2757.1529999999998</v>
      </c>
      <c r="AG421" t="b">
        <v>0</v>
      </c>
      <c r="AH421">
        <v>8</v>
      </c>
      <c r="AI421" t="s">
        <v>56</v>
      </c>
      <c r="AJ421">
        <v>2757.1529999999998</v>
      </c>
      <c r="AK421" t="b">
        <v>0</v>
      </c>
      <c r="AL421">
        <v>2762.9090000000001</v>
      </c>
      <c r="AM421" t="b">
        <v>0</v>
      </c>
      <c r="AN421">
        <v>0</v>
      </c>
      <c r="AO421" t="b">
        <v>0</v>
      </c>
      <c r="AQ421">
        <v>154705309.653</v>
      </c>
      <c r="AR421">
        <v>154705309.653</v>
      </c>
      <c r="AS421">
        <v>0</v>
      </c>
      <c r="AT421" t="b">
        <v>0</v>
      </c>
      <c r="AU421" t="b">
        <v>1</v>
      </c>
      <c r="AV421" t="b">
        <v>1</v>
      </c>
      <c r="AW421" t="b">
        <v>1</v>
      </c>
      <c r="BC421" t="s">
        <v>374</v>
      </c>
    </row>
    <row r="422" spans="1:55" x14ac:dyDescent="0.2">
      <c r="A422" t="s">
        <v>39</v>
      </c>
      <c r="B422" t="s">
        <v>40</v>
      </c>
      <c r="C422">
        <v>20220101</v>
      </c>
      <c r="D422">
        <v>2022</v>
      </c>
      <c r="E422">
        <v>52</v>
      </c>
      <c r="F422" t="s">
        <v>346</v>
      </c>
      <c r="G422">
        <v>634</v>
      </c>
      <c r="H422" t="s">
        <v>243</v>
      </c>
      <c r="I422" t="s">
        <v>244</v>
      </c>
      <c r="J422" t="s">
        <v>44</v>
      </c>
      <c r="K422" t="s">
        <v>45</v>
      </c>
      <c r="L422">
        <v>0</v>
      </c>
      <c r="M422" t="s">
        <v>46</v>
      </c>
      <c r="N422" t="s">
        <v>47</v>
      </c>
      <c r="O422">
        <v>0</v>
      </c>
      <c r="P422" t="s">
        <v>46</v>
      </c>
      <c r="Q422" t="s">
        <v>47</v>
      </c>
      <c r="R422" t="s">
        <v>347</v>
      </c>
      <c r="S422" t="s">
        <v>49</v>
      </c>
      <c r="T422" t="b">
        <v>1</v>
      </c>
      <c r="U422" t="s">
        <v>50</v>
      </c>
      <c r="V422" t="s">
        <v>51</v>
      </c>
      <c r="W422">
        <v>4</v>
      </c>
      <c r="X422" t="b">
        <v>0</v>
      </c>
      <c r="Y422" t="s">
        <v>52</v>
      </c>
      <c r="Z422" t="s">
        <v>53</v>
      </c>
      <c r="AA422" t="s">
        <v>54</v>
      </c>
      <c r="AB422">
        <v>0</v>
      </c>
      <c r="AC422" t="s">
        <v>55</v>
      </c>
      <c r="AD422">
        <v>-1</v>
      </c>
      <c r="AE422" t="s">
        <v>64</v>
      </c>
      <c r="AF422">
        <v>0</v>
      </c>
      <c r="AG422" t="b">
        <v>0</v>
      </c>
      <c r="AH422">
        <v>-1</v>
      </c>
      <c r="AI422" t="s">
        <v>64</v>
      </c>
      <c r="AJ422">
        <v>0</v>
      </c>
      <c r="AK422" t="b">
        <v>0</v>
      </c>
      <c r="AL422">
        <v>0</v>
      </c>
      <c r="AM422" t="b">
        <v>0</v>
      </c>
      <c r="AN422">
        <v>0</v>
      </c>
      <c r="AO422" t="b">
        <v>0</v>
      </c>
      <c r="AQ422">
        <v>2689233.1490000002</v>
      </c>
      <c r="AR422">
        <v>2689233.1490000002</v>
      </c>
      <c r="AS422">
        <v>0</v>
      </c>
      <c r="AT422" t="b">
        <v>0</v>
      </c>
      <c r="AU422" t="b">
        <v>1</v>
      </c>
      <c r="AV422" t="b">
        <v>1</v>
      </c>
      <c r="AW422" t="b">
        <v>1</v>
      </c>
      <c r="BC422" t="s">
        <v>374</v>
      </c>
    </row>
    <row r="423" spans="1:55" x14ac:dyDescent="0.2">
      <c r="A423" t="s">
        <v>39</v>
      </c>
      <c r="B423" t="s">
        <v>40</v>
      </c>
      <c r="C423">
        <v>20220101</v>
      </c>
      <c r="D423">
        <v>2022</v>
      </c>
      <c r="E423">
        <v>52</v>
      </c>
      <c r="F423" t="s">
        <v>346</v>
      </c>
      <c r="G423">
        <v>646</v>
      </c>
      <c r="H423" t="s">
        <v>247</v>
      </c>
      <c r="I423" t="s">
        <v>248</v>
      </c>
      <c r="J423" t="s">
        <v>44</v>
      </c>
      <c r="K423" t="s">
        <v>45</v>
      </c>
      <c r="L423">
        <v>0</v>
      </c>
      <c r="M423" t="s">
        <v>46</v>
      </c>
      <c r="N423" t="s">
        <v>47</v>
      </c>
      <c r="O423">
        <v>0</v>
      </c>
      <c r="P423" t="s">
        <v>46</v>
      </c>
      <c r="Q423" t="s">
        <v>47</v>
      </c>
      <c r="R423" t="s">
        <v>95</v>
      </c>
      <c r="S423" t="s">
        <v>49</v>
      </c>
      <c r="T423" t="b">
        <v>1</v>
      </c>
      <c r="U423" t="s">
        <v>50</v>
      </c>
      <c r="V423" t="s">
        <v>51</v>
      </c>
      <c r="W423">
        <v>4</v>
      </c>
      <c r="X423" t="b">
        <v>0</v>
      </c>
      <c r="Y423" t="s">
        <v>52</v>
      </c>
      <c r="Z423" t="s">
        <v>53</v>
      </c>
      <c r="AA423" t="s">
        <v>54</v>
      </c>
      <c r="AB423">
        <v>0</v>
      </c>
      <c r="AC423" t="s">
        <v>55</v>
      </c>
      <c r="AD423">
        <v>-1</v>
      </c>
      <c r="AE423" t="s">
        <v>64</v>
      </c>
      <c r="AF423">
        <v>0</v>
      </c>
      <c r="AG423" t="b">
        <v>0</v>
      </c>
      <c r="AH423">
        <v>-1</v>
      </c>
      <c r="AI423" t="s">
        <v>64</v>
      </c>
      <c r="AJ423">
        <v>0</v>
      </c>
      <c r="AK423" t="b">
        <v>0</v>
      </c>
      <c r="AL423">
        <v>0</v>
      </c>
      <c r="AM423" t="b">
        <v>0</v>
      </c>
      <c r="AN423">
        <v>0</v>
      </c>
      <c r="AO423" t="b">
        <v>0</v>
      </c>
      <c r="AP423">
        <v>0</v>
      </c>
      <c r="AQ423">
        <v>555741326.21000004</v>
      </c>
      <c r="AR423">
        <v>555741326.21000004</v>
      </c>
      <c r="AS423">
        <v>0</v>
      </c>
      <c r="AT423" t="b">
        <v>0</v>
      </c>
      <c r="AU423" t="b">
        <v>1</v>
      </c>
      <c r="AV423" t="b">
        <v>1</v>
      </c>
      <c r="AW423" t="b">
        <v>1</v>
      </c>
      <c r="BC423" t="s">
        <v>374</v>
      </c>
    </row>
    <row r="424" spans="1:55" x14ac:dyDescent="0.2">
      <c r="A424" t="s">
        <v>39</v>
      </c>
      <c r="B424" t="s">
        <v>40</v>
      </c>
      <c r="C424">
        <v>20220101</v>
      </c>
      <c r="D424">
        <v>2022</v>
      </c>
      <c r="E424">
        <v>52</v>
      </c>
      <c r="F424" t="s">
        <v>346</v>
      </c>
      <c r="G424">
        <v>682</v>
      </c>
      <c r="H424" t="s">
        <v>249</v>
      </c>
      <c r="I424" t="s">
        <v>250</v>
      </c>
      <c r="J424" t="s">
        <v>44</v>
      </c>
      <c r="K424" t="s">
        <v>45</v>
      </c>
      <c r="L424">
        <v>0</v>
      </c>
      <c r="M424" t="s">
        <v>46</v>
      </c>
      <c r="N424" t="s">
        <v>47</v>
      </c>
      <c r="O424">
        <v>0</v>
      </c>
      <c r="P424" t="s">
        <v>46</v>
      </c>
      <c r="Q424" t="s">
        <v>47</v>
      </c>
      <c r="R424" t="s">
        <v>347</v>
      </c>
      <c r="S424" t="s">
        <v>49</v>
      </c>
      <c r="T424" t="b">
        <v>1</v>
      </c>
      <c r="U424" t="s">
        <v>50</v>
      </c>
      <c r="V424" t="s">
        <v>51</v>
      </c>
      <c r="W424">
        <v>4</v>
      </c>
      <c r="X424" t="b">
        <v>0</v>
      </c>
      <c r="Y424" t="s">
        <v>52</v>
      </c>
      <c r="Z424" t="s">
        <v>53</v>
      </c>
      <c r="AA424" t="s">
        <v>54</v>
      </c>
      <c r="AB424">
        <v>0</v>
      </c>
      <c r="AC424" t="s">
        <v>55</v>
      </c>
      <c r="AD424">
        <v>8</v>
      </c>
      <c r="AE424" t="s">
        <v>56</v>
      </c>
      <c r="AF424">
        <v>20729</v>
      </c>
      <c r="AG424" t="b">
        <v>0</v>
      </c>
      <c r="AH424">
        <v>8</v>
      </c>
      <c r="AI424" t="s">
        <v>56</v>
      </c>
      <c r="AJ424">
        <v>20729</v>
      </c>
      <c r="AK424" t="b">
        <v>0</v>
      </c>
      <c r="AL424">
        <v>20729</v>
      </c>
      <c r="AM424" t="b">
        <v>0</v>
      </c>
      <c r="AN424">
        <v>0</v>
      </c>
      <c r="AO424" t="b">
        <v>0</v>
      </c>
      <c r="AQ424">
        <v>981648062.125</v>
      </c>
      <c r="AR424">
        <v>981648062.125</v>
      </c>
      <c r="AS424">
        <v>0</v>
      </c>
      <c r="AT424" t="b">
        <v>0</v>
      </c>
      <c r="AU424" t="b">
        <v>1</v>
      </c>
      <c r="AV424" t="b">
        <v>1</v>
      </c>
      <c r="AW424" t="b">
        <v>1</v>
      </c>
      <c r="BC424" t="s">
        <v>374</v>
      </c>
    </row>
    <row r="425" spans="1:55" x14ac:dyDescent="0.2">
      <c r="A425" t="s">
        <v>39</v>
      </c>
      <c r="B425" t="s">
        <v>40</v>
      </c>
      <c r="C425">
        <v>20220101</v>
      </c>
      <c r="D425">
        <v>2022</v>
      </c>
      <c r="E425">
        <v>52</v>
      </c>
      <c r="F425" t="s">
        <v>346</v>
      </c>
      <c r="G425">
        <v>686</v>
      </c>
      <c r="H425" t="s">
        <v>251</v>
      </c>
      <c r="I425" t="s">
        <v>252</v>
      </c>
      <c r="J425" t="s">
        <v>44</v>
      </c>
      <c r="K425" t="s">
        <v>45</v>
      </c>
      <c r="L425">
        <v>0</v>
      </c>
      <c r="M425" t="s">
        <v>46</v>
      </c>
      <c r="N425" t="s">
        <v>47</v>
      </c>
      <c r="O425">
        <v>0</v>
      </c>
      <c r="P425" t="s">
        <v>46</v>
      </c>
      <c r="Q425" t="s">
        <v>47</v>
      </c>
      <c r="R425" t="s">
        <v>347</v>
      </c>
      <c r="S425" t="s">
        <v>49</v>
      </c>
      <c r="T425" t="b">
        <v>1</v>
      </c>
      <c r="U425" t="s">
        <v>50</v>
      </c>
      <c r="V425" t="s">
        <v>51</v>
      </c>
      <c r="W425">
        <v>4</v>
      </c>
      <c r="X425" t="b">
        <v>0</v>
      </c>
      <c r="Y425" t="s">
        <v>52</v>
      </c>
      <c r="Z425" t="s">
        <v>53</v>
      </c>
      <c r="AA425" t="s">
        <v>54</v>
      </c>
      <c r="AB425">
        <v>0</v>
      </c>
      <c r="AC425" t="s">
        <v>55</v>
      </c>
      <c r="AD425">
        <v>8</v>
      </c>
      <c r="AE425" t="s">
        <v>56</v>
      </c>
      <c r="AF425">
        <v>18308</v>
      </c>
      <c r="AG425" t="b">
        <v>0</v>
      </c>
      <c r="AH425">
        <v>8</v>
      </c>
      <c r="AI425" t="s">
        <v>56</v>
      </c>
      <c r="AJ425">
        <v>18308</v>
      </c>
      <c r="AK425" t="b">
        <v>0</v>
      </c>
      <c r="AL425">
        <v>18308</v>
      </c>
      <c r="AM425" t="b">
        <v>0</v>
      </c>
      <c r="AN425">
        <v>0</v>
      </c>
      <c r="AO425" t="b">
        <v>0</v>
      </c>
      <c r="AQ425">
        <v>930426058.26499999</v>
      </c>
      <c r="AR425">
        <v>930426058.26499999</v>
      </c>
      <c r="AS425">
        <v>0</v>
      </c>
      <c r="AT425" t="b">
        <v>0</v>
      </c>
      <c r="AU425" t="b">
        <v>1</v>
      </c>
      <c r="AV425" t="b">
        <v>1</v>
      </c>
      <c r="AW425" t="b">
        <v>1</v>
      </c>
      <c r="BC425" t="s">
        <v>374</v>
      </c>
    </row>
    <row r="426" spans="1:55" x14ac:dyDescent="0.2">
      <c r="A426" t="s">
        <v>39</v>
      </c>
      <c r="B426" t="s">
        <v>40</v>
      </c>
      <c r="C426">
        <v>20220101</v>
      </c>
      <c r="D426">
        <v>2022</v>
      </c>
      <c r="E426">
        <v>52</v>
      </c>
      <c r="F426" t="s">
        <v>346</v>
      </c>
      <c r="G426">
        <v>688</v>
      </c>
      <c r="H426" t="s">
        <v>253</v>
      </c>
      <c r="I426" t="s">
        <v>254</v>
      </c>
      <c r="J426" t="s">
        <v>44</v>
      </c>
      <c r="K426" t="s">
        <v>45</v>
      </c>
      <c r="L426">
        <v>0</v>
      </c>
      <c r="M426" t="s">
        <v>46</v>
      </c>
      <c r="N426" t="s">
        <v>47</v>
      </c>
      <c r="O426">
        <v>0</v>
      </c>
      <c r="P426" t="s">
        <v>46</v>
      </c>
      <c r="Q426" t="s">
        <v>47</v>
      </c>
      <c r="R426" t="s">
        <v>347</v>
      </c>
      <c r="S426" t="s">
        <v>49</v>
      </c>
      <c r="T426" t="b">
        <v>1</v>
      </c>
      <c r="U426" t="s">
        <v>50</v>
      </c>
      <c r="V426" t="s">
        <v>51</v>
      </c>
      <c r="W426">
        <v>4</v>
      </c>
      <c r="X426" t="b">
        <v>0</v>
      </c>
      <c r="Y426" t="s">
        <v>52</v>
      </c>
      <c r="Z426" t="s">
        <v>53</v>
      </c>
      <c r="AA426" t="s">
        <v>54</v>
      </c>
      <c r="AB426">
        <v>0</v>
      </c>
      <c r="AC426" t="s">
        <v>55</v>
      </c>
      <c r="AD426">
        <v>8</v>
      </c>
      <c r="AE426" t="s">
        <v>56</v>
      </c>
      <c r="AF426">
        <v>448.01</v>
      </c>
      <c r="AG426" t="b">
        <v>0</v>
      </c>
      <c r="AH426">
        <v>15</v>
      </c>
      <c r="AI426" t="s">
        <v>59</v>
      </c>
      <c r="AJ426">
        <v>448010</v>
      </c>
      <c r="AK426" t="b">
        <v>0</v>
      </c>
      <c r="AL426">
        <v>450.97</v>
      </c>
      <c r="AM426" t="b">
        <v>0</v>
      </c>
      <c r="AN426">
        <v>0</v>
      </c>
      <c r="AO426" t="b">
        <v>0</v>
      </c>
      <c r="AQ426">
        <v>15967260</v>
      </c>
      <c r="AR426">
        <v>15967260</v>
      </c>
      <c r="AS426">
        <v>0</v>
      </c>
      <c r="AT426" t="b">
        <v>0</v>
      </c>
      <c r="AU426" t="b">
        <v>1</v>
      </c>
      <c r="AV426" t="b">
        <v>1</v>
      </c>
      <c r="AW426" t="b">
        <v>1</v>
      </c>
      <c r="BC426" t="s">
        <v>374</v>
      </c>
    </row>
    <row r="427" spans="1:55" x14ac:dyDescent="0.2">
      <c r="A427" t="s">
        <v>39</v>
      </c>
      <c r="B427" t="s">
        <v>40</v>
      </c>
      <c r="C427">
        <v>20220101</v>
      </c>
      <c r="D427">
        <v>2022</v>
      </c>
      <c r="E427">
        <v>52</v>
      </c>
      <c r="F427" t="s">
        <v>346</v>
      </c>
      <c r="G427">
        <v>690</v>
      </c>
      <c r="H427" t="s">
        <v>352</v>
      </c>
      <c r="I427" t="s">
        <v>353</v>
      </c>
      <c r="J427" t="s">
        <v>44</v>
      </c>
      <c r="K427" t="s">
        <v>45</v>
      </c>
      <c r="L427">
        <v>0</v>
      </c>
      <c r="M427" t="s">
        <v>46</v>
      </c>
      <c r="N427" t="s">
        <v>47</v>
      </c>
      <c r="O427">
        <v>0</v>
      </c>
      <c r="P427" t="s">
        <v>46</v>
      </c>
      <c r="Q427" t="s">
        <v>47</v>
      </c>
      <c r="R427" t="s">
        <v>48</v>
      </c>
      <c r="S427" t="s">
        <v>49</v>
      </c>
      <c r="T427" t="b">
        <v>1</v>
      </c>
      <c r="U427" t="s">
        <v>50</v>
      </c>
      <c r="V427" t="s">
        <v>51</v>
      </c>
      <c r="W427">
        <v>4</v>
      </c>
      <c r="X427" t="b">
        <v>0</v>
      </c>
      <c r="Y427" t="s">
        <v>52</v>
      </c>
      <c r="Z427" t="s">
        <v>53</v>
      </c>
      <c r="AA427" t="s">
        <v>54</v>
      </c>
      <c r="AB427">
        <v>0</v>
      </c>
      <c r="AC427" t="s">
        <v>55</v>
      </c>
      <c r="AD427">
        <v>8</v>
      </c>
      <c r="AE427" t="s">
        <v>56</v>
      </c>
      <c r="AF427">
        <v>1</v>
      </c>
      <c r="AG427" t="b">
        <v>0</v>
      </c>
      <c r="AH427">
        <v>8</v>
      </c>
      <c r="AI427" t="s">
        <v>56</v>
      </c>
      <c r="AJ427">
        <v>1</v>
      </c>
      <c r="AK427" t="b">
        <v>0</v>
      </c>
      <c r="AL427">
        <v>1</v>
      </c>
      <c r="AM427" t="b">
        <v>0</v>
      </c>
      <c r="AN427">
        <v>0</v>
      </c>
      <c r="AO427" t="b">
        <v>0</v>
      </c>
      <c r="AQ427">
        <v>65504.993999999999</v>
      </c>
      <c r="AR427">
        <v>65504.993999999999</v>
      </c>
      <c r="AS427">
        <v>0</v>
      </c>
      <c r="AT427" t="b">
        <v>0</v>
      </c>
      <c r="AU427" t="b">
        <v>1</v>
      </c>
      <c r="AV427" t="b">
        <v>1</v>
      </c>
      <c r="AW427" t="b">
        <v>1</v>
      </c>
      <c r="BC427" t="s">
        <v>374</v>
      </c>
    </row>
    <row r="428" spans="1:55" x14ac:dyDescent="0.2">
      <c r="A428" t="s">
        <v>39</v>
      </c>
      <c r="B428" t="s">
        <v>40</v>
      </c>
      <c r="C428">
        <v>20220101</v>
      </c>
      <c r="D428">
        <v>2022</v>
      </c>
      <c r="E428">
        <v>52</v>
      </c>
      <c r="F428" t="s">
        <v>346</v>
      </c>
      <c r="G428">
        <v>699</v>
      </c>
      <c r="H428" t="s">
        <v>255</v>
      </c>
      <c r="I428" t="s">
        <v>256</v>
      </c>
      <c r="J428" t="s">
        <v>44</v>
      </c>
      <c r="K428" t="s">
        <v>45</v>
      </c>
      <c r="L428">
        <v>0</v>
      </c>
      <c r="M428" t="s">
        <v>46</v>
      </c>
      <c r="N428" t="s">
        <v>47</v>
      </c>
      <c r="O428">
        <v>0</v>
      </c>
      <c r="P428" t="s">
        <v>46</v>
      </c>
      <c r="Q428" t="s">
        <v>47</v>
      </c>
      <c r="R428" t="s">
        <v>347</v>
      </c>
      <c r="S428" t="s">
        <v>49</v>
      </c>
      <c r="T428" t="b">
        <v>1</v>
      </c>
      <c r="U428" t="s">
        <v>50</v>
      </c>
      <c r="V428" t="s">
        <v>51</v>
      </c>
      <c r="W428">
        <v>4</v>
      </c>
      <c r="X428" t="b">
        <v>0</v>
      </c>
      <c r="Y428" t="s">
        <v>52</v>
      </c>
      <c r="Z428" t="s">
        <v>53</v>
      </c>
      <c r="AA428" t="s">
        <v>54</v>
      </c>
      <c r="AB428">
        <v>0</v>
      </c>
      <c r="AC428" t="s">
        <v>55</v>
      </c>
      <c r="AD428">
        <v>8</v>
      </c>
      <c r="AE428" t="s">
        <v>56</v>
      </c>
      <c r="AF428">
        <v>1361.2860000000001</v>
      </c>
      <c r="AG428" t="b">
        <v>1</v>
      </c>
      <c r="AH428">
        <v>-1</v>
      </c>
      <c r="AI428" t="s">
        <v>64</v>
      </c>
      <c r="AJ428">
        <v>0</v>
      </c>
      <c r="AK428" t="b">
        <v>0</v>
      </c>
      <c r="AL428">
        <v>1361.2860000000001</v>
      </c>
      <c r="AM428" t="b">
        <v>1</v>
      </c>
      <c r="AN428">
        <v>0</v>
      </c>
      <c r="AO428" t="b">
        <v>0</v>
      </c>
      <c r="AQ428">
        <v>75275836.798999995</v>
      </c>
      <c r="AR428">
        <v>75275836.798999995</v>
      </c>
      <c r="AS428">
        <v>6</v>
      </c>
      <c r="AT428" t="b">
        <v>0</v>
      </c>
      <c r="AU428" t="b">
        <v>1</v>
      </c>
      <c r="AV428" t="b">
        <v>1</v>
      </c>
      <c r="AW428" t="b">
        <v>1</v>
      </c>
      <c r="BC428" t="s">
        <v>374</v>
      </c>
    </row>
    <row r="429" spans="1:55" x14ac:dyDescent="0.2">
      <c r="A429" t="s">
        <v>39</v>
      </c>
      <c r="B429" t="s">
        <v>40</v>
      </c>
      <c r="C429">
        <v>20220101</v>
      </c>
      <c r="D429">
        <v>2022</v>
      </c>
      <c r="E429">
        <v>52</v>
      </c>
      <c r="F429" t="s">
        <v>346</v>
      </c>
      <c r="G429">
        <v>703</v>
      </c>
      <c r="H429" t="s">
        <v>259</v>
      </c>
      <c r="I429" t="s">
        <v>260</v>
      </c>
      <c r="J429" t="s">
        <v>44</v>
      </c>
      <c r="K429" t="s">
        <v>45</v>
      </c>
      <c r="L429">
        <v>0</v>
      </c>
      <c r="M429" t="s">
        <v>46</v>
      </c>
      <c r="N429" t="s">
        <v>47</v>
      </c>
      <c r="O429">
        <v>0</v>
      </c>
      <c r="P429" t="s">
        <v>46</v>
      </c>
      <c r="Q429" t="s">
        <v>47</v>
      </c>
      <c r="R429" t="s">
        <v>347</v>
      </c>
      <c r="S429" t="s">
        <v>49</v>
      </c>
      <c r="T429" t="b">
        <v>1</v>
      </c>
      <c r="U429" t="s">
        <v>50</v>
      </c>
      <c r="V429" t="s">
        <v>51</v>
      </c>
      <c r="W429">
        <v>4</v>
      </c>
      <c r="X429" t="b">
        <v>0</v>
      </c>
      <c r="Y429" t="s">
        <v>52</v>
      </c>
      <c r="Z429" t="s">
        <v>53</v>
      </c>
      <c r="AA429" t="s">
        <v>54</v>
      </c>
      <c r="AB429">
        <v>0</v>
      </c>
      <c r="AC429" t="s">
        <v>55</v>
      </c>
      <c r="AD429">
        <v>8</v>
      </c>
      <c r="AE429" t="s">
        <v>56</v>
      </c>
      <c r="AF429">
        <v>507.48200000000003</v>
      </c>
      <c r="AG429" t="b">
        <v>0</v>
      </c>
      <c r="AH429">
        <v>15</v>
      </c>
      <c r="AI429" t="s">
        <v>59</v>
      </c>
      <c r="AJ429">
        <v>507482</v>
      </c>
      <c r="AK429" t="b">
        <v>0</v>
      </c>
      <c r="AM429" t="b">
        <v>0</v>
      </c>
      <c r="AN429">
        <v>0</v>
      </c>
      <c r="AO429" t="b">
        <v>0</v>
      </c>
      <c r="AQ429">
        <v>21387396.614</v>
      </c>
      <c r="AR429">
        <v>21387396.614</v>
      </c>
      <c r="AS429">
        <v>0</v>
      </c>
      <c r="AT429" t="b">
        <v>0</v>
      </c>
      <c r="AU429" t="b">
        <v>1</v>
      </c>
      <c r="AV429" t="b">
        <v>1</v>
      </c>
      <c r="AW429" t="b">
        <v>1</v>
      </c>
      <c r="BC429" t="s">
        <v>374</v>
      </c>
    </row>
    <row r="430" spans="1:55" x14ac:dyDescent="0.2">
      <c r="A430" t="s">
        <v>39</v>
      </c>
      <c r="B430" t="s">
        <v>40</v>
      </c>
      <c r="C430">
        <v>20220101</v>
      </c>
      <c r="D430">
        <v>2022</v>
      </c>
      <c r="E430">
        <v>52</v>
      </c>
      <c r="F430" t="s">
        <v>346</v>
      </c>
      <c r="G430">
        <v>704</v>
      </c>
      <c r="H430" t="s">
        <v>261</v>
      </c>
      <c r="I430" t="s">
        <v>262</v>
      </c>
      <c r="J430" t="s">
        <v>44</v>
      </c>
      <c r="K430" t="s">
        <v>45</v>
      </c>
      <c r="L430">
        <v>0</v>
      </c>
      <c r="M430" t="s">
        <v>46</v>
      </c>
      <c r="N430" t="s">
        <v>47</v>
      </c>
      <c r="O430">
        <v>0</v>
      </c>
      <c r="P430" t="s">
        <v>46</v>
      </c>
      <c r="Q430" t="s">
        <v>47</v>
      </c>
      <c r="R430" t="s">
        <v>347</v>
      </c>
      <c r="S430" t="s">
        <v>49</v>
      </c>
      <c r="T430" t="b">
        <v>1</v>
      </c>
      <c r="U430" t="s">
        <v>50</v>
      </c>
      <c r="V430" t="s">
        <v>51</v>
      </c>
      <c r="W430">
        <v>4</v>
      </c>
      <c r="X430" t="b">
        <v>0</v>
      </c>
      <c r="Y430" t="s">
        <v>52</v>
      </c>
      <c r="Z430" t="s">
        <v>53</v>
      </c>
      <c r="AA430" t="s">
        <v>54</v>
      </c>
      <c r="AB430">
        <v>0</v>
      </c>
      <c r="AC430" t="s">
        <v>55</v>
      </c>
      <c r="AD430">
        <v>8</v>
      </c>
      <c r="AE430" t="s">
        <v>56</v>
      </c>
      <c r="AF430">
        <v>203.55199999999999</v>
      </c>
      <c r="AG430" t="b">
        <v>1</v>
      </c>
      <c r="AH430">
        <v>-1</v>
      </c>
      <c r="AI430" t="s">
        <v>64</v>
      </c>
      <c r="AJ430">
        <v>0</v>
      </c>
      <c r="AK430" t="b">
        <v>0</v>
      </c>
      <c r="AL430">
        <v>203.55199999999999</v>
      </c>
      <c r="AM430" t="b">
        <v>1</v>
      </c>
      <c r="AN430">
        <v>0</v>
      </c>
      <c r="AO430" t="b">
        <v>0</v>
      </c>
      <c r="AQ430">
        <v>11491590.153999999</v>
      </c>
      <c r="AR430">
        <v>11491590.153999999</v>
      </c>
      <c r="AS430">
        <v>6</v>
      </c>
      <c r="AT430" t="b">
        <v>0</v>
      </c>
      <c r="AU430" t="b">
        <v>1</v>
      </c>
      <c r="AV430" t="b">
        <v>1</v>
      </c>
      <c r="AW430" t="b">
        <v>1</v>
      </c>
      <c r="BC430" t="s">
        <v>374</v>
      </c>
    </row>
    <row r="431" spans="1:55" x14ac:dyDescent="0.2">
      <c r="A431" t="s">
        <v>39</v>
      </c>
      <c r="B431" t="s">
        <v>40</v>
      </c>
      <c r="C431">
        <v>20220101</v>
      </c>
      <c r="D431">
        <v>2022</v>
      </c>
      <c r="E431">
        <v>52</v>
      </c>
      <c r="F431" t="s">
        <v>346</v>
      </c>
      <c r="G431">
        <v>705</v>
      </c>
      <c r="H431" t="s">
        <v>263</v>
      </c>
      <c r="I431" t="s">
        <v>264</v>
      </c>
      <c r="J431" t="s">
        <v>44</v>
      </c>
      <c r="K431" t="s">
        <v>45</v>
      </c>
      <c r="L431">
        <v>0</v>
      </c>
      <c r="M431" t="s">
        <v>46</v>
      </c>
      <c r="N431" t="s">
        <v>47</v>
      </c>
      <c r="O431">
        <v>0</v>
      </c>
      <c r="P431" t="s">
        <v>46</v>
      </c>
      <c r="Q431" t="s">
        <v>47</v>
      </c>
      <c r="R431" t="s">
        <v>347</v>
      </c>
      <c r="S431" t="s">
        <v>49</v>
      </c>
      <c r="T431" t="b">
        <v>1</v>
      </c>
      <c r="U431" t="s">
        <v>50</v>
      </c>
      <c r="V431" t="s">
        <v>51</v>
      </c>
      <c r="W431">
        <v>4</v>
      </c>
      <c r="X431" t="b">
        <v>0</v>
      </c>
      <c r="Y431" t="s">
        <v>52</v>
      </c>
      <c r="Z431" t="s">
        <v>53</v>
      </c>
      <c r="AA431" t="s">
        <v>54</v>
      </c>
      <c r="AB431">
        <v>0</v>
      </c>
      <c r="AC431" t="s">
        <v>55</v>
      </c>
      <c r="AD431">
        <v>8</v>
      </c>
      <c r="AE431" t="s">
        <v>56</v>
      </c>
      <c r="AF431">
        <v>486.08199999999999</v>
      </c>
      <c r="AG431" t="b">
        <v>0</v>
      </c>
      <c r="AH431">
        <v>15</v>
      </c>
      <c r="AI431" t="s">
        <v>59</v>
      </c>
      <c r="AJ431">
        <v>486082</v>
      </c>
      <c r="AK431" t="b">
        <v>0</v>
      </c>
      <c r="AL431">
        <v>488.13499999999999</v>
      </c>
      <c r="AM431" t="b">
        <v>0</v>
      </c>
      <c r="AN431">
        <v>0</v>
      </c>
      <c r="AO431" t="b">
        <v>0</v>
      </c>
      <c r="AQ431">
        <v>29029115.300000001</v>
      </c>
      <c r="AR431">
        <v>29029115.300000001</v>
      </c>
      <c r="AS431">
        <v>0</v>
      </c>
      <c r="AT431" t="b">
        <v>0</v>
      </c>
      <c r="AU431" t="b">
        <v>1</v>
      </c>
      <c r="AV431" t="b">
        <v>1</v>
      </c>
      <c r="AW431" t="b">
        <v>1</v>
      </c>
      <c r="BC431" t="s">
        <v>374</v>
      </c>
    </row>
    <row r="432" spans="1:55" x14ac:dyDescent="0.2">
      <c r="A432" t="s">
        <v>39</v>
      </c>
      <c r="B432" t="s">
        <v>40</v>
      </c>
      <c r="C432">
        <v>20220101</v>
      </c>
      <c r="D432">
        <v>2022</v>
      </c>
      <c r="E432">
        <v>52</v>
      </c>
      <c r="F432" t="s">
        <v>346</v>
      </c>
      <c r="G432">
        <v>710</v>
      </c>
      <c r="H432" t="s">
        <v>265</v>
      </c>
      <c r="I432" t="s">
        <v>266</v>
      </c>
      <c r="J432" t="s">
        <v>44</v>
      </c>
      <c r="K432" t="s">
        <v>45</v>
      </c>
      <c r="L432">
        <v>0</v>
      </c>
      <c r="M432" t="s">
        <v>46</v>
      </c>
      <c r="N432" t="s">
        <v>47</v>
      </c>
      <c r="O432">
        <v>0</v>
      </c>
      <c r="P432" t="s">
        <v>46</v>
      </c>
      <c r="Q432" t="s">
        <v>47</v>
      </c>
      <c r="R432" t="s">
        <v>347</v>
      </c>
      <c r="S432" t="s">
        <v>49</v>
      </c>
      <c r="T432" t="b">
        <v>1</v>
      </c>
      <c r="U432" t="s">
        <v>50</v>
      </c>
      <c r="V432" t="s">
        <v>51</v>
      </c>
      <c r="W432">
        <v>4</v>
      </c>
      <c r="X432" t="b">
        <v>0</v>
      </c>
      <c r="Y432" t="s">
        <v>52</v>
      </c>
      <c r="Z432" t="s">
        <v>53</v>
      </c>
      <c r="AA432" t="s">
        <v>54</v>
      </c>
      <c r="AB432">
        <v>0</v>
      </c>
      <c r="AC432" t="s">
        <v>55</v>
      </c>
      <c r="AD432">
        <v>-1</v>
      </c>
      <c r="AE432" t="s">
        <v>64</v>
      </c>
      <c r="AF432">
        <v>0</v>
      </c>
      <c r="AG432" t="b">
        <v>0</v>
      </c>
      <c r="AH432">
        <v>-1</v>
      </c>
      <c r="AI432" t="s">
        <v>64</v>
      </c>
      <c r="AJ432">
        <v>0</v>
      </c>
      <c r="AK432" t="b">
        <v>0</v>
      </c>
      <c r="AM432" t="b">
        <v>0</v>
      </c>
      <c r="AN432">
        <v>0</v>
      </c>
      <c r="AO432" t="b">
        <v>0</v>
      </c>
      <c r="AQ432">
        <v>5264910501.4420004</v>
      </c>
      <c r="AR432">
        <v>5264910501.4420004</v>
      </c>
      <c r="AS432">
        <v>0</v>
      </c>
      <c r="AT432" t="b">
        <v>0</v>
      </c>
      <c r="AU432" t="b">
        <v>1</v>
      </c>
      <c r="AV432" t="b">
        <v>1</v>
      </c>
      <c r="AW432" t="b">
        <v>1</v>
      </c>
      <c r="BC432" t="s">
        <v>374</v>
      </c>
    </row>
    <row r="433" spans="1:55" x14ac:dyDescent="0.2">
      <c r="A433" t="s">
        <v>39</v>
      </c>
      <c r="B433" t="s">
        <v>40</v>
      </c>
      <c r="C433">
        <v>20220101</v>
      </c>
      <c r="D433">
        <v>2022</v>
      </c>
      <c r="E433">
        <v>52</v>
      </c>
      <c r="F433" t="s">
        <v>346</v>
      </c>
      <c r="G433">
        <v>716</v>
      </c>
      <c r="H433" t="s">
        <v>267</v>
      </c>
      <c r="I433" t="s">
        <v>268</v>
      </c>
      <c r="J433" t="s">
        <v>44</v>
      </c>
      <c r="K433" t="s">
        <v>45</v>
      </c>
      <c r="L433">
        <v>0</v>
      </c>
      <c r="M433" t="s">
        <v>46</v>
      </c>
      <c r="N433" t="s">
        <v>47</v>
      </c>
      <c r="O433">
        <v>0</v>
      </c>
      <c r="P433" t="s">
        <v>46</v>
      </c>
      <c r="Q433" t="s">
        <v>47</v>
      </c>
      <c r="R433" t="s">
        <v>48</v>
      </c>
      <c r="S433" t="s">
        <v>49</v>
      </c>
      <c r="T433" t="b">
        <v>1</v>
      </c>
      <c r="U433" t="s">
        <v>50</v>
      </c>
      <c r="V433" t="s">
        <v>51</v>
      </c>
      <c r="W433">
        <v>4</v>
      </c>
      <c r="X433" t="b">
        <v>0</v>
      </c>
      <c r="Y433" t="s">
        <v>52</v>
      </c>
      <c r="Z433" t="s">
        <v>53</v>
      </c>
      <c r="AA433" t="s">
        <v>54</v>
      </c>
      <c r="AB433">
        <v>0</v>
      </c>
      <c r="AC433" t="s">
        <v>55</v>
      </c>
      <c r="AD433">
        <v>8</v>
      </c>
      <c r="AE433" t="s">
        <v>56</v>
      </c>
      <c r="AF433">
        <v>35706.178</v>
      </c>
      <c r="AG433" t="b">
        <v>1</v>
      </c>
      <c r="AH433">
        <v>-1</v>
      </c>
      <c r="AI433" t="s">
        <v>64</v>
      </c>
      <c r="AJ433">
        <v>0</v>
      </c>
      <c r="AK433" t="b">
        <v>0</v>
      </c>
      <c r="AM433" t="b">
        <v>0</v>
      </c>
      <c r="AN433">
        <v>0</v>
      </c>
      <c r="AO433" t="b">
        <v>0</v>
      </c>
      <c r="AQ433">
        <v>1992346633.3800001</v>
      </c>
      <c r="AR433">
        <v>1992346633.3800001</v>
      </c>
      <c r="AS433">
        <v>2</v>
      </c>
      <c r="AT433" t="b">
        <v>0</v>
      </c>
      <c r="AU433" t="b">
        <v>1</v>
      </c>
      <c r="AV433" t="b">
        <v>1</v>
      </c>
      <c r="AW433" t="b">
        <v>1</v>
      </c>
      <c r="BC433" t="s">
        <v>374</v>
      </c>
    </row>
    <row r="434" spans="1:55" x14ac:dyDescent="0.2">
      <c r="A434" t="s">
        <v>39</v>
      </c>
      <c r="B434" t="s">
        <v>40</v>
      </c>
      <c r="C434">
        <v>20220101</v>
      </c>
      <c r="D434">
        <v>2022</v>
      </c>
      <c r="E434">
        <v>52</v>
      </c>
      <c r="F434" t="s">
        <v>346</v>
      </c>
      <c r="G434">
        <v>724</v>
      </c>
      <c r="H434" t="s">
        <v>269</v>
      </c>
      <c r="I434" t="s">
        <v>270</v>
      </c>
      <c r="J434" t="s">
        <v>44</v>
      </c>
      <c r="K434" t="s">
        <v>45</v>
      </c>
      <c r="L434">
        <v>0</v>
      </c>
      <c r="M434" t="s">
        <v>46</v>
      </c>
      <c r="N434" t="s">
        <v>47</v>
      </c>
      <c r="O434">
        <v>0</v>
      </c>
      <c r="P434" t="s">
        <v>46</v>
      </c>
      <c r="Q434" t="s">
        <v>47</v>
      </c>
      <c r="R434" t="s">
        <v>347</v>
      </c>
      <c r="S434" t="s">
        <v>49</v>
      </c>
      <c r="T434" t="b">
        <v>1</v>
      </c>
      <c r="U434" t="s">
        <v>50</v>
      </c>
      <c r="V434" t="s">
        <v>51</v>
      </c>
      <c r="W434">
        <v>4</v>
      </c>
      <c r="X434" t="b">
        <v>0</v>
      </c>
      <c r="Y434" t="s">
        <v>52</v>
      </c>
      <c r="Z434" t="s">
        <v>53</v>
      </c>
      <c r="AA434" t="s">
        <v>54</v>
      </c>
      <c r="AB434">
        <v>0</v>
      </c>
      <c r="AC434" t="s">
        <v>55</v>
      </c>
      <c r="AD434">
        <v>-1</v>
      </c>
      <c r="AE434" t="s">
        <v>64</v>
      </c>
      <c r="AF434">
        <v>0</v>
      </c>
      <c r="AG434" t="b">
        <v>0</v>
      </c>
      <c r="AH434">
        <v>-1</v>
      </c>
      <c r="AI434" t="s">
        <v>64</v>
      </c>
      <c r="AJ434">
        <v>0</v>
      </c>
      <c r="AK434" t="b">
        <v>0</v>
      </c>
      <c r="AM434" t="b">
        <v>0</v>
      </c>
      <c r="AN434">
        <v>0</v>
      </c>
      <c r="AO434" t="b">
        <v>0</v>
      </c>
      <c r="AQ434">
        <v>2568696177.7470002</v>
      </c>
      <c r="AR434">
        <v>2568696177.7470002</v>
      </c>
      <c r="AS434">
        <v>0</v>
      </c>
      <c r="AT434" t="b">
        <v>0</v>
      </c>
      <c r="AU434" t="b">
        <v>1</v>
      </c>
      <c r="AV434" t="b">
        <v>1</v>
      </c>
      <c r="AW434" t="b">
        <v>1</v>
      </c>
      <c r="BC434" t="s">
        <v>374</v>
      </c>
    </row>
    <row r="435" spans="1:55" x14ac:dyDescent="0.2">
      <c r="A435" t="s">
        <v>39</v>
      </c>
      <c r="B435" t="s">
        <v>40</v>
      </c>
      <c r="C435">
        <v>20220101</v>
      </c>
      <c r="D435">
        <v>2022</v>
      </c>
      <c r="E435">
        <v>52</v>
      </c>
      <c r="F435" t="s">
        <v>346</v>
      </c>
      <c r="G435">
        <v>740</v>
      </c>
      <c r="H435" t="s">
        <v>271</v>
      </c>
      <c r="I435" t="s">
        <v>272</v>
      </c>
      <c r="J435" t="s">
        <v>44</v>
      </c>
      <c r="K435" t="s">
        <v>45</v>
      </c>
      <c r="L435">
        <v>0</v>
      </c>
      <c r="M435" t="s">
        <v>46</v>
      </c>
      <c r="N435" t="s">
        <v>47</v>
      </c>
      <c r="O435">
        <v>0</v>
      </c>
      <c r="P435" t="s">
        <v>46</v>
      </c>
      <c r="Q435" t="s">
        <v>47</v>
      </c>
      <c r="R435" t="s">
        <v>136</v>
      </c>
      <c r="S435" t="s">
        <v>49</v>
      </c>
      <c r="T435" t="b">
        <v>1</v>
      </c>
      <c r="U435" t="s">
        <v>50</v>
      </c>
      <c r="V435" t="s">
        <v>51</v>
      </c>
      <c r="W435">
        <v>4</v>
      </c>
      <c r="X435" t="b">
        <v>0</v>
      </c>
      <c r="Y435" t="s">
        <v>52</v>
      </c>
      <c r="Z435" t="s">
        <v>53</v>
      </c>
      <c r="AA435" t="s">
        <v>54</v>
      </c>
      <c r="AB435">
        <v>0</v>
      </c>
      <c r="AC435" t="s">
        <v>55</v>
      </c>
      <c r="AD435">
        <v>-1</v>
      </c>
      <c r="AE435" t="s">
        <v>64</v>
      </c>
      <c r="AF435">
        <v>0</v>
      </c>
      <c r="AG435" t="b">
        <v>0</v>
      </c>
      <c r="AH435">
        <v>-1</v>
      </c>
      <c r="AI435" t="s">
        <v>64</v>
      </c>
      <c r="AJ435">
        <v>0</v>
      </c>
      <c r="AK435" t="b">
        <v>0</v>
      </c>
      <c r="AL435">
        <v>36732.22</v>
      </c>
      <c r="AM435" t="b">
        <v>0</v>
      </c>
      <c r="AN435">
        <v>39838.519999999997</v>
      </c>
      <c r="AO435" t="b">
        <v>0</v>
      </c>
      <c r="AQ435">
        <v>2136298470.4000001</v>
      </c>
      <c r="AR435">
        <v>2136298470.4000001</v>
      </c>
      <c r="AS435">
        <v>0</v>
      </c>
      <c r="AT435" t="b">
        <v>0</v>
      </c>
      <c r="AU435" t="b">
        <v>1</v>
      </c>
      <c r="AV435" t="b">
        <v>1</v>
      </c>
      <c r="AW435" t="b">
        <v>1</v>
      </c>
      <c r="BC435" t="s">
        <v>374</v>
      </c>
    </row>
    <row r="436" spans="1:55" x14ac:dyDescent="0.2">
      <c r="A436" t="s">
        <v>39</v>
      </c>
      <c r="B436" t="s">
        <v>40</v>
      </c>
      <c r="C436">
        <v>20220101</v>
      </c>
      <c r="D436">
        <v>2022</v>
      </c>
      <c r="E436">
        <v>52</v>
      </c>
      <c r="F436" t="s">
        <v>346</v>
      </c>
      <c r="G436">
        <v>748</v>
      </c>
      <c r="H436" t="s">
        <v>273</v>
      </c>
      <c r="I436" t="s">
        <v>274</v>
      </c>
      <c r="J436" t="s">
        <v>44</v>
      </c>
      <c r="K436" t="s">
        <v>45</v>
      </c>
      <c r="L436">
        <v>0</v>
      </c>
      <c r="M436" t="s">
        <v>46</v>
      </c>
      <c r="N436" t="s">
        <v>47</v>
      </c>
      <c r="O436">
        <v>0</v>
      </c>
      <c r="P436" t="s">
        <v>46</v>
      </c>
      <c r="Q436" t="s">
        <v>47</v>
      </c>
      <c r="R436" t="s">
        <v>347</v>
      </c>
      <c r="S436" t="s">
        <v>49</v>
      </c>
      <c r="T436" t="b">
        <v>1</v>
      </c>
      <c r="U436" t="s">
        <v>50</v>
      </c>
      <c r="V436" t="s">
        <v>51</v>
      </c>
      <c r="W436">
        <v>4</v>
      </c>
      <c r="X436" t="b">
        <v>0</v>
      </c>
      <c r="Y436" t="s">
        <v>52</v>
      </c>
      <c r="Z436" t="s">
        <v>53</v>
      </c>
      <c r="AA436" t="s">
        <v>54</v>
      </c>
      <c r="AB436">
        <v>0</v>
      </c>
      <c r="AC436" t="s">
        <v>55</v>
      </c>
      <c r="AD436">
        <v>8</v>
      </c>
      <c r="AE436" t="s">
        <v>56</v>
      </c>
      <c r="AF436">
        <v>4.08</v>
      </c>
      <c r="AG436" t="b">
        <v>0</v>
      </c>
      <c r="AH436">
        <v>8</v>
      </c>
      <c r="AI436" t="s">
        <v>56</v>
      </c>
      <c r="AJ436">
        <v>4.08</v>
      </c>
      <c r="AK436" t="b">
        <v>0</v>
      </c>
      <c r="AL436">
        <v>4.08</v>
      </c>
      <c r="AM436" t="b">
        <v>0</v>
      </c>
      <c r="AN436">
        <v>0</v>
      </c>
      <c r="AO436" t="b">
        <v>0</v>
      </c>
      <c r="AQ436">
        <v>228657.3</v>
      </c>
      <c r="AR436">
        <v>228657.3</v>
      </c>
      <c r="AS436">
        <v>0</v>
      </c>
      <c r="AT436" t="b">
        <v>0</v>
      </c>
      <c r="AU436" t="b">
        <v>1</v>
      </c>
      <c r="AV436" t="b">
        <v>1</v>
      </c>
      <c r="AW436" t="b">
        <v>1</v>
      </c>
      <c r="BC436" t="s">
        <v>374</v>
      </c>
    </row>
    <row r="437" spans="1:55" x14ac:dyDescent="0.2">
      <c r="A437" t="s">
        <v>39</v>
      </c>
      <c r="B437" t="s">
        <v>40</v>
      </c>
      <c r="C437">
        <v>20220101</v>
      </c>
      <c r="D437">
        <v>2022</v>
      </c>
      <c r="E437">
        <v>52</v>
      </c>
      <c r="F437" t="s">
        <v>346</v>
      </c>
      <c r="G437">
        <v>752</v>
      </c>
      <c r="H437" t="s">
        <v>275</v>
      </c>
      <c r="I437" t="s">
        <v>276</v>
      </c>
      <c r="J437" t="s">
        <v>44</v>
      </c>
      <c r="K437" t="s">
        <v>45</v>
      </c>
      <c r="L437">
        <v>0</v>
      </c>
      <c r="M437" t="s">
        <v>46</v>
      </c>
      <c r="N437" t="s">
        <v>47</v>
      </c>
      <c r="O437">
        <v>0</v>
      </c>
      <c r="P437" t="s">
        <v>46</v>
      </c>
      <c r="Q437" t="s">
        <v>47</v>
      </c>
      <c r="R437" t="s">
        <v>347</v>
      </c>
      <c r="S437" t="s">
        <v>49</v>
      </c>
      <c r="T437" t="b">
        <v>1</v>
      </c>
      <c r="U437" t="s">
        <v>50</v>
      </c>
      <c r="V437" t="s">
        <v>51</v>
      </c>
      <c r="W437">
        <v>4</v>
      </c>
      <c r="X437" t="b">
        <v>0</v>
      </c>
      <c r="Y437" t="s">
        <v>52</v>
      </c>
      <c r="Z437" t="s">
        <v>53</v>
      </c>
      <c r="AA437" t="s">
        <v>54</v>
      </c>
      <c r="AB437">
        <v>0</v>
      </c>
      <c r="AC437" t="s">
        <v>55</v>
      </c>
      <c r="AD437">
        <v>8</v>
      </c>
      <c r="AE437" t="s">
        <v>56</v>
      </c>
      <c r="AF437">
        <v>14350.213</v>
      </c>
      <c r="AG437" t="b">
        <v>1</v>
      </c>
      <c r="AH437">
        <v>-1</v>
      </c>
      <c r="AI437" t="s">
        <v>64</v>
      </c>
      <c r="AJ437">
        <v>0</v>
      </c>
      <c r="AK437" t="b">
        <v>0</v>
      </c>
      <c r="AL437">
        <v>13574.803</v>
      </c>
      <c r="AM437" t="b">
        <v>1</v>
      </c>
      <c r="AN437">
        <v>0</v>
      </c>
      <c r="AO437" t="b">
        <v>0</v>
      </c>
      <c r="AQ437">
        <v>865767962.722</v>
      </c>
      <c r="AR437">
        <v>865767962.722</v>
      </c>
      <c r="AS437">
        <v>6</v>
      </c>
      <c r="AT437" t="b">
        <v>0</v>
      </c>
      <c r="AU437" t="b">
        <v>1</v>
      </c>
      <c r="AV437" t="b">
        <v>1</v>
      </c>
      <c r="AW437" t="b">
        <v>1</v>
      </c>
      <c r="BC437" t="s">
        <v>374</v>
      </c>
    </row>
    <row r="438" spans="1:55" x14ac:dyDescent="0.2">
      <c r="A438" t="s">
        <v>39</v>
      </c>
      <c r="B438" t="s">
        <v>40</v>
      </c>
      <c r="C438">
        <v>20220101</v>
      </c>
      <c r="D438">
        <v>2022</v>
      </c>
      <c r="E438">
        <v>52</v>
      </c>
      <c r="F438" t="s">
        <v>346</v>
      </c>
      <c r="G438">
        <v>762</v>
      </c>
      <c r="H438" t="s">
        <v>342</v>
      </c>
      <c r="I438" t="s">
        <v>343</v>
      </c>
      <c r="J438" t="s">
        <v>44</v>
      </c>
      <c r="K438" t="s">
        <v>45</v>
      </c>
      <c r="L438">
        <v>0</v>
      </c>
      <c r="M438" t="s">
        <v>46</v>
      </c>
      <c r="N438" t="s">
        <v>47</v>
      </c>
      <c r="O438">
        <v>0</v>
      </c>
      <c r="P438" t="s">
        <v>46</v>
      </c>
      <c r="Q438" t="s">
        <v>47</v>
      </c>
      <c r="R438" t="s">
        <v>95</v>
      </c>
      <c r="S438" t="s">
        <v>49</v>
      </c>
      <c r="T438" t="b">
        <v>1</v>
      </c>
      <c r="U438" t="s">
        <v>50</v>
      </c>
      <c r="V438" t="s">
        <v>51</v>
      </c>
      <c r="W438">
        <v>4</v>
      </c>
      <c r="X438" t="b">
        <v>0</v>
      </c>
      <c r="Y438" t="s">
        <v>52</v>
      </c>
      <c r="Z438" t="s">
        <v>53</v>
      </c>
      <c r="AA438" t="s">
        <v>54</v>
      </c>
      <c r="AB438">
        <v>0</v>
      </c>
      <c r="AC438" t="s">
        <v>55</v>
      </c>
      <c r="AD438">
        <v>8</v>
      </c>
      <c r="AE438" t="s">
        <v>56</v>
      </c>
      <c r="AF438">
        <v>851.02599999999995</v>
      </c>
      <c r="AG438" t="b">
        <v>0</v>
      </c>
      <c r="AH438">
        <v>15</v>
      </c>
      <c r="AI438" t="s">
        <v>59</v>
      </c>
      <c r="AJ438">
        <v>851026</v>
      </c>
      <c r="AK438" t="b">
        <v>0</v>
      </c>
      <c r="AL438">
        <v>851.02599999999995</v>
      </c>
      <c r="AM438" t="b">
        <v>0</v>
      </c>
      <c r="AN438">
        <v>0</v>
      </c>
      <c r="AO438" t="b">
        <v>0</v>
      </c>
      <c r="AQ438">
        <v>54064205</v>
      </c>
      <c r="AR438">
        <v>54064205</v>
      </c>
      <c r="AS438">
        <v>0</v>
      </c>
      <c r="AT438" t="b">
        <v>0</v>
      </c>
      <c r="AU438" t="b">
        <v>1</v>
      </c>
      <c r="AV438" t="b">
        <v>1</v>
      </c>
      <c r="AW438" t="b">
        <v>1</v>
      </c>
      <c r="BC438" t="s">
        <v>374</v>
      </c>
    </row>
    <row r="439" spans="1:55" x14ac:dyDescent="0.2">
      <c r="A439" t="s">
        <v>39</v>
      </c>
      <c r="B439" t="s">
        <v>40</v>
      </c>
      <c r="C439">
        <v>20220101</v>
      </c>
      <c r="D439">
        <v>2022</v>
      </c>
      <c r="E439">
        <v>52</v>
      </c>
      <c r="F439" t="s">
        <v>346</v>
      </c>
      <c r="G439">
        <v>764</v>
      </c>
      <c r="H439" t="s">
        <v>279</v>
      </c>
      <c r="I439" t="s">
        <v>280</v>
      </c>
      <c r="J439" t="s">
        <v>44</v>
      </c>
      <c r="K439" t="s">
        <v>45</v>
      </c>
      <c r="L439">
        <v>0</v>
      </c>
      <c r="M439" t="s">
        <v>46</v>
      </c>
      <c r="N439" t="s">
        <v>47</v>
      </c>
      <c r="O439">
        <v>0</v>
      </c>
      <c r="P439" t="s">
        <v>46</v>
      </c>
      <c r="Q439" t="s">
        <v>47</v>
      </c>
      <c r="R439" t="s">
        <v>347</v>
      </c>
      <c r="S439" t="s">
        <v>49</v>
      </c>
      <c r="T439" t="b">
        <v>1</v>
      </c>
      <c r="U439" t="s">
        <v>50</v>
      </c>
      <c r="V439" t="s">
        <v>51</v>
      </c>
      <c r="W439">
        <v>4</v>
      </c>
      <c r="X439" t="b">
        <v>0</v>
      </c>
      <c r="Y439" t="s">
        <v>52</v>
      </c>
      <c r="Z439" t="s">
        <v>53</v>
      </c>
      <c r="AA439" t="s">
        <v>54</v>
      </c>
      <c r="AB439">
        <v>0</v>
      </c>
      <c r="AC439" t="s">
        <v>55</v>
      </c>
      <c r="AD439">
        <v>-1</v>
      </c>
      <c r="AE439" t="s">
        <v>64</v>
      </c>
      <c r="AF439">
        <v>0</v>
      </c>
      <c r="AG439" t="b">
        <v>0</v>
      </c>
      <c r="AH439">
        <v>-1</v>
      </c>
      <c r="AI439" t="s">
        <v>64</v>
      </c>
      <c r="AJ439">
        <v>0</v>
      </c>
      <c r="AK439" t="b">
        <v>0</v>
      </c>
      <c r="AM439" t="b">
        <v>0</v>
      </c>
      <c r="AN439">
        <v>0</v>
      </c>
      <c r="AO439" t="b">
        <v>0</v>
      </c>
      <c r="AQ439">
        <v>7076025865.1800003</v>
      </c>
      <c r="AR439">
        <v>7076025865.1800003</v>
      </c>
      <c r="AS439">
        <v>0</v>
      </c>
      <c r="AT439" t="b">
        <v>0</v>
      </c>
      <c r="AU439" t="b">
        <v>1</v>
      </c>
      <c r="AV439" t="b">
        <v>1</v>
      </c>
      <c r="AW439" t="b">
        <v>1</v>
      </c>
      <c r="BC439" t="s">
        <v>374</v>
      </c>
    </row>
    <row r="440" spans="1:55" x14ac:dyDescent="0.2">
      <c r="A440" t="s">
        <v>39</v>
      </c>
      <c r="B440" t="s">
        <v>40</v>
      </c>
      <c r="C440">
        <v>20220101</v>
      </c>
      <c r="D440">
        <v>2022</v>
      </c>
      <c r="E440">
        <v>52</v>
      </c>
      <c r="F440" t="s">
        <v>346</v>
      </c>
      <c r="G440">
        <v>784</v>
      </c>
      <c r="H440" t="s">
        <v>285</v>
      </c>
      <c r="I440" t="s">
        <v>286</v>
      </c>
      <c r="J440" t="s">
        <v>44</v>
      </c>
      <c r="K440" t="s">
        <v>45</v>
      </c>
      <c r="L440">
        <v>0</v>
      </c>
      <c r="M440" t="s">
        <v>46</v>
      </c>
      <c r="N440" t="s">
        <v>47</v>
      </c>
      <c r="O440">
        <v>0</v>
      </c>
      <c r="P440" t="s">
        <v>46</v>
      </c>
      <c r="Q440" t="s">
        <v>47</v>
      </c>
      <c r="R440" t="s">
        <v>347</v>
      </c>
      <c r="S440" t="s">
        <v>49</v>
      </c>
      <c r="T440" t="b">
        <v>1</v>
      </c>
      <c r="U440" t="s">
        <v>50</v>
      </c>
      <c r="V440" t="s">
        <v>51</v>
      </c>
      <c r="W440">
        <v>4</v>
      </c>
      <c r="X440" t="b">
        <v>0</v>
      </c>
      <c r="Y440" t="s">
        <v>52</v>
      </c>
      <c r="Z440" t="s">
        <v>53</v>
      </c>
      <c r="AA440" t="s">
        <v>54</v>
      </c>
      <c r="AB440">
        <v>0</v>
      </c>
      <c r="AC440" t="s">
        <v>55</v>
      </c>
      <c r="AD440">
        <v>-1</v>
      </c>
      <c r="AE440" t="s">
        <v>64</v>
      </c>
      <c r="AF440">
        <v>0</v>
      </c>
      <c r="AG440" t="b">
        <v>0</v>
      </c>
      <c r="AH440">
        <v>-1</v>
      </c>
      <c r="AI440" t="s">
        <v>64</v>
      </c>
      <c r="AJ440">
        <v>0</v>
      </c>
      <c r="AK440" t="b">
        <v>0</v>
      </c>
      <c r="AM440" t="b">
        <v>0</v>
      </c>
      <c r="AN440">
        <v>0</v>
      </c>
      <c r="AO440" t="b">
        <v>0</v>
      </c>
      <c r="AQ440">
        <v>35626328590.164001</v>
      </c>
      <c r="AR440">
        <v>35626328590.164001</v>
      </c>
      <c r="AS440">
        <v>0</v>
      </c>
      <c r="AT440" t="b">
        <v>0</v>
      </c>
      <c r="AU440" t="b">
        <v>1</v>
      </c>
      <c r="AV440" t="b">
        <v>1</v>
      </c>
      <c r="AW440" t="b">
        <v>1</v>
      </c>
      <c r="BC440" t="s">
        <v>374</v>
      </c>
    </row>
    <row r="441" spans="1:55" x14ac:dyDescent="0.2">
      <c r="A441" t="s">
        <v>39</v>
      </c>
      <c r="B441" t="s">
        <v>40</v>
      </c>
      <c r="C441">
        <v>20220101</v>
      </c>
      <c r="D441">
        <v>2022</v>
      </c>
      <c r="E441">
        <v>52</v>
      </c>
      <c r="F441" t="s">
        <v>346</v>
      </c>
      <c r="G441">
        <v>792</v>
      </c>
      <c r="H441" t="s">
        <v>287</v>
      </c>
      <c r="I441" t="s">
        <v>288</v>
      </c>
      <c r="J441" t="s">
        <v>44</v>
      </c>
      <c r="K441" t="s">
        <v>45</v>
      </c>
      <c r="L441">
        <v>0</v>
      </c>
      <c r="M441" t="s">
        <v>46</v>
      </c>
      <c r="N441" t="s">
        <v>47</v>
      </c>
      <c r="O441">
        <v>0</v>
      </c>
      <c r="P441" t="s">
        <v>46</v>
      </c>
      <c r="Q441" t="s">
        <v>47</v>
      </c>
      <c r="R441" t="s">
        <v>347</v>
      </c>
      <c r="S441" t="s">
        <v>49</v>
      </c>
      <c r="T441" t="b">
        <v>1</v>
      </c>
      <c r="U441" t="s">
        <v>50</v>
      </c>
      <c r="V441" t="s">
        <v>51</v>
      </c>
      <c r="W441">
        <v>4</v>
      </c>
      <c r="X441" t="b">
        <v>0</v>
      </c>
      <c r="Y441" t="s">
        <v>52</v>
      </c>
      <c r="Z441" t="s">
        <v>53</v>
      </c>
      <c r="AA441" t="s">
        <v>54</v>
      </c>
      <c r="AB441">
        <v>0</v>
      </c>
      <c r="AC441" t="s">
        <v>55</v>
      </c>
      <c r="AD441">
        <v>8</v>
      </c>
      <c r="AE441" t="s">
        <v>56</v>
      </c>
      <c r="AF441">
        <v>18665.973000000002</v>
      </c>
      <c r="AG441" t="b">
        <v>0</v>
      </c>
      <c r="AH441">
        <v>15</v>
      </c>
      <c r="AI441" t="s">
        <v>59</v>
      </c>
      <c r="AJ441">
        <v>18665973</v>
      </c>
      <c r="AK441" t="b">
        <v>0</v>
      </c>
      <c r="AM441" t="b">
        <v>0</v>
      </c>
      <c r="AN441">
        <v>0</v>
      </c>
      <c r="AO441" t="b">
        <v>0</v>
      </c>
      <c r="AQ441">
        <v>1051002454</v>
      </c>
      <c r="AR441">
        <v>1051002454</v>
      </c>
      <c r="AS441">
        <v>0</v>
      </c>
      <c r="AT441" t="b">
        <v>0</v>
      </c>
      <c r="AU441" t="b">
        <v>1</v>
      </c>
      <c r="AV441" t="b">
        <v>1</v>
      </c>
      <c r="AW441" t="b">
        <v>1</v>
      </c>
      <c r="BC441" t="s">
        <v>374</v>
      </c>
    </row>
    <row r="442" spans="1:55" x14ac:dyDescent="0.2">
      <c r="A442" t="s">
        <v>39</v>
      </c>
      <c r="B442" t="s">
        <v>40</v>
      </c>
      <c r="C442">
        <v>20220101</v>
      </c>
      <c r="D442">
        <v>2022</v>
      </c>
      <c r="E442">
        <v>52</v>
      </c>
      <c r="F442" t="s">
        <v>346</v>
      </c>
      <c r="G442">
        <v>804</v>
      </c>
      <c r="H442" t="s">
        <v>291</v>
      </c>
      <c r="I442" t="s">
        <v>292</v>
      </c>
      <c r="J442" t="s">
        <v>44</v>
      </c>
      <c r="K442" t="s">
        <v>45</v>
      </c>
      <c r="L442">
        <v>0</v>
      </c>
      <c r="M442" t="s">
        <v>46</v>
      </c>
      <c r="N442" t="s">
        <v>47</v>
      </c>
      <c r="O442">
        <v>0</v>
      </c>
      <c r="P442" t="s">
        <v>46</v>
      </c>
      <c r="Q442" t="s">
        <v>47</v>
      </c>
      <c r="R442" t="s">
        <v>48</v>
      </c>
      <c r="S442" t="s">
        <v>49</v>
      </c>
      <c r="T442" t="b">
        <v>1</v>
      </c>
      <c r="U442" t="s">
        <v>50</v>
      </c>
      <c r="V442" t="s">
        <v>51</v>
      </c>
      <c r="W442">
        <v>4</v>
      </c>
      <c r="X442" t="b">
        <v>0</v>
      </c>
      <c r="Y442" t="s">
        <v>52</v>
      </c>
      <c r="Z442" t="s">
        <v>53</v>
      </c>
      <c r="AA442" t="s">
        <v>54</v>
      </c>
      <c r="AB442">
        <v>0</v>
      </c>
      <c r="AC442" t="s">
        <v>55</v>
      </c>
      <c r="AD442">
        <v>8</v>
      </c>
      <c r="AE442" t="s">
        <v>56</v>
      </c>
      <c r="AF442">
        <v>121.521</v>
      </c>
      <c r="AG442" t="b">
        <v>0</v>
      </c>
      <c r="AH442">
        <v>15</v>
      </c>
      <c r="AI442" t="s">
        <v>59</v>
      </c>
      <c r="AJ442">
        <v>121521.04</v>
      </c>
      <c r="AK442" t="b">
        <v>0</v>
      </c>
      <c r="AL442">
        <v>121.51</v>
      </c>
      <c r="AM442" t="b">
        <v>0</v>
      </c>
      <c r="AN442">
        <v>0</v>
      </c>
      <c r="AO442" t="b">
        <v>0</v>
      </c>
      <c r="AQ442">
        <v>6202570.5499999998</v>
      </c>
      <c r="AR442">
        <v>6202570.5499999998</v>
      </c>
      <c r="AS442">
        <v>0</v>
      </c>
      <c r="AT442" t="b">
        <v>0</v>
      </c>
      <c r="AU442" t="b">
        <v>1</v>
      </c>
      <c r="AV442" t="b">
        <v>1</v>
      </c>
      <c r="AW442" t="b">
        <v>1</v>
      </c>
      <c r="BC442" t="s">
        <v>374</v>
      </c>
    </row>
    <row r="443" spans="1:55" x14ac:dyDescent="0.2">
      <c r="A443" t="s">
        <v>39</v>
      </c>
      <c r="B443" t="s">
        <v>40</v>
      </c>
      <c r="C443">
        <v>20220101</v>
      </c>
      <c r="D443">
        <v>2022</v>
      </c>
      <c r="E443">
        <v>52</v>
      </c>
      <c r="F443" t="s">
        <v>346</v>
      </c>
      <c r="G443">
        <v>807</v>
      </c>
      <c r="H443" t="s">
        <v>331</v>
      </c>
      <c r="I443" t="s">
        <v>332</v>
      </c>
      <c r="J443" t="s">
        <v>44</v>
      </c>
      <c r="K443" t="s">
        <v>45</v>
      </c>
      <c r="L443">
        <v>0</v>
      </c>
      <c r="M443" t="s">
        <v>46</v>
      </c>
      <c r="N443" t="s">
        <v>47</v>
      </c>
      <c r="O443">
        <v>0</v>
      </c>
      <c r="P443" t="s">
        <v>46</v>
      </c>
      <c r="Q443" t="s">
        <v>47</v>
      </c>
      <c r="R443" t="s">
        <v>347</v>
      </c>
      <c r="S443" t="s">
        <v>49</v>
      </c>
      <c r="T443" t="b">
        <v>1</v>
      </c>
      <c r="U443" t="s">
        <v>50</v>
      </c>
      <c r="V443" t="s">
        <v>51</v>
      </c>
      <c r="W443">
        <v>4</v>
      </c>
      <c r="X443" t="b">
        <v>0</v>
      </c>
      <c r="Y443" t="s">
        <v>52</v>
      </c>
      <c r="Z443" t="s">
        <v>53</v>
      </c>
      <c r="AA443" t="s">
        <v>54</v>
      </c>
      <c r="AB443">
        <v>0</v>
      </c>
      <c r="AC443" t="s">
        <v>55</v>
      </c>
      <c r="AD443">
        <v>8</v>
      </c>
      <c r="AE443" t="s">
        <v>56</v>
      </c>
      <c r="AF443">
        <v>19.713999999999999</v>
      </c>
      <c r="AG443" t="b">
        <v>0</v>
      </c>
      <c r="AH443">
        <v>15</v>
      </c>
      <c r="AI443" t="s">
        <v>59</v>
      </c>
      <c r="AJ443">
        <v>19714</v>
      </c>
      <c r="AK443" t="b">
        <v>0</v>
      </c>
      <c r="AL443">
        <v>20</v>
      </c>
      <c r="AM443" t="b">
        <v>0</v>
      </c>
      <c r="AN443">
        <v>0</v>
      </c>
      <c r="AO443" t="b">
        <v>0</v>
      </c>
      <c r="AQ443">
        <v>650726.52</v>
      </c>
      <c r="AR443">
        <v>650726.52</v>
      </c>
      <c r="AS443">
        <v>0</v>
      </c>
      <c r="AT443" t="b">
        <v>0</v>
      </c>
      <c r="AU443" t="b">
        <v>1</v>
      </c>
      <c r="AV443" t="b">
        <v>1</v>
      </c>
      <c r="AW443" t="b">
        <v>1</v>
      </c>
      <c r="BC443" t="s">
        <v>374</v>
      </c>
    </row>
    <row r="444" spans="1:55" x14ac:dyDescent="0.2">
      <c r="A444" t="s">
        <v>39</v>
      </c>
      <c r="B444" t="s">
        <v>40</v>
      </c>
      <c r="C444">
        <v>20220101</v>
      </c>
      <c r="D444">
        <v>2022</v>
      </c>
      <c r="E444">
        <v>52</v>
      </c>
      <c r="F444" t="s">
        <v>346</v>
      </c>
      <c r="G444">
        <v>818</v>
      </c>
      <c r="H444" t="s">
        <v>293</v>
      </c>
      <c r="I444" t="s">
        <v>294</v>
      </c>
      <c r="J444" t="s">
        <v>44</v>
      </c>
      <c r="K444" t="s">
        <v>45</v>
      </c>
      <c r="L444">
        <v>0</v>
      </c>
      <c r="M444" t="s">
        <v>46</v>
      </c>
      <c r="N444" t="s">
        <v>47</v>
      </c>
      <c r="O444">
        <v>0</v>
      </c>
      <c r="P444" t="s">
        <v>46</v>
      </c>
      <c r="Q444" t="s">
        <v>47</v>
      </c>
      <c r="R444" t="s">
        <v>347</v>
      </c>
      <c r="S444" t="s">
        <v>49</v>
      </c>
      <c r="T444" t="b">
        <v>1</v>
      </c>
      <c r="U444" t="s">
        <v>50</v>
      </c>
      <c r="V444" t="s">
        <v>51</v>
      </c>
      <c r="W444">
        <v>4</v>
      </c>
      <c r="X444" t="b">
        <v>0</v>
      </c>
      <c r="Y444" t="s">
        <v>52</v>
      </c>
      <c r="Z444" t="s">
        <v>53</v>
      </c>
      <c r="AA444" t="s">
        <v>54</v>
      </c>
      <c r="AB444">
        <v>0</v>
      </c>
      <c r="AC444" t="s">
        <v>55</v>
      </c>
      <c r="AD444">
        <v>8</v>
      </c>
      <c r="AE444" t="s">
        <v>56</v>
      </c>
      <c r="AF444">
        <v>29418.555</v>
      </c>
      <c r="AG444" t="b">
        <v>1</v>
      </c>
      <c r="AH444">
        <v>-1</v>
      </c>
      <c r="AI444" t="s">
        <v>64</v>
      </c>
      <c r="AJ444">
        <v>0</v>
      </c>
      <c r="AK444" t="b">
        <v>0</v>
      </c>
      <c r="AL444">
        <v>29418.555</v>
      </c>
      <c r="AM444" t="b">
        <v>1</v>
      </c>
      <c r="AN444">
        <v>0</v>
      </c>
      <c r="AO444" t="b">
        <v>0</v>
      </c>
      <c r="AQ444">
        <v>1623734141</v>
      </c>
      <c r="AR444">
        <v>1623734141</v>
      </c>
      <c r="AS444">
        <v>6</v>
      </c>
      <c r="AT444" t="b">
        <v>0</v>
      </c>
      <c r="AU444" t="b">
        <v>1</v>
      </c>
      <c r="AV444" t="b">
        <v>1</v>
      </c>
      <c r="AW444" t="b">
        <v>1</v>
      </c>
      <c r="BC444" t="s">
        <v>374</v>
      </c>
    </row>
    <row r="445" spans="1:55" x14ac:dyDescent="0.2">
      <c r="A445" t="s">
        <v>39</v>
      </c>
      <c r="B445" t="s">
        <v>40</v>
      </c>
      <c r="C445">
        <v>20220101</v>
      </c>
      <c r="D445">
        <v>2022</v>
      </c>
      <c r="E445">
        <v>52</v>
      </c>
      <c r="F445" t="s">
        <v>346</v>
      </c>
      <c r="G445">
        <v>834</v>
      </c>
      <c r="H445" t="s">
        <v>297</v>
      </c>
      <c r="I445" t="s">
        <v>298</v>
      </c>
      <c r="J445" t="s">
        <v>44</v>
      </c>
      <c r="K445" t="s">
        <v>45</v>
      </c>
      <c r="L445">
        <v>0</v>
      </c>
      <c r="M445" t="s">
        <v>46</v>
      </c>
      <c r="N445" t="s">
        <v>47</v>
      </c>
      <c r="O445">
        <v>0</v>
      </c>
      <c r="P445" t="s">
        <v>46</v>
      </c>
      <c r="Q445" t="s">
        <v>47</v>
      </c>
      <c r="R445" t="s">
        <v>347</v>
      </c>
      <c r="S445" t="s">
        <v>49</v>
      </c>
      <c r="T445" t="b">
        <v>1</v>
      </c>
      <c r="U445" t="s">
        <v>50</v>
      </c>
      <c r="V445" t="s">
        <v>51</v>
      </c>
      <c r="W445">
        <v>4</v>
      </c>
      <c r="X445" t="b">
        <v>0</v>
      </c>
      <c r="Y445" t="s">
        <v>52</v>
      </c>
      <c r="Z445" t="s">
        <v>53</v>
      </c>
      <c r="AA445" t="s">
        <v>54</v>
      </c>
      <c r="AB445">
        <v>0</v>
      </c>
      <c r="AC445" t="s">
        <v>55</v>
      </c>
      <c r="AD445">
        <v>-1</v>
      </c>
      <c r="AE445" t="s">
        <v>64</v>
      </c>
      <c r="AF445">
        <v>0</v>
      </c>
      <c r="AG445" t="b">
        <v>0</v>
      </c>
      <c r="AH445">
        <v>-1</v>
      </c>
      <c r="AI445" t="s">
        <v>64</v>
      </c>
      <c r="AJ445">
        <v>0</v>
      </c>
      <c r="AK445" t="b">
        <v>0</v>
      </c>
      <c r="AM445" t="b">
        <v>0</v>
      </c>
      <c r="AN445">
        <v>0</v>
      </c>
      <c r="AO445" t="b">
        <v>0</v>
      </c>
      <c r="AQ445">
        <v>2835094318.3200002</v>
      </c>
      <c r="AR445">
        <v>2835094318.3200002</v>
      </c>
      <c r="AS445">
        <v>0</v>
      </c>
      <c r="AT445" t="b">
        <v>0</v>
      </c>
      <c r="AU445" t="b">
        <v>1</v>
      </c>
      <c r="AV445" t="b">
        <v>1</v>
      </c>
      <c r="AW445" t="b">
        <v>1</v>
      </c>
      <c r="BC445" t="s">
        <v>374</v>
      </c>
    </row>
    <row r="446" spans="1:55" x14ac:dyDescent="0.2">
      <c r="A446" t="s">
        <v>39</v>
      </c>
      <c r="B446" t="s">
        <v>40</v>
      </c>
      <c r="C446">
        <v>20220101</v>
      </c>
      <c r="D446">
        <v>2022</v>
      </c>
      <c r="E446">
        <v>52</v>
      </c>
      <c r="F446" t="s">
        <v>346</v>
      </c>
      <c r="G446">
        <v>854</v>
      </c>
      <c r="H446" t="s">
        <v>300</v>
      </c>
      <c r="I446" t="s">
        <v>301</v>
      </c>
      <c r="J446" t="s">
        <v>44</v>
      </c>
      <c r="K446" t="s">
        <v>45</v>
      </c>
      <c r="L446">
        <v>0</v>
      </c>
      <c r="M446" t="s">
        <v>46</v>
      </c>
      <c r="N446" t="s">
        <v>47</v>
      </c>
      <c r="O446">
        <v>0</v>
      </c>
      <c r="P446" t="s">
        <v>46</v>
      </c>
      <c r="Q446" t="s">
        <v>47</v>
      </c>
      <c r="R446" t="s">
        <v>347</v>
      </c>
      <c r="S446" t="s">
        <v>49</v>
      </c>
      <c r="T446" t="b">
        <v>1</v>
      </c>
      <c r="U446" t="s">
        <v>50</v>
      </c>
      <c r="V446" t="s">
        <v>51</v>
      </c>
      <c r="W446">
        <v>4</v>
      </c>
      <c r="X446" t="b">
        <v>0</v>
      </c>
      <c r="Y446" t="s">
        <v>52</v>
      </c>
      <c r="Z446" t="s">
        <v>53</v>
      </c>
      <c r="AA446" t="s">
        <v>54</v>
      </c>
      <c r="AB446">
        <v>0</v>
      </c>
      <c r="AC446" t="s">
        <v>55</v>
      </c>
      <c r="AD446">
        <v>8</v>
      </c>
      <c r="AE446" t="s">
        <v>56</v>
      </c>
      <c r="AF446">
        <v>58191</v>
      </c>
      <c r="AG446" t="b">
        <v>0</v>
      </c>
      <c r="AH446">
        <v>8</v>
      </c>
      <c r="AI446" t="s">
        <v>56</v>
      </c>
      <c r="AJ446">
        <v>58191</v>
      </c>
      <c r="AK446" t="b">
        <v>0</v>
      </c>
      <c r="AL446">
        <v>58191</v>
      </c>
      <c r="AM446" t="b">
        <v>0</v>
      </c>
      <c r="AN446">
        <v>0</v>
      </c>
      <c r="AO446" t="b">
        <v>0</v>
      </c>
      <c r="AQ446">
        <v>3365198519.4190001</v>
      </c>
      <c r="AR446">
        <v>3365198519.4190001</v>
      </c>
      <c r="AS446">
        <v>0</v>
      </c>
      <c r="AT446" t="b">
        <v>0</v>
      </c>
      <c r="AU446" t="b">
        <v>1</v>
      </c>
      <c r="AV446" t="b">
        <v>1</v>
      </c>
      <c r="AW446" t="b">
        <v>1</v>
      </c>
      <c r="BC446" t="s">
        <v>374</v>
      </c>
    </row>
    <row r="447" spans="1:55" x14ac:dyDescent="0.2">
      <c r="A447" t="s">
        <v>39</v>
      </c>
      <c r="B447" t="s">
        <v>40</v>
      </c>
      <c r="C447">
        <v>20220101</v>
      </c>
      <c r="D447">
        <v>2022</v>
      </c>
      <c r="E447">
        <v>52</v>
      </c>
      <c r="F447" t="s">
        <v>346</v>
      </c>
      <c r="G447">
        <v>858</v>
      </c>
      <c r="H447" t="s">
        <v>302</v>
      </c>
      <c r="I447" t="s">
        <v>303</v>
      </c>
      <c r="J447" t="s">
        <v>44</v>
      </c>
      <c r="K447" t="s">
        <v>45</v>
      </c>
      <c r="L447">
        <v>0</v>
      </c>
      <c r="M447" t="s">
        <v>46</v>
      </c>
      <c r="N447" t="s">
        <v>47</v>
      </c>
      <c r="O447">
        <v>0</v>
      </c>
      <c r="P447" t="s">
        <v>46</v>
      </c>
      <c r="Q447" t="s">
        <v>47</v>
      </c>
      <c r="R447" t="s">
        <v>347</v>
      </c>
      <c r="S447" t="s">
        <v>49</v>
      </c>
      <c r="T447" t="b">
        <v>1</v>
      </c>
      <c r="U447" t="s">
        <v>50</v>
      </c>
      <c r="V447" t="s">
        <v>51</v>
      </c>
      <c r="W447">
        <v>4</v>
      </c>
      <c r="X447" t="b">
        <v>0</v>
      </c>
      <c r="Y447" t="s">
        <v>52</v>
      </c>
      <c r="Z447" t="s">
        <v>53</v>
      </c>
      <c r="AA447" t="s">
        <v>54</v>
      </c>
      <c r="AB447">
        <v>0</v>
      </c>
      <c r="AC447" t="s">
        <v>55</v>
      </c>
      <c r="AD447">
        <v>8</v>
      </c>
      <c r="AE447" t="s">
        <v>56</v>
      </c>
      <c r="AF447">
        <v>13.388</v>
      </c>
      <c r="AG447" t="b">
        <v>0</v>
      </c>
      <c r="AH447">
        <v>8</v>
      </c>
      <c r="AI447" t="s">
        <v>56</v>
      </c>
      <c r="AJ447">
        <v>13.388</v>
      </c>
      <c r="AK447" t="b">
        <v>0</v>
      </c>
      <c r="AL447">
        <v>13.388</v>
      </c>
      <c r="AM447" t="b">
        <v>0</v>
      </c>
      <c r="AN447">
        <v>0</v>
      </c>
      <c r="AO447" t="b">
        <v>0</v>
      </c>
      <c r="AQ447">
        <v>714215</v>
      </c>
      <c r="AR447">
        <v>714215</v>
      </c>
      <c r="AS447">
        <v>0</v>
      </c>
      <c r="AT447" t="b">
        <v>0</v>
      </c>
      <c r="AU447" t="b">
        <v>1</v>
      </c>
      <c r="AV447" t="b">
        <v>1</v>
      </c>
      <c r="AW447" t="b">
        <v>1</v>
      </c>
      <c r="BC447" t="s">
        <v>374</v>
      </c>
    </row>
    <row r="448" spans="1:55" x14ac:dyDescent="0.2">
      <c r="A448" t="s">
        <v>39</v>
      </c>
      <c r="B448" t="s">
        <v>40</v>
      </c>
      <c r="C448">
        <v>20220101</v>
      </c>
      <c r="D448">
        <v>2022</v>
      </c>
      <c r="E448">
        <v>52</v>
      </c>
      <c r="F448" t="s">
        <v>346</v>
      </c>
      <c r="G448">
        <v>894</v>
      </c>
      <c r="H448" t="s">
        <v>307</v>
      </c>
      <c r="I448" t="s">
        <v>308</v>
      </c>
      <c r="J448" t="s">
        <v>44</v>
      </c>
      <c r="K448" t="s">
        <v>45</v>
      </c>
      <c r="L448">
        <v>0</v>
      </c>
      <c r="M448" t="s">
        <v>46</v>
      </c>
      <c r="N448" t="s">
        <v>47</v>
      </c>
      <c r="O448">
        <v>0</v>
      </c>
      <c r="P448" t="s">
        <v>46</v>
      </c>
      <c r="Q448" t="s">
        <v>47</v>
      </c>
      <c r="R448" t="s">
        <v>347</v>
      </c>
      <c r="S448" t="s">
        <v>49</v>
      </c>
      <c r="T448" t="b">
        <v>1</v>
      </c>
      <c r="U448" t="s">
        <v>50</v>
      </c>
      <c r="V448" t="s">
        <v>51</v>
      </c>
      <c r="W448">
        <v>4</v>
      </c>
      <c r="X448" t="b">
        <v>0</v>
      </c>
      <c r="Y448" t="s">
        <v>52</v>
      </c>
      <c r="Z448" t="s">
        <v>53</v>
      </c>
      <c r="AA448" t="s">
        <v>54</v>
      </c>
      <c r="AB448">
        <v>0</v>
      </c>
      <c r="AC448" t="s">
        <v>55</v>
      </c>
      <c r="AD448">
        <v>8</v>
      </c>
      <c r="AE448" t="s">
        <v>56</v>
      </c>
      <c r="AF448">
        <v>975.12599999999998</v>
      </c>
      <c r="AG448" t="b">
        <v>1</v>
      </c>
      <c r="AH448">
        <v>-1</v>
      </c>
      <c r="AI448" t="s">
        <v>64</v>
      </c>
      <c r="AJ448">
        <v>0</v>
      </c>
      <c r="AK448" t="b">
        <v>0</v>
      </c>
      <c r="AL448">
        <v>975.29399999999998</v>
      </c>
      <c r="AM448" t="b">
        <v>1</v>
      </c>
      <c r="AN448">
        <v>0</v>
      </c>
      <c r="AO448" t="b">
        <v>0</v>
      </c>
      <c r="AQ448">
        <v>55200130.164999999</v>
      </c>
      <c r="AR448">
        <v>55200130.164999999</v>
      </c>
      <c r="AS448">
        <v>6</v>
      </c>
      <c r="AT448" t="b">
        <v>0</v>
      </c>
      <c r="AU448" t="b">
        <v>1</v>
      </c>
      <c r="AV448" t="b">
        <v>1</v>
      </c>
      <c r="AW448" t="b">
        <v>1</v>
      </c>
      <c r="BC448" t="s">
        <v>374</v>
      </c>
    </row>
    <row r="449" spans="1:55" x14ac:dyDescent="0.2">
      <c r="A449" t="s">
        <v>39</v>
      </c>
      <c r="B449" t="s">
        <v>40</v>
      </c>
      <c r="C449">
        <v>20230101</v>
      </c>
      <c r="D449">
        <v>2023</v>
      </c>
      <c r="E449">
        <v>52</v>
      </c>
      <c r="F449" t="s">
        <v>354</v>
      </c>
      <c r="G449">
        <v>20</v>
      </c>
      <c r="H449" t="s">
        <v>42</v>
      </c>
      <c r="I449" t="s">
        <v>43</v>
      </c>
      <c r="J449" t="s">
        <v>44</v>
      </c>
      <c r="K449" t="s">
        <v>45</v>
      </c>
      <c r="L449">
        <v>0</v>
      </c>
      <c r="M449" t="s">
        <v>46</v>
      </c>
      <c r="N449" t="s">
        <v>47</v>
      </c>
      <c r="O449">
        <v>0</v>
      </c>
      <c r="P449" t="s">
        <v>46</v>
      </c>
      <c r="Q449" t="s">
        <v>47</v>
      </c>
      <c r="R449" t="s">
        <v>347</v>
      </c>
      <c r="S449" t="s">
        <v>49</v>
      </c>
      <c r="T449" t="b">
        <v>1</v>
      </c>
      <c r="U449" t="s">
        <v>50</v>
      </c>
      <c r="V449" t="s">
        <v>51</v>
      </c>
      <c r="W449">
        <v>4</v>
      </c>
      <c r="X449" t="b">
        <v>0</v>
      </c>
      <c r="Y449" t="s">
        <v>52</v>
      </c>
      <c r="Z449" t="s">
        <v>53</v>
      </c>
      <c r="AA449" t="s">
        <v>54</v>
      </c>
      <c r="AB449">
        <v>0</v>
      </c>
      <c r="AC449" t="s">
        <v>55</v>
      </c>
      <c r="AD449">
        <v>8</v>
      </c>
      <c r="AE449" t="s">
        <v>56</v>
      </c>
      <c r="AF449">
        <v>67.72</v>
      </c>
      <c r="AG449" t="b">
        <v>0</v>
      </c>
      <c r="AH449">
        <v>8</v>
      </c>
      <c r="AI449" t="s">
        <v>56</v>
      </c>
      <c r="AJ449">
        <v>67.72</v>
      </c>
      <c r="AK449" t="b">
        <v>0</v>
      </c>
      <c r="AL449">
        <v>67.72</v>
      </c>
      <c r="AM449" t="b">
        <v>0</v>
      </c>
      <c r="AN449">
        <v>0</v>
      </c>
      <c r="AO449" t="b">
        <v>0</v>
      </c>
      <c r="AQ449">
        <v>3964336.872</v>
      </c>
      <c r="AR449">
        <v>3964336.872</v>
      </c>
      <c r="AS449">
        <v>0</v>
      </c>
      <c r="AT449" t="b">
        <v>0</v>
      </c>
      <c r="AU449" t="b">
        <v>1</v>
      </c>
      <c r="AV449" t="b">
        <v>1</v>
      </c>
      <c r="AW449" t="b">
        <v>1</v>
      </c>
      <c r="BC449" t="s">
        <v>374</v>
      </c>
    </row>
    <row r="450" spans="1:55" x14ac:dyDescent="0.2">
      <c r="A450" t="s">
        <v>39</v>
      </c>
      <c r="B450" t="s">
        <v>40</v>
      </c>
      <c r="C450">
        <v>20230101</v>
      </c>
      <c r="D450">
        <v>2023</v>
      </c>
      <c r="E450">
        <v>52</v>
      </c>
      <c r="F450" t="s">
        <v>354</v>
      </c>
      <c r="G450">
        <v>24</v>
      </c>
      <c r="H450" t="s">
        <v>334</v>
      </c>
      <c r="I450" t="s">
        <v>335</v>
      </c>
      <c r="J450" t="s">
        <v>44</v>
      </c>
      <c r="K450" t="s">
        <v>45</v>
      </c>
      <c r="L450">
        <v>0</v>
      </c>
      <c r="M450" t="s">
        <v>46</v>
      </c>
      <c r="N450" t="s">
        <v>47</v>
      </c>
      <c r="O450">
        <v>0</v>
      </c>
      <c r="P450" t="s">
        <v>46</v>
      </c>
      <c r="Q450" t="s">
        <v>47</v>
      </c>
      <c r="R450" t="s">
        <v>48</v>
      </c>
      <c r="S450" t="s">
        <v>49</v>
      </c>
      <c r="T450" t="b">
        <v>1</v>
      </c>
      <c r="U450" t="s">
        <v>50</v>
      </c>
      <c r="V450" t="s">
        <v>51</v>
      </c>
      <c r="W450">
        <v>4</v>
      </c>
      <c r="X450" t="b">
        <v>0</v>
      </c>
      <c r="Y450" t="s">
        <v>52</v>
      </c>
      <c r="Z450" t="s">
        <v>53</v>
      </c>
      <c r="AA450" t="s">
        <v>54</v>
      </c>
      <c r="AB450">
        <v>0</v>
      </c>
      <c r="AC450" t="s">
        <v>55</v>
      </c>
      <c r="AD450">
        <v>8</v>
      </c>
      <c r="AE450" t="s">
        <v>56</v>
      </c>
      <c r="AF450">
        <v>50.9</v>
      </c>
      <c r="AG450" t="b">
        <v>0</v>
      </c>
      <c r="AH450">
        <v>8</v>
      </c>
      <c r="AI450" t="s">
        <v>56</v>
      </c>
      <c r="AJ450">
        <v>50.9</v>
      </c>
      <c r="AK450" t="b">
        <v>0</v>
      </c>
      <c r="AL450">
        <v>50.9</v>
      </c>
      <c r="AM450" t="b">
        <v>0</v>
      </c>
      <c r="AN450">
        <v>0</v>
      </c>
      <c r="AO450" t="b">
        <v>0</v>
      </c>
      <c r="AQ450">
        <v>2377350.1910000001</v>
      </c>
      <c r="AR450">
        <v>2377350.1910000001</v>
      </c>
      <c r="AS450">
        <v>0</v>
      </c>
      <c r="AT450" t="b">
        <v>0</v>
      </c>
      <c r="AU450" t="b">
        <v>1</v>
      </c>
      <c r="AV450" t="b">
        <v>1</v>
      </c>
      <c r="AW450" t="b">
        <v>1</v>
      </c>
      <c r="BC450" t="s">
        <v>374</v>
      </c>
    </row>
    <row r="451" spans="1:55" x14ac:dyDescent="0.2">
      <c r="A451" t="s">
        <v>39</v>
      </c>
      <c r="B451" t="s">
        <v>40</v>
      </c>
      <c r="C451">
        <v>20230101</v>
      </c>
      <c r="D451">
        <v>2023</v>
      </c>
      <c r="E451">
        <v>52</v>
      </c>
      <c r="F451" t="s">
        <v>354</v>
      </c>
      <c r="G451">
        <v>28</v>
      </c>
      <c r="H451" t="s">
        <v>310</v>
      </c>
      <c r="I451" t="s">
        <v>311</v>
      </c>
      <c r="J451" t="s">
        <v>44</v>
      </c>
      <c r="K451" t="s">
        <v>45</v>
      </c>
      <c r="L451">
        <v>0</v>
      </c>
      <c r="M451" t="s">
        <v>46</v>
      </c>
      <c r="N451" t="s">
        <v>47</v>
      </c>
      <c r="O451">
        <v>0</v>
      </c>
      <c r="P451" t="s">
        <v>46</v>
      </c>
      <c r="Q451" t="s">
        <v>47</v>
      </c>
      <c r="R451" t="s">
        <v>136</v>
      </c>
      <c r="S451" t="s">
        <v>49</v>
      </c>
      <c r="T451" t="b">
        <v>1</v>
      </c>
      <c r="U451" t="s">
        <v>50</v>
      </c>
      <c r="V451" t="s">
        <v>51</v>
      </c>
      <c r="W451">
        <v>4</v>
      </c>
      <c r="X451" t="b">
        <v>0</v>
      </c>
      <c r="Y451" t="s">
        <v>52</v>
      </c>
      <c r="Z451" t="s">
        <v>53</v>
      </c>
      <c r="AA451" t="s">
        <v>54</v>
      </c>
      <c r="AB451">
        <v>0</v>
      </c>
      <c r="AC451" t="s">
        <v>55</v>
      </c>
      <c r="AD451">
        <v>8</v>
      </c>
      <c r="AE451" t="s">
        <v>56</v>
      </c>
      <c r="AF451">
        <v>0.76600000000000001</v>
      </c>
      <c r="AG451" t="b">
        <v>0</v>
      </c>
      <c r="AH451">
        <v>5</v>
      </c>
      <c r="AI451" t="s">
        <v>312</v>
      </c>
      <c r="AJ451">
        <v>1</v>
      </c>
      <c r="AK451" t="b">
        <v>0</v>
      </c>
      <c r="AL451">
        <v>0.76600000000000001</v>
      </c>
      <c r="AM451" t="b">
        <v>0</v>
      </c>
      <c r="AN451">
        <v>0</v>
      </c>
      <c r="AO451" t="b">
        <v>0</v>
      </c>
      <c r="AQ451">
        <v>49947.692999999999</v>
      </c>
      <c r="AR451">
        <v>49947.692999999999</v>
      </c>
      <c r="AS451">
        <v>0</v>
      </c>
      <c r="AT451" t="b">
        <v>0</v>
      </c>
      <c r="AU451" t="b">
        <v>1</v>
      </c>
      <c r="AV451" t="b">
        <v>1</v>
      </c>
      <c r="AW451" t="b">
        <v>1</v>
      </c>
      <c r="BC451" t="s">
        <v>374</v>
      </c>
    </row>
    <row r="452" spans="1:55" x14ac:dyDescent="0.2">
      <c r="A452" t="s">
        <v>39</v>
      </c>
      <c r="B452" t="s">
        <v>40</v>
      </c>
      <c r="C452">
        <v>20230101</v>
      </c>
      <c r="D452">
        <v>2023</v>
      </c>
      <c r="E452">
        <v>52</v>
      </c>
      <c r="F452" t="s">
        <v>354</v>
      </c>
      <c r="G452">
        <v>31</v>
      </c>
      <c r="H452" t="s">
        <v>57</v>
      </c>
      <c r="I452" t="s">
        <v>58</v>
      </c>
      <c r="J452" t="s">
        <v>44</v>
      </c>
      <c r="K452" t="s">
        <v>45</v>
      </c>
      <c r="L452">
        <v>0</v>
      </c>
      <c r="M452" t="s">
        <v>46</v>
      </c>
      <c r="N452" t="s">
        <v>47</v>
      </c>
      <c r="O452">
        <v>0</v>
      </c>
      <c r="P452" t="s">
        <v>46</v>
      </c>
      <c r="Q452" t="s">
        <v>47</v>
      </c>
      <c r="R452" t="s">
        <v>347</v>
      </c>
      <c r="S452" t="s">
        <v>49</v>
      </c>
      <c r="T452" t="b">
        <v>1</v>
      </c>
      <c r="U452" t="s">
        <v>50</v>
      </c>
      <c r="V452" t="s">
        <v>51</v>
      </c>
      <c r="W452">
        <v>4</v>
      </c>
      <c r="X452" t="b">
        <v>0</v>
      </c>
      <c r="Y452" t="s">
        <v>52</v>
      </c>
      <c r="Z452" t="s">
        <v>53</v>
      </c>
      <c r="AA452" t="s">
        <v>54</v>
      </c>
      <c r="AB452">
        <v>0</v>
      </c>
      <c r="AC452" t="s">
        <v>55</v>
      </c>
      <c r="AD452">
        <v>8</v>
      </c>
      <c r="AE452" t="s">
        <v>56</v>
      </c>
      <c r="AF452">
        <v>3719.75</v>
      </c>
      <c r="AG452" t="b">
        <v>0</v>
      </c>
      <c r="AH452">
        <v>15</v>
      </c>
      <c r="AI452" t="s">
        <v>59</v>
      </c>
      <c r="AJ452">
        <v>3719750</v>
      </c>
      <c r="AK452" t="b">
        <v>0</v>
      </c>
      <c r="AL452">
        <v>3719.75</v>
      </c>
      <c r="AM452" t="b">
        <v>0</v>
      </c>
      <c r="AN452">
        <v>0</v>
      </c>
      <c r="AO452" t="b">
        <v>0</v>
      </c>
      <c r="AQ452">
        <v>162755819.37</v>
      </c>
      <c r="AR452">
        <v>162755819.37</v>
      </c>
      <c r="AS452">
        <v>0</v>
      </c>
      <c r="AT452" t="b">
        <v>0</v>
      </c>
      <c r="AU452" t="b">
        <v>1</v>
      </c>
      <c r="AV452" t="b">
        <v>1</v>
      </c>
      <c r="AW452" t="b">
        <v>1</v>
      </c>
      <c r="BC452" t="s">
        <v>374</v>
      </c>
    </row>
    <row r="453" spans="1:55" x14ac:dyDescent="0.2">
      <c r="A453" t="s">
        <v>39</v>
      </c>
      <c r="B453" t="s">
        <v>40</v>
      </c>
      <c r="C453">
        <v>20230101</v>
      </c>
      <c r="D453">
        <v>2023</v>
      </c>
      <c r="E453">
        <v>52</v>
      </c>
      <c r="F453" t="s">
        <v>354</v>
      </c>
      <c r="G453">
        <v>40</v>
      </c>
      <c r="H453" t="s">
        <v>65</v>
      </c>
      <c r="I453" t="s">
        <v>66</v>
      </c>
      <c r="J453" t="s">
        <v>44</v>
      </c>
      <c r="K453" t="s">
        <v>45</v>
      </c>
      <c r="L453">
        <v>0</v>
      </c>
      <c r="M453" t="s">
        <v>46</v>
      </c>
      <c r="N453" t="s">
        <v>47</v>
      </c>
      <c r="O453">
        <v>0</v>
      </c>
      <c r="P453" t="s">
        <v>46</v>
      </c>
      <c r="Q453" t="s">
        <v>47</v>
      </c>
      <c r="R453" t="s">
        <v>347</v>
      </c>
      <c r="S453" t="s">
        <v>49</v>
      </c>
      <c r="T453" t="b">
        <v>1</v>
      </c>
      <c r="U453" t="s">
        <v>50</v>
      </c>
      <c r="V453" t="s">
        <v>51</v>
      </c>
      <c r="W453">
        <v>4</v>
      </c>
      <c r="X453" t="b">
        <v>0</v>
      </c>
      <c r="Y453" t="s">
        <v>52</v>
      </c>
      <c r="Z453" t="s">
        <v>53</v>
      </c>
      <c r="AA453" t="s">
        <v>54</v>
      </c>
      <c r="AB453">
        <v>0</v>
      </c>
      <c r="AC453" t="s">
        <v>55</v>
      </c>
      <c r="AD453">
        <v>8</v>
      </c>
      <c r="AE453" t="s">
        <v>56</v>
      </c>
      <c r="AF453">
        <v>37179.563000000002</v>
      </c>
      <c r="AG453" t="b">
        <v>1</v>
      </c>
      <c r="AH453">
        <v>-1</v>
      </c>
      <c r="AI453" t="s">
        <v>64</v>
      </c>
      <c r="AJ453">
        <v>0</v>
      </c>
      <c r="AK453" t="b">
        <v>0</v>
      </c>
      <c r="AL453">
        <v>37179.563000000002</v>
      </c>
      <c r="AM453" t="b">
        <v>1</v>
      </c>
      <c r="AN453">
        <v>0</v>
      </c>
      <c r="AO453" t="b">
        <v>0</v>
      </c>
      <c r="AQ453">
        <v>2316943445.6040001</v>
      </c>
      <c r="AR453">
        <v>2316943445.6040001</v>
      </c>
      <c r="AS453">
        <v>6</v>
      </c>
      <c r="AT453" t="b">
        <v>0</v>
      </c>
      <c r="AU453" t="b">
        <v>1</v>
      </c>
      <c r="AV453" t="b">
        <v>1</v>
      </c>
      <c r="AW453" t="b">
        <v>1</v>
      </c>
      <c r="BC453" t="s">
        <v>374</v>
      </c>
    </row>
    <row r="454" spans="1:55" x14ac:dyDescent="0.2">
      <c r="A454" t="s">
        <v>39</v>
      </c>
      <c r="B454" t="s">
        <v>40</v>
      </c>
      <c r="C454">
        <v>20230101</v>
      </c>
      <c r="D454">
        <v>2023</v>
      </c>
      <c r="E454">
        <v>52</v>
      </c>
      <c r="F454" t="s">
        <v>354</v>
      </c>
      <c r="G454">
        <v>44</v>
      </c>
      <c r="H454" t="s">
        <v>348</v>
      </c>
      <c r="I454" t="s">
        <v>349</v>
      </c>
      <c r="J454" t="s">
        <v>44</v>
      </c>
      <c r="K454" t="s">
        <v>45</v>
      </c>
      <c r="L454">
        <v>0</v>
      </c>
      <c r="M454" t="s">
        <v>46</v>
      </c>
      <c r="N454" t="s">
        <v>47</v>
      </c>
      <c r="O454">
        <v>0</v>
      </c>
      <c r="P454" t="s">
        <v>46</v>
      </c>
      <c r="Q454" t="s">
        <v>47</v>
      </c>
      <c r="R454" t="s">
        <v>347</v>
      </c>
      <c r="S454" t="s">
        <v>49</v>
      </c>
      <c r="T454" t="b">
        <v>1</v>
      </c>
      <c r="U454" t="s">
        <v>50</v>
      </c>
      <c r="V454" t="s">
        <v>51</v>
      </c>
      <c r="W454">
        <v>4</v>
      </c>
      <c r="X454" t="b">
        <v>0</v>
      </c>
      <c r="Y454" t="s">
        <v>52</v>
      </c>
      <c r="Z454" t="s">
        <v>53</v>
      </c>
      <c r="AA454" t="s">
        <v>54</v>
      </c>
      <c r="AB454">
        <v>0</v>
      </c>
      <c r="AC454" t="s">
        <v>55</v>
      </c>
      <c r="AD454">
        <v>8</v>
      </c>
      <c r="AE454" t="s">
        <v>56</v>
      </c>
      <c r="AF454">
        <v>0.90700000000000003</v>
      </c>
      <c r="AG454" t="b">
        <v>0</v>
      </c>
      <c r="AH454">
        <v>8</v>
      </c>
      <c r="AI454" t="s">
        <v>56</v>
      </c>
      <c r="AJ454">
        <v>0.90700000000000003</v>
      </c>
      <c r="AK454" t="b">
        <v>0</v>
      </c>
      <c r="AL454">
        <v>0.90700000000000003</v>
      </c>
      <c r="AM454" t="b">
        <v>0</v>
      </c>
      <c r="AN454">
        <v>0</v>
      </c>
      <c r="AO454" t="b">
        <v>0</v>
      </c>
      <c r="AQ454">
        <v>3533</v>
      </c>
      <c r="AR454">
        <v>3533</v>
      </c>
      <c r="AS454">
        <v>0</v>
      </c>
      <c r="AT454" t="b">
        <v>0</v>
      </c>
      <c r="AU454" t="b">
        <v>1</v>
      </c>
      <c r="AV454" t="b">
        <v>1</v>
      </c>
      <c r="AW454" t="b">
        <v>1</v>
      </c>
      <c r="BC454" t="s">
        <v>374</v>
      </c>
    </row>
    <row r="455" spans="1:55" x14ac:dyDescent="0.2">
      <c r="A455" t="s">
        <v>39</v>
      </c>
      <c r="B455" t="s">
        <v>40</v>
      </c>
      <c r="C455">
        <v>20230101</v>
      </c>
      <c r="D455">
        <v>2023</v>
      </c>
      <c r="E455">
        <v>52</v>
      </c>
      <c r="F455" t="s">
        <v>354</v>
      </c>
      <c r="G455">
        <v>48</v>
      </c>
      <c r="H455" t="s">
        <v>67</v>
      </c>
      <c r="I455" t="s">
        <v>68</v>
      </c>
      <c r="J455" t="s">
        <v>44</v>
      </c>
      <c r="K455" t="s">
        <v>45</v>
      </c>
      <c r="L455">
        <v>0</v>
      </c>
      <c r="M455" t="s">
        <v>46</v>
      </c>
      <c r="N455" t="s">
        <v>47</v>
      </c>
      <c r="O455">
        <v>0</v>
      </c>
      <c r="P455" t="s">
        <v>46</v>
      </c>
      <c r="Q455" t="s">
        <v>47</v>
      </c>
      <c r="R455" t="s">
        <v>347</v>
      </c>
      <c r="S455" t="s">
        <v>49</v>
      </c>
      <c r="T455" t="b">
        <v>1</v>
      </c>
      <c r="U455" t="s">
        <v>50</v>
      </c>
      <c r="V455" t="s">
        <v>51</v>
      </c>
      <c r="W455">
        <v>4</v>
      </c>
      <c r="X455" t="b">
        <v>0</v>
      </c>
      <c r="Y455" t="s">
        <v>52</v>
      </c>
      <c r="Z455" t="s">
        <v>53</v>
      </c>
      <c r="AA455" t="s">
        <v>54</v>
      </c>
      <c r="AB455">
        <v>0</v>
      </c>
      <c r="AC455" t="s">
        <v>55</v>
      </c>
      <c r="AD455">
        <v>8</v>
      </c>
      <c r="AE455" t="s">
        <v>56</v>
      </c>
      <c r="AF455">
        <v>1595.5350000000001</v>
      </c>
      <c r="AG455" t="b">
        <v>1</v>
      </c>
      <c r="AH455">
        <v>-1</v>
      </c>
      <c r="AI455" t="s">
        <v>64</v>
      </c>
      <c r="AJ455">
        <v>0</v>
      </c>
      <c r="AK455" t="b">
        <v>0</v>
      </c>
      <c r="AL455">
        <v>1595.5350000000001</v>
      </c>
      <c r="AM455" t="b">
        <v>1</v>
      </c>
      <c r="AN455">
        <v>0</v>
      </c>
      <c r="AO455" t="b">
        <v>0</v>
      </c>
      <c r="AQ455">
        <v>97804880.509000003</v>
      </c>
      <c r="AR455">
        <v>97804880.509000003</v>
      </c>
      <c r="AS455">
        <v>6</v>
      </c>
      <c r="AT455" t="b">
        <v>0</v>
      </c>
      <c r="AU455" t="b">
        <v>1</v>
      </c>
      <c r="AV455" t="b">
        <v>1</v>
      </c>
      <c r="AW455" t="b">
        <v>1</v>
      </c>
      <c r="BC455" t="s">
        <v>374</v>
      </c>
    </row>
    <row r="456" spans="1:55" x14ac:dyDescent="0.2">
      <c r="A456" t="s">
        <v>39</v>
      </c>
      <c r="B456" t="s">
        <v>40</v>
      </c>
      <c r="C456">
        <v>20230101</v>
      </c>
      <c r="D456">
        <v>2023</v>
      </c>
      <c r="E456">
        <v>52</v>
      </c>
      <c r="F456" t="s">
        <v>354</v>
      </c>
      <c r="G456">
        <v>51</v>
      </c>
      <c r="H456" t="s">
        <v>69</v>
      </c>
      <c r="I456" t="s">
        <v>70</v>
      </c>
      <c r="J456" t="s">
        <v>44</v>
      </c>
      <c r="K456" t="s">
        <v>45</v>
      </c>
      <c r="L456">
        <v>0</v>
      </c>
      <c r="M456" t="s">
        <v>46</v>
      </c>
      <c r="N456" t="s">
        <v>47</v>
      </c>
      <c r="O456">
        <v>0</v>
      </c>
      <c r="P456" t="s">
        <v>46</v>
      </c>
      <c r="Q456" t="s">
        <v>47</v>
      </c>
      <c r="R456" t="s">
        <v>347</v>
      </c>
      <c r="S456" t="s">
        <v>49</v>
      </c>
      <c r="T456" t="b">
        <v>1</v>
      </c>
      <c r="U456" t="s">
        <v>50</v>
      </c>
      <c r="V456" t="s">
        <v>51</v>
      </c>
      <c r="W456">
        <v>4</v>
      </c>
      <c r="X456" t="b">
        <v>0</v>
      </c>
      <c r="Y456" t="s">
        <v>52</v>
      </c>
      <c r="Z456" t="s">
        <v>53</v>
      </c>
      <c r="AA456" t="s">
        <v>54</v>
      </c>
      <c r="AB456">
        <v>0</v>
      </c>
      <c r="AC456" t="s">
        <v>55</v>
      </c>
      <c r="AD456">
        <v>8</v>
      </c>
      <c r="AE456" t="s">
        <v>56</v>
      </c>
      <c r="AF456">
        <v>29109.830999999998</v>
      </c>
      <c r="AG456" t="b">
        <v>0</v>
      </c>
      <c r="AH456">
        <v>8</v>
      </c>
      <c r="AI456" t="s">
        <v>56</v>
      </c>
      <c r="AJ456">
        <v>29109.830999999998</v>
      </c>
      <c r="AK456" t="b">
        <v>0</v>
      </c>
      <c r="AL456">
        <v>29095.931</v>
      </c>
      <c r="AM456" t="b">
        <v>0</v>
      </c>
      <c r="AN456">
        <v>0</v>
      </c>
      <c r="AO456" t="b">
        <v>0</v>
      </c>
      <c r="AQ456">
        <v>1810603433.8099999</v>
      </c>
      <c r="AR456">
        <v>1810603433.8099999</v>
      </c>
      <c r="AS456">
        <v>0</v>
      </c>
      <c r="AT456" t="b">
        <v>0</v>
      </c>
      <c r="AU456" t="b">
        <v>1</v>
      </c>
      <c r="AV456" t="b">
        <v>1</v>
      </c>
      <c r="AW456" t="b">
        <v>1</v>
      </c>
      <c r="BC456" t="s">
        <v>374</v>
      </c>
    </row>
    <row r="457" spans="1:55" x14ac:dyDescent="0.2">
      <c r="A457" t="s">
        <v>39</v>
      </c>
      <c r="B457" t="s">
        <v>40</v>
      </c>
      <c r="C457">
        <v>20230101</v>
      </c>
      <c r="D457">
        <v>2023</v>
      </c>
      <c r="E457">
        <v>52</v>
      </c>
      <c r="F457" t="s">
        <v>354</v>
      </c>
      <c r="G457">
        <v>52</v>
      </c>
      <c r="H457" t="s">
        <v>71</v>
      </c>
      <c r="I457" t="s">
        <v>72</v>
      </c>
      <c r="J457" t="s">
        <v>44</v>
      </c>
      <c r="K457" t="s">
        <v>45</v>
      </c>
      <c r="L457">
        <v>0</v>
      </c>
      <c r="M457" t="s">
        <v>46</v>
      </c>
      <c r="N457" t="s">
        <v>47</v>
      </c>
      <c r="O457">
        <v>0</v>
      </c>
      <c r="P457" t="s">
        <v>46</v>
      </c>
      <c r="Q457" t="s">
        <v>47</v>
      </c>
      <c r="R457" t="s">
        <v>48</v>
      </c>
      <c r="S457" t="s">
        <v>49</v>
      </c>
      <c r="T457" t="b">
        <v>1</v>
      </c>
      <c r="U457" t="s">
        <v>50</v>
      </c>
      <c r="V457" t="s">
        <v>51</v>
      </c>
      <c r="W457">
        <v>4</v>
      </c>
      <c r="X457" t="b">
        <v>0</v>
      </c>
      <c r="Y457" t="s">
        <v>52</v>
      </c>
      <c r="Z457" t="s">
        <v>53</v>
      </c>
      <c r="AA457" t="s">
        <v>54</v>
      </c>
      <c r="AB457">
        <v>0</v>
      </c>
      <c r="AC457" t="s">
        <v>55</v>
      </c>
      <c r="AD457">
        <v>8</v>
      </c>
      <c r="AE457" t="s">
        <v>56</v>
      </c>
      <c r="AF457">
        <v>20</v>
      </c>
      <c r="AG457" t="b">
        <v>0</v>
      </c>
      <c r="AH457">
        <v>8</v>
      </c>
      <c r="AI457" t="s">
        <v>56</v>
      </c>
      <c r="AJ457">
        <v>20</v>
      </c>
      <c r="AK457" t="b">
        <v>0</v>
      </c>
      <c r="AL457">
        <v>20</v>
      </c>
      <c r="AM457" t="b">
        <v>0</v>
      </c>
      <c r="AN457">
        <v>0</v>
      </c>
      <c r="AO457" t="b">
        <v>0</v>
      </c>
      <c r="AQ457">
        <v>616306.5</v>
      </c>
      <c r="AR457">
        <v>616306.5</v>
      </c>
      <c r="AS457">
        <v>0</v>
      </c>
      <c r="AT457" t="b">
        <v>0</v>
      </c>
      <c r="AU457" t="b">
        <v>1</v>
      </c>
      <c r="AV457" t="b">
        <v>1</v>
      </c>
      <c r="AW457" t="b">
        <v>1</v>
      </c>
      <c r="BC457" t="s">
        <v>374</v>
      </c>
    </row>
    <row r="458" spans="1:55" x14ac:dyDescent="0.2">
      <c r="A458" t="s">
        <v>39</v>
      </c>
      <c r="B458" t="s">
        <v>40</v>
      </c>
      <c r="C458">
        <v>20230101</v>
      </c>
      <c r="D458">
        <v>2023</v>
      </c>
      <c r="E458">
        <v>52</v>
      </c>
      <c r="F458" t="s">
        <v>354</v>
      </c>
      <c r="G458">
        <v>56</v>
      </c>
      <c r="H458" t="s">
        <v>73</v>
      </c>
      <c r="I458" t="s">
        <v>74</v>
      </c>
      <c r="J458" t="s">
        <v>44</v>
      </c>
      <c r="K458" t="s">
        <v>45</v>
      </c>
      <c r="L458">
        <v>0</v>
      </c>
      <c r="M458" t="s">
        <v>46</v>
      </c>
      <c r="N458" t="s">
        <v>47</v>
      </c>
      <c r="O458">
        <v>0</v>
      </c>
      <c r="P458" t="s">
        <v>46</v>
      </c>
      <c r="Q458" t="s">
        <v>47</v>
      </c>
      <c r="R458" t="s">
        <v>347</v>
      </c>
      <c r="S458" t="s">
        <v>49</v>
      </c>
      <c r="T458" t="b">
        <v>1</v>
      </c>
      <c r="U458" t="s">
        <v>50</v>
      </c>
      <c r="V458" t="s">
        <v>51</v>
      </c>
      <c r="W458">
        <v>4</v>
      </c>
      <c r="X458" t="b">
        <v>0</v>
      </c>
      <c r="Y458" t="s">
        <v>52</v>
      </c>
      <c r="Z458" t="s">
        <v>53</v>
      </c>
      <c r="AA458" t="s">
        <v>54</v>
      </c>
      <c r="AB458">
        <v>0</v>
      </c>
      <c r="AC458" t="s">
        <v>55</v>
      </c>
      <c r="AD458">
        <v>-1</v>
      </c>
      <c r="AE458" t="s">
        <v>64</v>
      </c>
      <c r="AF458">
        <v>0</v>
      </c>
      <c r="AG458" t="b">
        <v>0</v>
      </c>
      <c r="AH458">
        <v>-1</v>
      </c>
      <c r="AI458" t="s">
        <v>64</v>
      </c>
      <c r="AJ458">
        <v>0</v>
      </c>
      <c r="AK458" t="b">
        <v>0</v>
      </c>
      <c r="AM458" t="b">
        <v>0</v>
      </c>
      <c r="AN458">
        <v>0</v>
      </c>
      <c r="AO458" t="b">
        <v>0</v>
      </c>
      <c r="AQ458">
        <v>994070970.84500003</v>
      </c>
      <c r="AR458">
        <v>994070970.84500003</v>
      </c>
      <c r="AS458">
        <v>0</v>
      </c>
      <c r="AT458" t="b">
        <v>0</v>
      </c>
      <c r="AU458" t="b">
        <v>1</v>
      </c>
      <c r="AV458" t="b">
        <v>1</v>
      </c>
      <c r="AW458" t="b">
        <v>1</v>
      </c>
      <c r="BC458" t="s">
        <v>374</v>
      </c>
    </row>
    <row r="459" spans="1:55" x14ac:dyDescent="0.2">
      <c r="A459" t="s">
        <v>39</v>
      </c>
      <c r="B459" t="s">
        <v>40</v>
      </c>
      <c r="C459">
        <v>20230101</v>
      </c>
      <c r="D459">
        <v>2023</v>
      </c>
      <c r="E459">
        <v>52</v>
      </c>
      <c r="F459" t="s">
        <v>354</v>
      </c>
      <c r="G459">
        <v>68</v>
      </c>
      <c r="H459" t="s">
        <v>75</v>
      </c>
      <c r="I459" t="s">
        <v>76</v>
      </c>
      <c r="J459" t="s">
        <v>44</v>
      </c>
      <c r="K459" t="s">
        <v>45</v>
      </c>
      <c r="L459">
        <v>0</v>
      </c>
      <c r="M459" t="s">
        <v>46</v>
      </c>
      <c r="N459" t="s">
        <v>47</v>
      </c>
      <c r="O459">
        <v>0</v>
      </c>
      <c r="P459" t="s">
        <v>46</v>
      </c>
      <c r="Q459" t="s">
        <v>47</v>
      </c>
      <c r="R459" t="s">
        <v>347</v>
      </c>
      <c r="S459" t="s">
        <v>49</v>
      </c>
      <c r="T459" t="b">
        <v>1</v>
      </c>
      <c r="U459" t="s">
        <v>50</v>
      </c>
      <c r="V459" t="s">
        <v>51</v>
      </c>
      <c r="W459">
        <v>4</v>
      </c>
      <c r="X459" t="b">
        <v>0</v>
      </c>
      <c r="Y459" t="s">
        <v>52</v>
      </c>
      <c r="Z459" t="s">
        <v>53</v>
      </c>
      <c r="AA459" t="s">
        <v>54</v>
      </c>
      <c r="AB459">
        <v>0</v>
      </c>
      <c r="AC459" t="s">
        <v>55</v>
      </c>
      <c r="AD459">
        <v>8</v>
      </c>
      <c r="AE459" t="s">
        <v>56</v>
      </c>
      <c r="AF459">
        <v>44626.63</v>
      </c>
      <c r="AG459" t="b">
        <v>0</v>
      </c>
      <c r="AH459">
        <v>8</v>
      </c>
      <c r="AI459" t="s">
        <v>56</v>
      </c>
      <c r="AJ459">
        <v>44626.63</v>
      </c>
      <c r="AK459" t="b">
        <v>0</v>
      </c>
      <c r="AL459">
        <v>44626.63</v>
      </c>
      <c r="AM459" t="b">
        <v>0</v>
      </c>
      <c r="AN459">
        <v>51518.720000000001</v>
      </c>
      <c r="AO459" t="b">
        <v>0</v>
      </c>
      <c r="AQ459">
        <v>2485820162.7600002</v>
      </c>
      <c r="AR459">
        <v>2485820162.7600002</v>
      </c>
      <c r="AS459">
        <v>0</v>
      </c>
      <c r="AT459" t="b">
        <v>0</v>
      </c>
      <c r="AU459" t="b">
        <v>1</v>
      </c>
      <c r="AV459" t="b">
        <v>1</v>
      </c>
      <c r="AW459" t="b">
        <v>1</v>
      </c>
      <c r="BC459" t="s">
        <v>374</v>
      </c>
    </row>
    <row r="460" spans="1:55" x14ac:dyDescent="0.2">
      <c r="A460" t="s">
        <v>39</v>
      </c>
      <c r="B460" t="s">
        <v>40</v>
      </c>
      <c r="C460">
        <v>20230101</v>
      </c>
      <c r="D460">
        <v>2023</v>
      </c>
      <c r="E460">
        <v>52</v>
      </c>
      <c r="F460" t="s">
        <v>354</v>
      </c>
      <c r="G460">
        <v>70</v>
      </c>
      <c r="H460" t="s">
        <v>77</v>
      </c>
      <c r="I460" t="s">
        <v>78</v>
      </c>
      <c r="J460" t="s">
        <v>44</v>
      </c>
      <c r="K460" t="s">
        <v>45</v>
      </c>
      <c r="L460">
        <v>0</v>
      </c>
      <c r="M460" t="s">
        <v>46</v>
      </c>
      <c r="N460" t="s">
        <v>47</v>
      </c>
      <c r="O460">
        <v>0</v>
      </c>
      <c r="P460" t="s">
        <v>46</v>
      </c>
      <c r="Q460" t="s">
        <v>47</v>
      </c>
      <c r="R460" t="s">
        <v>347</v>
      </c>
      <c r="S460" t="s">
        <v>49</v>
      </c>
      <c r="T460" t="b">
        <v>1</v>
      </c>
      <c r="U460" t="s">
        <v>50</v>
      </c>
      <c r="V460" t="s">
        <v>51</v>
      </c>
      <c r="W460">
        <v>4</v>
      </c>
      <c r="X460" t="b">
        <v>0</v>
      </c>
      <c r="Y460" t="s">
        <v>52</v>
      </c>
      <c r="Z460" t="s">
        <v>53</v>
      </c>
      <c r="AA460" t="s">
        <v>54</v>
      </c>
      <c r="AB460">
        <v>0</v>
      </c>
      <c r="AC460" t="s">
        <v>55</v>
      </c>
      <c r="AD460">
        <v>8</v>
      </c>
      <c r="AE460" t="s">
        <v>56</v>
      </c>
      <c r="AF460">
        <v>19.760000000000002</v>
      </c>
      <c r="AG460" t="b">
        <v>0</v>
      </c>
      <c r="AH460">
        <v>8</v>
      </c>
      <c r="AI460" t="s">
        <v>56</v>
      </c>
      <c r="AJ460">
        <v>19.760000000000002</v>
      </c>
      <c r="AK460" t="b">
        <v>0</v>
      </c>
      <c r="AL460">
        <v>19.760000000000002</v>
      </c>
      <c r="AM460" t="b">
        <v>0</v>
      </c>
      <c r="AN460">
        <v>0</v>
      </c>
      <c r="AO460" t="b">
        <v>0</v>
      </c>
      <c r="AQ460">
        <v>759764.64300000004</v>
      </c>
      <c r="AR460">
        <v>759764.64300000004</v>
      </c>
      <c r="AS460">
        <v>0</v>
      </c>
      <c r="AT460" t="b">
        <v>0</v>
      </c>
      <c r="AU460" t="b">
        <v>1</v>
      </c>
      <c r="AV460" t="b">
        <v>1</v>
      </c>
      <c r="AW460" t="b">
        <v>1</v>
      </c>
      <c r="BC460" t="s">
        <v>374</v>
      </c>
    </row>
    <row r="461" spans="1:55" x14ac:dyDescent="0.2">
      <c r="A461" t="s">
        <v>39</v>
      </c>
      <c r="B461" t="s">
        <v>40</v>
      </c>
      <c r="C461">
        <v>20230101</v>
      </c>
      <c r="D461">
        <v>2023</v>
      </c>
      <c r="E461">
        <v>52</v>
      </c>
      <c r="F461" t="s">
        <v>354</v>
      </c>
      <c r="G461">
        <v>72</v>
      </c>
      <c r="H461" t="s">
        <v>79</v>
      </c>
      <c r="I461" t="s">
        <v>80</v>
      </c>
      <c r="J461" t="s">
        <v>44</v>
      </c>
      <c r="K461" t="s">
        <v>45</v>
      </c>
      <c r="L461">
        <v>0</v>
      </c>
      <c r="M461" t="s">
        <v>46</v>
      </c>
      <c r="N461" t="s">
        <v>47</v>
      </c>
      <c r="O461">
        <v>0</v>
      </c>
      <c r="P461" t="s">
        <v>46</v>
      </c>
      <c r="Q461" t="s">
        <v>47</v>
      </c>
      <c r="R461" t="s">
        <v>347</v>
      </c>
      <c r="S461" t="s">
        <v>49</v>
      </c>
      <c r="T461" t="b">
        <v>1</v>
      </c>
      <c r="U461" t="s">
        <v>50</v>
      </c>
      <c r="V461" t="s">
        <v>51</v>
      </c>
      <c r="W461">
        <v>4</v>
      </c>
      <c r="X461" t="b">
        <v>0</v>
      </c>
      <c r="Y461" t="s">
        <v>52</v>
      </c>
      <c r="Z461" t="s">
        <v>53</v>
      </c>
      <c r="AA461" t="s">
        <v>54</v>
      </c>
      <c r="AB461">
        <v>0</v>
      </c>
      <c r="AC461" t="s">
        <v>55</v>
      </c>
      <c r="AD461">
        <v>8</v>
      </c>
      <c r="AE461" t="s">
        <v>56</v>
      </c>
      <c r="AF461">
        <v>417.28199999999998</v>
      </c>
      <c r="AG461" t="b">
        <v>0</v>
      </c>
      <c r="AH461">
        <v>8</v>
      </c>
      <c r="AI461" t="s">
        <v>56</v>
      </c>
      <c r="AJ461">
        <v>417.28199999999998</v>
      </c>
      <c r="AK461" t="b">
        <v>0</v>
      </c>
      <c r="AL461">
        <v>345.21600000000001</v>
      </c>
      <c r="AM461" t="b">
        <v>0</v>
      </c>
      <c r="AN461">
        <v>0</v>
      </c>
      <c r="AO461" t="b">
        <v>0</v>
      </c>
      <c r="AQ461">
        <v>20747235.572999999</v>
      </c>
      <c r="AR461">
        <v>20747235.572999999</v>
      </c>
      <c r="AS461">
        <v>0</v>
      </c>
      <c r="AT461" t="b">
        <v>0</v>
      </c>
      <c r="AU461" t="b">
        <v>1</v>
      </c>
      <c r="AV461" t="b">
        <v>1</v>
      </c>
      <c r="AW461" t="b">
        <v>1</v>
      </c>
      <c r="BC461" t="s">
        <v>374</v>
      </c>
    </row>
    <row r="462" spans="1:55" x14ac:dyDescent="0.2">
      <c r="A462" t="s">
        <v>39</v>
      </c>
      <c r="B462" t="s">
        <v>40</v>
      </c>
      <c r="C462">
        <v>20230101</v>
      </c>
      <c r="D462">
        <v>2023</v>
      </c>
      <c r="E462">
        <v>52</v>
      </c>
      <c r="F462" t="s">
        <v>354</v>
      </c>
      <c r="G462">
        <v>76</v>
      </c>
      <c r="H462" t="s">
        <v>81</v>
      </c>
      <c r="I462" t="s">
        <v>82</v>
      </c>
      <c r="J462" t="s">
        <v>44</v>
      </c>
      <c r="K462" t="s">
        <v>45</v>
      </c>
      <c r="L462">
        <v>0</v>
      </c>
      <c r="M462" t="s">
        <v>46</v>
      </c>
      <c r="N462" t="s">
        <v>47</v>
      </c>
      <c r="O462">
        <v>0</v>
      </c>
      <c r="P462" t="s">
        <v>46</v>
      </c>
      <c r="Q462" t="s">
        <v>47</v>
      </c>
      <c r="R462" t="s">
        <v>347</v>
      </c>
      <c r="S462" t="s">
        <v>49</v>
      </c>
      <c r="T462" t="b">
        <v>1</v>
      </c>
      <c r="U462" t="s">
        <v>50</v>
      </c>
      <c r="V462" t="s">
        <v>51</v>
      </c>
      <c r="W462">
        <v>4</v>
      </c>
      <c r="X462" t="b">
        <v>0</v>
      </c>
      <c r="Y462" t="s">
        <v>52</v>
      </c>
      <c r="Z462" t="s">
        <v>53</v>
      </c>
      <c r="AA462" t="s">
        <v>54</v>
      </c>
      <c r="AB462">
        <v>0</v>
      </c>
      <c r="AC462" t="s">
        <v>55</v>
      </c>
      <c r="AD462">
        <v>-1</v>
      </c>
      <c r="AE462" t="s">
        <v>64</v>
      </c>
      <c r="AF462">
        <v>0</v>
      </c>
      <c r="AG462" t="b">
        <v>0</v>
      </c>
      <c r="AH462">
        <v>-1</v>
      </c>
      <c r="AI462" t="s">
        <v>64</v>
      </c>
      <c r="AJ462">
        <v>0</v>
      </c>
      <c r="AK462" t="b">
        <v>0</v>
      </c>
      <c r="AM462" t="b">
        <v>0</v>
      </c>
      <c r="AN462">
        <v>0</v>
      </c>
      <c r="AO462" t="b">
        <v>0</v>
      </c>
      <c r="AQ462">
        <v>3486260220</v>
      </c>
      <c r="AR462">
        <v>3486260220</v>
      </c>
      <c r="AS462">
        <v>0</v>
      </c>
      <c r="AT462" t="b">
        <v>0</v>
      </c>
      <c r="AU462" t="b">
        <v>1</v>
      </c>
      <c r="AV462" t="b">
        <v>1</v>
      </c>
      <c r="AW462" t="b">
        <v>1</v>
      </c>
      <c r="BC462" t="s">
        <v>374</v>
      </c>
    </row>
    <row r="463" spans="1:55" x14ac:dyDescent="0.2">
      <c r="A463" t="s">
        <v>39</v>
      </c>
      <c r="B463" t="s">
        <v>40</v>
      </c>
      <c r="C463">
        <v>20230101</v>
      </c>
      <c r="D463">
        <v>2023</v>
      </c>
      <c r="E463">
        <v>52</v>
      </c>
      <c r="F463" t="s">
        <v>354</v>
      </c>
      <c r="G463">
        <v>84</v>
      </c>
      <c r="H463" t="s">
        <v>355</v>
      </c>
      <c r="I463" t="s">
        <v>356</v>
      </c>
      <c r="J463" t="s">
        <v>44</v>
      </c>
      <c r="K463" t="s">
        <v>45</v>
      </c>
      <c r="L463">
        <v>0</v>
      </c>
      <c r="M463" t="s">
        <v>46</v>
      </c>
      <c r="N463" t="s">
        <v>47</v>
      </c>
      <c r="O463">
        <v>0</v>
      </c>
      <c r="P463" t="s">
        <v>46</v>
      </c>
      <c r="Q463" t="s">
        <v>47</v>
      </c>
      <c r="R463" t="s">
        <v>347</v>
      </c>
      <c r="S463" t="s">
        <v>49</v>
      </c>
      <c r="T463" t="b">
        <v>1</v>
      </c>
      <c r="U463" t="s">
        <v>50</v>
      </c>
      <c r="V463" t="s">
        <v>51</v>
      </c>
      <c r="W463">
        <v>4</v>
      </c>
      <c r="X463" t="b">
        <v>0</v>
      </c>
      <c r="Y463" t="s">
        <v>52</v>
      </c>
      <c r="Z463" t="s">
        <v>53</v>
      </c>
      <c r="AA463" t="s">
        <v>54</v>
      </c>
      <c r="AB463">
        <v>0</v>
      </c>
      <c r="AC463" t="s">
        <v>55</v>
      </c>
      <c r="AD463">
        <v>8</v>
      </c>
      <c r="AE463" t="s">
        <v>56</v>
      </c>
      <c r="AF463">
        <v>0.5</v>
      </c>
      <c r="AG463" t="b">
        <v>0</v>
      </c>
      <c r="AH463">
        <v>8</v>
      </c>
      <c r="AI463" t="s">
        <v>56</v>
      </c>
      <c r="AJ463">
        <v>0.5</v>
      </c>
      <c r="AK463" t="b">
        <v>0</v>
      </c>
      <c r="AL463">
        <v>0.5</v>
      </c>
      <c r="AM463" t="b">
        <v>0</v>
      </c>
      <c r="AN463">
        <v>0</v>
      </c>
      <c r="AO463" t="b">
        <v>0</v>
      </c>
      <c r="AQ463">
        <v>2450</v>
      </c>
      <c r="AR463">
        <v>2450</v>
      </c>
      <c r="AS463">
        <v>0</v>
      </c>
      <c r="AT463" t="b">
        <v>0</v>
      </c>
      <c r="AU463" t="b">
        <v>1</v>
      </c>
      <c r="AV463" t="b">
        <v>1</v>
      </c>
      <c r="AW463" t="b">
        <v>1</v>
      </c>
      <c r="BC463" t="s">
        <v>374</v>
      </c>
    </row>
    <row r="464" spans="1:55" x14ac:dyDescent="0.2">
      <c r="A464" t="s">
        <v>39</v>
      </c>
      <c r="B464" t="s">
        <v>40</v>
      </c>
      <c r="C464">
        <v>20230101</v>
      </c>
      <c r="D464">
        <v>2023</v>
      </c>
      <c r="E464">
        <v>52</v>
      </c>
      <c r="F464" t="s">
        <v>354</v>
      </c>
      <c r="G464">
        <v>96</v>
      </c>
      <c r="H464" t="s">
        <v>313</v>
      </c>
      <c r="I464" t="s">
        <v>314</v>
      </c>
      <c r="J464" t="s">
        <v>44</v>
      </c>
      <c r="K464" t="s">
        <v>45</v>
      </c>
      <c r="L464">
        <v>0</v>
      </c>
      <c r="M464" t="s">
        <v>46</v>
      </c>
      <c r="N464" t="s">
        <v>47</v>
      </c>
      <c r="O464">
        <v>0</v>
      </c>
      <c r="P464" t="s">
        <v>46</v>
      </c>
      <c r="Q464" t="s">
        <v>47</v>
      </c>
      <c r="R464" t="s">
        <v>347</v>
      </c>
      <c r="S464" t="s">
        <v>49</v>
      </c>
      <c r="T464" t="b">
        <v>1</v>
      </c>
      <c r="U464" t="s">
        <v>50</v>
      </c>
      <c r="V464" t="s">
        <v>51</v>
      </c>
      <c r="W464">
        <v>4</v>
      </c>
      <c r="X464" t="b">
        <v>0</v>
      </c>
      <c r="Y464" t="s">
        <v>52</v>
      </c>
      <c r="Z464" t="s">
        <v>53</v>
      </c>
      <c r="AA464" t="s">
        <v>54</v>
      </c>
      <c r="AB464">
        <v>0</v>
      </c>
      <c r="AC464" t="s">
        <v>55</v>
      </c>
      <c r="AD464">
        <v>8</v>
      </c>
      <c r="AE464" t="s">
        <v>56</v>
      </c>
      <c r="AF464">
        <v>45</v>
      </c>
      <c r="AG464" t="b">
        <v>0</v>
      </c>
      <c r="AH464">
        <v>8</v>
      </c>
      <c r="AI464" t="s">
        <v>56</v>
      </c>
      <c r="AJ464">
        <v>45</v>
      </c>
      <c r="AK464" t="b">
        <v>0</v>
      </c>
      <c r="AL464">
        <v>45</v>
      </c>
      <c r="AM464" t="b">
        <v>0</v>
      </c>
      <c r="AN464">
        <v>0</v>
      </c>
      <c r="AO464" t="b">
        <v>0</v>
      </c>
      <c r="AQ464">
        <v>1857058.4080000001</v>
      </c>
      <c r="AR464">
        <v>1857058.4080000001</v>
      </c>
      <c r="AS464">
        <v>0</v>
      </c>
      <c r="AT464" t="b">
        <v>0</v>
      </c>
      <c r="AU464" t="b">
        <v>1</v>
      </c>
      <c r="AV464" t="b">
        <v>1</v>
      </c>
      <c r="AW464" t="b">
        <v>1</v>
      </c>
      <c r="BC464" t="s">
        <v>374</v>
      </c>
    </row>
    <row r="465" spans="1:55" x14ac:dyDescent="0.2">
      <c r="A465" t="s">
        <v>39</v>
      </c>
      <c r="B465" t="s">
        <v>40</v>
      </c>
      <c r="C465">
        <v>20230101</v>
      </c>
      <c r="D465">
        <v>2023</v>
      </c>
      <c r="E465">
        <v>52</v>
      </c>
      <c r="F465" t="s">
        <v>354</v>
      </c>
      <c r="G465">
        <v>100</v>
      </c>
      <c r="H465" t="s">
        <v>83</v>
      </c>
      <c r="I465" t="s">
        <v>84</v>
      </c>
      <c r="J465" t="s">
        <v>44</v>
      </c>
      <c r="K465" t="s">
        <v>45</v>
      </c>
      <c r="L465">
        <v>0</v>
      </c>
      <c r="M465" t="s">
        <v>46</v>
      </c>
      <c r="N465" t="s">
        <v>47</v>
      </c>
      <c r="O465">
        <v>0</v>
      </c>
      <c r="P465" t="s">
        <v>46</v>
      </c>
      <c r="Q465" t="s">
        <v>47</v>
      </c>
      <c r="R465" t="s">
        <v>347</v>
      </c>
      <c r="S465" t="s">
        <v>49</v>
      </c>
      <c r="T465" t="b">
        <v>1</v>
      </c>
      <c r="U465" t="s">
        <v>50</v>
      </c>
      <c r="V465" t="s">
        <v>51</v>
      </c>
      <c r="W465">
        <v>4</v>
      </c>
      <c r="X465" t="b">
        <v>0</v>
      </c>
      <c r="Y465" t="s">
        <v>52</v>
      </c>
      <c r="Z465" t="s">
        <v>53</v>
      </c>
      <c r="AA465" t="s">
        <v>54</v>
      </c>
      <c r="AB465">
        <v>0</v>
      </c>
      <c r="AC465" t="s">
        <v>55</v>
      </c>
      <c r="AD465">
        <v>8</v>
      </c>
      <c r="AE465" t="s">
        <v>56</v>
      </c>
      <c r="AF465">
        <v>1478.72</v>
      </c>
      <c r="AG465" t="b">
        <v>0</v>
      </c>
      <c r="AH465">
        <v>15</v>
      </c>
      <c r="AI465" t="s">
        <v>59</v>
      </c>
      <c r="AJ465">
        <v>1478720</v>
      </c>
      <c r="AK465" t="b">
        <v>0</v>
      </c>
      <c r="AL465">
        <v>1382.009</v>
      </c>
      <c r="AM465" t="b">
        <v>0</v>
      </c>
      <c r="AN465">
        <v>0</v>
      </c>
      <c r="AO465" t="b">
        <v>0</v>
      </c>
      <c r="AQ465">
        <v>20035736.658</v>
      </c>
      <c r="AR465">
        <v>20035736.658</v>
      </c>
      <c r="AS465">
        <v>0</v>
      </c>
      <c r="AT465" t="b">
        <v>0</v>
      </c>
      <c r="AU465" t="b">
        <v>1</v>
      </c>
      <c r="AV465" t="b">
        <v>1</v>
      </c>
      <c r="AW465" t="b">
        <v>1</v>
      </c>
      <c r="BC465" t="s">
        <v>374</v>
      </c>
    </row>
    <row r="466" spans="1:55" x14ac:dyDescent="0.2">
      <c r="A466" t="s">
        <v>39</v>
      </c>
      <c r="B466" t="s">
        <v>40</v>
      </c>
      <c r="C466">
        <v>20230101</v>
      </c>
      <c r="D466">
        <v>2023</v>
      </c>
      <c r="E466">
        <v>52</v>
      </c>
      <c r="F466" t="s">
        <v>354</v>
      </c>
      <c r="G466">
        <v>108</v>
      </c>
      <c r="H466" t="s">
        <v>85</v>
      </c>
      <c r="I466" t="s">
        <v>86</v>
      </c>
      <c r="J466" t="s">
        <v>44</v>
      </c>
      <c r="K466" t="s">
        <v>45</v>
      </c>
      <c r="L466">
        <v>0</v>
      </c>
      <c r="M466" t="s">
        <v>46</v>
      </c>
      <c r="N466" t="s">
        <v>47</v>
      </c>
      <c r="O466">
        <v>0</v>
      </c>
      <c r="P466" t="s">
        <v>46</v>
      </c>
      <c r="Q466" t="s">
        <v>47</v>
      </c>
      <c r="R466" t="s">
        <v>347</v>
      </c>
      <c r="S466" t="s">
        <v>49</v>
      </c>
      <c r="T466" t="b">
        <v>1</v>
      </c>
      <c r="U466" t="s">
        <v>50</v>
      </c>
      <c r="V466" t="s">
        <v>51</v>
      </c>
      <c r="W466">
        <v>4</v>
      </c>
      <c r="X466" t="b">
        <v>0</v>
      </c>
      <c r="Y466" t="s">
        <v>52</v>
      </c>
      <c r="Z466" t="s">
        <v>53</v>
      </c>
      <c r="AA466" t="s">
        <v>54</v>
      </c>
      <c r="AB466">
        <v>0</v>
      </c>
      <c r="AC466" t="s">
        <v>55</v>
      </c>
      <c r="AD466">
        <v>8</v>
      </c>
      <c r="AE466" t="s">
        <v>56</v>
      </c>
      <c r="AF466">
        <v>1249.4580000000001</v>
      </c>
      <c r="AG466" t="b">
        <v>1</v>
      </c>
      <c r="AH466">
        <v>-1</v>
      </c>
      <c r="AI466" t="s">
        <v>64</v>
      </c>
      <c r="AJ466">
        <v>0</v>
      </c>
      <c r="AK466" t="b">
        <v>0</v>
      </c>
      <c r="AL466">
        <v>1249.4580000000001</v>
      </c>
      <c r="AM466" t="b">
        <v>1</v>
      </c>
      <c r="AN466">
        <v>0</v>
      </c>
      <c r="AO466" t="b">
        <v>0</v>
      </c>
      <c r="AQ466">
        <v>74971981.479000002</v>
      </c>
      <c r="AR466">
        <v>74971981.479000002</v>
      </c>
      <c r="AS466">
        <v>6</v>
      </c>
      <c r="AT466" t="b">
        <v>0</v>
      </c>
      <c r="AU466" t="b">
        <v>1</v>
      </c>
      <c r="AV466" t="b">
        <v>1</v>
      </c>
      <c r="AW466" t="b">
        <v>1</v>
      </c>
      <c r="BC466" t="s">
        <v>374</v>
      </c>
    </row>
    <row r="467" spans="1:55" x14ac:dyDescent="0.2">
      <c r="A467" t="s">
        <v>39</v>
      </c>
      <c r="B467" t="s">
        <v>40</v>
      </c>
      <c r="C467">
        <v>20230101</v>
      </c>
      <c r="D467">
        <v>2023</v>
      </c>
      <c r="E467">
        <v>52</v>
      </c>
      <c r="F467" t="s">
        <v>354</v>
      </c>
      <c r="G467">
        <v>116</v>
      </c>
      <c r="H467" t="s">
        <v>87</v>
      </c>
      <c r="I467" t="s">
        <v>88</v>
      </c>
      <c r="J467" t="s">
        <v>44</v>
      </c>
      <c r="K467" t="s">
        <v>45</v>
      </c>
      <c r="L467">
        <v>0</v>
      </c>
      <c r="M467" t="s">
        <v>46</v>
      </c>
      <c r="N467" t="s">
        <v>47</v>
      </c>
      <c r="O467">
        <v>0</v>
      </c>
      <c r="P467" t="s">
        <v>46</v>
      </c>
      <c r="Q467" t="s">
        <v>47</v>
      </c>
      <c r="R467" t="s">
        <v>347</v>
      </c>
      <c r="S467" t="s">
        <v>49</v>
      </c>
      <c r="T467" t="b">
        <v>1</v>
      </c>
      <c r="U467" t="s">
        <v>50</v>
      </c>
      <c r="V467" t="s">
        <v>51</v>
      </c>
      <c r="W467">
        <v>4</v>
      </c>
      <c r="X467" t="b">
        <v>0</v>
      </c>
      <c r="Y467" t="s">
        <v>52</v>
      </c>
      <c r="Z467" t="s">
        <v>53</v>
      </c>
      <c r="AA467" t="s">
        <v>54</v>
      </c>
      <c r="AB467">
        <v>0</v>
      </c>
      <c r="AC467" t="s">
        <v>55</v>
      </c>
      <c r="AD467">
        <v>8</v>
      </c>
      <c r="AE467" t="s">
        <v>56</v>
      </c>
      <c r="AF467">
        <v>13791.24</v>
      </c>
      <c r="AG467" t="b">
        <v>0</v>
      </c>
      <c r="AH467">
        <v>8</v>
      </c>
      <c r="AI467" t="s">
        <v>56</v>
      </c>
      <c r="AJ467">
        <v>13791.24</v>
      </c>
      <c r="AK467" t="b">
        <v>0</v>
      </c>
      <c r="AL467">
        <v>13791.24</v>
      </c>
      <c r="AM467" t="b">
        <v>0</v>
      </c>
      <c r="AN467">
        <v>0</v>
      </c>
      <c r="AO467" t="b">
        <v>0</v>
      </c>
      <c r="AQ467">
        <v>825416778.54999995</v>
      </c>
      <c r="AR467">
        <v>825416778.54999995</v>
      </c>
      <c r="AS467">
        <v>0</v>
      </c>
      <c r="AT467" t="b">
        <v>0</v>
      </c>
      <c r="AU467" t="b">
        <v>1</v>
      </c>
      <c r="AV467" t="b">
        <v>1</v>
      </c>
      <c r="AW467" t="b">
        <v>1</v>
      </c>
      <c r="BC467" t="s">
        <v>374</v>
      </c>
    </row>
    <row r="468" spans="1:55" x14ac:dyDescent="0.2">
      <c r="A468" t="s">
        <v>39</v>
      </c>
      <c r="B468" t="s">
        <v>40</v>
      </c>
      <c r="C468">
        <v>20230101</v>
      </c>
      <c r="D468">
        <v>2023</v>
      </c>
      <c r="E468">
        <v>52</v>
      </c>
      <c r="F468" t="s">
        <v>354</v>
      </c>
      <c r="G468">
        <v>120</v>
      </c>
      <c r="H468" t="s">
        <v>89</v>
      </c>
      <c r="I468" t="s">
        <v>90</v>
      </c>
      <c r="J468" t="s">
        <v>44</v>
      </c>
      <c r="K468" t="s">
        <v>45</v>
      </c>
      <c r="L468">
        <v>0</v>
      </c>
      <c r="M468" t="s">
        <v>46</v>
      </c>
      <c r="N468" t="s">
        <v>47</v>
      </c>
      <c r="O468">
        <v>0</v>
      </c>
      <c r="P468" t="s">
        <v>46</v>
      </c>
      <c r="Q468" t="s">
        <v>47</v>
      </c>
      <c r="R468" t="s">
        <v>347</v>
      </c>
      <c r="S468" t="s">
        <v>49</v>
      </c>
      <c r="T468" t="b">
        <v>1</v>
      </c>
      <c r="U468" t="s">
        <v>50</v>
      </c>
      <c r="V468" t="s">
        <v>51</v>
      </c>
      <c r="W468">
        <v>4</v>
      </c>
      <c r="X468" t="b">
        <v>0</v>
      </c>
      <c r="Y468" t="s">
        <v>52</v>
      </c>
      <c r="Z468" t="s">
        <v>53</v>
      </c>
      <c r="AA468" t="s">
        <v>54</v>
      </c>
      <c r="AB468">
        <v>0</v>
      </c>
      <c r="AC468" t="s">
        <v>55</v>
      </c>
      <c r="AD468">
        <v>-1</v>
      </c>
      <c r="AE468" t="s">
        <v>64</v>
      </c>
      <c r="AF468">
        <v>0</v>
      </c>
      <c r="AG468" t="b">
        <v>0</v>
      </c>
      <c r="AH468">
        <v>-1</v>
      </c>
      <c r="AI468" t="s">
        <v>64</v>
      </c>
      <c r="AJ468">
        <v>0</v>
      </c>
      <c r="AK468" t="b">
        <v>0</v>
      </c>
      <c r="AM468" t="b">
        <v>0</v>
      </c>
      <c r="AN468">
        <v>0</v>
      </c>
      <c r="AO468" t="b">
        <v>0</v>
      </c>
      <c r="AQ468">
        <v>674905.65</v>
      </c>
      <c r="AR468">
        <v>674905.65</v>
      </c>
      <c r="AS468">
        <v>0</v>
      </c>
      <c r="AT468" t="b">
        <v>0</v>
      </c>
      <c r="AU468" t="b">
        <v>1</v>
      </c>
      <c r="AV468" t="b">
        <v>1</v>
      </c>
      <c r="AW468" t="b">
        <v>1</v>
      </c>
      <c r="BC468" t="s">
        <v>374</v>
      </c>
    </row>
    <row r="469" spans="1:55" x14ac:dyDescent="0.2">
      <c r="A469" t="s">
        <v>39</v>
      </c>
      <c r="B469" t="s">
        <v>40</v>
      </c>
      <c r="C469">
        <v>20230101</v>
      </c>
      <c r="D469">
        <v>2023</v>
      </c>
      <c r="E469">
        <v>52</v>
      </c>
      <c r="F469" t="s">
        <v>354</v>
      </c>
      <c r="G469">
        <v>140</v>
      </c>
      <c r="H469" t="s">
        <v>93</v>
      </c>
      <c r="I469" t="s">
        <v>94</v>
      </c>
      <c r="J469" t="s">
        <v>44</v>
      </c>
      <c r="K469" t="s">
        <v>45</v>
      </c>
      <c r="L469">
        <v>0</v>
      </c>
      <c r="M469" t="s">
        <v>46</v>
      </c>
      <c r="N469" t="s">
        <v>47</v>
      </c>
      <c r="O469">
        <v>0</v>
      </c>
      <c r="P469" t="s">
        <v>46</v>
      </c>
      <c r="Q469" t="s">
        <v>47</v>
      </c>
      <c r="R469" t="s">
        <v>48</v>
      </c>
      <c r="S469" t="s">
        <v>49</v>
      </c>
      <c r="T469" t="b">
        <v>1</v>
      </c>
      <c r="U469" t="s">
        <v>50</v>
      </c>
      <c r="V469" t="s">
        <v>51</v>
      </c>
      <c r="W469">
        <v>4</v>
      </c>
      <c r="X469" t="b">
        <v>0</v>
      </c>
      <c r="Y469" t="s">
        <v>52</v>
      </c>
      <c r="Z469" t="s">
        <v>53</v>
      </c>
      <c r="AA469" t="s">
        <v>54</v>
      </c>
      <c r="AB469">
        <v>0</v>
      </c>
      <c r="AC469" t="s">
        <v>55</v>
      </c>
      <c r="AD469">
        <v>-1</v>
      </c>
      <c r="AE469" t="s">
        <v>64</v>
      </c>
      <c r="AF469">
        <v>0</v>
      </c>
      <c r="AG469" t="b">
        <v>0</v>
      </c>
      <c r="AH469">
        <v>-1</v>
      </c>
      <c r="AI469" t="s">
        <v>64</v>
      </c>
      <c r="AJ469">
        <v>0</v>
      </c>
      <c r="AK469" t="b">
        <v>0</v>
      </c>
      <c r="AM469" t="b">
        <v>0</v>
      </c>
      <c r="AN469">
        <v>0</v>
      </c>
      <c r="AO469" t="b">
        <v>0</v>
      </c>
      <c r="AQ469">
        <v>72350644.266000003</v>
      </c>
      <c r="AR469">
        <v>72350644.266000003</v>
      </c>
      <c r="AS469">
        <v>0</v>
      </c>
      <c r="AT469" t="b">
        <v>0</v>
      </c>
      <c r="AU469" t="b">
        <v>1</v>
      </c>
      <c r="AV469" t="b">
        <v>1</v>
      </c>
      <c r="AW469" t="b">
        <v>1</v>
      </c>
      <c r="BC469" t="s">
        <v>374</v>
      </c>
    </row>
    <row r="470" spans="1:55" x14ac:dyDescent="0.2">
      <c r="A470" t="s">
        <v>39</v>
      </c>
      <c r="B470" t="s">
        <v>40</v>
      </c>
      <c r="C470">
        <v>20230101</v>
      </c>
      <c r="D470">
        <v>2023</v>
      </c>
      <c r="E470">
        <v>52</v>
      </c>
      <c r="F470" t="s">
        <v>354</v>
      </c>
      <c r="G470">
        <v>144</v>
      </c>
      <c r="H470" t="s">
        <v>317</v>
      </c>
      <c r="I470" t="s">
        <v>318</v>
      </c>
      <c r="J470" t="s">
        <v>44</v>
      </c>
      <c r="K470" t="s">
        <v>45</v>
      </c>
      <c r="L470">
        <v>0</v>
      </c>
      <c r="M470" t="s">
        <v>46</v>
      </c>
      <c r="N470" t="s">
        <v>47</v>
      </c>
      <c r="O470">
        <v>0</v>
      </c>
      <c r="P470" t="s">
        <v>46</v>
      </c>
      <c r="Q470" t="s">
        <v>47</v>
      </c>
      <c r="R470" t="s">
        <v>347</v>
      </c>
      <c r="S470" t="s">
        <v>49</v>
      </c>
      <c r="T470" t="b">
        <v>1</v>
      </c>
      <c r="U470" t="s">
        <v>50</v>
      </c>
      <c r="V470" t="s">
        <v>51</v>
      </c>
      <c r="W470">
        <v>4</v>
      </c>
      <c r="X470" t="b">
        <v>0</v>
      </c>
      <c r="Y470" t="s">
        <v>52</v>
      </c>
      <c r="Z470" t="s">
        <v>53</v>
      </c>
      <c r="AA470" t="s">
        <v>54</v>
      </c>
      <c r="AB470">
        <v>0</v>
      </c>
      <c r="AC470" t="s">
        <v>55</v>
      </c>
      <c r="AD470">
        <v>-1</v>
      </c>
      <c r="AE470" t="s">
        <v>64</v>
      </c>
      <c r="AF470">
        <v>0</v>
      </c>
      <c r="AG470" t="b">
        <v>0</v>
      </c>
      <c r="AH470">
        <v>-1</v>
      </c>
      <c r="AI470" t="s">
        <v>64</v>
      </c>
      <c r="AJ470">
        <v>0</v>
      </c>
      <c r="AK470" t="b">
        <v>0</v>
      </c>
      <c r="AM470" t="b">
        <v>0</v>
      </c>
      <c r="AN470">
        <v>0</v>
      </c>
      <c r="AO470" t="b">
        <v>0</v>
      </c>
      <c r="AQ470">
        <v>1961.384</v>
      </c>
      <c r="AR470">
        <v>1961.384</v>
      </c>
      <c r="AS470">
        <v>0</v>
      </c>
      <c r="AT470" t="b">
        <v>0</v>
      </c>
      <c r="AU470" t="b">
        <v>1</v>
      </c>
      <c r="AV470" t="b">
        <v>1</v>
      </c>
      <c r="AW470" t="b">
        <v>1</v>
      </c>
      <c r="BC470" t="s">
        <v>374</v>
      </c>
    </row>
    <row r="471" spans="1:55" x14ac:dyDescent="0.2">
      <c r="A471" t="s">
        <v>39</v>
      </c>
      <c r="B471" t="s">
        <v>40</v>
      </c>
      <c r="C471">
        <v>20230101</v>
      </c>
      <c r="D471">
        <v>2023</v>
      </c>
      <c r="E471">
        <v>52</v>
      </c>
      <c r="F471" t="s">
        <v>354</v>
      </c>
      <c r="G471">
        <v>152</v>
      </c>
      <c r="H471" t="s">
        <v>96</v>
      </c>
      <c r="I471" t="s">
        <v>97</v>
      </c>
      <c r="J471" t="s">
        <v>44</v>
      </c>
      <c r="K471" t="s">
        <v>45</v>
      </c>
      <c r="L471">
        <v>0</v>
      </c>
      <c r="M471" t="s">
        <v>46</v>
      </c>
      <c r="N471" t="s">
        <v>47</v>
      </c>
      <c r="O471">
        <v>0</v>
      </c>
      <c r="P471" t="s">
        <v>46</v>
      </c>
      <c r="Q471" t="s">
        <v>47</v>
      </c>
      <c r="R471" t="s">
        <v>347</v>
      </c>
      <c r="S471" t="s">
        <v>49</v>
      </c>
      <c r="T471" t="b">
        <v>1</v>
      </c>
      <c r="U471" t="s">
        <v>50</v>
      </c>
      <c r="V471" t="s">
        <v>51</v>
      </c>
      <c r="W471">
        <v>4</v>
      </c>
      <c r="X471" t="b">
        <v>0</v>
      </c>
      <c r="Y471" t="s">
        <v>52</v>
      </c>
      <c r="Z471" t="s">
        <v>53</v>
      </c>
      <c r="AA471" t="s">
        <v>54</v>
      </c>
      <c r="AB471">
        <v>0</v>
      </c>
      <c r="AC471" t="s">
        <v>55</v>
      </c>
      <c r="AD471">
        <v>-1</v>
      </c>
      <c r="AE471" t="s">
        <v>64</v>
      </c>
      <c r="AF471">
        <v>0</v>
      </c>
      <c r="AG471" t="b">
        <v>0</v>
      </c>
      <c r="AH471">
        <v>-1</v>
      </c>
      <c r="AI471" t="s">
        <v>64</v>
      </c>
      <c r="AJ471">
        <v>0</v>
      </c>
      <c r="AK471" t="b">
        <v>0</v>
      </c>
      <c r="AM471" t="b">
        <v>0</v>
      </c>
      <c r="AN471">
        <v>0</v>
      </c>
      <c r="AO471" t="b">
        <v>0</v>
      </c>
      <c r="AQ471">
        <v>1009359447.813</v>
      </c>
      <c r="AR471">
        <v>1009359447.813</v>
      </c>
      <c r="AS471">
        <v>0</v>
      </c>
      <c r="AT471" t="b">
        <v>0</v>
      </c>
      <c r="AU471" t="b">
        <v>1</v>
      </c>
      <c r="AV471" t="b">
        <v>1</v>
      </c>
      <c r="AW471" t="b">
        <v>1</v>
      </c>
      <c r="BC471" t="s">
        <v>374</v>
      </c>
    </row>
    <row r="472" spans="1:55" x14ac:dyDescent="0.2">
      <c r="A472" t="s">
        <v>39</v>
      </c>
      <c r="B472" t="s">
        <v>40</v>
      </c>
      <c r="C472">
        <v>20230101</v>
      </c>
      <c r="D472">
        <v>2023</v>
      </c>
      <c r="E472">
        <v>52</v>
      </c>
      <c r="F472" t="s">
        <v>354</v>
      </c>
      <c r="G472">
        <v>156</v>
      </c>
      <c r="H472" t="s">
        <v>98</v>
      </c>
      <c r="I472" t="s">
        <v>99</v>
      </c>
      <c r="J472" t="s">
        <v>44</v>
      </c>
      <c r="K472" t="s">
        <v>45</v>
      </c>
      <c r="L472">
        <v>0</v>
      </c>
      <c r="M472" t="s">
        <v>46</v>
      </c>
      <c r="N472" t="s">
        <v>47</v>
      </c>
      <c r="O472">
        <v>0</v>
      </c>
      <c r="P472" t="s">
        <v>46</v>
      </c>
      <c r="Q472" t="s">
        <v>47</v>
      </c>
      <c r="R472" t="s">
        <v>347</v>
      </c>
      <c r="S472" t="s">
        <v>49</v>
      </c>
      <c r="T472" t="b">
        <v>1</v>
      </c>
      <c r="U472" t="s">
        <v>50</v>
      </c>
      <c r="V472" t="s">
        <v>51</v>
      </c>
      <c r="W472">
        <v>4</v>
      </c>
      <c r="X472" t="b">
        <v>0</v>
      </c>
      <c r="Y472" t="s">
        <v>52</v>
      </c>
      <c r="Z472" t="s">
        <v>53</v>
      </c>
      <c r="AA472" t="s">
        <v>54</v>
      </c>
      <c r="AB472">
        <v>0</v>
      </c>
      <c r="AC472" t="s">
        <v>55</v>
      </c>
      <c r="AD472">
        <v>8</v>
      </c>
      <c r="AE472" t="s">
        <v>56</v>
      </c>
      <c r="AF472">
        <v>61438.275000000001</v>
      </c>
      <c r="AG472" t="b">
        <v>0</v>
      </c>
      <c r="AH472">
        <v>15</v>
      </c>
      <c r="AI472" t="s">
        <v>59</v>
      </c>
      <c r="AJ472">
        <v>61438275</v>
      </c>
      <c r="AK472" t="b">
        <v>0</v>
      </c>
      <c r="AL472">
        <v>61438.275000000001</v>
      </c>
      <c r="AM472" t="b">
        <v>0</v>
      </c>
      <c r="AN472">
        <v>0</v>
      </c>
      <c r="AO472" t="b">
        <v>0</v>
      </c>
      <c r="AQ472">
        <v>3891153399</v>
      </c>
      <c r="AR472">
        <v>3891153399</v>
      </c>
      <c r="AS472">
        <v>0</v>
      </c>
      <c r="AT472" t="b">
        <v>0</v>
      </c>
      <c r="AU472" t="b">
        <v>1</v>
      </c>
      <c r="AV472" t="b">
        <v>1</v>
      </c>
      <c r="AW472" t="b">
        <v>1</v>
      </c>
      <c r="BC472" t="s">
        <v>374</v>
      </c>
    </row>
    <row r="473" spans="1:55" x14ac:dyDescent="0.2">
      <c r="A473" t="s">
        <v>39</v>
      </c>
      <c r="B473" t="s">
        <v>40</v>
      </c>
      <c r="C473">
        <v>20230101</v>
      </c>
      <c r="D473">
        <v>2023</v>
      </c>
      <c r="E473">
        <v>52</v>
      </c>
      <c r="F473" t="s">
        <v>354</v>
      </c>
      <c r="G473">
        <v>180</v>
      </c>
      <c r="H473" t="s">
        <v>104</v>
      </c>
      <c r="I473" t="s">
        <v>105</v>
      </c>
      <c r="J473" t="s">
        <v>44</v>
      </c>
      <c r="K473" t="s">
        <v>45</v>
      </c>
      <c r="L473">
        <v>0</v>
      </c>
      <c r="M473" t="s">
        <v>46</v>
      </c>
      <c r="N473" t="s">
        <v>47</v>
      </c>
      <c r="O473">
        <v>0</v>
      </c>
      <c r="P473" t="s">
        <v>46</v>
      </c>
      <c r="Q473" t="s">
        <v>47</v>
      </c>
      <c r="R473" t="s">
        <v>95</v>
      </c>
      <c r="S473" t="s">
        <v>49</v>
      </c>
      <c r="T473" t="b">
        <v>1</v>
      </c>
      <c r="U473" t="s">
        <v>50</v>
      </c>
      <c r="V473" t="s">
        <v>51</v>
      </c>
      <c r="W473">
        <v>4</v>
      </c>
      <c r="X473" t="b">
        <v>0</v>
      </c>
      <c r="Y473" t="s">
        <v>52</v>
      </c>
      <c r="Z473" t="s">
        <v>53</v>
      </c>
      <c r="AA473" t="s">
        <v>54</v>
      </c>
      <c r="AB473">
        <v>0</v>
      </c>
      <c r="AC473" t="s">
        <v>55</v>
      </c>
      <c r="AD473">
        <v>8</v>
      </c>
      <c r="AE473" t="s">
        <v>56</v>
      </c>
      <c r="AF473">
        <v>26646.031999999999</v>
      </c>
      <c r="AG473" t="b">
        <v>1</v>
      </c>
      <c r="AH473">
        <v>-1</v>
      </c>
      <c r="AI473" t="s">
        <v>64</v>
      </c>
      <c r="AJ473">
        <v>0</v>
      </c>
      <c r="AK473" t="b">
        <v>0</v>
      </c>
      <c r="AL473">
        <v>26646.031999999999</v>
      </c>
      <c r="AM473" t="b">
        <v>1</v>
      </c>
      <c r="AN473">
        <v>0</v>
      </c>
      <c r="AO473" t="b">
        <v>0</v>
      </c>
      <c r="AQ473">
        <v>1327514937.096</v>
      </c>
      <c r="AR473">
        <v>1327514937.096</v>
      </c>
      <c r="AS473">
        <v>6</v>
      </c>
      <c r="AT473" t="b">
        <v>0</v>
      </c>
      <c r="AU473" t="b">
        <v>1</v>
      </c>
      <c r="AV473" t="b">
        <v>1</v>
      </c>
      <c r="AW473" t="b">
        <v>1</v>
      </c>
      <c r="BC473" t="s">
        <v>374</v>
      </c>
    </row>
    <row r="474" spans="1:55" x14ac:dyDescent="0.2">
      <c r="A474" t="s">
        <v>39</v>
      </c>
      <c r="B474" t="s">
        <v>40</v>
      </c>
      <c r="C474">
        <v>20230101</v>
      </c>
      <c r="D474">
        <v>2023</v>
      </c>
      <c r="E474">
        <v>52</v>
      </c>
      <c r="F474" t="s">
        <v>354</v>
      </c>
      <c r="G474">
        <v>188</v>
      </c>
      <c r="H474" t="s">
        <v>106</v>
      </c>
      <c r="I474" t="s">
        <v>107</v>
      </c>
      <c r="J474" t="s">
        <v>44</v>
      </c>
      <c r="K474" t="s">
        <v>45</v>
      </c>
      <c r="L474">
        <v>0</v>
      </c>
      <c r="M474" t="s">
        <v>46</v>
      </c>
      <c r="N474" t="s">
        <v>47</v>
      </c>
      <c r="O474">
        <v>0</v>
      </c>
      <c r="P474" t="s">
        <v>46</v>
      </c>
      <c r="Q474" t="s">
        <v>47</v>
      </c>
      <c r="R474" t="s">
        <v>347</v>
      </c>
      <c r="S474" t="s">
        <v>49</v>
      </c>
      <c r="T474" t="b">
        <v>1</v>
      </c>
      <c r="U474" t="s">
        <v>50</v>
      </c>
      <c r="V474" t="s">
        <v>51</v>
      </c>
      <c r="W474">
        <v>4</v>
      </c>
      <c r="X474" t="b">
        <v>0</v>
      </c>
      <c r="Y474" t="s">
        <v>52</v>
      </c>
      <c r="Z474" t="s">
        <v>53</v>
      </c>
      <c r="AA474" t="s">
        <v>54</v>
      </c>
      <c r="AB474">
        <v>0</v>
      </c>
      <c r="AC474" t="s">
        <v>55</v>
      </c>
      <c r="AD474">
        <v>8</v>
      </c>
      <c r="AE474" t="s">
        <v>56</v>
      </c>
      <c r="AF474">
        <v>656.59</v>
      </c>
      <c r="AG474" t="b">
        <v>0</v>
      </c>
      <c r="AH474">
        <v>8</v>
      </c>
      <c r="AI474" t="s">
        <v>56</v>
      </c>
      <c r="AJ474">
        <v>656.59</v>
      </c>
      <c r="AK474" t="b">
        <v>0</v>
      </c>
      <c r="AL474">
        <v>656.59</v>
      </c>
      <c r="AM474" t="b">
        <v>0</v>
      </c>
      <c r="AN474">
        <v>0</v>
      </c>
      <c r="AO474" t="b">
        <v>0</v>
      </c>
      <c r="AQ474">
        <v>18752898</v>
      </c>
      <c r="AR474">
        <v>18752898</v>
      </c>
      <c r="AS474">
        <v>0</v>
      </c>
      <c r="AT474" t="b">
        <v>0</v>
      </c>
      <c r="AU474" t="b">
        <v>1</v>
      </c>
      <c r="AV474" t="b">
        <v>1</v>
      </c>
      <c r="AW474" t="b">
        <v>1</v>
      </c>
      <c r="BC474" t="s">
        <v>374</v>
      </c>
    </row>
    <row r="475" spans="1:55" x14ac:dyDescent="0.2">
      <c r="A475" t="s">
        <v>39</v>
      </c>
      <c r="B475" t="s">
        <v>40</v>
      </c>
      <c r="C475">
        <v>20230101</v>
      </c>
      <c r="D475">
        <v>2023</v>
      </c>
      <c r="E475">
        <v>52</v>
      </c>
      <c r="F475" t="s">
        <v>354</v>
      </c>
      <c r="G475">
        <v>191</v>
      </c>
      <c r="H475" t="s">
        <v>108</v>
      </c>
      <c r="I475" t="s">
        <v>109</v>
      </c>
      <c r="J475" t="s">
        <v>44</v>
      </c>
      <c r="K475" t="s">
        <v>45</v>
      </c>
      <c r="L475">
        <v>0</v>
      </c>
      <c r="M475" t="s">
        <v>46</v>
      </c>
      <c r="N475" t="s">
        <v>47</v>
      </c>
      <c r="O475">
        <v>0</v>
      </c>
      <c r="P475" t="s">
        <v>46</v>
      </c>
      <c r="Q475" t="s">
        <v>47</v>
      </c>
      <c r="R475" t="s">
        <v>347</v>
      </c>
      <c r="S475" t="s">
        <v>49</v>
      </c>
      <c r="T475" t="b">
        <v>1</v>
      </c>
      <c r="U475" t="s">
        <v>50</v>
      </c>
      <c r="V475" t="s">
        <v>51</v>
      </c>
      <c r="W475">
        <v>4</v>
      </c>
      <c r="X475" t="b">
        <v>0</v>
      </c>
      <c r="Y475" t="s">
        <v>52</v>
      </c>
      <c r="Z475" t="s">
        <v>53</v>
      </c>
      <c r="AA475" t="s">
        <v>54</v>
      </c>
      <c r="AB475">
        <v>0</v>
      </c>
      <c r="AC475" t="s">
        <v>55</v>
      </c>
      <c r="AD475">
        <v>8</v>
      </c>
      <c r="AE475" t="s">
        <v>56</v>
      </c>
      <c r="AF475">
        <v>1192.692</v>
      </c>
      <c r="AG475" t="b">
        <v>0</v>
      </c>
      <c r="AH475">
        <v>15</v>
      </c>
      <c r="AI475" t="s">
        <v>59</v>
      </c>
      <c r="AJ475">
        <v>1192692.08</v>
      </c>
      <c r="AK475" t="b">
        <v>0</v>
      </c>
      <c r="AL475">
        <v>1208.1420000000001</v>
      </c>
      <c r="AM475" t="b">
        <v>0</v>
      </c>
      <c r="AN475">
        <v>0</v>
      </c>
      <c r="AO475" t="b">
        <v>0</v>
      </c>
      <c r="AQ475">
        <v>68051855</v>
      </c>
      <c r="AR475">
        <v>68051855</v>
      </c>
      <c r="AS475">
        <v>0</v>
      </c>
      <c r="AT475" t="b">
        <v>0</v>
      </c>
      <c r="AU475" t="b">
        <v>1</v>
      </c>
      <c r="AV475" t="b">
        <v>1</v>
      </c>
      <c r="AW475" t="b">
        <v>1</v>
      </c>
      <c r="BC475" t="s">
        <v>374</v>
      </c>
    </row>
    <row r="476" spans="1:55" x14ac:dyDescent="0.2">
      <c r="A476" t="s">
        <v>39</v>
      </c>
      <c r="B476" t="s">
        <v>40</v>
      </c>
      <c r="C476">
        <v>20230101</v>
      </c>
      <c r="D476">
        <v>2023</v>
      </c>
      <c r="E476">
        <v>52</v>
      </c>
      <c r="F476" t="s">
        <v>354</v>
      </c>
      <c r="G476">
        <v>196</v>
      </c>
      <c r="H476" t="s">
        <v>112</v>
      </c>
      <c r="I476" t="s">
        <v>113</v>
      </c>
      <c r="J476" t="s">
        <v>44</v>
      </c>
      <c r="K476" t="s">
        <v>45</v>
      </c>
      <c r="L476">
        <v>0</v>
      </c>
      <c r="M476" t="s">
        <v>46</v>
      </c>
      <c r="N476" t="s">
        <v>47</v>
      </c>
      <c r="O476">
        <v>0</v>
      </c>
      <c r="P476" t="s">
        <v>46</v>
      </c>
      <c r="Q476" t="s">
        <v>47</v>
      </c>
      <c r="R476" t="s">
        <v>347</v>
      </c>
      <c r="S476" t="s">
        <v>49</v>
      </c>
      <c r="T476" t="b">
        <v>1</v>
      </c>
      <c r="U476" t="s">
        <v>50</v>
      </c>
      <c r="V476" t="s">
        <v>51</v>
      </c>
      <c r="W476">
        <v>4</v>
      </c>
      <c r="X476" t="b">
        <v>0</v>
      </c>
      <c r="Y476" t="s">
        <v>52</v>
      </c>
      <c r="Z476" t="s">
        <v>53</v>
      </c>
      <c r="AA476" t="s">
        <v>54</v>
      </c>
      <c r="AB476">
        <v>0</v>
      </c>
      <c r="AC476" t="s">
        <v>55</v>
      </c>
      <c r="AD476">
        <v>8</v>
      </c>
      <c r="AE476" t="s">
        <v>56</v>
      </c>
      <c r="AF476">
        <v>204.857</v>
      </c>
      <c r="AG476" t="b">
        <v>1</v>
      </c>
      <c r="AH476">
        <v>-1</v>
      </c>
      <c r="AI476" t="s">
        <v>64</v>
      </c>
      <c r="AJ476">
        <v>0</v>
      </c>
      <c r="AK476" t="b">
        <v>0</v>
      </c>
      <c r="AM476" t="b">
        <v>0</v>
      </c>
      <c r="AN476">
        <v>0</v>
      </c>
      <c r="AO476" t="b">
        <v>0</v>
      </c>
      <c r="AQ476">
        <v>9585197.625</v>
      </c>
      <c r="AR476">
        <v>9585197.625</v>
      </c>
      <c r="AS476">
        <v>2</v>
      </c>
      <c r="AT476" t="b">
        <v>0</v>
      </c>
      <c r="AU476" t="b">
        <v>1</v>
      </c>
      <c r="AV476" t="b">
        <v>1</v>
      </c>
      <c r="AW476" t="b">
        <v>1</v>
      </c>
      <c r="BC476" t="s">
        <v>374</v>
      </c>
    </row>
    <row r="477" spans="1:55" x14ac:dyDescent="0.2">
      <c r="A477" t="s">
        <v>39</v>
      </c>
      <c r="B477" t="s">
        <v>40</v>
      </c>
      <c r="C477">
        <v>20230101</v>
      </c>
      <c r="D477">
        <v>2023</v>
      </c>
      <c r="E477">
        <v>52</v>
      </c>
      <c r="F477" t="s">
        <v>354</v>
      </c>
      <c r="G477">
        <v>203</v>
      </c>
      <c r="H477" t="s">
        <v>114</v>
      </c>
      <c r="I477" t="s">
        <v>115</v>
      </c>
      <c r="J477" t="s">
        <v>44</v>
      </c>
      <c r="K477" t="s">
        <v>45</v>
      </c>
      <c r="L477">
        <v>0</v>
      </c>
      <c r="M477" t="s">
        <v>46</v>
      </c>
      <c r="N477" t="s">
        <v>47</v>
      </c>
      <c r="O477">
        <v>0</v>
      </c>
      <c r="P477" t="s">
        <v>46</v>
      </c>
      <c r="Q477" t="s">
        <v>47</v>
      </c>
      <c r="R477" t="s">
        <v>347</v>
      </c>
      <c r="S477" t="s">
        <v>49</v>
      </c>
      <c r="T477" t="b">
        <v>1</v>
      </c>
      <c r="U477" t="s">
        <v>50</v>
      </c>
      <c r="V477" t="s">
        <v>51</v>
      </c>
      <c r="W477">
        <v>4</v>
      </c>
      <c r="X477" t="b">
        <v>0</v>
      </c>
      <c r="Y477" t="s">
        <v>52</v>
      </c>
      <c r="Z477" t="s">
        <v>53</v>
      </c>
      <c r="AA477" t="s">
        <v>54</v>
      </c>
      <c r="AB477">
        <v>0</v>
      </c>
      <c r="AC477" t="s">
        <v>55</v>
      </c>
      <c r="AD477">
        <v>8</v>
      </c>
      <c r="AE477" t="s">
        <v>56</v>
      </c>
      <c r="AF477">
        <v>3005.5390000000002</v>
      </c>
      <c r="AG477" t="b">
        <v>1</v>
      </c>
      <c r="AH477">
        <v>-1</v>
      </c>
      <c r="AI477" t="s">
        <v>64</v>
      </c>
      <c r="AJ477">
        <v>0</v>
      </c>
      <c r="AK477" t="b">
        <v>0</v>
      </c>
      <c r="AL477">
        <v>3001.136</v>
      </c>
      <c r="AM477" t="b">
        <v>1</v>
      </c>
      <c r="AN477">
        <v>0</v>
      </c>
      <c r="AO477" t="b">
        <v>0</v>
      </c>
      <c r="AQ477">
        <v>97727941</v>
      </c>
      <c r="AR477">
        <v>97727941</v>
      </c>
      <c r="AS477">
        <v>6</v>
      </c>
      <c r="AT477" t="b">
        <v>0</v>
      </c>
      <c r="AU477" t="b">
        <v>1</v>
      </c>
      <c r="AV477" t="b">
        <v>1</v>
      </c>
      <c r="AW477" t="b">
        <v>1</v>
      </c>
      <c r="BC477" t="s">
        <v>374</v>
      </c>
    </row>
    <row r="478" spans="1:55" x14ac:dyDescent="0.2">
      <c r="A478" t="s">
        <v>39</v>
      </c>
      <c r="B478" t="s">
        <v>40</v>
      </c>
      <c r="C478">
        <v>20230101</v>
      </c>
      <c r="D478">
        <v>2023</v>
      </c>
      <c r="E478">
        <v>52</v>
      </c>
      <c r="F478" t="s">
        <v>354</v>
      </c>
      <c r="G478">
        <v>204</v>
      </c>
      <c r="H478" t="s">
        <v>116</v>
      </c>
      <c r="I478" t="s">
        <v>117</v>
      </c>
      <c r="J478" t="s">
        <v>44</v>
      </c>
      <c r="K478" t="s">
        <v>45</v>
      </c>
      <c r="L478">
        <v>0</v>
      </c>
      <c r="M478" t="s">
        <v>46</v>
      </c>
      <c r="N478" t="s">
        <v>47</v>
      </c>
      <c r="O478">
        <v>0</v>
      </c>
      <c r="P478" t="s">
        <v>46</v>
      </c>
      <c r="Q478" t="s">
        <v>47</v>
      </c>
      <c r="R478" t="s">
        <v>347</v>
      </c>
      <c r="S478" t="s">
        <v>49</v>
      </c>
      <c r="T478" t="b">
        <v>1</v>
      </c>
      <c r="U478" t="s">
        <v>50</v>
      </c>
      <c r="V478" t="s">
        <v>51</v>
      </c>
      <c r="W478">
        <v>4</v>
      </c>
      <c r="X478" t="b">
        <v>0</v>
      </c>
      <c r="Y478" t="s">
        <v>52</v>
      </c>
      <c r="Z478" t="s">
        <v>53</v>
      </c>
      <c r="AA478" t="s">
        <v>54</v>
      </c>
      <c r="AB478">
        <v>0</v>
      </c>
      <c r="AC478" t="s">
        <v>55</v>
      </c>
      <c r="AD478">
        <v>8</v>
      </c>
      <c r="AE478" t="s">
        <v>56</v>
      </c>
      <c r="AF478">
        <v>3544</v>
      </c>
      <c r="AG478" t="b">
        <v>0</v>
      </c>
      <c r="AH478">
        <v>8</v>
      </c>
      <c r="AI478" t="s">
        <v>56</v>
      </c>
      <c r="AJ478">
        <v>3544</v>
      </c>
      <c r="AK478" t="b">
        <v>0</v>
      </c>
      <c r="AL478">
        <v>3544</v>
      </c>
      <c r="AM478" t="b">
        <v>0</v>
      </c>
      <c r="AN478">
        <v>0</v>
      </c>
      <c r="AO478" t="b">
        <v>0</v>
      </c>
      <c r="AQ478">
        <v>5841743.3329999996</v>
      </c>
      <c r="AR478">
        <v>5841743.3329999996</v>
      </c>
      <c r="AS478">
        <v>0</v>
      </c>
      <c r="AT478" t="b">
        <v>0</v>
      </c>
      <c r="AU478" t="b">
        <v>1</v>
      </c>
      <c r="AV478" t="b">
        <v>1</v>
      </c>
      <c r="AW478" t="b">
        <v>1</v>
      </c>
      <c r="BC478" t="s">
        <v>374</v>
      </c>
    </row>
    <row r="479" spans="1:55" x14ac:dyDescent="0.2">
      <c r="A479" t="s">
        <v>39</v>
      </c>
      <c r="B479" t="s">
        <v>40</v>
      </c>
      <c r="C479">
        <v>20230101</v>
      </c>
      <c r="D479">
        <v>2023</v>
      </c>
      <c r="E479">
        <v>52</v>
      </c>
      <c r="F479" t="s">
        <v>354</v>
      </c>
      <c r="G479">
        <v>208</v>
      </c>
      <c r="H479" t="s">
        <v>118</v>
      </c>
      <c r="I479" t="s">
        <v>119</v>
      </c>
      <c r="J479" t="s">
        <v>44</v>
      </c>
      <c r="K479" t="s">
        <v>45</v>
      </c>
      <c r="L479">
        <v>0</v>
      </c>
      <c r="M479" t="s">
        <v>46</v>
      </c>
      <c r="N479" t="s">
        <v>47</v>
      </c>
      <c r="O479">
        <v>0</v>
      </c>
      <c r="P479" t="s">
        <v>46</v>
      </c>
      <c r="Q479" t="s">
        <v>47</v>
      </c>
      <c r="R479" t="s">
        <v>347</v>
      </c>
      <c r="S479" t="s">
        <v>49</v>
      </c>
      <c r="T479" t="b">
        <v>1</v>
      </c>
      <c r="U479" t="s">
        <v>50</v>
      </c>
      <c r="V479" t="s">
        <v>51</v>
      </c>
      <c r="W479">
        <v>4</v>
      </c>
      <c r="X479" t="b">
        <v>0</v>
      </c>
      <c r="Y479" t="s">
        <v>52</v>
      </c>
      <c r="Z479" t="s">
        <v>53</v>
      </c>
      <c r="AA479" t="s">
        <v>54</v>
      </c>
      <c r="AB479">
        <v>0</v>
      </c>
      <c r="AC479" t="s">
        <v>55</v>
      </c>
      <c r="AD479">
        <v>8</v>
      </c>
      <c r="AE479" t="s">
        <v>56</v>
      </c>
      <c r="AF479">
        <v>483.87400000000002</v>
      </c>
      <c r="AG479" t="b">
        <v>0</v>
      </c>
      <c r="AH479">
        <v>15</v>
      </c>
      <c r="AI479" t="s">
        <v>59</v>
      </c>
      <c r="AJ479">
        <v>100411874</v>
      </c>
      <c r="AK479" t="b">
        <v>0</v>
      </c>
      <c r="AM479" t="b">
        <v>0</v>
      </c>
      <c r="AN479">
        <v>0</v>
      </c>
      <c r="AO479" t="b">
        <v>0</v>
      </c>
      <c r="AQ479">
        <v>19758453.344999999</v>
      </c>
      <c r="AR479">
        <v>19758453.344999999</v>
      </c>
      <c r="AS479">
        <v>0</v>
      </c>
      <c r="AT479" t="b">
        <v>0</v>
      </c>
      <c r="AU479" t="b">
        <v>1</v>
      </c>
      <c r="AV479" t="b">
        <v>1</v>
      </c>
      <c r="AW479" t="b">
        <v>1</v>
      </c>
      <c r="BC479" t="s">
        <v>374</v>
      </c>
    </row>
    <row r="480" spans="1:55" x14ac:dyDescent="0.2">
      <c r="A480" t="s">
        <v>39</v>
      </c>
      <c r="B480" t="s">
        <v>40</v>
      </c>
      <c r="C480">
        <v>20230101</v>
      </c>
      <c r="D480">
        <v>2023</v>
      </c>
      <c r="E480">
        <v>52</v>
      </c>
      <c r="F480" t="s">
        <v>354</v>
      </c>
      <c r="G480">
        <v>218</v>
      </c>
      <c r="H480" t="s">
        <v>122</v>
      </c>
      <c r="I480" t="s">
        <v>123</v>
      </c>
      <c r="J480" t="s">
        <v>44</v>
      </c>
      <c r="K480" t="s">
        <v>45</v>
      </c>
      <c r="L480">
        <v>0</v>
      </c>
      <c r="M480" t="s">
        <v>46</v>
      </c>
      <c r="N480" t="s">
        <v>47</v>
      </c>
      <c r="O480">
        <v>0</v>
      </c>
      <c r="P480" t="s">
        <v>46</v>
      </c>
      <c r="Q480" t="s">
        <v>47</v>
      </c>
      <c r="R480" t="s">
        <v>347</v>
      </c>
      <c r="S480" t="s">
        <v>49</v>
      </c>
      <c r="T480" t="b">
        <v>1</v>
      </c>
      <c r="U480" t="s">
        <v>50</v>
      </c>
      <c r="V480" t="s">
        <v>51</v>
      </c>
      <c r="W480">
        <v>4</v>
      </c>
      <c r="X480" t="b">
        <v>0</v>
      </c>
      <c r="Y480" t="s">
        <v>52</v>
      </c>
      <c r="Z480" t="s">
        <v>53</v>
      </c>
      <c r="AA480" t="s">
        <v>54</v>
      </c>
      <c r="AB480">
        <v>0</v>
      </c>
      <c r="AC480" t="s">
        <v>55</v>
      </c>
      <c r="AD480">
        <v>-1</v>
      </c>
      <c r="AE480" t="s">
        <v>64</v>
      </c>
      <c r="AF480">
        <v>0</v>
      </c>
      <c r="AG480" t="b">
        <v>0</v>
      </c>
      <c r="AH480">
        <v>-1</v>
      </c>
      <c r="AI480" t="s">
        <v>64</v>
      </c>
      <c r="AJ480">
        <v>0</v>
      </c>
      <c r="AK480" t="b">
        <v>0</v>
      </c>
      <c r="AM480" t="b">
        <v>0</v>
      </c>
      <c r="AN480">
        <v>0</v>
      </c>
      <c r="AO480" t="b">
        <v>0</v>
      </c>
      <c r="AQ480">
        <v>1390803407.9000001</v>
      </c>
      <c r="AR480">
        <v>1390803407.9000001</v>
      </c>
      <c r="AS480">
        <v>0</v>
      </c>
      <c r="AT480" t="b">
        <v>0</v>
      </c>
      <c r="AU480" t="b">
        <v>1</v>
      </c>
      <c r="AV480" t="b">
        <v>1</v>
      </c>
      <c r="AW480" t="b">
        <v>1</v>
      </c>
      <c r="BC480" t="s">
        <v>374</v>
      </c>
    </row>
    <row r="481" spans="1:55" x14ac:dyDescent="0.2">
      <c r="A481" t="s">
        <v>39</v>
      </c>
      <c r="B481" t="s">
        <v>40</v>
      </c>
      <c r="C481">
        <v>20230101</v>
      </c>
      <c r="D481">
        <v>2023</v>
      </c>
      <c r="E481">
        <v>52</v>
      </c>
      <c r="F481" t="s">
        <v>354</v>
      </c>
      <c r="G481">
        <v>233</v>
      </c>
      <c r="H481" t="s">
        <v>124</v>
      </c>
      <c r="I481" t="s">
        <v>125</v>
      </c>
      <c r="J481" t="s">
        <v>44</v>
      </c>
      <c r="K481" t="s">
        <v>45</v>
      </c>
      <c r="L481">
        <v>0</v>
      </c>
      <c r="M481" t="s">
        <v>46</v>
      </c>
      <c r="N481" t="s">
        <v>47</v>
      </c>
      <c r="O481">
        <v>0</v>
      </c>
      <c r="P481" t="s">
        <v>46</v>
      </c>
      <c r="Q481" t="s">
        <v>47</v>
      </c>
      <c r="R481" t="s">
        <v>347</v>
      </c>
      <c r="S481" t="s">
        <v>49</v>
      </c>
      <c r="T481" t="b">
        <v>1</v>
      </c>
      <c r="U481" t="s">
        <v>50</v>
      </c>
      <c r="V481" t="s">
        <v>51</v>
      </c>
      <c r="W481">
        <v>4</v>
      </c>
      <c r="X481" t="b">
        <v>0</v>
      </c>
      <c r="Y481" t="s">
        <v>52</v>
      </c>
      <c r="Z481" t="s">
        <v>53</v>
      </c>
      <c r="AA481" t="s">
        <v>54</v>
      </c>
      <c r="AB481">
        <v>0</v>
      </c>
      <c r="AC481" t="s">
        <v>55</v>
      </c>
      <c r="AD481">
        <v>8</v>
      </c>
      <c r="AE481" t="s">
        <v>56</v>
      </c>
      <c r="AF481">
        <v>1674.3019999999999</v>
      </c>
      <c r="AG481" t="b">
        <v>0</v>
      </c>
      <c r="AH481">
        <v>15</v>
      </c>
      <c r="AI481" t="s">
        <v>59</v>
      </c>
      <c r="AJ481">
        <v>1674302.284</v>
      </c>
      <c r="AK481" t="b">
        <v>0</v>
      </c>
      <c r="AL481">
        <v>1674.2629999999999</v>
      </c>
      <c r="AM481" t="b">
        <v>0</v>
      </c>
      <c r="AN481">
        <v>0</v>
      </c>
      <c r="AO481" t="b">
        <v>0</v>
      </c>
      <c r="AQ481">
        <v>103577003.27</v>
      </c>
      <c r="AR481">
        <v>103577003.27</v>
      </c>
      <c r="AS481">
        <v>0</v>
      </c>
      <c r="AT481" t="b">
        <v>0</v>
      </c>
      <c r="AU481" t="b">
        <v>1</v>
      </c>
      <c r="AV481" t="b">
        <v>1</v>
      </c>
      <c r="AW481" t="b">
        <v>1</v>
      </c>
      <c r="BC481" t="s">
        <v>374</v>
      </c>
    </row>
    <row r="482" spans="1:55" x14ac:dyDescent="0.2">
      <c r="A482" t="s">
        <v>39</v>
      </c>
      <c r="B482" t="s">
        <v>40</v>
      </c>
      <c r="C482">
        <v>20230101</v>
      </c>
      <c r="D482">
        <v>2023</v>
      </c>
      <c r="E482">
        <v>52</v>
      </c>
      <c r="F482" t="s">
        <v>354</v>
      </c>
      <c r="G482">
        <v>242</v>
      </c>
      <c r="H482" t="s">
        <v>126</v>
      </c>
      <c r="I482" t="s">
        <v>127</v>
      </c>
      <c r="J482" t="s">
        <v>44</v>
      </c>
      <c r="K482" t="s">
        <v>45</v>
      </c>
      <c r="L482">
        <v>0</v>
      </c>
      <c r="M482" t="s">
        <v>46</v>
      </c>
      <c r="N482" t="s">
        <v>47</v>
      </c>
      <c r="O482">
        <v>0</v>
      </c>
      <c r="P482" t="s">
        <v>46</v>
      </c>
      <c r="Q482" t="s">
        <v>47</v>
      </c>
      <c r="R482" t="s">
        <v>347</v>
      </c>
      <c r="S482" t="s">
        <v>49</v>
      </c>
      <c r="T482" t="b">
        <v>1</v>
      </c>
      <c r="U482" t="s">
        <v>50</v>
      </c>
      <c r="V482" t="s">
        <v>51</v>
      </c>
      <c r="W482">
        <v>4</v>
      </c>
      <c r="X482" t="b">
        <v>0</v>
      </c>
      <c r="Y482" t="s">
        <v>52</v>
      </c>
      <c r="Z482" t="s">
        <v>53</v>
      </c>
      <c r="AA482" t="s">
        <v>54</v>
      </c>
      <c r="AB482">
        <v>0</v>
      </c>
      <c r="AC482" t="s">
        <v>55</v>
      </c>
      <c r="AD482">
        <v>-1</v>
      </c>
      <c r="AE482" t="s">
        <v>64</v>
      </c>
      <c r="AF482">
        <v>0</v>
      </c>
      <c r="AG482" t="b">
        <v>1</v>
      </c>
      <c r="AH482">
        <v>-1</v>
      </c>
      <c r="AI482" t="s">
        <v>64</v>
      </c>
      <c r="AJ482">
        <v>0</v>
      </c>
      <c r="AK482" t="b">
        <v>0</v>
      </c>
      <c r="AL482">
        <v>0</v>
      </c>
      <c r="AM482" t="b">
        <v>1</v>
      </c>
      <c r="AN482">
        <v>0</v>
      </c>
      <c r="AO482" t="b">
        <v>0</v>
      </c>
      <c r="AQ482">
        <v>43723391.817000002</v>
      </c>
      <c r="AR482">
        <v>43723391.817000002</v>
      </c>
      <c r="AS482">
        <v>6</v>
      </c>
      <c r="AT482" t="b">
        <v>0</v>
      </c>
      <c r="AU482" t="b">
        <v>1</v>
      </c>
      <c r="AV482" t="b">
        <v>1</v>
      </c>
      <c r="AW482" t="b">
        <v>1</v>
      </c>
      <c r="BC482" t="s">
        <v>374</v>
      </c>
    </row>
    <row r="483" spans="1:55" x14ac:dyDescent="0.2">
      <c r="A483" t="s">
        <v>39</v>
      </c>
      <c r="B483" t="s">
        <v>40</v>
      </c>
      <c r="C483">
        <v>20230101</v>
      </c>
      <c r="D483">
        <v>2023</v>
      </c>
      <c r="E483">
        <v>52</v>
      </c>
      <c r="F483" t="s">
        <v>354</v>
      </c>
      <c r="G483">
        <v>246</v>
      </c>
      <c r="H483" t="s">
        <v>128</v>
      </c>
      <c r="I483" t="s">
        <v>129</v>
      </c>
      <c r="J483" t="s">
        <v>44</v>
      </c>
      <c r="K483" t="s">
        <v>45</v>
      </c>
      <c r="L483">
        <v>0</v>
      </c>
      <c r="M483" t="s">
        <v>46</v>
      </c>
      <c r="N483" t="s">
        <v>47</v>
      </c>
      <c r="O483">
        <v>0</v>
      </c>
      <c r="P483" t="s">
        <v>46</v>
      </c>
      <c r="Q483" t="s">
        <v>47</v>
      </c>
      <c r="R483" t="s">
        <v>347</v>
      </c>
      <c r="S483" t="s">
        <v>49</v>
      </c>
      <c r="T483" t="b">
        <v>1</v>
      </c>
      <c r="U483" t="s">
        <v>50</v>
      </c>
      <c r="V483" t="s">
        <v>51</v>
      </c>
      <c r="W483">
        <v>4</v>
      </c>
      <c r="X483" t="b">
        <v>0</v>
      </c>
      <c r="Y483" t="s">
        <v>52</v>
      </c>
      <c r="Z483" t="s">
        <v>53</v>
      </c>
      <c r="AA483" t="s">
        <v>54</v>
      </c>
      <c r="AB483">
        <v>0</v>
      </c>
      <c r="AC483" t="s">
        <v>55</v>
      </c>
      <c r="AD483">
        <v>8</v>
      </c>
      <c r="AE483" t="s">
        <v>56</v>
      </c>
      <c r="AF483">
        <v>121.316</v>
      </c>
      <c r="AG483" t="b">
        <v>0</v>
      </c>
      <c r="AH483">
        <v>15</v>
      </c>
      <c r="AI483" t="s">
        <v>59</v>
      </c>
      <c r="AJ483">
        <v>121316</v>
      </c>
      <c r="AK483" t="b">
        <v>0</v>
      </c>
      <c r="AL483">
        <v>125.601</v>
      </c>
      <c r="AM483" t="b">
        <v>0</v>
      </c>
      <c r="AN483">
        <v>0</v>
      </c>
      <c r="AO483" t="b">
        <v>0</v>
      </c>
      <c r="AQ483">
        <v>6588316.7539999997</v>
      </c>
      <c r="AR483">
        <v>6588316.7539999997</v>
      </c>
      <c r="AS483">
        <v>0</v>
      </c>
      <c r="AT483" t="b">
        <v>0</v>
      </c>
      <c r="AU483" t="b">
        <v>1</v>
      </c>
      <c r="AV483" t="b">
        <v>1</v>
      </c>
      <c r="AW483" t="b">
        <v>1</v>
      </c>
      <c r="BC483" t="s">
        <v>374</v>
      </c>
    </row>
    <row r="484" spans="1:55" x14ac:dyDescent="0.2">
      <c r="A484" t="s">
        <v>39</v>
      </c>
      <c r="B484" t="s">
        <v>40</v>
      </c>
      <c r="C484">
        <v>20230101</v>
      </c>
      <c r="D484">
        <v>2023</v>
      </c>
      <c r="E484">
        <v>52</v>
      </c>
      <c r="F484" t="s">
        <v>354</v>
      </c>
      <c r="G484">
        <v>251</v>
      </c>
      <c r="H484" t="s">
        <v>130</v>
      </c>
      <c r="I484" t="s">
        <v>131</v>
      </c>
      <c r="J484" t="s">
        <v>44</v>
      </c>
      <c r="K484" t="s">
        <v>45</v>
      </c>
      <c r="L484">
        <v>0</v>
      </c>
      <c r="M484" t="s">
        <v>46</v>
      </c>
      <c r="N484" t="s">
        <v>47</v>
      </c>
      <c r="O484">
        <v>0</v>
      </c>
      <c r="P484" t="s">
        <v>46</v>
      </c>
      <c r="Q484" t="s">
        <v>47</v>
      </c>
      <c r="R484" t="s">
        <v>347</v>
      </c>
      <c r="S484" t="s">
        <v>49</v>
      </c>
      <c r="T484" t="b">
        <v>1</v>
      </c>
      <c r="U484" t="s">
        <v>50</v>
      </c>
      <c r="V484" t="s">
        <v>51</v>
      </c>
      <c r="W484">
        <v>4</v>
      </c>
      <c r="X484" t="b">
        <v>0</v>
      </c>
      <c r="Y484" t="s">
        <v>52</v>
      </c>
      <c r="Z484" t="s">
        <v>53</v>
      </c>
      <c r="AA484" t="s">
        <v>54</v>
      </c>
      <c r="AB484">
        <v>0</v>
      </c>
      <c r="AC484" t="s">
        <v>55</v>
      </c>
      <c r="AD484">
        <v>-1</v>
      </c>
      <c r="AE484" t="s">
        <v>64</v>
      </c>
      <c r="AF484">
        <v>0</v>
      </c>
      <c r="AG484" t="b">
        <v>0</v>
      </c>
      <c r="AH484">
        <v>-1</v>
      </c>
      <c r="AI484" t="s">
        <v>64</v>
      </c>
      <c r="AJ484">
        <v>0</v>
      </c>
      <c r="AK484" t="b">
        <v>0</v>
      </c>
      <c r="AM484" t="b">
        <v>0</v>
      </c>
      <c r="AN484">
        <v>0</v>
      </c>
      <c r="AO484" t="b">
        <v>0</v>
      </c>
      <c r="AQ484">
        <v>2505934972.6659999</v>
      </c>
      <c r="AR484">
        <v>2505934972.6659999</v>
      </c>
      <c r="AS484">
        <v>0</v>
      </c>
      <c r="AT484" t="b">
        <v>0</v>
      </c>
      <c r="AU484" t="b">
        <v>1</v>
      </c>
      <c r="AV484" t="b">
        <v>1</v>
      </c>
      <c r="AW484" t="b">
        <v>1</v>
      </c>
      <c r="BC484" t="s">
        <v>374</v>
      </c>
    </row>
    <row r="485" spans="1:55" x14ac:dyDescent="0.2">
      <c r="A485" t="s">
        <v>39</v>
      </c>
      <c r="B485" t="s">
        <v>40</v>
      </c>
      <c r="C485">
        <v>20230101</v>
      </c>
      <c r="D485">
        <v>2023</v>
      </c>
      <c r="E485">
        <v>52</v>
      </c>
      <c r="F485" t="s">
        <v>354</v>
      </c>
      <c r="G485">
        <v>258</v>
      </c>
      <c r="H485" t="s">
        <v>132</v>
      </c>
      <c r="I485" t="s">
        <v>133</v>
      </c>
      <c r="J485" t="s">
        <v>44</v>
      </c>
      <c r="K485" t="s">
        <v>45</v>
      </c>
      <c r="L485">
        <v>0</v>
      </c>
      <c r="M485" t="s">
        <v>46</v>
      </c>
      <c r="N485" t="s">
        <v>47</v>
      </c>
      <c r="O485">
        <v>0</v>
      </c>
      <c r="P485" t="s">
        <v>46</v>
      </c>
      <c r="Q485" t="s">
        <v>47</v>
      </c>
      <c r="R485" t="s">
        <v>48</v>
      </c>
      <c r="S485" t="s">
        <v>49</v>
      </c>
      <c r="T485" t="b">
        <v>1</v>
      </c>
      <c r="U485" t="s">
        <v>50</v>
      </c>
      <c r="V485" t="s">
        <v>51</v>
      </c>
      <c r="W485">
        <v>4</v>
      </c>
      <c r="X485" t="b">
        <v>0</v>
      </c>
      <c r="Y485" t="s">
        <v>52</v>
      </c>
      <c r="Z485" t="s">
        <v>53</v>
      </c>
      <c r="AA485" t="s">
        <v>54</v>
      </c>
      <c r="AB485">
        <v>0</v>
      </c>
      <c r="AC485" t="s">
        <v>55</v>
      </c>
      <c r="AD485">
        <v>8</v>
      </c>
      <c r="AE485" t="s">
        <v>56</v>
      </c>
      <c r="AF485">
        <v>8.4740000000000002</v>
      </c>
      <c r="AG485" t="b">
        <v>0</v>
      </c>
      <c r="AH485">
        <v>8</v>
      </c>
      <c r="AI485" t="s">
        <v>56</v>
      </c>
      <c r="AJ485">
        <v>8.4740000000000002</v>
      </c>
      <c r="AK485" t="b">
        <v>0</v>
      </c>
      <c r="AL485">
        <v>8.4740000000000002</v>
      </c>
      <c r="AM485" t="b">
        <v>0</v>
      </c>
      <c r="AN485">
        <v>0</v>
      </c>
      <c r="AO485" t="b">
        <v>0</v>
      </c>
      <c r="AQ485">
        <v>205107.94200000001</v>
      </c>
      <c r="AR485">
        <v>205107.94200000001</v>
      </c>
      <c r="AS485">
        <v>0</v>
      </c>
      <c r="AT485" t="b">
        <v>0</v>
      </c>
      <c r="AU485" t="b">
        <v>1</v>
      </c>
      <c r="AV485" t="b">
        <v>1</v>
      </c>
      <c r="AW485" t="b">
        <v>1</v>
      </c>
      <c r="BC485" t="s">
        <v>374</v>
      </c>
    </row>
    <row r="486" spans="1:55" x14ac:dyDescent="0.2">
      <c r="A486" t="s">
        <v>39</v>
      </c>
      <c r="B486" t="s">
        <v>40</v>
      </c>
      <c r="C486">
        <v>20230101</v>
      </c>
      <c r="D486">
        <v>2023</v>
      </c>
      <c r="E486">
        <v>52</v>
      </c>
      <c r="F486" t="s">
        <v>354</v>
      </c>
      <c r="G486">
        <v>266</v>
      </c>
      <c r="H486" t="s">
        <v>134</v>
      </c>
      <c r="I486" t="s">
        <v>135</v>
      </c>
      <c r="J486" t="s">
        <v>44</v>
      </c>
      <c r="K486" t="s">
        <v>45</v>
      </c>
      <c r="L486">
        <v>0</v>
      </c>
      <c r="M486" t="s">
        <v>46</v>
      </c>
      <c r="N486" t="s">
        <v>47</v>
      </c>
      <c r="O486">
        <v>0</v>
      </c>
      <c r="P486" t="s">
        <v>46</v>
      </c>
      <c r="Q486" t="s">
        <v>47</v>
      </c>
      <c r="R486" t="s">
        <v>347</v>
      </c>
      <c r="S486" t="s">
        <v>49</v>
      </c>
      <c r="T486" t="b">
        <v>1</v>
      </c>
      <c r="U486" t="s">
        <v>50</v>
      </c>
      <c r="V486" t="s">
        <v>51</v>
      </c>
      <c r="W486">
        <v>4</v>
      </c>
      <c r="X486" t="b">
        <v>0</v>
      </c>
      <c r="Y486" t="s">
        <v>52</v>
      </c>
      <c r="Z486" t="s">
        <v>53</v>
      </c>
      <c r="AA486" t="s">
        <v>54</v>
      </c>
      <c r="AB486">
        <v>0</v>
      </c>
      <c r="AC486" t="s">
        <v>55</v>
      </c>
      <c r="AD486">
        <v>8</v>
      </c>
      <c r="AE486" t="s">
        <v>56</v>
      </c>
      <c r="AF486">
        <v>232</v>
      </c>
      <c r="AG486" t="b">
        <v>0</v>
      </c>
      <c r="AH486">
        <v>8</v>
      </c>
      <c r="AI486" t="s">
        <v>56</v>
      </c>
      <c r="AJ486">
        <v>232</v>
      </c>
      <c r="AK486" t="b">
        <v>0</v>
      </c>
      <c r="AL486">
        <v>232</v>
      </c>
      <c r="AM486" t="b">
        <v>0</v>
      </c>
      <c r="AN486">
        <v>0</v>
      </c>
      <c r="AO486" t="b">
        <v>0</v>
      </c>
      <c r="AQ486">
        <v>13964382.198999999</v>
      </c>
      <c r="AR486">
        <v>13964382.198999999</v>
      </c>
      <c r="AS486">
        <v>0</v>
      </c>
      <c r="AT486" t="b">
        <v>0</v>
      </c>
      <c r="AU486" t="b">
        <v>1</v>
      </c>
      <c r="AV486" t="b">
        <v>1</v>
      </c>
      <c r="AW486" t="b">
        <v>1</v>
      </c>
      <c r="BC486" t="s">
        <v>374</v>
      </c>
    </row>
    <row r="487" spans="1:55" x14ac:dyDescent="0.2">
      <c r="A487" t="s">
        <v>39</v>
      </c>
      <c r="B487" t="s">
        <v>40</v>
      </c>
      <c r="C487">
        <v>20230101</v>
      </c>
      <c r="D487">
        <v>2023</v>
      </c>
      <c r="E487">
        <v>52</v>
      </c>
      <c r="F487" t="s">
        <v>354</v>
      </c>
      <c r="G487">
        <v>268</v>
      </c>
      <c r="H487" t="s">
        <v>137</v>
      </c>
      <c r="I487" t="s">
        <v>138</v>
      </c>
      <c r="J487" t="s">
        <v>44</v>
      </c>
      <c r="K487" t="s">
        <v>45</v>
      </c>
      <c r="L487">
        <v>0</v>
      </c>
      <c r="M487" t="s">
        <v>46</v>
      </c>
      <c r="N487" t="s">
        <v>47</v>
      </c>
      <c r="O487">
        <v>0</v>
      </c>
      <c r="P487" t="s">
        <v>46</v>
      </c>
      <c r="Q487" t="s">
        <v>47</v>
      </c>
      <c r="R487" t="s">
        <v>48</v>
      </c>
      <c r="S487" t="s">
        <v>49</v>
      </c>
      <c r="T487" t="b">
        <v>1</v>
      </c>
      <c r="U487" t="s">
        <v>50</v>
      </c>
      <c r="V487" t="s">
        <v>51</v>
      </c>
      <c r="W487">
        <v>4</v>
      </c>
      <c r="X487" t="b">
        <v>0</v>
      </c>
      <c r="Y487" t="s">
        <v>52</v>
      </c>
      <c r="Z487" t="s">
        <v>53</v>
      </c>
      <c r="AA487" t="s">
        <v>54</v>
      </c>
      <c r="AB487">
        <v>0</v>
      </c>
      <c r="AC487" t="s">
        <v>55</v>
      </c>
      <c r="AD487">
        <v>8</v>
      </c>
      <c r="AE487" t="s">
        <v>56</v>
      </c>
      <c r="AF487">
        <v>2724.8310000000001</v>
      </c>
      <c r="AG487" t="b">
        <v>0</v>
      </c>
      <c r="AH487">
        <v>8</v>
      </c>
      <c r="AI487" t="s">
        <v>56</v>
      </c>
      <c r="AJ487">
        <v>2724.8310000000001</v>
      </c>
      <c r="AK487" t="b">
        <v>0</v>
      </c>
      <c r="AL487">
        <v>2722.748</v>
      </c>
      <c r="AM487" t="b">
        <v>0</v>
      </c>
      <c r="AN487">
        <v>0</v>
      </c>
      <c r="AO487" t="b">
        <v>0</v>
      </c>
      <c r="AQ487">
        <v>88765990.459999993</v>
      </c>
      <c r="AR487">
        <v>88765990.459999993</v>
      </c>
      <c r="AS487">
        <v>0</v>
      </c>
      <c r="AT487" t="b">
        <v>0</v>
      </c>
      <c r="AU487" t="b">
        <v>1</v>
      </c>
      <c r="AV487" t="b">
        <v>1</v>
      </c>
      <c r="AW487" t="b">
        <v>1</v>
      </c>
      <c r="BC487" t="s">
        <v>374</v>
      </c>
    </row>
    <row r="488" spans="1:55" x14ac:dyDescent="0.2">
      <c r="A488" t="s">
        <v>39</v>
      </c>
      <c r="B488" t="s">
        <v>40</v>
      </c>
      <c r="C488">
        <v>20230101</v>
      </c>
      <c r="D488">
        <v>2023</v>
      </c>
      <c r="E488">
        <v>52</v>
      </c>
      <c r="F488" t="s">
        <v>354</v>
      </c>
      <c r="G488">
        <v>300</v>
      </c>
      <c r="H488" t="s">
        <v>143</v>
      </c>
      <c r="I488" t="s">
        <v>144</v>
      </c>
      <c r="J488" t="s">
        <v>44</v>
      </c>
      <c r="K488" t="s">
        <v>45</v>
      </c>
      <c r="L488">
        <v>0</v>
      </c>
      <c r="M488" t="s">
        <v>46</v>
      </c>
      <c r="N488" t="s">
        <v>47</v>
      </c>
      <c r="O488">
        <v>0</v>
      </c>
      <c r="P488" t="s">
        <v>46</v>
      </c>
      <c r="Q488" t="s">
        <v>47</v>
      </c>
      <c r="R488" t="s">
        <v>347</v>
      </c>
      <c r="S488" t="s">
        <v>49</v>
      </c>
      <c r="T488" t="b">
        <v>1</v>
      </c>
      <c r="U488" t="s">
        <v>50</v>
      </c>
      <c r="V488" t="s">
        <v>51</v>
      </c>
      <c r="W488">
        <v>4</v>
      </c>
      <c r="X488" t="b">
        <v>0</v>
      </c>
      <c r="Y488" t="s">
        <v>52</v>
      </c>
      <c r="Z488" t="s">
        <v>53</v>
      </c>
      <c r="AA488" t="s">
        <v>54</v>
      </c>
      <c r="AB488">
        <v>0</v>
      </c>
      <c r="AC488" t="s">
        <v>55</v>
      </c>
      <c r="AD488">
        <v>-1</v>
      </c>
      <c r="AE488" t="s">
        <v>64</v>
      </c>
      <c r="AF488">
        <v>0</v>
      </c>
      <c r="AG488" t="b">
        <v>0</v>
      </c>
      <c r="AH488">
        <v>-1</v>
      </c>
      <c r="AI488" t="s">
        <v>64</v>
      </c>
      <c r="AJ488">
        <v>0</v>
      </c>
      <c r="AK488" t="b">
        <v>0</v>
      </c>
      <c r="AM488" t="b">
        <v>0</v>
      </c>
      <c r="AN488">
        <v>0</v>
      </c>
      <c r="AO488" t="b">
        <v>0</v>
      </c>
      <c r="AQ488">
        <v>19461168.925000001</v>
      </c>
      <c r="AR488">
        <v>19461168.925000001</v>
      </c>
      <c r="AS488">
        <v>0</v>
      </c>
      <c r="AT488" t="b">
        <v>0</v>
      </c>
      <c r="AU488" t="b">
        <v>1</v>
      </c>
      <c r="AV488" t="b">
        <v>1</v>
      </c>
      <c r="AW488" t="b">
        <v>1</v>
      </c>
      <c r="BC488" t="s">
        <v>374</v>
      </c>
    </row>
    <row r="489" spans="1:55" x14ac:dyDescent="0.2">
      <c r="A489" t="s">
        <v>39</v>
      </c>
      <c r="B489" t="s">
        <v>40</v>
      </c>
      <c r="C489">
        <v>20230101</v>
      </c>
      <c r="D489">
        <v>2023</v>
      </c>
      <c r="E489">
        <v>52</v>
      </c>
      <c r="F489" t="s">
        <v>354</v>
      </c>
      <c r="G489">
        <v>328</v>
      </c>
      <c r="H489" t="s">
        <v>145</v>
      </c>
      <c r="I489" t="s">
        <v>146</v>
      </c>
      <c r="J489" t="s">
        <v>44</v>
      </c>
      <c r="K489" t="s">
        <v>45</v>
      </c>
      <c r="L489">
        <v>0</v>
      </c>
      <c r="M489" t="s">
        <v>46</v>
      </c>
      <c r="N489" t="s">
        <v>47</v>
      </c>
      <c r="O489">
        <v>0</v>
      </c>
      <c r="P489" t="s">
        <v>46</v>
      </c>
      <c r="Q489" t="s">
        <v>47</v>
      </c>
      <c r="R489" t="s">
        <v>48</v>
      </c>
      <c r="S489" t="s">
        <v>49</v>
      </c>
      <c r="T489" t="b">
        <v>1</v>
      </c>
      <c r="U489" t="s">
        <v>50</v>
      </c>
      <c r="V489" t="s">
        <v>51</v>
      </c>
      <c r="W489">
        <v>4</v>
      </c>
      <c r="X489" t="b">
        <v>0</v>
      </c>
      <c r="Y489" t="s">
        <v>52</v>
      </c>
      <c r="Z489" t="s">
        <v>53</v>
      </c>
      <c r="AA489" t="s">
        <v>54</v>
      </c>
      <c r="AB489">
        <v>0</v>
      </c>
      <c r="AC489" t="s">
        <v>55</v>
      </c>
      <c r="AD489">
        <v>8</v>
      </c>
      <c r="AE489" t="s">
        <v>56</v>
      </c>
      <c r="AF489">
        <v>9835.08</v>
      </c>
      <c r="AG489" t="b">
        <v>0</v>
      </c>
      <c r="AH489">
        <v>5</v>
      </c>
      <c r="AI489" t="s">
        <v>312</v>
      </c>
      <c r="AJ489">
        <v>312402.46000000002</v>
      </c>
      <c r="AK489" t="b">
        <v>0</v>
      </c>
      <c r="AL489">
        <v>9835.08</v>
      </c>
      <c r="AM489" t="b">
        <v>0</v>
      </c>
      <c r="AN489">
        <v>0</v>
      </c>
      <c r="AO489" t="b">
        <v>0</v>
      </c>
      <c r="AQ489">
        <v>581013970.32799995</v>
      </c>
      <c r="AR489">
        <v>581013970.32799995</v>
      </c>
      <c r="AS489">
        <v>0</v>
      </c>
      <c r="AT489" t="b">
        <v>0</v>
      </c>
      <c r="AU489" t="b">
        <v>1</v>
      </c>
      <c r="AV489" t="b">
        <v>1</v>
      </c>
      <c r="AW489" t="b">
        <v>1</v>
      </c>
      <c r="BC489" t="s">
        <v>374</v>
      </c>
    </row>
    <row r="490" spans="1:55" x14ac:dyDescent="0.2">
      <c r="A490" t="s">
        <v>39</v>
      </c>
      <c r="B490" t="s">
        <v>40</v>
      </c>
      <c r="C490">
        <v>20230101</v>
      </c>
      <c r="D490">
        <v>2023</v>
      </c>
      <c r="E490">
        <v>52</v>
      </c>
      <c r="F490" t="s">
        <v>354</v>
      </c>
      <c r="G490">
        <v>340</v>
      </c>
      <c r="H490" t="s">
        <v>147</v>
      </c>
      <c r="I490" t="s">
        <v>148</v>
      </c>
      <c r="J490" t="s">
        <v>44</v>
      </c>
      <c r="K490" t="s">
        <v>45</v>
      </c>
      <c r="L490">
        <v>0</v>
      </c>
      <c r="M490" t="s">
        <v>46</v>
      </c>
      <c r="N490" t="s">
        <v>47</v>
      </c>
      <c r="O490">
        <v>0</v>
      </c>
      <c r="P490" t="s">
        <v>46</v>
      </c>
      <c r="Q490" t="s">
        <v>47</v>
      </c>
      <c r="R490" t="s">
        <v>347</v>
      </c>
      <c r="S490" t="s">
        <v>49</v>
      </c>
      <c r="T490" t="b">
        <v>1</v>
      </c>
      <c r="U490" t="s">
        <v>50</v>
      </c>
      <c r="V490" t="s">
        <v>51</v>
      </c>
      <c r="W490">
        <v>4</v>
      </c>
      <c r="X490" t="b">
        <v>0</v>
      </c>
      <c r="Y490" t="s">
        <v>52</v>
      </c>
      <c r="Z490" t="s">
        <v>53</v>
      </c>
      <c r="AA490" t="s">
        <v>54</v>
      </c>
      <c r="AB490">
        <v>0</v>
      </c>
      <c r="AC490" t="s">
        <v>55</v>
      </c>
      <c r="AD490">
        <v>8</v>
      </c>
      <c r="AE490" t="s">
        <v>56</v>
      </c>
      <c r="AF490">
        <v>2157.12</v>
      </c>
      <c r="AG490" t="b">
        <v>0</v>
      </c>
      <c r="AH490">
        <v>8</v>
      </c>
      <c r="AI490" t="s">
        <v>56</v>
      </c>
      <c r="AJ490">
        <v>2157.12</v>
      </c>
      <c r="AK490" t="b">
        <v>0</v>
      </c>
      <c r="AL490">
        <v>2157.12</v>
      </c>
      <c r="AM490" t="b">
        <v>0</v>
      </c>
      <c r="AN490">
        <v>0</v>
      </c>
      <c r="AO490" t="b">
        <v>0</v>
      </c>
      <c r="AQ490">
        <v>134177111.53</v>
      </c>
      <c r="AR490">
        <v>134177111.53</v>
      </c>
      <c r="AS490">
        <v>0</v>
      </c>
      <c r="AT490" t="b">
        <v>0</v>
      </c>
      <c r="AU490" t="b">
        <v>1</v>
      </c>
      <c r="AV490" t="b">
        <v>1</v>
      </c>
      <c r="AW490" t="b">
        <v>1</v>
      </c>
      <c r="BC490" t="s">
        <v>374</v>
      </c>
    </row>
    <row r="491" spans="1:55" x14ac:dyDescent="0.2">
      <c r="A491" t="s">
        <v>39</v>
      </c>
      <c r="B491" t="s">
        <v>40</v>
      </c>
      <c r="C491">
        <v>20230101</v>
      </c>
      <c r="D491">
        <v>2023</v>
      </c>
      <c r="E491">
        <v>52</v>
      </c>
      <c r="F491" t="s">
        <v>354</v>
      </c>
      <c r="G491">
        <v>348</v>
      </c>
      <c r="H491" t="s">
        <v>151</v>
      </c>
      <c r="I491" t="s">
        <v>152</v>
      </c>
      <c r="J491" t="s">
        <v>44</v>
      </c>
      <c r="K491" t="s">
        <v>45</v>
      </c>
      <c r="L491">
        <v>0</v>
      </c>
      <c r="M491" t="s">
        <v>46</v>
      </c>
      <c r="N491" t="s">
        <v>47</v>
      </c>
      <c r="O491">
        <v>0</v>
      </c>
      <c r="P491" t="s">
        <v>46</v>
      </c>
      <c r="Q491" t="s">
        <v>47</v>
      </c>
      <c r="R491" t="s">
        <v>347</v>
      </c>
      <c r="S491" t="s">
        <v>49</v>
      </c>
      <c r="T491" t="b">
        <v>1</v>
      </c>
      <c r="U491" t="s">
        <v>50</v>
      </c>
      <c r="V491" t="s">
        <v>51</v>
      </c>
      <c r="W491">
        <v>4</v>
      </c>
      <c r="X491" t="b">
        <v>0</v>
      </c>
      <c r="Y491" t="s">
        <v>52</v>
      </c>
      <c r="Z491" t="s">
        <v>53</v>
      </c>
      <c r="AA491" t="s">
        <v>54</v>
      </c>
      <c r="AB491">
        <v>0</v>
      </c>
      <c r="AC491" t="s">
        <v>55</v>
      </c>
      <c r="AD491">
        <v>-1</v>
      </c>
      <c r="AE491" t="s">
        <v>64</v>
      </c>
      <c r="AF491">
        <v>0</v>
      </c>
      <c r="AG491" t="b">
        <v>0</v>
      </c>
      <c r="AH491">
        <v>-1</v>
      </c>
      <c r="AI491" t="s">
        <v>64</v>
      </c>
      <c r="AJ491">
        <v>0</v>
      </c>
      <c r="AK491" t="b">
        <v>0</v>
      </c>
      <c r="AL491">
        <v>0</v>
      </c>
      <c r="AM491" t="b">
        <v>0</v>
      </c>
      <c r="AN491">
        <v>0</v>
      </c>
      <c r="AO491" t="b">
        <v>0</v>
      </c>
      <c r="AQ491">
        <v>63090715</v>
      </c>
      <c r="AR491">
        <v>63090715</v>
      </c>
      <c r="AS491">
        <v>0</v>
      </c>
      <c r="AT491" t="b">
        <v>0</v>
      </c>
      <c r="AU491" t="b">
        <v>1</v>
      </c>
      <c r="AV491" t="b">
        <v>1</v>
      </c>
      <c r="AW491" t="b">
        <v>1</v>
      </c>
      <c r="BC491" t="s">
        <v>374</v>
      </c>
    </row>
    <row r="492" spans="1:55" x14ac:dyDescent="0.2">
      <c r="A492" t="s">
        <v>39</v>
      </c>
      <c r="B492" t="s">
        <v>40</v>
      </c>
      <c r="C492">
        <v>20230101</v>
      </c>
      <c r="D492">
        <v>2023</v>
      </c>
      <c r="E492">
        <v>52</v>
      </c>
      <c r="F492" t="s">
        <v>354</v>
      </c>
      <c r="G492">
        <v>360</v>
      </c>
      <c r="H492" t="s">
        <v>155</v>
      </c>
      <c r="I492" t="s">
        <v>156</v>
      </c>
      <c r="J492" t="s">
        <v>44</v>
      </c>
      <c r="K492" t="s">
        <v>45</v>
      </c>
      <c r="L492">
        <v>0</v>
      </c>
      <c r="M492" t="s">
        <v>46</v>
      </c>
      <c r="N492" t="s">
        <v>47</v>
      </c>
      <c r="O492">
        <v>0</v>
      </c>
      <c r="P492" t="s">
        <v>46</v>
      </c>
      <c r="Q492" t="s">
        <v>47</v>
      </c>
      <c r="R492" t="s">
        <v>347</v>
      </c>
      <c r="S492" t="s">
        <v>49</v>
      </c>
      <c r="T492" t="b">
        <v>1</v>
      </c>
      <c r="U492" t="s">
        <v>50</v>
      </c>
      <c r="V492" t="s">
        <v>51</v>
      </c>
      <c r="W492">
        <v>4</v>
      </c>
      <c r="X492" t="b">
        <v>0</v>
      </c>
      <c r="Y492" t="s">
        <v>52</v>
      </c>
      <c r="Z492" t="s">
        <v>53</v>
      </c>
      <c r="AA492" t="s">
        <v>54</v>
      </c>
      <c r="AB492">
        <v>0</v>
      </c>
      <c r="AC492" t="s">
        <v>55</v>
      </c>
      <c r="AD492">
        <v>8</v>
      </c>
      <c r="AE492" t="s">
        <v>56</v>
      </c>
      <c r="AF492">
        <v>13611.66</v>
      </c>
      <c r="AG492" t="b">
        <v>0</v>
      </c>
      <c r="AH492">
        <v>8</v>
      </c>
      <c r="AI492" t="s">
        <v>56</v>
      </c>
      <c r="AJ492">
        <v>13611.66</v>
      </c>
      <c r="AK492" t="b">
        <v>0</v>
      </c>
      <c r="AL492">
        <v>13611.66</v>
      </c>
      <c r="AM492" t="b">
        <v>0</v>
      </c>
      <c r="AN492">
        <v>0</v>
      </c>
      <c r="AO492" t="b">
        <v>0</v>
      </c>
      <c r="AQ492">
        <v>848316873.29999995</v>
      </c>
      <c r="AR492">
        <v>848316873.29999995</v>
      </c>
      <c r="AS492">
        <v>0</v>
      </c>
      <c r="AT492" t="b">
        <v>0</v>
      </c>
      <c r="AU492" t="b">
        <v>1</v>
      </c>
      <c r="AV492" t="b">
        <v>1</v>
      </c>
      <c r="AW492" t="b">
        <v>1</v>
      </c>
      <c r="BC492" t="s">
        <v>374</v>
      </c>
    </row>
    <row r="493" spans="1:55" x14ac:dyDescent="0.2">
      <c r="A493" t="s">
        <v>39</v>
      </c>
      <c r="B493" t="s">
        <v>40</v>
      </c>
      <c r="C493">
        <v>20230101</v>
      </c>
      <c r="D493">
        <v>2023</v>
      </c>
      <c r="E493">
        <v>52</v>
      </c>
      <c r="F493" t="s">
        <v>354</v>
      </c>
      <c r="G493">
        <v>372</v>
      </c>
      <c r="H493" t="s">
        <v>157</v>
      </c>
      <c r="I493" t="s">
        <v>158</v>
      </c>
      <c r="J493" t="s">
        <v>44</v>
      </c>
      <c r="K493" t="s">
        <v>45</v>
      </c>
      <c r="L493">
        <v>0</v>
      </c>
      <c r="M493" t="s">
        <v>46</v>
      </c>
      <c r="N493" t="s">
        <v>47</v>
      </c>
      <c r="O493">
        <v>0</v>
      </c>
      <c r="P493" t="s">
        <v>46</v>
      </c>
      <c r="Q493" t="s">
        <v>47</v>
      </c>
      <c r="R493" t="s">
        <v>347</v>
      </c>
      <c r="S493" t="s">
        <v>49</v>
      </c>
      <c r="T493" t="b">
        <v>1</v>
      </c>
      <c r="U493" t="s">
        <v>50</v>
      </c>
      <c r="V493" t="s">
        <v>51</v>
      </c>
      <c r="W493">
        <v>4</v>
      </c>
      <c r="X493" t="b">
        <v>0</v>
      </c>
      <c r="Y493" t="s">
        <v>52</v>
      </c>
      <c r="Z493" t="s">
        <v>53</v>
      </c>
      <c r="AA493" t="s">
        <v>54</v>
      </c>
      <c r="AB493">
        <v>0</v>
      </c>
      <c r="AC493" t="s">
        <v>55</v>
      </c>
      <c r="AD493">
        <v>8</v>
      </c>
      <c r="AE493" t="s">
        <v>56</v>
      </c>
      <c r="AF493">
        <v>335.43599999999998</v>
      </c>
      <c r="AG493" t="b">
        <v>0</v>
      </c>
      <c r="AH493">
        <v>15</v>
      </c>
      <c r="AI493" t="s">
        <v>59</v>
      </c>
      <c r="AJ493">
        <v>335436</v>
      </c>
      <c r="AK493" t="b">
        <v>0</v>
      </c>
      <c r="AM493" t="b">
        <v>0</v>
      </c>
      <c r="AN493">
        <v>0</v>
      </c>
      <c r="AO493" t="b">
        <v>0</v>
      </c>
      <c r="AQ493">
        <v>13740894.619000001</v>
      </c>
      <c r="AR493">
        <v>13740894.619000001</v>
      </c>
      <c r="AS493">
        <v>0</v>
      </c>
      <c r="AT493" t="b">
        <v>0</v>
      </c>
      <c r="AU493" t="b">
        <v>1</v>
      </c>
      <c r="AV493" t="b">
        <v>1</v>
      </c>
      <c r="AW493" t="b">
        <v>1</v>
      </c>
      <c r="BC493" t="s">
        <v>374</v>
      </c>
    </row>
    <row r="494" spans="1:55" x14ac:dyDescent="0.2">
      <c r="A494" t="s">
        <v>39</v>
      </c>
      <c r="B494" t="s">
        <v>40</v>
      </c>
      <c r="C494">
        <v>20230101</v>
      </c>
      <c r="D494">
        <v>2023</v>
      </c>
      <c r="E494">
        <v>52</v>
      </c>
      <c r="F494" t="s">
        <v>354</v>
      </c>
      <c r="G494">
        <v>376</v>
      </c>
      <c r="H494" t="s">
        <v>159</v>
      </c>
      <c r="I494" t="s">
        <v>160</v>
      </c>
      <c r="J494" t="s">
        <v>44</v>
      </c>
      <c r="K494" t="s">
        <v>45</v>
      </c>
      <c r="L494">
        <v>0</v>
      </c>
      <c r="M494" t="s">
        <v>46</v>
      </c>
      <c r="N494" t="s">
        <v>47</v>
      </c>
      <c r="O494">
        <v>0</v>
      </c>
      <c r="P494" t="s">
        <v>46</v>
      </c>
      <c r="Q494" t="s">
        <v>47</v>
      </c>
      <c r="R494" t="s">
        <v>347</v>
      </c>
      <c r="S494" t="s">
        <v>49</v>
      </c>
      <c r="T494" t="b">
        <v>1</v>
      </c>
      <c r="U494" t="s">
        <v>50</v>
      </c>
      <c r="V494" t="s">
        <v>51</v>
      </c>
      <c r="W494">
        <v>4</v>
      </c>
      <c r="X494" t="b">
        <v>0</v>
      </c>
      <c r="Y494" t="s">
        <v>52</v>
      </c>
      <c r="Z494" t="s">
        <v>53</v>
      </c>
      <c r="AA494" t="s">
        <v>54</v>
      </c>
      <c r="AB494">
        <v>0</v>
      </c>
      <c r="AC494" t="s">
        <v>55</v>
      </c>
      <c r="AD494">
        <v>8</v>
      </c>
      <c r="AE494" t="s">
        <v>56</v>
      </c>
      <c r="AF494">
        <v>78.757000000000005</v>
      </c>
      <c r="AG494" t="b">
        <v>1</v>
      </c>
      <c r="AH494">
        <v>-1</v>
      </c>
      <c r="AI494" t="s">
        <v>64</v>
      </c>
      <c r="AJ494">
        <v>0</v>
      </c>
      <c r="AK494" t="b">
        <v>0</v>
      </c>
      <c r="AL494">
        <v>78.757000000000005</v>
      </c>
      <c r="AM494" t="b">
        <v>1</v>
      </c>
      <c r="AN494">
        <v>0</v>
      </c>
      <c r="AO494" t="b">
        <v>0</v>
      </c>
      <c r="AQ494">
        <v>4763000</v>
      </c>
      <c r="AR494">
        <v>4763000</v>
      </c>
      <c r="AS494">
        <v>6</v>
      </c>
      <c r="AT494" t="b">
        <v>0</v>
      </c>
      <c r="AU494" t="b">
        <v>1</v>
      </c>
      <c r="AV494" t="b">
        <v>1</v>
      </c>
      <c r="AW494" t="b">
        <v>1</v>
      </c>
      <c r="BC494" t="s">
        <v>374</v>
      </c>
    </row>
    <row r="495" spans="1:55" x14ac:dyDescent="0.2">
      <c r="A495" t="s">
        <v>39</v>
      </c>
      <c r="B495" t="s">
        <v>40</v>
      </c>
      <c r="C495">
        <v>20230101</v>
      </c>
      <c r="D495">
        <v>2023</v>
      </c>
      <c r="E495">
        <v>52</v>
      </c>
      <c r="F495" t="s">
        <v>354</v>
      </c>
      <c r="G495">
        <v>380</v>
      </c>
      <c r="H495" t="s">
        <v>161</v>
      </c>
      <c r="I495" t="s">
        <v>162</v>
      </c>
      <c r="J495" t="s">
        <v>44</v>
      </c>
      <c r="K495" t="s">
        <v>45</v>
      </c>
      <c r="L495">
        <v>0</v>
      </c>
      <c r="M495" t="s">
        <v>46</v>
      </c>
      <c r="N495" t="s">
        <v>47</v>
      </c>
      <c r="O495">
        <v>0</v>
      </c>
      <c r="P495" t="s">
        <v>46</v>
      </c>
      <c r="Q495" t="s">
        <v>47</v>
      </c>
      <c r="R495" t="s">
        <v>347</v>
      </c>
      <c r="S495" t="s">
        <v>49</v>
      </c>
      <c r="T495" t="b">
        <v>1</v>
      </c>
      <c r="U495" t="s">
        <v>50</v>
      </c>
      <c r="V495" t="s">
        <v>51</v>
      </c>
      <c r="W495">
        <v>4</v>
      </c>
      <c r="X495" t="b">
        <v>0</v>
      </c>
      <c r="Y495" t="s">
        <v>52</v>
      </c>
      <c r="Z495" t="s">
        <v>53</v>
      </c>
      <c r="AA495" t="s">
        <v>54</v>
      </c>
      <c r="AB495">
        <v>0</v>
      </c>
      <c r="AC495" t="s">
        <v>55</v>
      </c>
      <c r="AD495">
        <v>-1</v>
      </c>
      <c r="AE495" t="s">
        <v>64</v>
      </c>
      <c r="AF495">
        <v>0</v>
      </c>
      <c r="AG495" t="b">
        <v>0</v>
      </c>
      <c r="AH495">
        <v>-1</v>
      </c>
      <c r="AI495" t="s">
        <v>64</v>
      </c>
      <c r="AJ495">
        <v>0</v>
      </c>
      <c r="AK495" t="b">
        <v>0</v>
      </c>
      <c r="AM495" t="b">
        <v>0</v>
      </c>
      <c r="AN495">
        <v>0</v>
      </c>
      <c r="AO495" t="b">
        <v>0</v>
      </c>
      <c r="AQ495">
        <v>3646066741.9320002</v>
      </c>
      <c r="AR495">
        <v>3646066741.9320002</v>
      </c>
      <c r="AS495">
        <v>0</v>
      </c>
      <c r="AT495" t="b">
        <v>0</v>
      </c>
      <c r="AU495" t="b">
        <v>1</v>
      </c>
      <c r="AV495" t="b">
        <v>1</v>
      </c>
      <c r="AW495" t="b">
        <v>1</v>
      </c>
      <c r="BC495" t="s">
        <v>374</v>
      </c>
    </row>
    <row r="496" spans="1:55" x14ac:dyDescent="0.2">
      <c r="A496" t="s">
        <v>39</v>
      </c>
      <c r="B496" t="s">
        <v>40</v>
      </c>
      <c r="C496">
        <v>20230101</v>
      </c>
      <c r="D496">
        <v>2023</v>
      </c>
      <c r="E496">
        <v>52</v>
      </c>
      <c r="F496" t="s">
        <v>354</v>
      </c>
      <c r="G496">
        <v>384</v>
      </c>
      <c r="H496" t="s">
        <v>163</v>
      </c>
      <c r="I496" t="s">
        <v>164</v>
      </c>
      <c r="J496" t="s">
        <v>44</v>
      </c>
      <c r="K496" t="s">
        <v>45</v>
      </c>
      <c r="L496">
        <v>0</v>
      </c>
      <c r="M496" t="s">
        <v>46</v>
      </c>
      <c r="N496" t="s">
        <v>47</v>
      </c>
      <c r="O496">
        <v>0</v>
      </c>
      <c r="P496" t="s">
        <v>46</v>
      </c>
      <c r="Q496" t="s">
        <v>47</v>
      </c>
      <c r="R496" t="s">
        <v>347</v>
      </c>
      <c r="S496" t="s">
        <v>49</v>
      </c>
      <c r="T496" t="b">
        <v>1</v>
      </c>
      <c r="U496" t="s">
        <v>50</v>
      </c>
      <c r="V496" t="s">
        <v>51</v>
      </c>
      <c r="W496">
        <v>4</v>
      </c>
      <c r="X496" t="b">
        <v>0</v>
      </c>
      <c r="Y496" t="s">
        <v>52</v>
      </c>
      <c r="Z496" t="s">
        <v>53</v>
      </c>
      <c r="AA496" t="s">
        <v>54</v>
      </c>
      <c r="AB496">
        <v>0</v>
      </c>
      <c r="AC496" t="s">
        <v>55</v>
      </c>
      <c r="AD496">
        <v>8</v>
      </c>
      <c r="AE496" t="s">
        <v>56</v>
      </c>
      <c r="AF496">
        <v>50297</v>
      </c>
      <c r="AG496" t="b">
        <v>0</v>
      </c>
      <c r="AH496">
        <v>8</v>
      </c>
      <c r="AI496" t="s">
        <v>56</v>
      </c>
      <c r="AJ496">
        <v>50297</v>
      </c>
      <c r="AK496" t="b">
        <v>0</v>
      </c>
      <c r="AL496">
        <v>50297</v>
      </c>
      <c r="AM496" t="b">
        <v>0</v>
      </c>
      <c r="AN496">
        <v>0</v>
      </c>
      <c r="AO496" t="b">
        <v>0</v>
      </c>
      <c r="AQ496">
        <v>2352721430.6609998</v>
      </c>
      <c r="AR496">
        <v>2352721430.6609998</v>
      </c>
      <c r="AS496">
        <v>0</v>
      </c>
      <c r="AT496" t="b">
        <v>0</v>
      </c>
      <c r="AU496" t="b">
        <v>1</v>
      </c>
      <c r="AV496" t="b">
        <v>1</v>
      </c>
      <c r="AW496" t="b">
        <v>1</v>
      </c>
      <c r="BC496" t="s">
        <v>374</v>
      </c>
    </row>
    <row r="497" spans="1:55" x14ac:dyDescent="0.2">
      <c r="A497" t="s">
        <v>39</v>
      </c>
      <c r="B497" t="s">
        <v>40</v>
      </c>
      <c r="C497">
        <v>20230101</v>
      </c>
      <c r="D497">
        <v>2023</v>
      </c>
      <c r="E497">
        <v>52</v>
      </c>
      <c r="F497" t="s">
        <v>354</v>
      </c>
      <c r="G497">
        <v>388</v>
      </c>
      <c r="H497" t="s">
        <v>336</v>
      </c>
      <c r="I497" t="s">
        <v>337</v>
      </c>
      <c r="J497" t="s">
        <v>44</v>
      </c>
      <c r="K497" t="s">
        <v>45</v>
      </c>
      <c r="L497">
        <v>0</v>
      </c>
      <c r="M497" t="s">
        <v>46</v>
      </c>
      <c r="N497" t="s">
        <v>47</v>
      </c>
      <c r="O497">
        <v>0</v>
      </c>
      <c r="P497" t="s">
        <v>46</v>
      </c>
      <c r="Q497" t="s">
        <v>47</v>
      </c>
      <c r="R497" t="s">
        <v>347</v>
      </c>
      <c r="S497" t="s">
        <v>49</v>
      </c>
      <c r="T497" t="b">
        <v>1</v>
      </c>
      <c r="U497" t="s">
        <v>50</v>
      </c>
      <c r="V497" t="s">
        <v>51</v>
      </c>
      <c r="W497">
        <v>4</v>
      </c>
      <c r="X497" t="b">
        <v>0</v>
      </c>
      <c r="Y497" t="s">
        <v>52</v>
      </c>
      <c r="Z497" t="s">
        <v>53</v>
      </c>
      <c r="AA497" t="s">
        <v>54</v>
      </c>
      <c r="AB497">
        <v>0</v>
      </c>
      <c r="AC497" t="s">
        <v>55</v>
      </c>
      <c r="AD497">
        <v>8</v>
      </c>
      <c r="AE497" t="s">
        <v>56</v>
      </c>
      <c r="AF497">
        <v>2.48</v>
      </c>
      <c r="AG497" t="b">
        <v>0</v>
      </c>
      <c r="AH497">
        <v>8</v>
      </c>
      <c r="AI497" t="s">
        <v>56</v>
      </c>
      <c r="AJ497">
        <v>2.48</v>
      </c>
      <c r="AK497" t="b">
        <v>0</v>
      </c>
      <c r="AL497">
        <v>2.48</v>
      </c>
      <c r="AM497" t="b">
        <v>0</v>
      </c>
      <c r="AN497">
        <v>0</v>
      </c>
      <c r="AO497" t="b">
        <v>0</v>
      </c>
      <c r="AQ497">
        <v>66116.11</v>
      </c>
      <c r="AR497">
        <v>66116.11</v>
      </c>
      <c r="AS497">
        <v>0</v>
      </c>
      <c r="AT497" t="b">
        <v>0</v>
      </c>
      <c r="AU497" t="b">
        <v>1</v>
      </c>
      <c r="AV497" t="b">
        <v>1</v>
      </c>
      <c r="AW497" t="b">
        <v>1</v>
      </c>
      <c r="BC497" t="s">
        <v>374</v>
      </c>
    </row>
    <row r="498" spans="1:55" x14ac:dyDescent="0.2">
      <c r="A498" t="s">
        <v>39</v>
      </c>
      <c r="B498" t="s">
        <v>40</v>
      </c>
      <c r="C498">
        <v>20230101</v>
      </c>
      <c r="D498">
        <v>2023</v>
      </c>
      <c r="E498">
        <v>52</v>
      </c>
      <c r="F498" t="s">
        <v>354</v>
      </c>
      <c r="G498">
        <v>398</v>
      </c>
      <c r="H498" t="s">
        <v>167</v>
      </c>
      <c r="I498" t="s">
        <v>168</v>
      </c>
      <c r="J498" t="s">
        <v>44</v>
      </c>
      <c r="K498" t="s">
        <v>45</v>
      </c>
      <c r="L498">
        <v>0</v>
      </c>
      <c r="M498" t="s">
        <v>46</v>
      </c>
      <c r="N498" t="s">
        <v>47</v>
      </c>
      <c r="O498">
        <v>0</v>
      </c>
      <c r="P498" t="s">
        <v>46</v>
      </c>
      <c r="Q498" t="s">
        <v>47</v>
      </c>
      <c r="R498" t="s">
        <v>347</v>
      </c>
      <c r="S498" t="s">
        <v>49</v>
      </c>
      <c r="T498" t="b">
        <v>1</v>
      </c>
      <c r="U498" t="s">
        <v>50</v>
      </c>
      <c r="V498" t="s">
        <v>51</v>
      </c>
      <c r="W498">
        <v>4</v>
      </c>
      <c r="X498" t="b">
        <v>0</v>
      </c>
      <c r="Y498" t="s">
        <v>52</v>
      </c>
      <c r="Z498" t="s">
        <v>53</v>
      </c>
      <c r="AA498" t="s">
        <v>54</v>
      </c>
      <c r="AB498">
        <v>0</v>
      </c>
      <c r="AC498" t="s">
        <v>55</v>
      </c>
      <c r="AD498">
        <v>-1</v>
      </c>
      <c r="AE498" t="s">
        <v>64</v>
      </c>
      <c r="AF498">
        <v>0</v>
      </c>
      <c r="AG498" t="b">
        <v>0</v>
      </c>
      <c r="AH498">
        <v>-1</v>
      </c>
      <c r="AI498" t="s">
        <v>64</v>
      </c>
      <c r="AJ498">
        <v>0</v>
      </c>
      <c r="AK498" t="b">
        <v>0</v>
      </c>
      <c r="AM498" t="b">
        <v>0</v>
      </c>
      <c r="AN498">
        <v>0</v>
      </c>
      <c r="AO498" t="b">
        <v>0</v>
      </c>
      <c r="AQ498">
        <v>430770717.81999999</v>
      </c>
      <c r="AR498">
        <v>430770717.81999999</v>
      </c>
      <c r="AS498">
        <v>0</v>
      </c>
      <c r="AT498" t="b">
        <v>0</v>
      </c>
      <c r="AU498" t="b">
        <v>1</v>
      </c>
      <c r="AV498" t="b">
        <v>1</v>
      </c>
      <c r="AW498" t="b">
        <v>1</v>
      </c>
      <c r="BC498" t="s">
        <v>374</v>
      </c>
    </row>
    <row r="499" spans="1:55" x14ac:dyDescent="0.2">
      <c r="A499" t="s">
        <v>39</v>
      </c>
      <c r="B499" t="s">
        <v>40</v>
      </c>
      <c r="C499">
        <v>20230101</v>
      </c>
      <c r="D499">
        <v>2023</v>
      </c>
      <c r="E499">
        <v>52</v>
      </c>
      <c r="F499" t="s">
        <v>354</v>
      </c>
      <c r="G499">
        <v>400</v>
      </c>
      <c r="H499" t="s">
        <v>169</v>
      </c>
      <c r="I499" t="s">
        <v>170</v>
      </c>
      <c r="J499" t="s">
        <v>44</v>
      </c>
      <c r="K499" t="s">
        <v>45</v>
      </c>
      <c r="L499">
        <v>0</v>
      </c>
      <c r="M499" t="s">
        <v>46</v>
      </c>
      <c r="N499" t="s">
        <v>47</v>
      </c>
      <c r="O499">
        <v>0</v>
      </c>
      <c r="P499" t="s">
        <v>46</v>
      </c>
      <c r="Q499" t="s">
        <v>47</v>
      </c>
      <c r="R499" t="s">
        <v>347</v>
      </c>
      <c r="S499" t="s">
        <v>49</v>
      </c>
      <c r="T499" t="b">
        <v>1</v>
      </c>
      <c r="U499" t="s">
        <v>50</v>
      </c>
      <c r="V499" t="s">
        <v>51</v>
      </c>
      <c r="W499">
        <v>4</v>
      </c>
      <c r="X499" t="b">
        <v>0</v>
      </c>
      <c r="Y499" t="s">
        <v>52</v>
      </c>
      <c r="Z499" t="s">
        <v>53</v>
      </c>
      <c r="AA499" t="s">
        <v>54</v>
      </c>
      <c r="AB499">
        <v>0</v>
      </c>
      <c r="AC499" t="s">
        <v>55</v>
      </c>
      <c r="AD499">
        <v>8</v>
      </c>
      <c r="AE499" t="s">
        <v>56</v>
      </c>
      <c r="AF499">
        <v>6375.5460000000003</v>
      </c>
      <c r="AG499" t="b">
        <v>1</v>
      </c>
      <c r="AH499">
        <v>-1</v>
      </c>
      <c r="AI499" t="s">
        <v>64</v>
      </c>
      <c r="AJ499">
        <v>0</v>
      </c>
      <c r="AK499" t="b">
        <v>0</v>
      </c>
      <c r="AL499">
        <v>6375.5460000000003</v>
      </c>
      <c r="AM499" t="b">
        <v>1</v>
      </c>
      <c r="AN499">
        <v>0</v>
      </c>
      <c r="AO499" t="b">
        <v>0</v>
      </c>
      <c r="AQ499">
        <v>390730460.13800001</v>
      </c>
      <c r="AR499">
        <v>390730460.13800001</v>
      </c>
      <c r="AS499">
        <v>6</v>
      </c>
      <c r="AT499" t="b">
        <v>0</v>
      </c>
      <c r="AU499" t="b">
        <v>1</v>
      </c>
      <c r="AV499" t="b">
        <v>1</v>
      </c>
      <c r="AW499" t="b">
        <v>1</v>
      </c>
      <c r="BC499" t="s">
        <v>374</v>
      </c>
    </row>
    <row r="500" spans="1:55" x14ac:dyDescent="0.2">
      <c r="A500" t="s">
        <v>39</v>
      </c>
      <c r="B500" t="s">
        <v>40</v>
      </c>
      <c r="C500">
        <v>20230101</v>
      </c>
      <c r="D500">
        <v>2023</v>
      </c>
      <c r="E500">
        <v>52</v>
      </c>
      <c r="F500" t="s">
        <v>354</v>
      </c>
      <c r="G500">
        <v>404</v>
      </c>
      <c r="H500" t="s">
        <v>171</v>
      </c>
      <c r="I500" t="s">
        <v>172</v>
      </c>
      <c r="J500" t="s">
        <v>44</v>
      </c>
      <c r="K500" t="s">
        <v>45</v>
      </c>
      <c r="L500">
        <v>0</v>
      </c>
      <c r="M500" t="s">
        <v>46</v>
      </c>
      <c r="N500" t="s">
        <v>47</v>
      </c>
      <c r="O500">
        <v>0</v>
      </c>
      <c r="P500" t="s">
        <v>46</v>
      </c>
      <c r="Q500" t="s">
        <v>47</v>
      </c>
      <c r="R500" t="s">
        <v>347</v>
      </c>
      <c r="S500" t="s">
        <v>49</v>
      </c>
      <c r="T500" t="b">
        <v>1</v>
      </c>
      <c r="U500" t="s">
        <v>50</v>
      </c>
      <c r="V500" t="s">
        <v>51</v>
      </c>
      <c r="W500">
        <v>4</v>
      </c>
      <c r="X500" t="b">
        <v>0</v>
      </c>
      <c r="Y500" t="s">
        <v>52</v>
      </c>
      <c r="Z500" t="s">
        <v>53</v>
      </c>
      <c r="AA500" t="s">
        <v>54</v>
      </c>
      <c r="AB500">
        <v>0</v>
      </c>
      <c r="AC500" t="s">
        <v>55</v>
      </c>
      <c r="AD500">
        <v>-1</v>
      </c>
      <c r="AE500" t="s">
        <v>64</v>
      </c>
      <c r="AF500">
        <v>0</v>
      </c>
      <c r="AG500" t="b">
        <v>0</v>
      </c>
      <c r="AH500">
        <v>-1</v>
      </c>
      <c r="AI500" t="s">
        <v>64</v>
      </c>
      <c r="AJ500">
        <v>0</v>
      </c>
      <c r="AK500" t="b">
        <v>0</v>
      </c>
      <c r="AM500" t="b">
        <v>0</v>
      </c>
      <c r="AN500">
        <v>0</v>
      </c>
      <c r="AO500" t="b">
        <v>0</v>
      </c>
      <c r="AQ500">
        <v>33469053.043000001</v>
      </c>
      <c r="AR500">
        <v>33469053.043000001</v>
      </c>
      <c r="AS500">
        <v>0</v>
      </c>
      <c r="AT500" t="b">
        <v>0</v>
      </c>
      <c r="AU500" t="b">
        <v>1</v>
      </c>
      <c r="AV500" t="b">
        <v>1</v>
      </c>
      <c r="AW500" t="b">
        <v>1</v>
      </c>
      <c r="BC500" t="s">
        <v>374</v>
      </c>
    </row>
    <row r="501" spans="1:55" x14ac:dyDescent="0.2">
      <c r="A501" t="s">
        <v>39</v>
      </c>
      <c r="B501" t="s">
        <v>40</v>
      </c>
      <c r="C501">
        <v>20230101</v>
      </c>
      <c r="D501">
        <v>2023</v>
      </c>
      <c r="E501">
        <v>52</v>
      </c>
      <c r="F501" t="s">
        <v>354</v>
      </c>
      <c r="G501">
        <v>410</v>
      </c>
      <c r="H501" t="s">
        <v>173</v>
      </c>
      <c r="I501" t="s">
        <v>174</v>
      </c>
      <c r="J501" t="s">
        <v>44</v>
      </c>
      <c r="K501" t="s">
        <v>45</v>
      </c>
      <c r="L501">
        <v>0</v>
      </c>
      <c r="M501" t="s">
        <v>46</v>
      </c>
      <c r="N501" t="s">
        <v>47</v>
      </c>
      <c r="O501">
        <v>0</v>
      </c>
      <c r="P501" t="s">
        <v>46</v>
      </c>
      <c r="Q501" t="s">
        <v>47</v>
      </c>
      <c r="R501" t="s">
        <v>347</v>
      </c>
      <c r="S501" t="s">
        <v>49</v>
      </c>
      <c r="T501" t="b">
        <v>1</v>
      </c>
      <c r="U501" t="s">
        <v>50</v>
      </c>
      <c r="V501" t="s">
        <v>51</v>
      </c>
      <c r="W501">
        <v>4</v>
      </c>
      <c r="X501" t="b">
        <v>0</v>
      </c>
      <c r="Y501" t="s">
        <v>52</v>
      </c>
      <c r="Z501" t="s">
        <v>53</v>
      </c>
      <c r="AA501" t="s">
        <v>54</v>
      </c>
      <c r="AB501">
        <v>0</v>
      </c>
      <c r="AC501" t="s">
        <v>55</v>
      </c>
      <c r="AD501">
        <v>8</v>
      </c>
      <c r="AE501" t="s">
        <v>56</v>
      </c>
      <c r="AF501">
        <v>48731.822999999997</v>
      </c>
      <c r="AG501" t="b">
        <v>1</v>
      </c>
      <c r="AH501">
        <v>-1</v>
      </c>
      <c r="AI501" t="s">
        <v>64</v>
      </c>
      <c r="AJ501">
        <v>0</v>
      </c>
      <c r="AK501" t="b">
        <v>0</v>
      </c>
      <c r="AL501">
        <v>48731.822999999997</v>
      </c>
      <c r="AM501" t="b">
        <v>1</v>
      </c>
      <c r="AN501">
        <v>0</v>
      </c>
      <c r="AO501" t="b">
        <v>0</v>
      </c>
      <c r="AQ501">
        <v>1545927418</v>
      </c>
      <c r="AR501">
        <v>1545927418</v>
      </c>
      <c r="AS501">
        <v>6</v>
      </c>
      <c r="AT501" t="b">
        <v>0</v>
      </c>
      <c r="AU501" t="b">
        <v>1</v>
      </c>
      <c r="AV501" t="b">
        <v>1</v>
      </c>
      <c r="AW501" t="b">
        <v>1</v>
      </c>
      <c r="BC501" t="s">
        <v>374</v>
      </c>
    </row>
    <row r="502" spans="1:55" x14ac:dyDescent="0.2">
      <c r="A502" t="s">
        <v>39</v>
      </c>
      <c r="B502" t="s">
        <v>40</v>
      </c>
      <c r="C502">
        <v>20230101</v>
      </c>
      <c r="D502">
        <v>2023</v>
      </c>
      <c r="E502">
        <v>52</v>
      </c>
      <c r="F502" t="s">
        <v>354</v>
      </c>
      <c r="G502">
        <v>414</v>
      </c>
      <c r="H502" t="s">
        <v>175</v>
      </c>
      <c r="I502" t="s">
        <v>176</v>
      </c>
      <c r="J502" t="s">
        <v>44</v>
      </c>
      <c r="K502" t="s">
        <v>45</v>
      </c>
      <c r="L502">
        <v>0</v>
      </c>
      <c r="M502" t="s">
        <v>46</v>
      </c>
      <c r="N502" t="s">
        <v>47</v>
      </c>
      <c r="O502">
        <v>0</v>
      </c>
      <c r="P502" t="s">
        <v>46</v>
      </c>
      <c r="Q502" t="s">
        <v>47</v>
      </c>
      <c r="R502" t="s">
        <v>347</v>
      </c>
      <c r="S502" t="s">
        <v>49</v>
      </c>
      <c r="T502" t="b">
        <v>1</v>
      </c>
      <c r="U502" t="s">
        <v>50</v>
      </c>
      <c r="V502" t="s">
        <v>51</v>
      </c>
      <c r="W502">
        <v>4</v>
      </c>
      <c r="X502" t="b">
        <v>0</v>
      </c>
      <c r="Y502" t="s">
        <v>52</v>
      </c>
      <c r="Z502" t="s">
        <v>53</v>
      </c>
      <c r="AA502" t="s">
        <v>54</v>
      </c>
      <c r="AB502">
        <v>0</v>
      </c>
      <c r="AC502" t="s">
        <v>55</v>
      </c>
      <c r="AD502">
        <v>8</v>
      </c>
      <c r="AE502" t="s">
        <v>56</v>
      </c>
      <c r="AF502">
        <v>3168.0360000000001</v>
      </c>
      <c r="AG502" t="b">
        <v>0</v>
      </c>
      <c r="AH502">
        <v>8</v>
      </c>
      <c r="AI502" t="s">
        <v>56</v>
      </c>
      <c r="AJ502">
        <v>3168.0360000000001</v>
      </c>
      <c r="AK502" t="b">
        <v>0</v>
      </c>
      <c r="AL502">
        <v>3168.0360000000001</v>
      </c>
      <c r="AM502" t="b">
        <v>0</v>
      </c>
      <c r="AN502">
        <v>0</v>
      </c>
      <c r="AO502" t="b">
        <v>0</v>
      </c>
      <c r="AQ502">
        <v>185845823.51300001</v>
      </c>
      <c r="AR502">
        <v>185845823.51300001</v>
      </c>
      <c r="AS502">
        <v>0</v>
      </c>
      <c r="AT502" t="b">
        <v>0</v>
      </c>
      <c r="AU502" t="b">
        <v>1</v>
      </c>
      <c r="AV502" t="b">
        <v>1</v>
      </c>
      <c r="AW502" t="b">
        <v>1</v>
      </c>
      <c r="BC502" t="s">
        <v>374</v>
      </c>
    </row>
    <row r="503" spans="1:55" x14ac:dyDescent="0.2">
      <c r="A503" t="s">
        <v>39</v>
      </c>
      <c r="B503" t="s">
        <v>40</v>
      </c>
      <c r="C503">
        <v>20230101</v>
      </c>
      <c r="D503">
        <v>2023</v>
      </c>
      <c r="E503">
        <v>52</v>
      </c>
      <c r="F503" t="s">
        <v>354</v>
      </c>
      <c r="G503">
        <v>417</v>
      </c>
      <c r="H503" t="s">
        <v>177</v>
      </c>
      <c r="I503" t="s">
        <v>178</v>
      </c>
      <c r="J503" t="s">
        <v>44</v>
      </c>
      <c r="K503" t="s">
        <v>45</v>
      </c>
      <c r="L503">
        <v>0</v>
      </c>
      <c r="M503" t="s">
        <v>46</v>
      </c>
      <c r="N503" t="s">
        <v>47</v>
      </c>
      <c r="O503">
        <v>0</v>
      </c>
      <c r="P503" t="s">
        <v>46</v>
      </c>
      <c r="Q503" t="s">
        <v>47</v>
      </c>
      <c r="R503" t="s">
        <v>347</v>
      </c>
      <c r="S503" t="s">
        <v>49</v>
      </c>
      <c r="T503" t="b">
        <v>1</v>
      </c>
      <c r="U503" t="s">
        <v>50</v>
      </c>
      <c r="V503" t="s">
        <v>51</v>
      </c>
      <c r="W503">
        <v>4</v>
      </c>
      <c r="X503" t="b">
        <v>0</v>
      </c>
      <c r="Y503" t="s">
        <v>52</v>
      </c>
      <c r="Z503" t="s">
        <v>53</v>
      </c>
      <c r="AA503" t="s">
        <v>54</v>
      </c>
      <c r="AB503">
        <v>0</v>
      </c>
      <c r="AC503" t="s">
        <v>55</v>
      </c>
      <c r="AD503">
        <v>8</v>
      </c>
      <c r="AE503" t="s">
        <v>56</v>
      </c>
      <c r="AF503">
        <v>20213.116999999998</v>
      </c>
      <c r="AG503" t="b">
        <v>0</v>
      </c>
      <c r="AH503">
        <v>15</v>
      </c>
      <c r="AI503" t="s">
        <v>59</v>
      </c>
      <c r="AJ503">
        <v>20213117</v>
      </c>
      <c r="AK503" t="b">
        <v>0</v>
      </c>
      <c r="AL503">
        <v>20215</v>
      </c>
      <c r="AM503" t="b">
        <v>0</v>
      </c>
      <c r="AN503">
        <v>0</v>
      </c>
      <c r="AO503" t="b">
        <v>0</v>
      </c>
      <c r="AQ503">
        <v>1284332757</v>
      </c>
      <c r="AR503">
        <v>1284332757</v>
      </c>
      <c r="AS503">
        <v>0</v>
      </c>
      <c r="AT503" t="b">
        <v>0</v>
      </c>
      <c r="AU503" t="b">
        <v>1</v>
      </c>
      <c r="AV503" t="b">
        <v>1</v>
      </c>
      <c r="AW503" t="b">
        <v>1</v>
      </c>
      <c r="BC503" t="s">
        <v>374</v>
      </c>
    </row>
    <row r="504" spans="1:55" x14ac:dyDescent="0.2">
      <c r="A504" t="s">
        <v>39</v>
      </c>
      <c r="B504" t="s">
        <v>40</v>
      </c>
      <c r="C504">
        <v>20230101</v>
      </c>
      <c r="D504">
        <v>2023</v>
      </c>
      <c r="E504">
        <v>52</v>
      </c>
      <c r="F504" t="s">
        <v>354</v>
      </c>
      <c r="G504">
        <v>418</v>
      </c>
      <c r="H504" t="s">
        <v>179</v>
      </c>
      <c r="I504" t="s">
        <v>180</v>
      </c>
      <c r="J504" t="s">
        <v>44</v>
      </c>
      <c r="K504" t="s">
        <v>45</v>
      </c>
      <c r="L504">
        <v>0</v>
      </c>
      <c r="M504" t="s">
        <v>46</v>
      </c>
      <c r="N504" t="s">
        <v>47</v>
      </c>
      <c r="O504">
        <v>0</v>
      </c>
      <c r="P504" t="s">
        <v>46</v>
      </c>
      <c r="Q504" t="s">
        <v>47</v>
      </c>
      <c r="R504" t="s">
        <v>347</v>
      </c>
      <c r="S504" t="s">
        <v>49</v>
      </c>
      <c r="T504" t="b">
        <v>1</v>
      </c>
      <c r="U504" t="s">
        <v>50</v>
      </c>
      <c r="V504" t="s">
        <v>51</v>
      </c>
      <c r="W504">
        <v>4</v>
      </c>
      <c r="X504" t="b">
        <v>0</v>
      </c>
      <c r="Y504" t="s">
        <v>52</v>
      </c>
      <c r="Z504" t="s">
        <v>53</v>
      </c>
      <c r="AA504" t="s">
        <v>54</v>
      </c>
      <c r="AB504">
        <v>0</v>
      </c>
      <c r="AC504" t="s">
        <v>55</v>
      </c>
      <c r="AD504">
        <v>8</v>
      </c>
      <c r="AE504" t="s">
        <v>56</v>
      </c>
      <c r="AF504">
        <v>29572.956999999999</v>
      </c>
      <c r="AG504" t="b">
        <v>0</v>
      </c>
      <c r="AH504">
        <v>8</v>
      </c>
      <c r="AI504" t="s">
        <v>56</v>
      </c>
      <c r="AJ504">
        <v>29572.956999999999</v>
      </c>
      <c r="AK504" t="b">
        <v>0</v>
      </c>
      <c r="AL504">
        <v>29573.118999999999</v>
      </c>
      <c r="AM504" t="b">
        <v>0</v>
      </c>
      <c r="AN504">
        <v>0</v>
      </c>
      <c r="AO504" t="b">
        <v>0</v>
      </c>
      <c r="AQ504">
        <v>703200300.60000002</v>
      </c>
      <c r="AR504">
        <v>703200300.60000002</v>
      </c>
      <c r="AS504">
        <v>0</v>
      </c>
      <c r="AT504" t="b">
        <v>0</v>
      </c>
      <c r="AU504" t="b">
        <v>1</v>
      </c>
      <c r="AV504" t="b">
        <v>1</v>
      </c>
      <c r="AW504" t="b">
        <v>1</v>
      </c>
      <c r="BC504" t="s">
        <v>374</v>
      </c>
    </row>
    <row r="505" spans="1:55" x14ac:dyDescent="0.2">
      <c r="A505" t="s">
        <v>39</v>
      </c>
      <c r="B505" t="s">
        <v>40</v>
      </c>
      <c r="C505">
        <v>20230101</v>
      </c>
      <c r="D505">
        <v>2023</v>
      </c>
      <c r="E505">
        <v>52</v>
      </c>
      <c r="F505" t="s">
        <v>354</v>
      </c>
      <c r="G505">
        <v>422</v>
      </c>
      <c r="H505" t="s">
        <v>181</v>
      </c>
      <c r="I505" t="s">
        <v>182</v>
      </c>
      <c r="J505" t="s">
        <v>44</v>
      </c>
      <c r="K505" t="s">
        <v>45</v>
      </c>
      <c r="L505">
        <v>0</v>
      </c>
      <c r="M505" t="s">
        <v>46</v>
      </c>
      <c r="N505" t="s">
        <v>47</v>
      </c>
      <c r="O505">
        <v>0</v>
      </c>
      <c r="P505" t="s">
        <v>46</v>
      </c>
      <c r="Q505" t="s">
        <v>47</v>
      </c>
      <c r="R505" t="s">
        <v>48</v>
      </c>
      <c r="S505" t="s">
        <v>49</v>
      </c>
      <c r="T505" t="b">
        <v>1</v>
      </c>
      <c r="U505" t="s">
        <v>50</v>
      </c>
      <c r="V505" t="s">
        <v>51</v>
      </c>
      <c r="W505">
        <v>4</v>
      </c>
      <c r="X505" t="b">
        <v>0</v>
      </c>
      <c r="Y505" t="s">
        <v>52</v>
      </c>
      <c r="Z505" t="s">
        <v>53</v>
      </c>
      <c r="AA505" t="s">
        <v>54</v>
      </c>
      <c r="AB505">
        <v>0</v>
      </c>
      <c r="AC505" t="s">
        <v>55</v>
      </c>
      <c r="AD505">
        <v>8</v>
      </c>
      <c r="AE505" t="s">
        <v>56</v>
      </c>
      <c r="AF505">
        <v>5316.1540000000005</v>
      </c>
      <c r="AG505" t="b">
        <v>1</v>
      </c>
      <c r="AH505">
        <v>-1</v>
      </c>
      <c r="AI505" t="s">
        <v>64</v>
      </c>
      <c r="AJ505">
        <v>0</v>
      </c>
      <c r="AK505" t="b">
        <v>0</v>
      </c>
      <c r="AL505">
        <v>5316.1540000000005</v>
      </c>
      <c r="AM505" t="b">
        <v>1</v>
      </c>
      <c r="AN505">
        <v>0</v>
      </c>
      <c r="AO505" t="b">
        <v>0</v>
      </c>
      <c r="AQ505">
        <v>325875441</v>
      </c>
      <c r="AR505">
        <v>325875441</v>
      </c>
      <c r="AS505">
        <v>6</v>
      </c>
      <c r="AT505" t="b">
        <v>0</v>
      </c>
      <c r="AU505" t="b">
        <v>1</v>
      </c>
      <c r="AV505" t="b">
        <v>1</v>
      </c>
      <c r="AW505" t="b">
        <v>1</v>
      </c>
      <c r="BC505" t="s">
        <v>374</v>
      </c>
    </row>
    <row r="506" spans="1:55" x14ac:dyDescent="0.2">
      <c r="A506" t="s">
        <v>39</v>
      </c>
      <c r="B506" t="s">
        <v>40</v>
      </c>
      <c r="C506">
        <v>20230101</v>
      </c>
      <c r="D506">
        <v>2023</v>
      </c>
      <c r="E506">
        <v>52</v>
      </c>
      <c r="F506" t="s">
        <v>354</v>
      </c>
      <c r="G506">
        <v>428</v>
      </c>
      <c r="H506" t="s">
        <v>183</v>
      </c>
      <c r="I506" t="s">
        <v>184</v>
      </c>
      <c r="J506" t="s">
        <v>44</v>
      </c>
      <c r="K506" t="s">
        <v>45</v>
      </c>
      <c r="L506">
        <v>0</v>
      </c>
      <c r="M506" t="s">
        <v>46</v>
      </c>
      <c r="N506" t="s">
        <v>47</v>
      </c>
      <c r="O506">
        <v>0</v>
      </c>
      <c r="P506" t="s">
        <v>46</v>
      </c>
      <c r="Q506" t="s">
        <v>47</v>
      </c>
      <c r="R506" t="s">
        <v>347</v>
      </c>
      <c r="S506" t="s">
        <v>49</v>
      </c>
      <c r="T506" t="b">
        <v>1</v>
      </c>
      <c r="U506" t="s">
        <v>50</v>
      </c>
      <c r="V506" t="s">
        <v>51</v>
      </c>
      <c r="W506">
        <v>4</v>
      </c>
      <c r="X506" t="b">
        <v>0</v>
      </c>
      <c r="Y506" t="s">
        <v>52</v>
      </c>
      <c r="Z506" t="s">
        <v>53</v>
      </c>
      <c r="AA506" t="s">
        <v>54</v>
      </c>
      <c r="AB506">
        <v>0</v>
      </c>
      <c r="AC506" t="s">
        <v>55</v>
      </c>
      <c r="AD506">
        <v>8</v>
      </c>
      <c r="AE506" t="s">
        <v>56</v>
      </c>
      <c r="AF506">
        <v>210.816</v>
      </c>
      <c r="AG506" t="b">
        <v>0</v>
      </c>
      <c r="AH506">
        <v>15</v>
      </c>
      <c r="AI506" t="s">
        <v>59</v>
      </c>
      <c r="AJ506">
        <v>210816</v>
      </c>
      <c r="AK506" t="b">
        <v>0</v>
      </c>
      <c r="AL506">
        <v>206.59700000000001</v>
      </c>
      <c r="AM506" t="b">
        <v>0</v>
      </c>
      <c r="AN506">
        <v>0</v>
      </c>
      <c r="AO506" t="b">
        <v>0</v>
      </c>
      <c r="AQ506">
        <v>11923500.484999999</v>
      </c>
      <c r="AR506">
        <v>11923500.484999999</v>
      </c>
      <c r="AS506">
        <v>0</v>
      </c>
      <c r="AT506" t="b">
        <v>0</v>
      </c>
      <c r="AU506" t="b">
        <v>1</v>
      </c>
      <c r="AV506" t="b">
        <v>1</v>
      </c>
      <c r="AW506" t="b">
        <v>1</v>
      </c>
      <c r="BC506" t="s">
        <v>374</v>
      </c>
    </row>
    <row r="507" spans="1:55" x14ac:dyDescent="0.2">
      <c r="A507" t="s">
        <v>39</v>
      </c>
      <c r="B507" t="s">
        <v>40</v>
      </c>
      <c r="C507">
        <v>20230101</v>
      </c>
      <c r="D507">
        <v>2023</v>
      </c>
      <c r="E507">
        <v>52</v>
      </c>
      <c r="F507" t="s">
        <v>354</v>
      </c>
      <c r="G507">
        <v>440</v>
      </c>
      <c r="H507" t="s">
        <v>189</v>
      </c>
      <c r="I507" t="s">
        <v>190</v>
      </c>
      <c r="J507" t="s">
        <v>44</v>
      </c>
      <c r="K507" t="s">
        <v>45</v>
      </c>
      <c r="L507">
        <v>0</v>
      </c>
      <c r="M507" t="s">
        <v>46</v>
      </c>
      <c r="N507" t="s">
        <v>47</v>
      </c>
      <c r="O507">
        <v>0</v>
      </c>
      <c r="P507" t="s">
        <v>46</v>
      </c>
      <c r="Q507" t="s">
        <v>47</v>
      </c>
      <c r="R507" t="s">
        <v>347</v>
      </c>
      <c r="S507" t="s">
        <v>49</v>
      </c>
      <c r="T507" t="b">
        <v>1</v>
      </c>
      <c r="U507" t="s">
        <v>50</v>
      </c>
      <c r="V507" t="s">
        <v>51</v>
      </c>
      <c r="W507">
        <v>4</v>
      </c>
      <c r="X507" t="b">
        <v>0</v>
      </c>
      <c r="Y507" t="s">
        <v>52</v>
      </c>
      <c r="Z507" t="s">
        <v>53</v>
      </c>
      <c r="AA507" t="s">
        <v>54</v>
      </c>
      <c r="AB507">
        <v>0</v>
      </c>
      <c r="AC507" t="s">
        <v>55</v>
      </c>
      <c r="AD507">
        <v>8</v>
      </c>
      <c r="AE507" t="s">
        <v>56</v>
      </c>
      <c r="AF507">
        <v>27.396000000000001</v>
      </c>
      <c r="AG507" t="b">
        <v>0</v>
      </c>
      <c r="AH507">
        <v>15</v>
      </c>
      <c r="AI507" t="s">
        <v>59</v>
      </c>
      <c r="AJ507">
        <v>27396</v>
      </c>
      <c r="AK507" t="b">
        <v>0</v>
      </c>
      <c r="AL507">
        <v>27.279</v>
      </c>
      <c r="AM507" t="b">
        <v>0</v>
      </c>
      <c r="AN507">
        <v>0</v>
      </c>
      <c r="AO507" t="b">
        <v>0</v>
      </c>
      <c r="AQ507">
        <v>1344832</v>
      </c>
      <c r="AR507">
        <v>1344832</v>
      </c>
      <c r="AS507">
        <v>0</v>
      </c>
      <c r="AT507" t="b">
        <v>0</v>
      </c>
      <c r="AU507" t="b">
        <v>1</v>
      </c>
      <c r="AV507" t="b">
        <v>1</v>
      </c>
      <c r="AW507" t="b">
        <v>1</v>
      </c>
      <c r="BC507" t="s">
        <v>374</v>
      </c>
    </row>
    <row r="508" spans="1:55" x14ac:dyDescent="0.2">
      <c r="A508" t="s">
        <v>39</v>
      </c>
      <c r="B508" t="s">
        <v>40</v>
      </c>
      <c r="C508">
        <v>20230101</v>
      </c>
      <c r="D508">
        <v>2023</v>
      </c>
      <c r="E508">
        <v>52</v>
      </c>
      <c r="F508" t="s">
        <v>354</v>
      </c>
      <c r="G508">
        <v>442</v>
      </c>
      <c r="H508" t="s">
        <v>191</v>
      </c>
      <c r="I508" t="s">
        <v>192</v>
      </c>
      <c r="J508" t="s">
        <v>44</v>
      </c>
      <c r="K508" t="s">
        <v>45</v>
      </c>
      <c r="L508">
        <v>0</v>
      </c>
      <c r="M508" t="s">
        <v>46</v>
      </c>
      <c r="N508" t="s">
        <v>47</v>
      </c>
      <c r="O508">
        <v>0</v>
      </c>
      <c r="P508" t="s">
        <v>46</v>
      </c>
      <c r="Q508" t="s">
        <v>47</v>
      </c>
      <c r="R508" t="s">
        <v>347</v>
      </c>
      <c r="S508" t="s">
        <v>49</v>
      </c>
      <c r="T508" t="b">
        <v>1</v>
      </c>
      <c r="U508" t="s">
        <v>50</v>
      </c>
      <c r="V508" t="s">
        <v>51</v>
      </c>
      <c r="W508">
        <v>4</v>
      </c>
      <c r="X508" t="b">
        <v>0</v>
      </c>
      <c r="Y508" t="s">
        <v>52</v>
      </c>
      <c r="Z508" t="s">
        <v>53</v>
      </c>
      <c r="AA508" t="s">
        <v>54</v>
      </c>
      <c r="AB508">
        <v>0</v>
      </c>
      <c r="AC508" t="s">
        <v>55</v>
      </c>
      <c r="AD508">
        <v>8</v>
      </c>
      <c r="AE508" t="s">
        <v>56</v>
      </c>
      <c r="AF508">
        <v>2539.1480000000001</v>
      </c>
      <c r="AG508" t="b">
        <v>0</v>
      </c>
      <c r="AH508">
        <v>15</v>
      </c>
      <c r="AI508" t="s">
        <v>59</v>
      </c>
      <c r="AJ508">
        <v>2539148.4900000002</v>
      </c>
      <c r="AK508" t="b">
        <v>0</v>
      </c>
      <c r="AL508">
        <v>4890.5119999999997</v>
      </c>
      <c r="AM508" t="b">
        <v>0</v>
      </c>
      <c r="AN508">
        <v>0</v>
      </c>
      <c r="AO508" t="b">
        <v>0</v>
      </c>
      <c r="AQ508">
        <v>152365290.669</v>
      </c>
      <c r="AR508">
        <v>152365290.669</v>
      </c>
      <c r="AS508">
        <v>0</v>
      </c>
      <c r="AT508" t="b">
        <v>0</v>
      </c>
      <c r="AU508" t="b">
        <v>1</v>
      </c>
      <c r="AV508" t="b">
        <v>1</v>
      </c>
      <c r="AW508" t="b">
        <v>1</v>
      </c>
      <c r="BC508" t="s">
        <v>374</v>
      </c>
    </row>
    <row r="509" spans="1:55" x14ac:dyDescent="0.2">
      <c r="A509" t="s">
        <v>39</v>
      </c>
      <c r="B509" t="s">
        <v>40</v>
      </c>
      <c r="C509">
        <v>20230101</v>
      </c>
      <c r="D509">
        <v>2023</v>
      </c>
      <c r="E509">
        <v>52</v>
      </c>
      <c r="F509" t="s">
        <v>354</v>
      </c>
      <c r="G509">
        <v>446</v>
      </c>
      <c r="H509" t="s">
        <v>323</v>
      </c>
      <c r="I509" t="s">
        <v>324</v>
      </c>
      <c r="J509" t="s">
        <v>44</v>
      </c>
      <c r="K509" t="s">
        <v>45</v>
      </c>
      <c r="L509">
        <v>0</v>
      </c>
      <c r="M509" t="s">
        <v>46</v>
      </c>
      <c r="N509" t="s">
        <v>47</v>
      </c>
      <c r="O509">
        <v>0</v>
      </c>
      <c r="P509" t="s">
        <v>46</v>
      </c>
      <c r="Q509" t="s">
        <v>47</v>
      </c>
      <c r="R509" t="s">
        <v>347</v>
      </c>
      <c r="S509" t="s">
        <v>49</v>
      </c>
      <c r="T509" t="b">
        <v>1</v>
      </c>
      <c r="U509" t="s">
        <v>50</v>
      </c>
      <c r="V509" t="s">
        <v>51</v>
      </c>
      <c r="W509">
        <v>4</v>
      </c>
      <c r="X509" t="b">
        <v>0</v>
      </c>
      <c r="Y509" t="s">
        <v>52</v>
      </c>
      <c r="Z509" t="s">
        <v>53</v>
      </c>
      <c r="AA509" t="s">
        <v>54</v>
      </c>
      <c r="AB509">
        <v>0</v>
      </c>
      <c r="AC509" t="s">
        <v>55</v>
      </c>
      <c r="AD509">
        <v>8</v>
      </c>
      <c r="AE509" t="s">
        <v>56</v>
      </c>
      <c r="AF509">
        <v>91</v>
      </c>
      <c r="AG509" t="b">
        <v>0</v>
      </c>
      <c r="AH509">
        <v>8</v>
      </c>
      <c r="AI509" t="s">
        <v>56</v>
      </c>
      <c r="AJ509">
        <v>91</v>
      </c>
      <c r="AK509" t="b">
        <v>0</v>
      </c>
      <c r="AL509">
        <v>91</v>
      </c>
      <c r="AM509" t="b">
        <v>0</v>
      </c>
      <c r="AN509">
        <v>0</v>
      </c>
      <c r="AO509" t="b">
        <v>0</v>
      </c>
      <c r="AQ509">
        <v>5448465.0060000001</v>
      </c>
      <c r="AR509">
        <v>5448465.0060000001</v>
      </c>
      <c r="AS509">
        <v>0</v>
      </c>
      <c r="AT509" t="b">
        <v>0</v>
      </c>
      <c r="AU509" t="b">
        <v>1</v>
      </c>
      <c r="AV509" t="b">
        <v>1</v>
      </c>
      <c r="AW509" t="b">
        <v>1</v>
      </c>
      <c r="BC509" t="s">
        <v>374</v>
      </c>
    </row>
    <row r="510" spans="1:55" x14ac:dyDescent="0.2">
      <c r="A510" t="s">
        <v>39</v>
      </c>
      <c r="B510" t="s">
        <v>40</v>
      </c>
      <c r="C510">
        <v>20230101</v>
      </c>
      <c r="D510">
        <v>2023</v>
      </c>
      <c r="E510">
        <v>52</v>
      </c>
      <c r="F510" t="s">
        <v>354</v>
      </c>
      <c r="G510">
        <v>450</v>
      </c>
      <c r="H510" t="s">
        <v>193</v>
      </c>
      <c r="I510" t="s">
        <v>194</v>
      </c>
      <c r="J510" t="s">
        <v>44</v>
      </c>
      <c r="K510" t="s">
        <v>45</v>
      </c>
      <c r="L510">
        <v>0</v>
      </c>
      <c r="M510" t="s">
        <v>46</v>
      </c>
      <c r="N510" t="s">
        <v>47</v>
      </c>
      <c r="O510">
        <v>0</v>
      </c>
      <c r="P510" t="s">
        <v>46</v>
      </c>
      <c r="Q510" t="s">
        <v>47</v>
      </c>
      <c r="R510" t="s">
        <v>347</v>
      </c>
      <c r="S510" t="s">
        <v>49</v>
      </c>
      <c r="T510" t="b">
        <v>1</v>
      </c>
      <c r="U510" t="s">
        <v>50</v>
      </c>
      <c r="V510" t="s">
        <v>51</v>
      </c>
      <c r="W510">
        <v>4</v>
      </c>
      <c r="X510" t="b">
        <v>0</v>
      </c>
      <c r="Y510" t="s">
        <v>52</v>
      </c>
      <c r="Z510" t="s">
        <v>53</v>
      </c>
      <c r="AA510" t="s">
        <v>54</v>
      </c>
      <c r="AB510">
        <v>0</v>
      </c>
      <c r="AC510" t="s">
        <v>55</v>
      </c>
      <c r="AD510">
        <v>8</v>
      </c>
      <c r="AE510" t="s">
        <v>56</v>
      </c>
      <c r="AF510">
        <v>2038.9</v>
      </c>
      <c r="AG510" t="b">
        <v>0</v>
      </c>
      <c r="AH510">
        <v>8</v>
      </c>
      <c r="AI510" t="s">
        <v>56</v>
      </c>
      <c r="AJ510">
        <v>2038.9</v>
      </c>
      <c r="AK510" t="b">
        <v>0</v>
      </c>
      <c r="AL510">
        <v>2038.9</v>
      </c>
      <c r="AM510" t="b">
        <v>0</v>
      </c>
      <c r="AN510">
        <v>0</v>
      </c>
      <c r="AO510" t="b">
        <v>0</v>
      </c>
      <c r="AQ510">
        <v>124374089.596</v>
      </c>
      <c r="AR510">
        <v>124374089.596</v>
      </c>
      <c r="AS510">
        <v>0</v>
      </c>
      <c r="AT510" t="b">
        <v>0</v>
      </c>
      <c r="AU510" t="b">
        <v>1</v>
      </c>
      <c r="AV510" t="b">
        <v>1</v>
      </c>
      <c r="AW510" t="b">
        <v>1</v>
      </c>
      <c r="BC510" t="s">
        <v>374</v>
      </c>
    </row>
    <row r="511" spans="1:55" x14ac:dyDescent="0.2">
      <c r="A511" t="s">
        <v>39</v>
      </c>
      <c r="B511" t="s">
        <v>40</v>
      </c>
      <c r="C511">
        <v>20230101</v>
      </c>
      <c r="D511">
        <v>2023</v>
      </c>
      <c r="E511">
        <v>52</v>
      </c>
      <c r="F511" t="s">
        <v>354</v>
      </c>
      <c r="G511">
        <v>458</v>
      </c>
      <c r="H511" t="s">
        <v>195</v>
      </c>
      <c r="I511" t="s">
        <v>196</v>
      </c>
      <c r="J511" t="s">
        <v>44</v>
      </c>
      <c r="K511" t="s">
        <v>45</v>
      </c>
      <c r="L511">
        <v>0</v>
      </c>
      <c r="M511" t="s">
        <v>46</v>
      </c>
      <c r="N511" t="s">
        <v>47</v>
      </c>
      <c r="O511">
        <v>0</v>
      </c>
      <c r="P511" t="s">
        <v>46</v>
      </c>
      <c r="Q511" t="s">
        <v>47</v>
      </c>
      <c r="R511" t="s">
        <v>347</v>
      </c>
      <c r="S511" t="s">
        <v>49</v>
      </c>
      <c r="T511" t="b">
        <v>1</v>
      </c>
      <c r="U511" t="s">
        <v>50</v>
      </c>
      <c r="V511" t="s">
        <v>51</v>
      </c>
      <c r="W511">
        <v>4</v>
      </c>
      <c r="X511" t="b">
        <v>0</v>
      </c>
      <c r="Y511" t="s">
        <v>52</v>
      </c>
      <c r="Z511" t="s">
        <v>53</v>
      </c>
      <c r="AA511" t="s">
        <v>54</v>
      </c>
      <c r="AB511">
        <v>0</v>
      </c>
      <c r="AC511" t="s">
        <v>55</v>
      </c>
      <c r="AD511">
        <v>-1</v>
      </c>
      <c r="AE511" t="s">
        <v>64</v>
      </c>
      <c r="AF511">
        <v>0</v>
      </c>
      <c r="AG511" t="b">
        <v>0</v>
      </c>
      <c r="AH511">
        <v>-1</v>
      </c>
      <c r="AI511" t="s">
        <v>64</v>
      </c>
      <c r="AJ511">
        <v>0</v>
      </c>
      <c r="AK511" t="b">
        <v>0</v>
      </c>
      <c r="AM511" t="b">
        <v>0</v>
      </c>
      <c r="AN511">
        <v>0</v>
      </c>
      <c r="AO511" t="b">
        <v>0</v>
      </c>
      <c r="AQ511">
        <v>642842543.89499998</v>
      </c>
      <c r="AR511">
        <v>642842543.89499998</v>
      </c>
      <c r="AS511">
        <v>0</v>
      </c>
      <c r="AT511" t="b">
        <v>0</v>
      </c>
      <c r="AU511" t="b">
        <v>1</v>
      </c>
      <c r="AV511" t="b">
        <v>1</v>
      </c>
      <c r="AW511" t="b">
        <v>1</v>
      </c>
      <c r="BC511" t="s">
        <v>374</v>
      </c>
    </row>
    <row r="512" spans="1:55" x14ac:dyDescent="0.2">
      <c r="A512" t="s">
        <v>39</v>
      </c>
      <c r="B512" t="s">
        <v>40</v>
      </c>
      <c r="C512">
        <v>20230101</v>
      </c>
      <c r="D512">
        <v>2023</v>
      </c>
      <c r="E512">
        <v>52</v>
      </c>
      <c r="F512" t="s">
        <v>354</v>
      </c>
      <c r="G512">
        <v>466</v>
      </c>
      <c r="H512" t="s">
        <v>197</v>
      </c>
      <c r="I512" t="s">
        <v>198</v>
      </c>
      <c r="J512" t="s">
        <v>44</v>
      </c>
      <c r="K512" t="s">
        <v>45</v>
      </c>
      <c r="L512">
        <v>0</v>
      </c>
      <c r="M512" t="s">
        <v>46</v>
      </c>
      <c r="N512" t="s">
        <v>47</v>
      </c>
      <c r="O512">
        <v>0</v>
      </c>
      <c r="P512" t="s">
        <v>46</v>
      </c>
      <c r="Q512" t="s">
        <v>47</v>
      </c>
      <c r="R512" t="s">
        <v>347</v>
      </c>
      <c r="S512" t="s">
        <v>49</v>
      </c>
      <c r="T512" t="b">
        <v>1</v>
      </c>
      <c r="U512" t="s">
        <v>50</v>
      </c>
      <c r="V512" t="s">
        <v>51</v>
      </c>
      <c r="W512">
        <v>4</v>
      </c>
      <c r="X512" t="b">
        <v>0</v>
      </c>
      <c r="Y512" t="s">
        <v>52</v>
      </c>
      <c r="Z512" t="s">
        <v>53</v>
      </c>
      <c r="AA512" t="s">
        <v>54</v>
      </c>
      <c r="AB512">
        <v>0</v>
      </c>
      <c r="AC512" t="s">
        <v>55</v>
      </c>
      <c r="AD512">
        <v>8</v>
      </c>
      <c r="AE512" t="s">
        <v>56</v>
      </c>
      <c r="AF512">
        <v>64534.567999999999</v>
      </c>
      <c r="AG512" t="b">
        <v>0</v>
      </c>
      <c r="AH512">
        <v>8</v>
      </c>
      <c r="AI512" t="s">
        <v>56</v>
      </c>
      <c r="AJ512">
        <v>64534.567999999999</v>
      </c>
      <c r="AK512" t="b">
        <v>0</v>
      </c>
      <c r="AL512">
        <v>64534.567999999999</v>
      </c>
      <c r="AM512" t="b">
        <v>0</v>
      </c>
      <c r="AN512">
        <v>0</v>
      </c>
      <c r="AO512" t="b">
        <v>0</v>
      </c>
      <c r="AQ512">
        <v>3071051037.2519999</v>
      </c>
      <c r="AR512">
        <v>3071051037.2519999</v>
      </c>
      <c r="AS512">
        <v>0</v>
      </c>
      <c r="AT512" t="b">
        <v>0</v>
      </c>
      <c r="AU512" t="b">
        <v>1</v>
      </c>
      <c r="AV512" t="b">
        <v>1</v>
      </c>
      <c r="AW512" t="b">
        <v>1</v>
      </c>
      <c r="BC512" t="s">
        <v>374</v>
      </c>
    </row>
    <row r="513" spans="1:55" x14ac:dyDescent="0.2">
      <c r="A513" t="s">
        <v>39</v>
      </c>
      <c r="B513" t="s">
        <v>40</v>
      </c>
      <c r="C513">
        <v>20230101</v>
      </c>
      <c r="D513">
        <v>2023</v>
      </c>
      <c r="E513">
        <v>52</v>
      </c>
      <c r="F513" t="s">
        <v>354</v>
      </c>
      <c r="G513">
        <v>470</v>
      </c>
      <c r="H513" t="s">
        <v>199</v>
      </c>
      <c r="I513" t="s">
        <v>200</v>
      </c>
      <c r="J513" t="s">
        <v>44</v>
      </c>
      <c r="K513" t="s">
        <v>45</v>
      </c>
      <c r="L513">
        <v>0</v>
      </c>
      <c r="M513" t="s">
        <v>46</v>
      </c>
      <c r="N513" t="s">
        <v>47</v>
      </c>
      <c r="O513">
        <v>0</v>
      </c>
      <c r="P513" t="s">
        <v>46</v>
      </c>
      <c r="Q513" t="s">
        <v>47</v>
      </c>
      <c r="R513" t="s">
        <v>347</v>
      </c>
      <c r="S513" t="s">
        <v>49</v>
      </c>
      <c r="T513" t="b">
        <v>1</v>
      </c>
      <c r="U513" t="s">
        <v>50</v>
      </c>
      <c r="V513" t="s">
        <v>51</v>
      </c>
      <c r="W513">
        <v>4</v>
      </c>
      <c r="X513" t="b">
        <v>0</v>
      </c>
      <c r="Y513" t="s">
        <v>52</v>
      </c>
      <c r="Z513" t="s">
        <v>53</v>
      </c>
      <c r="AA513" t="s">
        <v>54</v>
      </c>
      <c r="AB513">
        <v>0</v>
      </c>
      <c r="AC513" t="s">
        <v>55</v>
      </c>
      <c r="AD513">
        <v>8</v>
      </c>
      <c r="AE513" t="s">
        <v>56</v>
      </c>
      <c r="AF513">
        <v>69.891000000000005</v>
      </c>
      <c r="AG513" t="b">
        <v>0</v>
      </c>
      <c r="AH513">
        <v>15</v>
      </c>
      <c r="AI513" t="s">
        <v>59</v>
      </c>
      <c r="AJ513">
        <v>69891</v>
      </c>
      <c r="AK513" t="b">
        <v>0</v>
      </c>
      <c r="AL513">
        <v>70</v>
      </c>
      <c r="AM513" t="b">
        <v>0</v>
      </c>
      <c r="AN513">
        <v>0</v>
      </c>
      <c r="AO513" t="b">
        <v>0</v>
      </c>
      <c r="AQ513">
        <v>3215843.1719999998</v>
      </c>
      <c r="AR513">
        <v>3215843.1719999998</v>
      </c>
      <c r="AS513">
        <v>0</v>
      </c>
      <c r="AT513" t="b">
        <v>0</v>
      </c>
      <c r="AU513" t="b">
        <v>1</v>
      </c>
      <c r="AV513" t="b">
        <v>1</v>
      </c>
      <c r="AW513" t="b">
        <v>1</v>
      </c>
      <c r="BC513" t="s">
        <v>374</v>
      </c>
    </row>
    <row r="514" spans="1:55" x14ac:dyDescent="0.2">
      <c r="A514" t="s">
        <v>39</v>
      </c>
      <c r="B514" t="s">
        <v>40</v>
      </c>
      <c r="C514">
        <v>20230101</v>
      </c>
      <c r="D514">
        <v>2023</v>
      </c>
      <c r="E514">
        <v>52</v>
      </c>
      <c r="F514" t="s">
        <v>354</v>
      </c>
      <c r="G514">
        <v>478</v>
      </c>
      <c r="H514" t="s">
        <v>325</v>
      </c>
      <c r="I514" t="s">
        <v>326</v>
      </c>
      <c r="J514" t="s">
        <v>44</v>
      </c>
      <c r="K514" t="s">
        <v>45</v>
      </c>
      <c r="L514">
        <v>0</v>
      </c>
      <c r="M514" t="s">
        <v>46</v>
      </c>
      <c r="N514" t="s">
        <v>47</v>
      </c>
      <c r="O514">
        <v>0</v>
      </c>
      <c r="P514" t="s">
        <v>46</v>
      </c>
      <c r="Q514" t="s">
        <v>47</v>
      </c>
      <c r="R514" t="s">
        <v>48</v>
      </c>
      <c r="S514" t="s">
        <v>49</v>
      </c>
      <c r="T514" t="b">
        <v>1</v>
      </c>
      <c r="U514" t="s">
        <v>50</v>
      </c>
      <c r="V514" t="s">
        <v>51</v>
      </c>
      <c r="W514">
        <v>4</v>
      </c>
      <c r="X514" t="b">
        <v>0</v>
      </c>
      <c r="Y514" t="s">
        <v>52</v>
      </c>
      <c r="Z514" t="s">
        <v>53</v>
      </c>
      <c r="AA514" t="s">
        <v>54</v>
      </c>
      <c r="AB514">
        <v>0</v>
      </c>
      <c r="AC514" t="s">
        <v>55</v>
      </c>
      <c r="AD514">
        <v>8</v>
      </c>
      <c r="AE514" t="s">
        <v>56</v>
      </c>
      <c r="AF514">
        <v>26484.558000000001</v>
      </c>
      <c r="AG514" t="b">
        <v>0</v>
      </c>
      <c r="AH514">
        <v>8</v>
      </c>
      <c r="AI514" t="s">
        <v>56</v>
      </c>
      <c r="AJ514">
        <v>26484.558000000001</v>
      </c>
      <c r="AK514" t="b">
        <v>0</v>
      </c>
      <c r="AL514">
        <v>26484.558000000001</v>
      </c>
      <c r="AM514" t="b">
        <v>0</v>
      </c>
      <c r="AN514">
        <v>0</v>
      </c>
      <c r="AO514" t="b">
        <v>0</v>
      </c>
      <c r="AQ514">
        <v>1517800755.6500001</v>
      </c>
      <c r="AR514">
        <v>1517800755.6500001</v>
      </c>
      <c r="AS514">
        <v>0</v>
      </c>
      <c r="AT514" t="b">
        <v>0</v>
      </c>
      <c r="AU514" t="b">
        <v>1</v>
      </c>
      <c r="AV514" t="b">
        <v>1</v>
      </c>
      <c r="AW514" t="b">
        <v>1</v>
      </c>
      <c r="BC514" t="s">
        <v>374</v>
      </c>
    </row>
    <row r="515" spans="1:55" x14ac:dyDescent="0.2">
      <c r="A515" t="s">
        <v>39</v>
      </c>
      <c r="B515" t="s">
        <v>40</v>
      </c>
      <c r="C515">
        <v>20230101</v>
      </c>
      <c r="D515">
        <v>2023</v>
      </c>
      <c r="E515">
        <v>52</v>
      </c>
      <c r="F515" t="s">
        <v>354</v>
      </c>
      <c r="G515">
        <v>480</v>
      </c>
      <c r="H515" t="s">
        <v>201</v>
      </c>
      <c r="I515" t="s">
        <v>202</v>
      </c>
      <c r="J515" t="s">
        <v>44</v>
      </c>
      <c r="K515" t="s">
        <v>45</v>
      </c>
      <c r="L515">
        <v>0</v>
      </c>
      <c r="M515" t="s">
        <v>46</v>
      </c>
      <c r="N515" t="s">
        <v>47</v>
      </c>
      <c r="O515">
        <v>0</v>
      </c>
      <c r="P515" t="s">
        <v>46</v>
      </c>
      <c r="Q515" t="s">
        <v>47</v>
      </c>
      <c r="R515" t="s">
        <v>347</v>
      </c>
      <c r="S515" t="s">
        <v>49</v>
      </c>
      <c r="T515" t="b">
        <v>1</v>
      </c>
      <c r="U515" t="s">
        <v>50</v>
      </c>
      <c r="V515" t="s">
        <v>51</v>
      </c>
      <c r="W515">
        <v>4</v>
      </c>
      <c r="X515" t="b">
        <v>0</v>
      </c>
      <c r="Y515" t="s">
        <v>52</v>
      </c>
      <c r="Z515" t="s">
        <v>53</v>
      </c>
      <c r="AA515" t="s">
        <v>54</v>
      </c>
      <c r="AB515">
        <v>0</v>
      </c>
      <c r="AC515" t="s">
        <v>55</v>
      </c>
      <c r="AD515">
        <v>8</v>
      </c>
      <c r="AE515" t="s">
        <v>56</v>
      </c>
      <c r="AF515">
        <v>46</v>
      </c>
      <c r="AG515" t="b">
        <v>0</v>
      </c>
      <c r="AH515">
        <v>8</v>
      </c>
      <c r="AI515" t="s">
        <v>56</v>
      </c>
      <c r="AJ515">
        <v>46</v>
      </c>
      <c r="AK515" t="b">
        <v>0</v>
      </c>
      <c r="AL515">
        <v>5</v>
      </c>
      <c r="AM515" t="b">
        <v>0</v>
      </c>
      <c r="AN515">
        <v>0</v>
      </c>
      <c r="AO515" t="b">
        <v>0</v>
      </c>
      <c r="AQ515">
        <v>1129317.135</v>
      </c>
      <c r="AR515">
        <v>1129317.135</v>
      </c>
      <c r="AS515">
        <v>0</v>
      </c>
      <c r="AT515" t="b">
        <v>0</v>
      </c>
      <c r="AU515" t="b">
        <v>1</v>
      </c>
      <c r="AV515" t="b">
        <v>1</v>
      </c>
      <c r="AW515" t="b">
        <v>1</v>
      </c>
      <c r="BC515" t="s">
        <v>374</v>
      </c>
    </row>
    <row r="516" spans="1:55" x14ac:dyDescent="0.2">
      <c r="A516" t="s">
        <v>39</v>
      </c>
      <c r="B516" t="s">
        <v>40</v>
      </c>
      <c r="C516">
        <v>20230101</v>
      </c>
      <c r="D516">
        <v>2023</v>
      </c>
      <c r="E516">
        <v>52</v>
      </c>
      <c r="F516" t="s">
        <v>354</v>
      </c>
      <c r="G516">
        <v>484</v>
      </c>
      <c r="H516" t="s">
        <v>203</v>
      </c>
      <c r="I516" t="s">
        <v>204</v>
      </c>
      <c r="J516" t="s">
        <v>44</v>
      </c>
      <c r="K516" t="s">
        <v>45</v>
      </c>
      <c r="L516">
        <v>0</v>
      </c>
      <c r="M516" t="s">
        <v>46</v>
      </c>
      <c r="N516" t="s">
        <v>47</v>
      </c>
      <c r="O516">
        <v>0</v>
      </c>
      <c r="P516" t="s">
        <v>46</v>
      </c>
      <c r="Q516" t="s">
        <v>47</v>
      </c>
      <c r="R516" t="s">
        <v>347</v>
      </c>
      <c r="S516" t="s">
        <v>49</v>
      </c>
      <c r="T516" t="b">
        <v>1</v>
      </c>
      <c r="U516" t="s">
        <v>50</v>
      </c>
      <c r="V516" t="s">
        <v>51</v>
      </c>
      <c r="W516">
        <v>4</v>
      </c>
      <c r="X516" t="b">
        <v>0</v>
      </c>
      <c r="Y516" t="s">
        <v>52</v>
      </c>
      <c r="Z516" t="s">
        <v>53</v>
      </c>
      <c r="AA516" t="s">
        <v>54</v>
      </c>
      <c r="AB516">
        <v>0</v>
      </c>
      <c r="AC516" t="s">
        <v>55</v>
      </c>
      <c r="AD516">
        <v>-1</v>
      </c>
      <c r="AE516" t="s">
        <v>64</v>
      </c>
      <c r="AF516">
        <v>0</v>
      </c>
      <c r="AG516" t="b">
        <v>0</v>
      </c>
      <c r="AH516">
        <v>-1</v>
      </c>
      <c r="AI516" t="s">
        <v>64</v>
      </c>
      <c r="AJ516">
        <v>0</v>
      </c>
      <c r="AK516" t="b">
        <v>0</v>
      </c>
      <c r="AL516">
        <v>0</v>
      </c>
      <c r="AM516" t="b">
        <v>0</v>
      </c>
      <c r="AN516">
        <v>0</v>
      </c>
      <c r="AO516" t="b">
        <v>0</v>
      </c>
      <c r="AQ516">
        <v>3531978516</v>
      </c>
      <c r="AR516">
        <v>3531978516</v>
      </c>
      <c r="AS516">
        <v>0</v>
      </c>
      <c r="AT516" t="b">
        <v>0</v>
      </c>
      <c r="AU516" t="b">
        <v>1</v>
      </c>
      <c r="AV516" t="b">
        <v>1</v>
      </c>
      <c r="AW516" t="b">
        <v>1</v>
      </c>
      <c r="BC516" t="s">
        <v>374</v>
      </c>
    </row>
    <row r="517" spans="1:55" x14ac:dyDescent="0.2">
      <c r="A517" t="s">
        <v>39</v>
      </c>
      <c r="B517" t="s">
        <v>40</v>
      </c>
      <c r="C517">
        <v>20230101</v>
      </c>
      <c r="D517">
        <v>2023</v>
      </c>
      <c r="E517">
        <v>52</v>
      </c>
      <c r="F517" t="s">
        <v>354</v>
      </c>
      <c r="G517">
        <v>490</v>
      </c>
      <c r="H517" t="s">
        <v>205</v>
      </c>
      <c r="I517" t="s">
        <v>206</v>
      </c>
      <c r="J517" t="s">
        <v>44</v>
      </c>
      <c r="K517" t="s">
        <v>45</v>
      </c>
      <c r="L517">
        <v>0</v>
      </c>
      <c r="M517" t="s">
        <v>46</v>
      </c>
      <c r="N517" t="s">
        <v>47</v>
      </c>
      <c r="O517">
        <v>0</v>
      </c>
      <c r="P517" t="s">
        <v>46</v>
      </c>
      <c r="Q517" t="s">
        <v>47</v>
      </c>
      <c r="R517" t="s">
        <v>347</v>
      </c>
      <c r="S517" t="s">
        <v>49</v>
      </c>
      <c r="T517" t="b">
        <v>1</v>
      </c>
      <c r="U517" t="s">
        <v>50</v>
      </c>
      <c r="V517" t="s">
        <v>51</v>
      </c>
      <c r="W517">
        <v>4</v>
      </c>
      <c r="X517" t="b">
        <v>0</v>
      </c>
      <c r="Y517" t="s">
        <v>52</v>
      </c>
      <c r="Z517" t="s">
        <v>53</v>
      </c>
      <c r="AA517" t="s">
        <v>54</v>
      </c>
      <c r="AB517">
        <v>0</v>
      </c>
      <c r="AC517" t="s">
        <v>55</v>
      </c>
      <c r="AD517">
        <v>8</v>
      </c>
      <c r="AE517" t="s">
        <v>56</v>
      </c>
      <c r="AF517">
        <v>20143.169000000002</v>
      </c>
      <c r="AG517" t="b">
        <v>1</v>
      </c>
      <c r="AH517">
        <v>-1</v>
      </c>
      <c r="AI517" t="s">
        <v>64</v>
      </c>
      <c r="AJ517">
        <v>0</v>
      </c>
      <c r="AK517" t="b">
        <v>0</v>
      </c>
      <c r="AL517">
        <v>20143.169000000002</v>
      </c>
      <c r="AM517" t="b">
        <v>1</v>
      </c>
      <c r="AN517">
        <v>0</v>
      </c>
      <c r="AO517" t="b">
        <v>0</v>
      </c>
      <c r="AQ517">
        <v>1179595944.9979999</v>
      </c>
      <c r="AR517">
        <v>1179595944.9979999</v>
      </c>
      <c r="AS517">
        <v>6</v>
      </c>
      <c r="AT517" t="b">
        <v>0</v>
      </c>
      <c r="AU517" t="b">
        <v>1</v>
      </c>
      <c r="AV517" t="b">
        <v>1</v>
      </c>
      <c r="AW517" t="b">
        <v>1</v>
      </c>
      <c r="BC517" t="s">
        <v>374</v>
      </c>
    </row>
    <row r="518" spans="1:55" x14ac:dyDescent="0.2">
      <c r="A518" t="s">
        <v>39</v>
      </c>
      <c r="B518" t="s">
        <v>40</v>
      </c>
      <c r="C518">
        <v>20230101</v>
      </c>
      <c r="D518">
        <v>2023</v>
      </c>
      <c r="E518">
        <v>52</v>
      </c>
      <c r="F518" t="s">
        <v>354</v>
      </c>
      <c r="G518">
        <v>496</v>
      </c>
      <c r="H518" t="s">
        <v>207</v>
      </c>
      <c r="I518" t="s">
        <v>208</v>
      </c>
      <c r="J518" t="s">
        <v>44</v>
      </c>
      <c r="K518" t="s">
        <v>45</v>
      </c>
      <c r="L518">
        <v>0</v>
      </c>
      <c r="M518" t="s">
        <v>46</v>
      </c>
      <c r="N518" t="s">
        <v>47</v>
      </c>
      <c r="O518">
        <v>0</v>
      </c>
      <c r="P518" t="s">
        <v>46</v>
      </c>
      <c r="Q518" t="s">
        <v>47</v>
      </c>
      <c r="R518" t="s">
        <v>347</v>
      </c>
      <c r="S518" t="s">
        <v>49</v>
      </c>
      <c r="T518" t="b">
        <v>1</v>
      </c>
      <c r="U518" t="s">
        <v>50</v>
      </c>
      <c r="V518" t="s">
        <v>51</v>
      </c>
      <c r="W518">
        <v>4</v>
      </c>
      <c r="X518" t="b">
        <v>0</v>
      </c>
      <c r="Y518" t="s">
        <v>52</v>
      </c>
      <c r="Z518" t="s">
        <v>53</v>
      </c>
      <c r="AA518" t="s">
        <v>54</v>
      </c>
      <c r="AB518">
        <v>0</v>
      </c>
      <c r="AC518" t="s">
        <v>55</v>
      </c>
      <c r="AD518">
        <v>8</v>
      </c>
      <c r="AE518" t="s">
        <v>56</v>
      </c>
      <c r="AF518">
        <v>11733.56</v>
      </c>
      <c r="AG518" t="b">
        <v>0</v>
      </c>
      <c r="AH518">
        <v>8</v>
      </c>
      <c r="AI518" t="s">
        <v>56</v>
      </c>
      <c r="AJ518">
        <v>11733.56</v>
      </c>
      <c r="AK518" t="b">
        <v>0</v>
      </c>
      <c r="AL518">
        <v>11733.56</v>
      </c>
      <c r="AM518" t="b">
        <v>0</v>
      </c>
      <c r="AN518">
        <v>0</v>
      </c>
      <c r="AO518" t="b">
        <v>0</v>
      </c>
      <c r="AQ518">
        <v>738016290.16999996</v>
      </c>
      <c r="AR518">
        <v>738016290.16999996</v>
      </c>
      <c r="AS518">
        <v>0</v>
      </c>
      <c r="AT518" t="b">
        <v>0</v>
      </c>
      <c r="AU518" t="b">
        <v>1</v>
      </c>
      <c r="AV518" t="b">
        <v>1</v>
      </c>
      <c r="AW518" t="b">
        <v>1</v>
      </c>
      <c r="BC518" t="s">
        <v>374</v>
      </c>
    </row>
    <row r="519" spans="1:55" x14ac:dyDescent="0.2">
      <c r="A519" t="s">
        <v>39</v>
      </c>
      <c r="B519" t="s">
        <v>40</v>
      </c>
      <c r="C519">
        <v>20230101</v>
      </c>
      <c r="D519">
        <v>2023</v>
      </c>
      <c r="E519">
        <v>52</v>
      </c>
      <c r="F519" t="s">
        <v>354</v>
      </c>
      <c r="G519">
        <v>498</v>
      </c>
      <c r="H519" t="s">
        <v>209</v>
      </c>
      <c r="I519" t="s">
        <v>210</v>
      </c>
      <c r="J519" t="s">
        <v>44</v>
      </c>
      <c r="K519" t="s">
        <v>45</v>
      </c>
      <c r="L519">
        <v>0</v>
      </c>
      <c r="M519" t="s">
        <v>46</v>
      </c>
      <c r="N519" t="s">
        <v>47</v>
      </c>
      <c r="O519">
        <v>0</v>
      </c>
      <c r="P519" t="s">
        <v>46</v>
      </c>
      <c r="Q519" t="s">
        <v>47</v>
      </c>
      <c r="R519" t="s">
        <v>347</v>
      </c>
      <c r="S519" t="s">
        <v>49</v>
      </c>
      <c r="T519" t="b">
        <v>1</v>
      </c>
      <c r="U519" t="s">
        <v>50</v>
      </c>
      <c r="V519" t="s">
        <v>51</v>
      </c>
      <c r="W519">
        <v>4</v>
      </c>
      <c r="X519" t="b">
        <v>0</v>
      </c>
      <c r="Y519" t="s">
        <v>52</v>
      </c>
      <c r="Z519" t="s">
        <v>53</v>
      </c>
      <c r="AA519" t="s">
        <v>54</v>
      </c>
      <c r="AB519">
        <v>0</v>
      </c>
      <c r="AC519" t="s">
        <v>55</v>
      </c>
      <c r="AD519">
        <v>8</v>
      </c>
      <c r="AE519" t="s">
        <v>56</v>
      </c>
      <c r="AF519">
        <v>38.128999999999998</v>
      </c>
      <c r="AG519" t="b">
        <v>0</v>
      </c>
      <c r="AH519">
        <v>15</v>
      </c>
      <c r="AI519" t="s">
        <v>59</v>
      </c>
      <c r="AJ519">
        <v>38129</v>
      </c>
      <c r="AK519" t="b">
        <v>0</v>
      </c>
      <c r="AL519">
        <v>38</v>
      </c>
      <c r="AM519" t="b">
        <v>0</v>
      </c>
      <c r="AN519">
        <v>0</v>
      </c>
      <c r="AO519" t="b">
        <v>0</v>
      </c>
      <c r="AQ519">
        <v>1744315</v>
      </c>
      <c r="AR519">
        <v>1744315</v>
      </c>
      <c r="AS519">
        <v>0</v>
      </c>
      <c r="AT519" t="b">
        <v>0</v>
      </c>
      <c r="AU519" t="b">
        <v>1</v>
      </c>
      <c r="AV519" t="b">
        <v>1</v>
      </c>
      <c r="AW519" t="b">
        <v>1</v>
      </c>
      <c r="BC519" t="s">
        <v>374</v>
      </c>
    </row>
    <row r="520" spans="1:55" x14ac:dyDescent="0.2">
      <c r="A520" t="s">
        <v>39</v>
      </c>
      <c r="B520" t="s">
        <v>40</v>
      </c>
      <c r="C520">
        <v>20230101</v>
      </c>
      <c r="D520">
        <v>2023</v>
      </c>
      <c r="E520">
        <v>52</v>
      </c>
      <c r="F520" t="s">
        <v>354</v>
      </c>
      <c r="G520">
        <v>504</v>
      </c>
      <c r="H520" t="s">
        <v>211</v>
      </c>
      <c r="I520" t="s">
        <v>212</v>
      </c>
      <c r="J520" t="s">
        <v>44</v>
      </c>
      <c r="K520" t="s">
        <v>45</v>
      </c>
      <c r="L520">
        <v>0</v>
      </c>
      <c r="M520" t="s">
        <v>46</v>
      </c>
      <c r="N520" t="s">
        <v>47</v>
      </c>
      <c r="O520">
        <v>0</v>
      </c>
      <c r="P520" t="s">
        <v>46</v>
      </c>
      <c r="Q520" t="s">
        <v>47</v>
      </c>
      <c r="R520" t="s">
        <v>347</v>
      </c>
      <c r="S520" t="s">
        <v>49</v>
      </c>
      <c r="T520" t="b">
        <v>1</v>
      </c>
      <c r="U520" t="s">
        <v>50</v>
      </c>
      <c r="V520" t="s">
        <v>51</v>
      </c>
      <c r="W520">
        <v>4</v>
      </c>
      <c r="X520" t="b">
        <v>0</v>
      </c>
      <c r="Y520" t="s">
        <v>52</v>
      </c>
      <c r="Z520" t="s">
        <v>53</v>
      </c>
      <c r="AA520" t="s">
        <v>54</v>
      </c>
      <c r="AB520">
        <v>0</v>
      </c>
      <c r="AC520" t="s">
        <v>55</v>
      </c>
      <c r="AD520">
        <v>8</v>
      </c>
      <c r="AE520" t="s">
        <v>56</v>
      </c>
      <c r="AF520">
        <v>356.75</v>
      </c>
      <c r="AG520" t="b">
        <v>0</v>
      </c>
      <c r="AH520">
        <v>8</v>
      </c>
      <c r="AI520" t="s">
        <v>56</v>
      </c>
      <c r="AJ520">
        <v>356.75</v>
      </c>
      <c r="AK520" t="b">
        <v>0</v>
      </c>
      <c r="AL520">
        <v>356.75</v>
      </c>
      <c r="AM520" t="b">
        <v>0</v>
      </c>
      <c r="AN520">
        <v>0</v>
      </c>
      <c r="AO520" t="b">
        <v>0</v>
      </c>
      <c r="AQ520">
        <v>19362691.039999999</v>
      </c>
      <c r="AR520">
        <v>19362691.039999999</v>
      </c>
      <c r="AS520">
        <v>0</v>
      </c>
      <c r="AT520" t="b">
        <v>0</v>
      </c>
      <c r="AU520" t="b">
        <v>1</v>
      </c>
      <c r="AV520" t="b">
        <v>1</v>
      </c>
      <c r="AW520" t="b">
        <v>1</v>
      </c>
      <c r="BC520" t="s">
        <v>374</v>
      </c>
    </row>
    <row r="521" spans="1:55" x14ac:dyDescent="0.2">
      <c r="A521" t="s">
        <v>39</v>
      </c>
      <c r="B521" t="s">
        <v>40</v>
      </c>
      <c r="C521">
        <v>20230101</v>
      </c>
      <c r="D521">
        <v>2023</v>
      </c>
      <c r="E521">
        <v>52</v>
      </c>
      <c r="F521" t="s">
        <v>354</v>
      </c>
      <c r="G521">
        <v>508</v>
      </c>
      <c r="H521" t="s">
        <v>213</v>
      </c>
      <c r="I521" t="s">
        <v>214</v>
      </c>
      <c r="J521" t="s">
        <v>44</v>
      </c>
      <c r="K521" t="s">
        <v>45</v>
      </c>
      <c r="L521">
        <v>0</v>
      </c>
      <c r="M521" t="s">
        <v>46</v>
      </c>
      <c r="N521" t="s">
        <v>47</v>
      </c>
      <c r="O521">
        <v>0</v>
      </c>
      <c r="P521" t="s">
        <v>46</v>
      </c>
      <c r="Q521" t="s">
        <v>47</v>
      </c>
      <c r="R521" t="s">
        <v>347</v>
      </c>
      <c r="S521" t="s">
        <v>49</v>
      </c>
      <c r="T521" t="b">
        <v>1</v>
      </c>
      <c r="U521" t="s">
        <v>50</v>
      </c>
      <c r="V521" t="s">
        <v>51</v>
      </c>
      <c r="W521">
        <v>4</v>
      </c>
      <c r="X521" t="b">
        <v>0</v>
      </c>
      <c r="Y521" t="s">
        <v>52</v>
      </c>
      <c r="Z521" t="s">
        <v>53</v>
      </c>
      <c r="AA521" t="s">
        <v>54</v>
      </c>
      <c r="AB521">
        <v>0</v>
      </c>
      <c r="AC521" t="s">
        <v>55</v>
      </c>
      <c r="AD521">
        <v>-1</v>
      </c>
      <c r="AE521" t="s">
        <v>64</v>
      </c>
      <c r="AF521">
        <v>0</v>
      </c>
      <c r="AG521" t="b">
        <v>0</v>
      </c>
      <c r="AH521">
        <v>15</v>
      </c>
      <c r="AI521" t="s">
        <v>59</v>
      </c>
      <c r="AJ521">
        <v>354521.12</v>
      </c>
      <c r="AK521" t="b">
        <v>0</v>
      </c>
      <c r="AL521">
        <v>357</v>
      </c>
      <c r="AM521" t="b">
        <v>0</v>
      </c>
      <c r="AN521">
        <v>0</v>
      </c>
      <c r="AO521" t="b">
        <v>0</v>
      </c>
      <c r="AQ521">
        <v>20208000</v>
      </c>
      <c r="AR521">
        <v>20208000</v>
      </c>
      <c r="AS521">
        <v>0</v>
      </c>
      <c r="AT521" t="b">
        <v>0</v>
      </c>
      <c r="AU521" t="b">
        <v>1</v>
      </c>
      <c r="AV521" t="b">
        <v>1</v>
      </c>
      <c r="AW521" t="b">
        <v>1</v>
      </c>
      <c r="BC521" t="s">
        <v>374</v>
      </c>
    </row>
    <row r="522" spans="1:55" x14ac:dyDescent="0.2">
      <c r="A522" t="s">
        <v>39</v>
      </c>
      <c r="B522" t="s">
        <v>40</v>
      </c>
      <c r="C522">
        <v>20230101</v>
      </c>
      <c r="D522">
        <v>2023</v>
      </c>
      <c r="E522">
        <v>52</v>
      </c>
      <c r="F522" t="s">
        <v>354</v>
      </c>
      <c r="G522">
        <v>512</v>
      </c>
      <c r="H522" t="s">
        <v>215</v>
      </c>
      <c r="I522" t="s">
        <v>216</v>
      </c>
      <c r="J522" t="s">
        <v>44</v>
      </c>
      <c r="K522" t="s">
        <v>45</v>
      </c>
      <c r="L522">
        <v>0</v>
      </c>
      <c r="M522" t="s">
        <v>46</v>
      </c>
      <c r="N522" t="s">
        <v>47</v>
      </c>
      <c r="O522">
        <v>0</v>
      </c>
      <c r="P522" t="s">
        <v>46</v>
      </c>
      <c r="Q522" t="s">
        <v>47</v>
      </c>
      <c r="R522" t="s">
        <v>347</v>
      </c>
      <c r="S522" t="s">
        <v>49</v>
      </c>
      <c r="T522" t="b">
        <v>1</v>
      </c>
      <c r="U522" t="s">
        <v>50</v>
      </c>
      <c r="V522" t="s">
        <v>51</v>
      </c>
      <c r="W522">
        <v>4</v>
      </c>
      <c r="X522" t="b">
        <v>0</v>
      </c>
      <c r="Y522" t="s">
        <v>52</v>
      </c>
      <c r="Z522" t="s">
        <v>53</v>
      </c>
      <c r="AA522" t="s">
        <v>54</v>
      </c>
      <c r="AB522">
        <v>0</v>
      </c>
      <c r="AC522" t="s">
        <v>55</v>
      </c>
      <c r="AD522">
        <v>8</v>
      </c>
      <c r="AE522" t="s">
        <v>56</v>
      </c>
      <c r="AF522">
        <v>1652.386</v>
      </c>
      <c r="AG522" t="b">
        <v>1</v>
      </c>
      <c r="AH522">
        <v>-1</v>
      </c>
      <c r="AI522" t="s">
        <v>64</v>
      </c>
      <c r="AJ522">
        <v>0</v>
      </c>
      <c r="AK522" t="b">
        <v>0</v>
      </c>
      <c r="AL522">
        <v>1652.386</v>
      </c>
      <c r="AM522" t="b">
        <v>1</v>
      </c>
      <c r="AN522">
        <v>0</v>
      </c>
      <c r="AO522" t="b">
        <v>0</v>
      </c>
      <c r="AQ522">
        <v>100732462.781</v>
      </c>
      <c r="AR522">
        <v>100732462.781</v>
      </c>
      <c r="AS522">
        <v>6</v>
      </c>
      <c r="AT522" t="b">
        <v>0</v>
      </c>
      <c r="AU522" t="b">
        <v>1</v>
      </c>
      <c r="AV522" t="b">
        <v>1</v>
      </c>
      <c r="AW522" t="b">
        <v>1</v>
      </c>
      <c r="BC522" t="s">
        <v>374</v>
      </c>
    </row>
    <row r="523" spans="1:55" x14ac:dyDescent="0.2">
      <c r="A523" t="s">
        <v>39</v>
      </c>
      <c r="B523" t="s">
        <v>40</v>
      </c>
      <c r="C523">
        <v>20230101</v>
      </c>
      <c r="D523">
        <v>2023</v>
      </c>
      <c r="E523">
        <v>52</v>
      </c>
      <c r="F523" t="s">
        <v>354</v>
      </c>
      <c r="G523">
        <v>516</v>
      </c>
      <c r="H523" t="s">
        <v>217</v>
      </c>
      <c r="I523" t="s">
        <v>218</v>
      </c>
      <c r="J523" t="s">
        <v>44</v>
      </c>
      <c r="K523" t="s">
        <v>45</v>
      </c>
      <c r="L523">
        <v>0</v>
      </c>
      <c r="M523" t="s">
        <v>46</v>
      </c>
      <c r="N523" t="s">
        <v>47</v>
      </c>
      <c r="O523">
        <v>0</v>
      </c>
      <c r="P523" t="s">
        <v>46</v>
      </c>
      <c r="Q523" t="s">
        <v>47</v>
      </c>
      <c r="R523" t="s">
        <v>347</v>
      </c>
      <c r="S523" t="s">
        <v>49</v>
      </c>
      <c r="T523" t="b">
        <v>1</v>
      </c>
      <c r="U523" t="s">
        <v>50</v>
      </c>
      <c r="V523" t="s">
        <v>51</v>
      </c>
      <c r="W523">
        <v>4</v>
      </c>
      <c r="X523" t="b">
        <v>0</v>
      </c>
      <c r="Y523" t="s">
        <v>52</v>
      </c>
      <c r="Z523" t="s">
        <v>53</v>
      </c>
      <c r="AA523" t="s">
        <v>54</v>
      </c>
      <c r="AB523">
        <v>0</v>
      </c>
      <c r="AC523" t="s">
        <v>55</v>
      </c>
      <c r="AD523">
        <v>-1</v>
      </c>
      <c r="AE523" t="s">
        <v>64</v>
      </c>
      <c r="AF523">
        <v>0</v>
      </c>
      <c r="AG523" t="b">
        <v>0</v>
      </c>
      <c r="AH523">
        <v>-1</v>
      </c>
      <c r="AI523" t="s">
        <v>64</v>
      </c>
      <c r="AJ523">
        <v>0</v>
      </c>
      <c r="AK523" t="b">
        <v>0</v>
      </c>
      <c r="AM523" t="b">
        <v>0</v>
      </c>
      <c r="AN523">
        <v>0</v>
      </c>
      <c r="AO523" t="b">
        <v>0</v>
      </c>
      <c r="AQ523">
        <v>620065364.75699997</v>
      </c>
      <c r="AR523">
        <v>620065364.75699997</v>
      </c>
      <c r="AS523">
        <v>0</v>
      </c>
      <c r="AT523" t="b">
        <v>0</v>
      </c>
      <c r="AU523" t="b">
        <v>1</v>
      </c>
      <c r="AV523" t="b">
        <v>1</v>
      </c>
      <c r="AW523" t="b">
        <v>1</v>
      </c>
      <c r="BC523" t="s">
        <v>374</v>
      </c>
    </row>
    <row r="524" spans="1:55" x14ac:dyDescent="0.2">
      <c r="A524" t="s">
        <v>39</v>
      </c>
      <c r="B524" t="s">
        <v>40</v>
      </c>
      <c r="C524">
        <v>20230101</v>
      </c>
      <c r="D524">
        <v>2023</v>
      </c>
      <c r="E524">
        <v>52</v>
      </c>
      <c r="F524" t="s">
        <v>354</v>
      </c>
      <c r="G524">
        <v>528</v>
      </c>
      <c r="H524" t="s">
        <v>219</v>
      </c>
      <c r="I524" t="s">
        <v>220</v>
      </c>
      <c r="J524" t="s">
        <v>44</v>
      </c>
      <c r="K524" t="s">
        <v>45</v>
      </c>
      <c r="L524">
        <v>0</v>
      </c>
      <c r="M524" t="s">
        <v>46</v>
      </c>
      <c r="N524" t="s">
        <v>47</v>
      </c>
      <c r="O524">
        <v>0</v>
      </c>
      <c r="P524" t="s">
        <v>46</v>
      </c>
      <c r="Q524" t="s">
        <v>47</v>
      </c>
      <c r="R524" t="s">
        <v>347</v>
      </c>
      <c r="S524" t="s">
        <v>49</v>
      </c>
      <c r="T524" t="b">
        <v>1</v>
      </c>
      <c r="U524" t="s">
        <v>50</v>
      </c>
      <c r="V524" t="s">
        <v>51</v>
      </c>
      <c r="W524">
        <v>4</v>
      </c>
      <c r="X524" t="b">
        <v>0</v>
      </c>
      <c r="Y524" t="s">
        <v>52</v>
      </c>
      <c r="Z524" t="s">
        <v>53</v>
      </c>
      <c r="AA524" t="s">
        <v>54</v>
      </c>
      <c r="AB524">
        <v>0</v>
      </c>
      <c r="AC524" t="s">
        <v>55</v>
      </c>
      <c r="AD524">
        <v>8</v>
      </c>
      <c r="AE524" t="s">
        <v>56</v>
      </c>
      <c r="AF524">
        <v>4536.7560000000003</v>
      </c>
      <c r="AG524" t="b">
        <v>0</v>
      </c>
      <c r="AH524">
        <v>15</v>
      </c>
      <c r="AI524" t="s">
        <v>59</v>
      </c>
      <c r="AJ524">
        <v>4536756</v>
      </c>
      <c r="AK524" t="b">
        <v>0</v>
      </c>
      <c r="AL524">
        <v>10763.025</v>
      </c>
      <c r="AM524" t="b">
        <v>0</v>
      </c>
      <c r="AN524">
        <v>0</v>
      </c>
      <c r="AO524" t="b">
        <v>0</v>
      </c>
      <c r="AQ524">
        <v>273554314.30199999</v>
      </c>
      <c r="AR524">
        <v>273554314.30199999</v>
      </c>
      <c r="AS524">
        <v>0</v>
      </c>
      <c r="AT524" t="b">
        <v>0</v>
      </c>
      <c r="AU524" t="b">
        <v>1</v>
      </c>
      <c r="AV524" t="b">
        <v>1</v>
      </c>
      <c r="AW524" t="b">
        <v>1</v>
      </c>
      <c r="BC524" t="s">
        <v>374</v>
      </c>
    </row>
    <row r="525" spans="1:55" x14ac:dyDescent="0.2">
      <c r="A525" t="s">
        <v>39</v>
      </c>
      <c r="B525" t="s">
        <v>40</v>
      </c>
      <c r="C525">
        <v>20230101</v>
      </c>
      <c r="D525">
        <v>2023</v>
      </c>
      <c r="E525">
        <v>52</v>
      </c>
      <c r="F525" t="s">
        <v>354</v>
      </c>
      <c r="G525">
        <v>554</v>
      </c>
      <c r="H525" t="s">
        <v>223</v>
      </c>
      <c r="I525" t="s">
        <v>224</v>
      </c>
      <c r="J525" t="s">
        <v>44</v>
      </c>
      <c r="K525" t="s">
        <v>45</v>
      </c>
      <c r="L525">
        <v>0</v>
      </c>
      <c r="M525" t="s">
        <v>46</v>
      </c>
      <c r="N525" t="s">
        <v>47</v>
      </c>
      <c r="O525">
        <v>0</v>
      </c>
      <c r="P525" t="s">
        <v>46</v>
      </c>
      <c r="Q525" t="s">
        <v>47</v>
      </c>
      <c r="R525" t="s">
        <v>347</v>
      </c>
      <c r="S525" t="s">
        <v>49</v>
      </c>
      <c r="T525" t="b">
        <v>1</v>
      </c>
      <c r="U525" t="s">
        <v>50</v>
      </c>
      <c r="V525" t="s">
        <v>51</v>
      </c>
      <c r="W525">
        <v>4</v>
      </c>
      <c r="X525" t="b">
        <v>0</v>
      </c>
      <c r="Y525" t="s">
        <v>52</v>
      </c>
      <c r="Z525" t="s">
        <v>53</v>
      </c>
      <c r="AA525" t="s">
        <v>54</v>
      </c>
      <c r="AB525">
        <v>0</v>
      </c>
      <c r="AC525" t="s">
        <v>55</v>
      </c>
      <c r="AD525">
        <v>8</v>
      </c>
      <c r="AE525" t="s">
        <v>56</v>
      </c>
      <c r="AF525">
        <v>13307.371999999999</v>
      </c>
      <c r="AG525" t="b">
        <v>0</v>
      </c>
      <c r="AH525">
        <v>15</v>
      </c>
      <c r="AI525" t="s">
        <v>59</v>
      </c>
      <c r="AJ525">
        <v>13307372</v>
      </c>
      <c r="AK525" t="b">
        <v>0</v>
      </c>
      <c r="AL525">
        <v>13307.371999999999</v>
      </c>
      <c r="AM525" t="b">
        <v>0</v>
      </c>
      <c r="AN525">
        <v>0</v>
      </c>
      <c r="AO525" t="b">
        <v>0</v>
      </c>
      <c r="AQ525">
        <v>464412956.24299997</v>
      </c>
      <c r="AR525">
        <v>464412956.24299997</v>
      </c>
      <c r="AS525">
        <v>0</v>
      </c>
      <c r="AT525" t="b">
        <v>0</v>
      </c>
      <c r="AU525" t="b">
        <v>1</v>
      </c>
      <c r="AV525" t="b">
        <v>1</v>
      </c>
      <c r="AW525" t="b">
        <v>1</v>
      </c>
      <c r="BC525" t="s">
        <v>374</v>
      </c>
    </row>
    <row r="526" spans="1:55" x14ac:dyDescent="0.2">
      <c r="A526" t="s">
        <v>39</v>
      </c>
      <c r="B526" t="s">
        <v>40</v>
      </c>
      <c r="C526">
        <v>20230101</v>
      </c>
      <c r="D526">
        <v>2023</v>
      </c>
      <c r="E526">
        <v>52</v>
      </c>
      <c r="F526" t="s">
        <v>354</v>
      </c>
      <c r="G526">
        <v>558</v>
      </c>
      <c r="H526" t="s">
        <v>225</v>
      </c>
      <c r="I526" t="s">
        <v>226</v>
      </c>
      <c r="J526" t="s">
        <v>44</v>
      </c>
      <c r="K526" t="s">
        <v>45</v>
      </c>
      <c r="L526">
        <v>0</v>
      </c>
      <c r="M526" t="s">
        <v>46</v>
      </c>
      <c r="N526" t="s">
        <v>47</v>
      </c>
      <c r="O526">
        <v>0</v>
      </c>
      <c r="P526" t="s">
        <v>46</v>
      </c>
      <c r="Q526" t="s">
        <v>47</v>
      </c>
      <c r="R526" t="s">
        <v>347</v>
      </c>
      <c r="S526" t="s">
        <v>49</v>
      </c>
      <c r="T526" t="b">
        <v>1</v>
      </c>
      <c r="U526" t="s">
        <v>50</v>
      </c>
      <c r="V526" t="s">
        <v>51</v>
      </c>
      <c r="W526">
        <v>4</v>
      </c>
      <c r="X526" t="b">
        <v>0</v>
      </c>
      <c r="Y526" t="s">
        <v>52</v>
      </c>
      <c r="Z526" t="s">
        <v>53</v>
      </c>
      <c r="AA526" t="s">
        <v>54</v>
      </c>
      <c r="AB526">
        <v>0</v>
      </c>
      <c r="AC526" t="s">
        <v>55</v>
      </c>
      <c r="AD526">
        <v>8</v>
      </c>
      <c r="AE526" t="s">
        <v>56</v>
      </c>
      <c r="AF526">
        <v>19720.099999999999</v>
      </c>
      <c r="AG526" t="b">
        <v>0</v>
      </c>
      <c r="AH526">
        <v>8</v>
      </c>
      <c r="AI526" t="s">
        <v>56</v>
      </c>
      <c r="AJ526">
        <v>19720.099999999999</v>
      </c>
      <c r="AK526" t="b">
        <v>0</v>
      </c>
      <c r="AL526">
        <v>19720.099999999999</v>
      </c>
      <c r="AM526" t="b">
        <v>0</v>
      </c>
      <c r="AN526">
        <v>0</v>
      </c>
      <c r="AO526" t="b">
        <v>0</v>
      </c>
      <c r="AQ526">
        <v>1128988757.52</v>
      </c>
      <c r="AR526">
        <v>1128988757.52</v>
      </c>
      <c r="AS526">
        <v>0</v>
      </c>
      <c r="AT526" t="b">
        <v>0</v>
      </c>
      <c r="AU526" t="b">
        <v>1</v>
      </c>
      <c r="AV526" t="b">
        <v>1</v>
      </c>
      <c r="AW526" t="b">
        <v>1</v>
      </c>
      <c r="BC526" t="s">
        <v>374</v>
      </c>
    </row>
    <row r="527" spans="1:55" x14ac:dyDescent="0.2">
      <c r="A527" t="s">
        <v>39</v>
      </c>
      <c r="B527" t="s">
        <v>40</v>
      </c>
      <c r="C527">
        <v>20230101</v>
      </c>
      <c r="D527">
        <v>2023</v>
      </c>
      <c r="E527">
        <v>52</v>
      </c>
      <c r="F527" t="s">
        <v>354</v>
      </c>
      <c r="G527">
        <v>562</v>
      </c>
      <c r="H527" t="s">
        <v>227</v>
      </c>
      <c r="I527" t="s">
        <v>228</v>
      </c>
      <c r="J527" t="s">
        <v>44</v>
      </c>
      <c r="K527" t="s">
        <v>45</v>
      </c>
      <c r="L527">
        <v>0</v>
      </c>
      <c r="M527" t="s">
        <v>46</v>
      </c>
      <c r="N527" t="s">
        <v>47</v>
      </c>
      <c r="O527">
        <v>0</v>
      </c>
      <c r="P527" t="s">
        <v>46</v>
      </c>
      <c r="Q527" t="s">
        <v>47</v>
      </c>
      <c r="R527" t="s">
        <v>347</v>
      </c>
      <c r="S527" t="s">
        <v>49</v>
      </c>
      <c r="T527" t="b">
        <v>1</v>
      </c>
      <c r="U527" t="s">
        <v>50</v>
      </c>
      <c r="V527" t="s">
        <v>51</v>
      </c>
      <c r="W527">
        <v>4</v>
      </c>
      <c r="X527" t="b">
        <v>0</v>
      </c>
      <c r="Y527" t="s">
        <v>52</v>
      </c>
      <c r="Z527" t="s">
        <v>53</v>
      </c>
      <c r="AA527" t="s">
        <v>54</v>
      </c>
      <c r="AB527">
        <v>0</v>
      </c>
      <c r="AC527" t="s">
        <v>55</v>
      </c>
      <c r="AD527">
        <v>8</v>
      </c>
      <c r="AE527" t="s">
        <v>56</v>
      </c>
      <c r="AF527">
        <v>2173</v>
      </c>
      <c r="AG527" t="b">
        <v>0</v>
      </c>
      <c r="AH527">
        <v>8</v>
      </c>
      <c r="AI527" t="s">
        <v>56</v>
      </c>
      <c r="AJ527">
        <v>2173</v>
      </c>
      <c r="AK527" t="b">
        <v>0</v>
      </c>
      <c r="AL527">
        <v>2173</v>
      </c>
      <c r="AM527" t="b">
        <v>0</v>
      </c>
      <c r="AN527">
        <v>0</v>
      </c>
      <c r="AO527" t="b">
        <v>0</v>
      </c>
      <c r="AQ527">
        <v>110812754.04099999</v>
      </c>
      <c r="AR527">
        <v>110812754.04099999</v>
      </c>
      <c r="AS527">
        <v>0</v>
      </c>
      <c r="AT527" t="b">
        <v>0</v>
      </c>
      <c r="AU527" t="b">
        <v>1</v>
      </c>
      <c r="AV527" t="b">
        <v>1</v>
      </c>
      <c r="AW527" t="b">
        <v>1</v>
      </c>
      <c r="BC527" t="s">
        <v>374</v>
      </c>
    </row>
    <row r="528" spans="1:55" x14ac:dyDescent="0.2">
      <c r="A528" t="s">
        <v>39</v>
      </c>
      <c r="B528" t="s">
        <v>40</v>
      </c>
      <c r="C528">
        <v>20230101</v>
      </c>
      <c r="D528">
        <v>2023</v>
      </c>
      <c r="E528">
        <v>52</v>
      </c>
      <c r="F528" t="s">
        <v>354</v>
      </c>
      <c r="G528">
        <v>566</v>
      </c>
      <c r="H528" t="s">
        <v>329</v>
      </c>
      <c r="I528" t="s">
        <v>330</v>
      </c>
      <c r="J528" t="s">
        <v>44</v>
      </c>
      <c r="K528" t="s">
        <v>45</v>
      </c>
      <c r="L528">
        <v>0</v>
      </c>
      <c r="M528" t="s">
        <v>46</v>
      </c>
      <c r="N528" t="s">
        <v>47</v>
      </c>
      <c r="O528">
        <v>0</v>
      </c>
      <c r="P528" t="s">
        <v>46</v>
      </c>
      <c r="Q528" t="s">
        <v>47</v>
      </c>
      <c r="R528" t="s">
        <v>347</v>
      </c>
      <c r="S528" t="s">
        <v>49</v>
      </c>
      <c r="T528" t="b">
        <v>1</v>
      </c>
      <c r="U528" t="s">
        <v>50</v>
      </c>
      <c r="V528" t="s">
        <v>51</v>
      </c>
      <c r="W528">
        <v>4</v>
      </c>
      <c r="X528" t="b">
        <v>0</v>
      </c>
      <c r="Y528" t="s">
        <v>52</v>
      </c>
      <c r="Z528" t="s">
        <v>53</v>
      </c>
      <c r="AA528" t="s">
        <v>54</v>
      </c>
      <c r="AB528">
        <v>0</v>
      </c>
      <c r="AC528" t="s">
        <v>55</v>
      </c>
      <c r="AD528">
        <v>8</v>
      </c>
      <c r="AE528" t="s">
        <v>56</v>
      </c>
      <c r="AF528">
        <v>3217.799</v>
      </c>
      <c r="AG528" t="b">
        <v>1</v>
      </c>
      <c r="AH528">
        <v>-1</v>
      </c>
      <c r="AI528" t="s">
        <v>64</v>
      </c>
      <c r="AJ528">
        <v>0</v>
      </c>
      <c r="AK528" t="b">
        <v>0</v>
      </c>
      <c r="AL528">
        <v>3217.799</v>
      </c>
      <c r="AM528" t="b">
        <v>1</v>
      </c>
      <c r="AN528">
        <v>0</v>
      </c>
      <c r="AO528" t="b">
        <v>0</v>
      </c>
      <c r="AQ528">
        <v>141061875.64300001</v>
      </c>
      <c r="AR528">
        <v>141061875.64300001</v>
      </c>
      <c r="AS528">
        <v>6</v>
      </c>
      <c r="AT528" t="b">
        <v>0</v>
      </c>
      <c r="AU528" t="b">
        <v>1</v>
      </c>
      <c r="AV528" t="b">
        <v>1</v>
      </c>
      <c r="AW528" t="b">
        <v>1</v>
      </c>
      <c r="BC528" t="s">
        <v>374</v>
      </c>
    </row>
    <row r="529" spans="1:55" x14ac:dyDescent="0.2">
      <c r="A529" t="s">
        <v>39</v>
      </c>
      <c r="B529" t="s">
        <v>40</v>
      </c>
      <c r="C529">
        <v>20230101</v>
      </c>
      <c r="D529">
        <v>2023</v>
      </c>
      <c r="E529">
        <v>52</v>
      </c>
      <c r="F529" t="s">
        <v>354</v>
      </c>
      <c r="G529">
        <v>579</v>
      </c>
      <c r="H529" t="s">
        <v>229</v>
      </c>
      <c r="I529" t="s">
        <v>230</v>
      </c>
      <c r="J529" t="s">
        <v>44</v>
      </c>
      <c r="K529" t="s">
        <v>45</v>
      </c>
      <c r="L529">
        <v>0</v>
      </c>
      <c r="M529" t="s">
        <v>46</v>
      </c>
      <c r="N529" t="s">
        <v>47</v>
      </c>
      <c r="O529">
        <v>0</v>
      </c>
      <c r="P529" t="s">
        <v>46</v>
      </c>
      <c r="Q529" t="s">
        <v>47</v>
      </c>
      <c r="R529" t="s">
        <v>347</v>
      </c>
      <c r="S529" t="s">
        <v>49</v>
      </c>
      <c r="T529" t="b">
        <v>1</v>
      </c>
      <c r="U529" t="s">
        <v>50</v>
      </c>
      <c r="V529" t="s">
        <v>51</v>
      </c>
      <c r="W529">
        <v>4</v>
      </c>
      <c r="X529" t="b">
        <v>0</v>
      </c>
      <c r="Y529" t="s">
        <v>52</v>
      </c>
      <c r="Z529" t="s">
        <v>53</v>
      </c>
      <c r="AA529" t="s">
        <v>54</v>
      </c>
      <c r="AB529">
        <v>0</v>
      </c>
      <c r="AC529" t="s">
        <v>55</v>
      </c>
      <c r="AD529">
        <v>8</v>
      </c>
      <c r="AE529" t="s">
        <v>56</v>
      </c>
      <c r="AF529">
        <v>2684</v>
      </c>
      <c r="AG529" t="b">
        <v>0</v>
      </c>
      <c r="AH529">
        <v>8</v>
      </c>
      <c r="AI529" t="s">
        <v>56</v>
      </c>
      <c r="AJ529">
        <v>2684</v>
      </c>
      <c r="AK529" t="b">
        <v>0</v>
      </c>
      <c r="AL529">
        <v>2684</v>
      </c>
      <c r="AM529" t="b">
        <v>0</v>
      </c>
      <c r="AN529">
        <v>0</v>
      </c>
      <c r="AO529" t="b">
        <v>0</v>
      </c>
      <c r="AQ529">
        <v>154930537.06200001</v>
      </c>
      <c r="AR529">
        <v>154930537.06200001</v>
      </c>
      <c r="AS529">
        <v>0</v>
      </c>
      <c r="AT529" t="b">
        <v>0</v>
      </c>
      <c r="AU529" t="b">
        <v>1</v>
      </c>
      <c r="AV529" t="b">
        <v>1</v>
      </c>
      <c r="AW529" t="b">
        <v>1</v>
      </c>
      <c r="BC529" t="s">
        <v>374</v>
      </c>
    </row>
    <row r="530" spans="1:55" x14ac:dyDescent="0.2">
      <c r="A530" t="s">
        <v>39</v>
      </c>
      <c r="B530" t="s">
        <v>40</v>
      </c>
      <c r="C530">
        <v>20230101</v>
      </c>
      <c r="D530">
        <v>2023</v>
      </c>
      <c r="E530">
        <v>52</v>
      </c>
      <c r="F530" t="s">
        <v>354</v>
      </c>
      <c r="G530">
        <v>591</v>
      </c>
      <c r="H530" t="s">
        <v>231</v>
      </c>
      <c r="I530" t="s">
        <v>232</v>
      </c>
      <c r="J530" t="s">
        <v>44</v>
      </c>
      <c r="K530" t="s">
        <v>45</v>
      </c>
      <c r="L530">
        <v>0</v>
      </c>
      <c r="M530" t="s">
        <v>46</v>
      </c>
      <c r="N530" t="s">
        <v>47</v>
      </c>
      <c r="O530">
        <v>0</v>
      </c>
      <c r="P530" t="s">
        <v>46</v>
      </c>
      <c r="Q530" t="s">
        <v>47</v>
      </c>
      <c r="R530" t="s">
        <v>347</v>
      </c>
      <c r="S530" t="s">
        <v>49</v>
      </c>
      <c r="T530" t="b">
        <v>1</v>
      </c>
      <c r="U530" t="s">
        <v>50</v>
      </c>
      <c r="V530" t="s">
        <v>51</v>
      </c>
      <c r="W530">
        <v>4</v>
      </c>
      <c r="X530" t="b">
        <v>0</v>
      </c>
      <c r="Y530" t="s">
        <v>52</v>
      </c>
      <c r="Z530" t="s">
        <v>53</v>
      </c>
      <c r="AA530" t="s">
        <v>54</v>
      </c>
      <c r="AB530">
        <v>0</v>
      </c>
      <c r="AC530" t="s">
        <v>55</v>
      </c>
      <c r="AD530">
        <v>8</v>
      </c>
      <c r="AE530" t="s">
        <v>56</v>
      </c>
      <c r="AF530">
        <v>277</v>
      </c>
      <c r="AG530" t="b">
        <v>0</v>
      </c>
      <c r="AH530">
        <v>8</v>
      </c>
      <c r="AI530" t="s">
        <v>56</v>
      </c>
      <c r="AJ530">
        <v>277</v>
      </c>
      <c r="AK530" t="b">
        <v>0</v>
      </c>
      <c r="AL530">
        <v>277</v>
      </c>
      <c r="AM530" t="b">
        <v>0</v>
      </c>
      <c r="AN530">
        <v>277</v>
      </c>
      <c r="AO530" t="b">
        <v>0</v>
      </c>
      <c r="AQ530">
        <v>13271134</v>
      </c>
      <c r="AR530">
        <v>13271134</v>
      </c>
      <c r="AS530">
        <v>0</v>
      </c>
      <c r="AT530" t="b">
        <v>0</v>
      </c>
      <c r="AU530" t="b">
        <v>1</v>
      </c>
      <c r="AV530" t="b">
        <v>1</v>
      </c>
      <c r="AW530" t="b">
        <v>1</v>
      </c>
      <c r="BC530" t="s">
        <v>374</v>
      </c>
    </row>
    <row r="531" spans="1:55" x14ac:dyDescent="0.2">
      <c r="A531" t="s">
        <v>39</v>
      </c>
      <c r="B531" t="s">
        <v>40</v>
      </c>
      <c r="C531">
        <v>20230101</v>
      </c>
      <c r="D531">
        <v>2023</v>
      </c>
      <c r="E531">
        <v>52</v>
      </c>
      <c r="F531" t="s">
        <v>354</v>
      </c>
      <c r="G531">
        <v>598</v>
      </c>
      <c r="H531" t="s">
        <v>340</v>
      </c>
      <c r="I531" t="s">
        <v>341</v>
      </c>
      <c r="J531" t="s">
        <v>44</v>
      </c>
      <c r="K531" t="s">
        <v>45</v>
      </c>
      <c r="L531">
        <v>0</v>
      </c>
      <c r="M531" t="s">
        <v>46</v>
      </c>
      <c r="N531" t="s">
        <v>47</v>
      </c>
      <c r="O531">
        <v>0</v>
      </c>
      <c r="P531" t="s">
        <v>46</v>
      </c>
      <c r="Q531" t="s">
        <v>47</v>
      </c>
      <c r="R531" t="s">
        <v>347</v>
      </c>
      <c r="S531" t="s">
        <v>49</v>
      </c>
      <c r="T531" t="b">
        <v>1</v>
      </c>
      <c r="U531" t="s">
        <v>50</v>
      </c>
      <c r="V531" t="s">
        <v>51</v>
      </c>
      <c r="W531">
        <v>4</v>
      </c>
      <c r="X531" t="b">
        <v>0</v>
      </c>
      <c r="Y531" t="s">
        <v>52</v>
      </c>
      <c r="Z531" t="s">
        <v>53</v>
      </c>
      <c r="AA531" t="s">
        <v>54</v>
      </c>
      <c r="AB531">
        <v>0</v>
      </c>
      <c r="AC531" t="s">
        <v>55</v>
      </c>
      <c r="AD531">
        <v>8</v>
      </c>
      <c r="AE531" t="s">
        <v>56</v>
      </c>
      <c r="AF531">
        <v>5329.75</v>
      </c>
      <c r="AG531" t="b">
        <v>0</v>
      </c>
      <c r="AH531">
        <v>15</v>
      </c>
      <c r="AI531" t="s">
        <v>59</v>
      </c>
      <c r="AJ531">
        <v>5329750</v>
      </c>
      <c r="AK531" t="b">
        <v>0</v>
      </c>
      <c r="AL531">
        <v>5329.75</v>
      </c>
      <c r="AM531" t="b">
        <v>0</v>
      </c>
      <c r="AN531">
        <v>0</v>
      </c>
      <c r="AO531" t="b">
        <v>0</v>
      </c>
      <c r="AQ531">
        <v>325194837.81</v>
      </c>
      <c r="AR531">
        <v>325194837.81</v>
      </c>
      <c r="AS531">
        <v>0</v>
      </c>
      <c r="AT531" t="b">
        <v>0</v>
      </c>
      <c r="AU531" t="b">
        <v>1</v>
      </c>
      <c r="AV531" t="b">
        <v>1</v>
      </c>
      <c r="AW531" t="b">
        <v>1</v>
      </c>
      <c r="BC531" t="s">
        <v>374</v>
      </c>
    </row>
    <row r="532" spans="1:55" x14ac:dyDescent="0.2">
      <c r="A532" t="s">
        <v>39</v>
      </c>
      <c r="B532" t="s">
        <v>40</v>
      </c>
      <c r="C532">
        <v>20230101</v>
      </c>
      <c r="D532">
        <v>2023</v>
      </c>
      <c r="E532">
        <v>52</v>
      </c>
      <c r="F532" t="s">
        <v>354</v>
      </c>
      <c r="G532">
        <v>600</v>
      </c>
      <c r="H532" t="s">
        <v>233</v>
      </c>
      <c r="I532" t="s">
        <v>234</v>
      </c>
      <c r="J532" t="s">
        <v>44</v>
      </c>
      <c r="K532" t="s">
        <v>45</v>
      </c>
      <c r="L532">
        <v>0</v>
      </c>
      <c r="M532" t="s">
        <v>46</v>
      </c>
      <c r="N532" t="s">
        <v>47</v>
      </c>
      <c r="O532">
        <v>0</v>
      </c>
      <c r="P532" t="s">
        <v>46</v>
      </c>
      <c r="Q532" t="s">
        <v>47</v>
      </c>
      <c r="R532" t="s">
        <v>347</v>
      </c>
      <c r="S532" t="s">
        <v>49</v>
      </c>
      <c r="T532" t="b">
        <v>1</v>
      </c>
      <c r="U532" t="s">
        <v>50</v>
      </c>
      <c r="V532" t="s">
        <v>51</v>
      </c>
      <c r="W532">
        <v>4</v>
      </c>
      <c r="X532" t="b">
        <v>0</v>
      </c>
      <c r="Y532" t="s">
        <v>52</v>
      </c>
      <c r="Z532" t="s">
        <v>53</v>
      </c>
      <c r="AA532" t="s">
        <v>54</v>
      </c>
      <c r="AB532">
        <v>0</v>
      </c>
      <c r="AC532" t="s">
        <v>55</v>
      </c>
      <c r="AD532">
        <v>8</v>
      </c>
      <c r="AE532" t="s">
        <v>56</v>
      </c>
      <c r="AF532">
        <v>211.768</v>
      </c>
      <c r="AG532" t="b">
        <v>0</v>
      </c>
      <c r="AH532">
        <v>8</v>
      </c>
      <c r="AI532" t="s">
        <v>56</v>
      </c>
      <c r="AJ532">
        <v>211.768</v>
      </c>
      <c r="AK532" t="b">
        <v>0</v>
      </c>
      <c r="AL532">
        <v>211.768</v>
      </c>
      <c r="AM532" t="b">
        <v>0</v>
      </c>
      <c r="AN532">
        <v>0</v>
      </c>
      <c r="AO532" t="b">
        <v>0</v>
      </c>
      <c r="AQ532">
        <v>12161253.33</v>
      </c>
      <c r="AR532">
        <v>12161253.33</v>
      </c>
      <c r="AS532">
        <v>0</v>
      </c>
      <c r="AT532" t="b">
        <v>0</v>
      </c>
      <c r="AU532" t="b">
        <v>1</v>
      </c>
      <c r="AV532" t="b">
        <v>1</v>
      </c>
      <c r="AW532" t="b">
        <v>1</v>
      </c>
      <c r="BC532" t="s">
        <v>374</v>
      </c>
    </row>
    <row r="533" spans="1:55" x14ac:dyDescent="0.2">
      <c r="A533" t="s">
        <v>39</v>
      </c>
      <c r="B533" t="s">
        <v>40</v>
      </c>
      <c r="C533">
        <v>20230101</v>
      </c>
      <c r="D533">
        <v>2023</v>
      </c>
      <c r="E533">
        <v>52</v>
      </c>
      <c r="F533" t="s">
        <v>354</v>
      </c>
      <c r="G533">
        <v>608</v>
      </c>
      <c r="H533" t="s">
        <v>237</v>
      </c>
      <c r="I533" t="s">
        <v>238</v>
      </c>
      <c r="J533" t="s">
        <v>44</v>
      </c>
      <c r="K533" t="s">
        <v>45</v>
      </c>
      <c r="L533">
        <v>0</v>
      </c>
      <c r="M533" t="s">
        <v>46</v>
      </c>
      <c r="N533" t="s">
        <v>47</v>
      </c>
      <c r="O533">
        <v>0</v>
      </c>
      <c r="P533" t="s">
        <v>46</v>
      </c>
      <c r="Q533" t="s">
        <v>47</v>
      </c>
      <c r="R533" t="s">
        <v>48</v>
      </c>
      <c r="S533" t="s">
        <v>49</v>
      </c>
      <c r="T533" t="b">
        <v>1</v>
      </c>
      <c r="U533" t="s">
        <v>50</v>
      </c>
      <c r="V533" t="s">
        <v>51</v>
      </c>
      <c r="W533">
        <v>4</v>
      </c>
      <c r="X533" t="b">
        <v>0</v>
      </c>
      <c r="Y533" t="s">
        <v>52</v>
      </c>
      <c r="Z533" t="s">
        <v>53</v>
      </c>
      <c r="AA533" t="s">
        <v>54</v>
      </c>
      <c r="AB533">
        <v>0</v>
      </c>
      <c r="AC533" t="s">
        <v>55</v>
      </c>
      <c r="AD533">
        <v>-1</v>
      </c>
      <c r="AE533" t="s">
        <v>64</v>
      </c>
      <c r="AF533">
        <v>0</v>
      </c>
      <c r="AG533" t="b">
        <v>0</v>
      </c>
      <c r="AH533">
        <v>-1</v>
      </c>
      <c r="AI533" t="s">
        <v>64</v>
      </c>
      <c r="AJ533">
        <v>0</v>
      </c>
      <c r="AK533" t="b">
        <v>0</v>
      </c>
      <c r="AM533" t="b">
        <v>0</v>
      </c>
      <c r="AN533">
        <v>112233.85</v>
      </c>
      <c r="AO533" t="b">
        <v>0</v>
      </c>
      <c r="AQ533">
        <v>1203469761</v>
      </c>
      <c r="AR533">
        <v>1203469761</v>
      </c>
      <c r="AS533">
        <v>0</v>
      </c>
      <c r="AT533" t="b">
        <v>0</v>
      </c>
      <c r="AU533" t="b">
        <v>1</v>
      </c>
      <c r="AV533" t="b">
        <v>1</v>
      </c>
      <c r="AW533" t="b">
        <v>1</v>
      </c>
      <c r="BC533" t="s">
        <v>374</v>
      </c>
    </row>
    <row r="534" spans="1:55" x14ac:dyDescent="0.2">
      <c r="A534" t="s">
        <v>39</v>
      </c>
      <c r="B534" t="s">
        <v>40</v>
      </c>
      <c r="C534">
        <v>20230101</v>
      </c>
      <c r="D534">
        <v>2023</v>
      </c>
      <c r="E534">
        <v>52</v>
      </c>
      <c r="F534" t="s">
        <v>354</v>
      </c>
      <c r="G534">
        <v>616</v>
      </c>
      <c r="H534" t="s">
        <v>239</v>
      </c>
      <c r="I534" t="s">
        <v>240</v>
      </c>
      <c r="J534" t="s">
        <v>44</v>
      </c>
      <c r="K534" t="s">
        <v>45</v>
      </c>
      <c r="L534">
        <v>0</v>
      </c>
      <c r="M534" t="s">
        <v>46</v>
      </c>
      <c r="N534" t="s">
        <v>47</v>
      </c>
      <c r="O534">
        <v>0</v>
      </c>
      <c r="P534" t="s">
        <v>46</v>
      </c>
      <c r="Q534" t="s">
        <v>47</v>
      </c>
      <c r="R534" t="s">
        <v>347</v>
      </c>
      <c r="S534" t="s">
        <v>49</v>
      </c>
      <c r="T534" t="b">
        <v>1</v>
      </c>
      <c r="U534" t="s">
        <v>50</v>
      </c>
      <c r="V534" t="s">
        <v>51</v>
      </c>
      <c r="W534">
        <v>4</v>
      </c>
      <c r="X534" t="b">
        <v>0</v>
      </c>
      <c r="Y534" t="s">
        <v>52</v>
      </c>
      <c r="Z534" t="s">
        <v>53</v>
      </c>
      <c r="AA534" t="s">
        <v>54</v>
      </c>
      <c r="AB534">
        <v>0</v>
      </c>
      <c r="AC534" t="s">
        <v>55</v>
      </c>
      <c r="AD534">
        <v>8</v>
      </c>
      <c r="AE534" t="s">
        <v>56</v>
      </c>
      <c r="AF534">
        <v>10485.061</v>
      </c>
      <c r="AG534" t="b">
        <v>1</v>
      </c>
      <c r="AH534">
        <v>-1</v>
      </c>
      <c r="AI534" t="s">
        <v>64</v>
      </c>
      <c r="AJ534">
        <v>0</v>
      </c>
      <c r="AK534" t="b">
        <v>0</v>
      </c>
      <c r="AM534" t="b">
        <v>0</v>
      </c>
      <c r="AN534">
        <v>0</v>
      </c>
      <c r="AO534" t="b">
        <v>0</v>
      </c>
      <c r="AQ534">
        <v>272178561</v>
      </c>
      <c r="AR534">
        <v>272178561</v>
      </c>
      <c r="AS534">
        <v>2</v>
      </c>
      <c r="AT534" t="b">
        <v>0</v>
      </c>
      <c r="AU534" t="b">
        <v>1</v>
      </c>
      <c r="AV534" t="b">
        <v>1</v>
      </c>
      <c r="AW534" t="b">
        <v>1</v>
      </c>
      <c r="BC534" t="s">
        <v>374</v>
      </c>
    </row>
    <row r="535" spans="1:55" x14ac:dyDescent="0.2">
      <c r="A535" t="s">
        <v>39</v>
      </c>
      <c r="B535" t="s">
        <v>40</v>
      </c>
      <c r="C535">
        <v>20230101</v>
      </c>
      <c r="D535">
        <v>2023</v>
      </c>
      <c r="E535">
        <v>52</v>
      </c>
      <c r="F535" t="s">
        <v>354</v>
      </c>
      <c r="G535">
        <v>620</v>
      </c>
      <c r="H535" t="s">
        <v>241</v>
      </c>
      <c r="I535" t="s">
        <v>242</v>
      </c>
      <c r="J535" t="s">
        <v>44</v>
      </c>
      <c r="K535" t="s">
        <v>45</v>
      </c>
      <c r="L535">
        <v>0</v>
      </c>
      <c r="M535" t="s">
        <v>46</v>
      </c>
      <c r="N535" t="s">
        <v>47</v>
      </c>
      <c r="O535">
        <v>0</v>
      </c>
      <c r="P535" t="s">
        <v>46</v>
      </c>
      <c r="Q535" t="s">
        <v>47</v>
      </c>
      <c r="R535" t="s">
        <v>347</v>
      </c>
      <c r="S535" t="s">
        <v>49</v>
      </c>
      <c r="T535" t="b">
        <v>1</v>
      </c>
      <c r="U535" t="s">
        <v>50</v>
      </c>
      <c r="V535" t="s">
        <v>51</v>
      </c>
      <c r="W535">
        <v>4</v>
      </c>
      <c r="X535" t="b">
        <v>0</v>
      </c>
      <c r="Y535" t="s">
        <v>52</v>
      </c>
      <c r="Z535" t="s">
        <v>53</v>
      </c>
      <c r="AA535" t="s">
        <v>54</v>
      </c>
      <c r="AB535">
        <v>0</v>
      </c>
      <c r="AC535" t="s">
        <v>55</v>
      </c>
      <c r="AD535">
        <v>8</v>
      </c>
      <c r="AE535" t="s">
        <v>56</v>
      </c>
      <c r="AF535">
        <v>2815.03</v>
      </c>
      <c r="AG535" t="b">
        <v>0</v>
      </c>
      <c r="AH535">
        <v>15</v>
      </c>
      <c r="AI535" t="s">
        <v>59</v>
      </c>
      <c r="AJ535">
        <v>2815030</v>
      </c>
      <c r="AK535" t="b">
        <v>0</v>
      </c>
      <c r="AL535">
        <v>2814.9769999999999</v>
      </c>
      <c r="AM535" t="b">
        <v>0</v>
      </c>
      <c r="AN535">
        <v>0</v>
      </c>
      <c r="AO535" t="b">
        <v>0</v>
      </c>
      <c r="AQ535">
        <v>170618231.52700001</v>
      </c>
      <c r="AR535">
        <v>170618231.52700001</v>
      </c>
      <c r="AS535">
        <v>0</v>
      </c>
      <c r="AT535" t="b">
        <v>0</v>
      </c>
      <c r="AU535" t="b">
        <v>1</v>
      </c>
      <c r="AV535" t="b">
        <v>1</v>
      </c>
      <c r="AW535" t="b">
        <v>1</v>
      </c>
      <c r="BC535" t="s">
        <v>374</v>
      </c>
    </row>
    <row r="536" spans="1:55" x14ac:dyDescent="0.2">
      <c r="A536" t="s">
        <v>39</v>
      </c>
      <c r="B536" t="s">
        <v>40</v>
      </c>
      <c r="C536">
        <v>20230101</v>
      </c>
      <c r="D536">
        <v>2023</v>
      </c>
      <c r="E536">
        <v>52</v>
      </c>
      <c r="F536" t="s">
        <v>354</v>
      </c>
      <c r="G536">
        <v>634</v>
      </c>
      <c r="H536" t="s">
        <v>243</v>
      </c>
      <c r="I536" t="s">
        <v>244</v>
      </c>
      <c r="J536" t="s">
        <v>44</v>
      </c>
      <c r="K536" t="s">
        <v>45</v>
      </c>
      <c r="L536">
        <v>0</v>
      </c>
      <c r="M536" t="s">
        <v>46</v>
      </c>
      <c r="N536" t="s">
        <v>47</v>
      </c>
      <c r="O536">
        <v>0</v>
      </c>
      <c r="P536" t="s">
        <v>46</v>
      </c>
      <c r="Q536" t="s">
        <v>47</v>
      </c>
      <c r="R536" t="s">
        <v>347</v>
      </c>
      <c r="S536" t="s">
        <v>49</v>
      </c>
      <c r="T536" t="b">
        <v>1</v>
      </c>
      <c r="U536" t="s">
        <v>50</v>
      </c>
      <c r="V536" t="s">
        <v>51</v>
      </c>
      <c r="W536">
        <v>4</v>
      </c>
      <c r="X536" t="b">
        <v>0</v>
      </c>
      <c r="Y536" t="s">
        <v>52</v>
      </c>
      <c r="Z536" t="s">
        <v>53</v>
      </c>
      <c r="AA536" t="s">
        <v>54</v>
      </c>
      <c r="AB536">
        <v>0</v>
      </c>
      <c r="AC536" t="s">
        <v>55</v>
      </c>
      <c r="AD536">
        <v>-1</v>
      </c>
      <c r="AE536" t="s">
        <v>64</v>
      </c>
      <c r="AF536">
        <v>0</v>
      </c>
      <c r="AG536" t="b">
        <v>0</v>
      </c>
      <c r="AH536">
        <v>-1</v>
      </c>
      <c r="AI536" t="s">
        <v>64</v>
      </c>
      <c r="AJ536">
        <v>0</v>
      </c>
      <c r="AK536" t="b">
        <v>0</v>
      </c>
      <c r="AL536">
        <v>0</v>
      </c>
      <c r="AM536" t="b">
        <v>0</v>
      </c>
      <c r="AN536">
        <v>0</v>
      </c>
      <c r="AO536" t="b">
        <v>0</v>
      </c>
      <c r="AQ536">
        <v>3602029.699</v>
      </c>
      <c r="AR536">
        <v>3602029.699</v>
      </c>
      <c r="AS536">
        <v>0</v>
      </c>
      <c r="AT536" t="b">
        <v>0</v>
      </c>
      <c r="AU536" t="b">
        <v>1</v>
      </c>
      <c r="AV536" t="b">
        <v>1</v>
      </c>
      <c r="AW536" t="b">
        <v>1</v>
      </c>
      <c r="BC536" t="s">
        <v>374</v>
      </c>
    </row>
    <row r="537" spans="1:55" x14ac:dyDescent="0.2">
      <c r="A537" t="s">
        <v>39</v>
      </c>
      <c r="B537" t="s">
        <v>40</v>
      </c>
      <c r="C537">
        <v>20230101</v>
      </c>
      <c r="D537">
        <v>2023</v>
      </c>
      <c r="E537">
        <v>52</v>
      </c>
      <c r="F537" t="s">
        <v>354</v>
      </c>
      <c r="G537">
        <v>682</v>
      </c>
      <c r="H537" t="s">
        <v>249</v>
      </c>
      <c r="I537" t="s">
        <v>250</v>
      </c>
      <c r="J537" t="s">
        <v>44</v>
      </c>
      <c r="K537" t="s">
        <v>45</v>
      </c>
      <c r="L537">
        <v>0</v>
      </c>
      <c r="M537" t="s">
        <v>46</v>
      </c>
      <c r="N537" t="s">
        <v>47</v>
      </c>
      <c r="O537">
        <v>0</v>
      </c>
      <c r="P537" t="s">
        <v>46</v>
      </c>
      <c r="Q537" t="s">
        <v>47</v>
      </c>
      <c r="R537" t="s">
        <v>347</v>
      </c>
      <c r="S537" t="s">
        <v>49</v>
      </c>
      <c r="T537" t="b">
        <v>1</v>
      </c>
      <c r="U537" t="s">
        <v>50</v>
      </c>
      <c r="V537" t="s">
        <v>51</v>
      </c>
      <c r="W537">
        <v>4</v>
      </c>
      <c r="X537" t="b">
        <v>0</v>
      </c>
      <c r="Y537" t="s">
        <v>52</v>
      </c>
      <c r="Z537" t="s">
        <v>53</v>
      </c>
      <c r="AA537" t="s">
        <v>54</v>
      </c>
      <c r="AB537">
        <v>0</v>
      </c>
      <c r="AC537" t="s">
        <v>55</v>
      </c>
      <c r="AD537">
        <v>8</v>
      </c>
      <c r="AE537" t="s">
        <v>56</v>
      </c>
      <c r="AF537">
        <v>23281.623</v>
      </c>
      <c r="AG537" t="b">
        <v>1</v>
      </c>
      <c r="AH537">
        <v>-1</v>
      </c>
      <c r="AI537" t="s">
        <v>64</v>
      </c>
      <c r="AJ537">
        <v>0</v>
      </c>
      <c r="AK537" t="b">
        <v>0</v>
      </c>
      <c r="AL537">
        <v>23281.623</v>
      </c>
      <c r="AM537" t="b">
        <v>1</v>
      </c>
      <c r="AN537">
        <v>0</v>
      </c>
      <c r="AO537" t="b">
        <v>0</v>
      </c>
      <c r="AQ537">
        <v>1408748981.0480001</v>
      </c>
      <c r="AR537">
        <v>1408748981.0480001</v>
      </c>
      <c r="AS537">
        <v>6</v>
      </c>
      <c r="AT537" t="b">
        <v>0</v>
      </c>
      <c r="AU537" t="b">
        <v>1</v>
      </c>
      <c r="AV537" t="b">
        <v>1</v>
      </c>
      <c r="AW537" t="b">
        <v>1</v>
      </c>
      <c r="BC537" t="s">
        <v>374</v>
      </c>
    </row>
    <row r="538" spans="1:55" x14ac:dyDescent="0.2">
      <c r="A538" t="s">
        <v>39</v>
      </c>
      <c r="B538" t="s">
        <v>40</v>
      </c>
      <c r="C538">
        <v>20230101</v>
      </c>
      <c r="D538">
        <v>2023</v>
      </c>
      <c r="E538">
        <v>52</v>
      </c>
      <c r="F538" t="s">
        <v>354</v>
      </c>
      <c r="G538">
        <v>686</v>
      </c>
      <c r="H538" t="s">
        <v>251</v>
      </c>
      <c r="I538" t="s">
        <v>252</v>
      </c>
      <c r="J538" t="s">
        <v>44</v>
      </c>
      <c r="K538" t="s">
        <v>45</v>
      </c>
      <c r="L538">
        <v>0</v>
      </c>
      <c r="M538" t="s">
        <v>46</v>
      </c>
      <c r="N538" t="s">
        <v>47</v>
      </c>
      <c r="O538">
        <v>0</v>
      </c>
      <c r="P538" t="s">
        <v>46</v>
      </c>
      <c r="Q538" t="s">
        <v>47</v>
      </c>
      <c r="R538" t="s">
        <v>347</v>
      </c>
      <c r="S538" t="s">
        <v>49</v>
      </c>
      <c r="T538" t="b">
        <v>1</v>
      </c>
      <c r="U538" t="s">
        <v>50</v>
      </c>
      <c r="V538" t="s">
        <v>51</v>
      </c>
      <c r="W538">
        <v>4</v>
      </c>
      <c r="X538" t="b">
        <v>0</v>
      </c>
      <c r="Y538" t="s">
        <v>52</v>
      </c>
      <c r="Z538" t="s">
        <v>53</v>
      </c>
      <c r="AA538" t="s">
        <v>54</v>
      </c>
      <c r="AB538">
        <v>0</v>
      </c>
      <c r="AC538" t="s">
        <v>55</v>
      </c>
      <c r="AD538">
        <v>8</v>
      </c>
      <c r="AE538" t="s">
        <v>56</v>
      </c>
      <c r="AF538">
        <v>16984</v>
      </c>
      <c r="AG538" t="b">
        <v>0</v>
      </c>
      <c r="AH538">
        <v>8</v>
      </c>
      <c r="AI538" t="s">
        <v>56</v>
      </c>
      <c r="AJ538">
        <v>16984</v>
      </c>
      <c r="AK538" t="b">
        <v>0</v>
      </c>
      <c r="AL538">
        <v>16984</v>
      </c>
      <c r="AM538" t="b">
        <v>0</v>
      </c>
      <c r="AN538">
        <v>0</v>
      </c>
      <c r="AO538" t="b">
        <v>0</v>
      </c>
      <c r="AQ538">
        <v>874749413.23000002</v>
      </c>
      <c r="AR538">
        <v>874749413.23000002</v>
      </c>
      <c r="AS538">
        <v>0</v>
      </c>
      <c r="AT538" t="b">
        <v>0</v>
      </c>
      <c r="AU538" t="b">
        <v>1</v>
      </c>
      <c r="AV538" t="b">
        <v>1</v>
      </c>
      <c r="AW538" t="b">
        <v>1</v>
      </c>
      <c r="BC538" t="s">
        <v>374</v>
      </c>
    </row>
    <row r="539" spans="1:55" x14ac:dyDescent="0.2">
      <c r="A539" t="s">
        <v>39</v>
      </c>
      <c r="B539" t="s">
        <v>40</v>
      </c>
      <c r="C539">
        <v>20230101</v>
      </c>
      <c r="D539">
        <v>2023</v>
      </c>
      <c r="E539">
        <v>52</v>
      </c>
      <c r="F539" t="s">
        <v>354</v>
      </c>
      <c r="G539">
        <v>688</v>
      </c>
      <c r="H539" t="s">
        <v>253</v>
      </c>
      <c r="I539" t="s">
        <v>254</v>
      </c>
      <c r="J539" t="s">
        <v>44</v>
      </c>
      <c r="K539" t="s">
        <v>45</v>
      </c>
      <c r="L539">
        <v>0</v>
      </c>
      <c r="M539" t="s">
        <v>46</v>
      </c>
      <c r="N539" t="s">
        <v>47</v>
      </c>
      <c r="O539">
        <v>0</v>
      </c>
      <c r="P539" t="s">
        <v>46</v>
      </c>
      <c r="Q539" t="s">
        <v>47</v>
      </c>
      <c r="R539" t="s">
        <v>347</v>
      </c>
      <c r="S539" t="s">
        <v>49</v>
      </c>
      <c r="T539" t="b">
        <v>1</v>
      </c>
      <c r="U539" t="s">
        <v>50</v>
      </c>
      <c r="V539" t="s">
        <v>51</v>
      </c>
      <c r="W539">
        <v>4</v>
      </c>
      <c r="X539" t="b">
        <v>0</v>
      </c>
      <c r="Y539" t="s">
        <v>52</v>
      </c>
      <c r="Z539" t="s">
        <v>53</v>
      </c>
      <c r="AA539" t="s">
        <v>54</v>
      </c>
      <c r="AB539">
        <v>0</v>
      </c>
      <c r="AC539" t="s">
        <v>55</v>
      </c>
      <c r="AD539">
        <v>8</v>
      </c>
      <c r="AE539" t="s">
        <v>56</v>
      </c>
      <c r="AF539">
        <v>314.03899999999999</v>
      </c>
      <c r="AG539" t="b">
        <v>0</v>
      </c>
      <c r="AH539">
        <v>15</v>
      </c>
      <c r="AI539" t="s">
        <v>59</v>
      </c>
      <c r="AJ539">
        <v>314039</v>
      </c>
      <c r="AK539" t="b">
        <v>0</v>
      </c>
      <c r="AL539">
        <v>315.3</v>
      </c>
      <c r="AM539" t="b">
        <v>0</v>
      </c>
      <c r="AN539">
        <v>0</v>
      </c>
      <c r="AO539" t="b">
        <v>0</v>
      </c>
      <c r="AQ539">
        <v>12629428</v>
      </c>
      <c r="AR539">
        <v>12629428</v>
      </c>
      <c r="AS539">
        <v>0</v>
      </c>
      <c r="AT539" t="b">
        <v>0</v>
      </c>
      <c r="AU539" t="b">
        <v>1</v>
      </c>
      <c r="AV539" t="b">
        <v>1</v>
      </c>
      <c r="AW539" t="b">
        <v>1</v>
      </c>
      <c r="BC539" t="s">
        <v>374</v>
      </c>
    </row>
    <row r="540" spans="1:55" x14ac:dyDescent="0.2">
      <c r="A540" t="s">
        <v>39</v>
      </c>
      <c r="B540" t="s">
        <v>40</v>
      </c>
      <c r="C540">
        <v>20230101</v>
      </c>
      <c r="D540">
        <v>2023</v>
      </c>
      <c r="E540">
        <v>52</v>
      </c>
      <c r="F540" t="s">
        <v>354</v>
      </c>
      <c r="G540">
        <v>699</v>
      </c>
      <c r="H540" t="s">
        <v>255</v>
      </c>
      <c r="I540" t="s">
        <v>256</v>
      </c>
      <c r="J540" t="s">
        <v>44</v>
      </c>
      <c r="K540" t="s">
        <v>45</v>
      </c>
      <c r="L540">
        <v>0</v>
      </c>
      <c r="M540" t="s">
        <v>46</v>
      </c>
      <c r="N540" t="s">
        <v>47</v>
      </c>
      <c r="O540">
        <v>0</v>
      </c>
      <c r="P540" t="s">
        <v>46</v>
      </c>
      <c r="Q540" t="s">
        <v>47</v>
      </c>
      <c r="R540" t="s">
        <v>347</v>
      </c>
      <c r="S540" t="s">
        <v>49</v>
      </c>
      <c r="T540" t="b">
        <v>1</v>
      </c>
      <c r="U540" t="s">
        <v>50</v>
      </c>
      <c r="V540" t="s">
        <v>51</v>
      </c>
      <c r="W540">
        <v>4</v>
      </c>
      <c r="X540" t="b">
        <v>0</v>
      </c>
      <c r="Y540" t="s">
        <v>52</v>
      </c>
      <c r="Z540" t="s">
        <v>53</v>
      </c>
      <c r="AA540" t="s">
        <v>54</v>
      </c>
      <c r="AB540">
        <v>0</v>
      </c>
      <c r="AC540" t="s">
        <v>55</v>
      </c>
      <c r="AD540">
        <v>8</v>
      </c>
      <c r="AE540" t="s">
        <v>56</v>
      </c>
      <c r="AF540">
        <v>1298.8320000000001</v>
      </c>
      <c r="AG540" t="b">
        <v>1</v>
      </c>
      <c r="AH540">
        <v>-1</v>
      </c>
      <c r="AI540" t="s">
        <v>64</v>
      </c>
      <c r="AJ540">
        <v>0</v>
      </c>
      <c r="AK540" t="b">
        <v>0</v>
      </c>
      <c r="AL540">
        <v>1298.8320000000001</v>
      </c>
      <c r="AM540" t="b">
        <v>1</v>
      </c>
      <c r="AN540">
        <v>0</v>
      </c>
      <c r="AO540" t="b">
        <v>0</v>
      </c>
      <c r="AQ540">
        <v>74514561.893999994</v>
      </c>
      <c r="AR540">
        <v>74514561.893999994</v>
      </c>
      <c r="AS540">
        <v>6</v>
      </c>
      <c r="AT540" t="b">
        <v>0</v>
      </c>
      <c r="AU540" t="b">
        <v>1</v>
      </c>
      <c r="AV540" t="b">
        <v>1</v>
      </c>
      <c r="AW540" t="b">
        <v>1</v>
      </c>
      <c r="BC540" t="s">
        <v>374</v>
      </c>
    </row>
    <row r="541" spans="1:55" x14ac:dyDescent="0.2">
      <c r="A541" t="s">
        <v>39</v>
      </c>
      <c r="B541" t="s">
        <v>40</v>
      </c>
      <c r="C541">
        <v>20230101</v>
      </c>
      <c r="D541">
        <v>2023</v>
      </c>
      <c r="E541">
        <v>52</v>
      </c>
      <c r="F541" t="s">
        <v>354</v>
      </c>
      <c r="G541">
        <v>703</v>
      </c>
      <c r="H541" t="s">
        <v>259</v>
      </c>
      <c r="I541" t="s">
        <v>260</v>
      </c>
      <c r="J541" t="s">
        <v>44</v>
      </c>
      <c r="K541" t="s">
        <v>45</v>
      </c>
      <c r="L541">
        <v>0</v>
      </c>
      <c r="M541" t="s">
        <v>46</v>
      </c>
      <c r="N541" t="s">
        <v>47</v>
      </c>
      <c r="O541">
        <v>0</v>
      </c>
      <c r="P541" t="s">
        <v>46</v>
      </c>
      <c r="Q541" t="s">
        <v>47</v>
      </c>
      <c r="R541" t="s">
        <v>347</v>
      </c>
      <c r="S541" t="s">
        <v>49</v>
      </c>
      <c r="T541" t="b">
        <v>1</v>
      </c>
      <c r="U541" t="s">
        <v>50</v>
      </c>
      <c r="V541" t="s">
        <v>51</v>
      </c>
      <c r="W541">
        <v>4</v>
      </c>
      <c r="X541" t="b">
        <v>0</v>
      </c>
      <c r="Y541" t="s">
        <v>52</v>
      </c>
      <c r="Z541" t="s">
        <v>53</v>
      </c>
      <c r="AA541" t="s">
        <v>54</v>
      </c>
      <c r="AB541">
        <v>0</v>
      </c>
      <c r="AC541" t="s">
        <v>55</v>
      </c>
      <c r="AD541">
        <v>8</v>
      </c>
      <c r="AE541" t="s">
        <v>56</v>
      </c>
      <c r="AF541">
        <v>769.94399999999996</v>
      </c>
      <c r="AG541" t="b">
        <v>0</v>
      </c>
      <c r="AH541">
        <v>15</v>
      </c>
      <c r="AI541" t="s">
        <v>59</v>
      </c>
      <c r="AJ541">
        <v>769944</v>
      </c>
      <c r="AK541" t="b">
        <v>0</v>
      </c>
      <c r="AM541" t="b">
        <v>0</v>
      </c>
      <c r="AN541">
        <v>0</v>
      </c>
      <c r="AO541" t="b">
        <v>0</v>
      </c>
      <c r="AQ541">
        <v>21549161.344000001</v>
      </c>
      <c r="AR541">
        <v>21549161.344000001</v>
      </c>
      <c r="AS541">
        <v>0</v>
      </c>
      <c r="AT541" t="b">
        <v>0</v>
      </c>
      <c r="AU541" t="b">
        <v>1</v>
      </c>
      <c r="AV541" t="b">
        <v>1</v>
      </c>
      <c r="AW541" t="b">
        <v>1</v>
      </c>
      <c r="BC541" t="s">
        <v>374</v>
      </c>
    </row>
    <row r="542" spans="1:55" x14ac:dyDescent="0.2">
      <c r="A542" t="s">
        <v>39</v>
      </c>
      <c r="B542" t="s">
        <v>40</v>
      </c>
      <c r="C542">
        <v>20230101</v>
      </c>
      <c r="D542">
        <v>2023</v>
      </c>
      <c r="E542">
        <v>52</v>
      </c>
      <c r="F542" t="s">
        <v>354</v>
      </c>
      <c r="G542">
        <v>704</v>
      </c>
      <c r="H542" t="s">
        <v>261</v>
      </c>
      <c r="I542" t="s">
        <v>262</v>
      </c>
      <c r="J542" t="s">
        <v>44</v>
      </c>
      <c r="K542" t="s">
        <v>45</v>
      </c>
      <c r="L542">
        <v>0</v>
      </c>
      <c r="M542" t="s">
        <v>46</v>
      </c>
      <c r="N542" t="s">
        <v>47</v>
      </c>
      <c r="O542">
        <v>0</v>
      </c>
      <c r="P542" t="s">
        <v>46</v>
      </c>
      <c r="Q542" t="s">
        <v>47</v>
      </c>
      <c r="R542" t="s">
        <v>347</v>
      </c>
      <c r="S542" t="s">
        <v>49</v>
      </c>
      <c r="T542" t="b">
        <v>1</v>
      </c>
      <c r="U542" t="s">
        <v>50</v>
      </c>
      <c r="V542" t="s">
        <v>51</v>
      </c>
      <c r="W542">
        <v>4</v>
      </c>
      <c r="X542" t="b">
        <v>0</v>
      </c>
      <c r="Y542" t="s">
        <v>52</v>
      </c>
      <c r="Z542" t="s">
        <v>53</v>
      </c>
      <c r="AA542" t="s">
        <v>54</v>
      </c>
      <c r="AB542">
        <v>0</v>
      </c>
      <c r="AC542" t="s">
        <v>55</v>
      </c>
      <c r="AD542">
        <v>8</v>
      </c>
      <c r="AE542" t="s">
        <v>56</v>
      </c>
      <c r="AF542">
        <v>312.83199999999999</v>
      </c>
      <c r="AG542" t="b">
        <v>1</v>
      </c>
      <c r="AH542">
        <v>-1</v>
      </c>
      <c r="AI542" t="s">
        <v>64</v>
      </c>
      <c r="AJ542">
        <v>0</v>
      </c>
      <c r="AK542" t="b">
        <v>0</v>
      </c>
      <c r="AL542">
        <v>312.83199999999999</v>
      </c>
      <c r="AM542" t="b">
        <v>1</v>
      </c>
      <c r="AN542">
        <v>0</v>
      </c>
      <c r="AO542" t="b">
        <v>0</v>
      </c>
      <c r="AQ542">
        <v>18942944.592</v>
      </c>
      <c r="AR542">
        <v>18942944.592</v>
      </c>
      <c r="AS542">
        <v>6</v>
      </c>
      <c r="AT542" t="b">
        <v>0</v>
      </c>
      <c r="AU542" t="b">
        <v>1</v>
      </c>
      <c r="AV542" t="b">
        <v>1</v>
      </c>
      <c r="AW542" t="b">
        <v>1</v>
      </c>
      <c r="BC542" t="s">
        <v>374</v>
      </c>
    </row>
    <row r="543" spans="1:55" x14ac:dyDescent="0.2">
      <c r="A543" t="s">
        <v>39</v>
      </c>
      <c r="B543" t="s">
        <v>40</v>
      </c>
      <c r="C543">
        <v>20230101</v>
      </c>
      <c r="D543">
        <v>2023</v>
      </c>
      <c r="E543">
        <v>52</v>
      </c>
      <c r="F543" t="s">
        <v>354</v>
      </c>
      <c r="G543">
        <v>705</v>
      </c>
      <c r="H543" t="s">
        <v>263</v>
      </c>
      <c r="I543" t="s">
        <v>264</v>
      </c>
      <c r="J543" t="s">
        <v>44</v>
      </c>
      <c r="K543" t="s">
        <v>45</v>
      </c>
      <c r="L543">
        <v>0</v>
      </c>
      <c r="M543" t="s">
        <v>46</v>
      </c>
      <c r="N543" t="s">
        <v>47</v>
      </c>
      <c r="O543">
        <v>0</v>
      </c>
      <c r="P543" t="s">
        <v>46</v>
      </c>
      <c r="Q543" t="s">
        <v>47</v>
      </c>
      <c r="R543" t="s">
        <v>347</v>
      </c>
      <c r="S543" t="s">
        <v>49</v>
      </c>
      <c r="T543" t="b">
        <v>1</v>
      </c>
      <c r="U543" t="s">
        <v>50</v>
      </c>
      <c r="V543" t="s">
        <v>51</v>
      </c>
      <c r="W543">
        <v>4</v>
      </c>
      <c r="X543" t="b">
        <v>0</v>
      </c>
      <c r="Y543" t="s">
        <v>52</v>
      </c>
      <c r="Z543" t="s">
        <v>53</v>
      </c>
      <c r="AA543" t="s">
        <v>54</v>
      </c>
      <c r="AB543">
        <v>0</v>
      </c>
      <c r="AC543" t="s">
        <v>55</v>
      </c>
      <c r="AD543">
        <v>8</v>
      </c>
      <c r="AE543" t="s">
        <v>56</v>
      </c>
      <c r="AF543">
        <v>315.44099999999997</v>
      </c>
      <c r="AG543" t="b">
        <v>0</v>
      </c>
      <c r="AH543">
        <v>15</v>
      </c>
      <c r="AI543" t="s">
        <v>59</v>
      </c>
      <c r="AJ543">
        <v>315441.12199999997</v>
      </c>
      <c r="AK543" t="b">
        <v>0</v>
      </c>
      <c r="AL543">
        <v>330.44900000000001</v>
      </c>
      <c r="AM543" t="b">
        <v>0</v>
      </c>
      <c r="AN543">
        <v>0</v>
      </c>
      <c r="AO543" t="b">
        <v>0</v>
      </c>
      <c r="AQ543">
        <v>19596892.037</v>
      </c>
      <c r="AR543">
        <v>19596892.037</v>
      </c>
      <c r="AS543">
        <v>0</v>
      </c>
      <c r="AT543" t="b">
        <v>0</v>
      </c>
      <c r="AU543" t="b">
        <v>1</v>
      </c>
      <c r="AV543" t="b">
        <v>1</v>
      </c>
      <c r="AW543" t="b">
        <v>1</v>
      </c>
      <c r="BC543" t="s">
        <v>374</v>
      </c>
    </row>
    <row r="544" spans="1:55" x14ac:dyDescent="0.2">
      <c r="A544" t="s">
        <v>39</v>
      </c>
      <c r="B544" t="s">
        <v>40</v>
      </c>
      <c r="C544">
        <v>20230101</v>
      </c>
      <c r="D544">
        <v>2023</v>
      </c>
      <c r="E544">
        <v>52</v>
      </c>
      <c r="F544" t="s">
        <v>354</v>
      </c>
      <c r="G544">
        <v>710</v>
      </c>
      <c r="H544" t="s">
        <v>265</v>
      </c>
      <c r="I544" t="s">
        <v>266</v>
      </c>
      <c r="J544" t="s">
        <v>44</v>
      </c>
      <c r="K544" t="s">
        <v>45</v>
      </c>
      <c r="L544">
        <v>0</v>
      </c>
      <c r="M544" t="s">
        <v>46</v>
      </c>
      <c r="N544" t="s">
        <v>47</v>
      </c>
      <c r="O544">
        <v>0</v>
      </c>
      <c r="P544" t="s">
        <v>46</v>
      </c>
      <c r="Q544" t="s">
        <v>47</v>
      </c>
      <c r="R544" t="s">
        <v>347</v>
      </c>
      <c r="S544" t="s">
        <v>49</v>
      </c>
      <c r="T544" t="b">
        <v>1</v>
      </c>
      <c r="U544" t="s">
        <v>50</v>
      </c>
      <c r="V544" t="s">
        <v>51</v>
      </c>
      <c r="W544">
        <v>4</v>
      </c>
      <c r="X544" t="b">
        <v>0</v>
      </c>
      <c r="Y544" t="s">
        <v>52</v>
      </c>
      <c r="Z544" t="s">
        <v>53</v>
      </c>
      <c r="AA544" t="s">
        <v>54</v>
      </c>
      <c r="AB544">
        <v>0</v>
      </c>
      <c r="AC544" t="s">
        <v>55</v>
      </c>
      <c r="AD544">
        <v>-1</v>
      </c>
      <c r="AE544" t="s">
        <v>64</v>
      </c>
      <c r="AF544">
        <v>0</v>
      </c>
      <c r="AG544" t="b">
        <v>0</v>
      </c>
      <c r="AH544">
        <v>-1</v>
      </c>
      <c r="AI544" t="s">
        <v>64</v>
      </c>
      <c r="AJ544">
        <v>0</v>
      </c>
      <c r="AK544" t="b">
        <v>0</v>
      </c>
      <c r="AM544" t="b">
        <v>0</v>
      </c>
      <c r="AN544">
        <v>0</v>
      </c>
      <c r="AO544" t="b">
        <v>0</v>
      </c>
      <c r="AQ544">
        <v>6290623861.5179996</v>
      </c>
      <c r="AR544">
        <v>6290623861.5179996</v>
      </c>
      <c r="AS544">
        <v>0</v>
      </c>
      <c r="AT544" t="b">
        <v>0</v>
      </c>
      <c r="AU544" t="b">
        <v>1</v>
      </c>
      <c r="AV544" t="b">
        <v>1</v>
      </c>
      <c r="AW544" t="b">
        <v>1</v>
      </c>
      <c r="BC544" t="s">
        <v>374</v>
      </c>
    </row>
    <row r="545" spans="1:55" x14ac:dyDescent="0.2">
      <c r="A545" t="s">
        <v>39</v>
      </c>
      <c r="B545" t="s">
        <v>40</v>
      </c>
      <c r="C545">
        <v>20230101</v>
      </c>
      <c r="D545">
        <v>2023</v>
      </c>
      <c r="E545">
        <v>52</v>
      </c>
      <c r="F545" t="s">
        <v>354</v>
      </c>
      <c r="G545">
        <v>716</v>
      </c>
      <c r="H545" t="s">
        <v>267</v>
      </c>
      <c r="I545" t="s">
        <v>268</v>
      </c>
      <c r="J545" t="s">
        <v>44</v>
      </c>
      <c r="K545" t="s">
        <v>45</v>
      </c>
      <c r="L545">
        <v>0</v>
      </c>
      <c r="M545" t="s">
        <v>46</v>
      </c>
      <c r="N545" t="s">
        <v>47</v>
      </c>
      <c r="O545">
        <v>0</v>
      </c>
      <c r="P545" t="s">
        <v>46</v>
      </c>
      <c r="Q545" t="s">
        <v>47</v>
      </c>
      <c r="R545" t="s">
        <v>347</v>
      </c>
      <c r="S545" t="s">
        <v>49</v>
      </c>
      <c r="T545" t="b">
        <v>1</v>
      </c>
      <c r="U545" t="s">
        <v>50</v>
      </c>
      <c r="V545" t="s">
        <v>51</v>
      </c>
      <c r="W545">
        <v>4</v>
      </c>
      <c r="X545" t="b">
        <v>0</v>
      </c>
      <c r="Y545" t="s">
        <v>52</v>
      </c>
      <c r="Z545" t="s">
        <v>53</v>
      </c>
      <c r="AA545" t="s">
        <v>54</v>
      </c>
      <c r="AB545">
        <v>0</v>
      </c>
      <c r="AC545" t="s">
        <v>55</v>
      </c>
      <c r="AD545">
        <v>-1</v>
      </c>
      <c r="AE545" t="s">
        <v>64</v>
      </c>
      <c r="AF545">
        <v>0</v>
      </c>
      <c r="AG545" t="b">
        <v>0</v>
      </c>
      <c r="AH545">
        <v>-1</v>
      </c>
      <c r="AI545" t="s">
        <v>64</v>
      </c>
      <c r="AJ545">
        <v>0</v>
      </c>
      <c r="AK545" t="b">
        <v>0</v>
      </c>
      <c r="AM545" t="b">
        <v>0</v>
      </c>
      <c r="AN545">
        <v>0</v>
      </c>
      <c r="AO545" t="b">
        <v>0</v>
      </c>
      <c r="AQ545">
        <v>1805476918.21</v>
      </c>
      <c r="AR545">
        <v>1805476918.21</v>
      </c>
      <c r="AS545">
        <v>0</v>
      </c>
      <c r="AT545" t="b">
        <v>0</v>
      </c>
      <c r="AU545" t="b">
        <v>1</v>
      </c>
      <c r="AV545" t="b">
        <v>1</v>
      </c>
      <c r="AW545" t="b">
        <v>1</v>
      </c>
      <c r="BC545" t="s">
        <v>374</v>
      </c>
    </row>
    <row r="546" spans="1:55" x14ac:dyDescent="0.2">
      <c r="A546" t="s">
        <v>39</v>
      </c>
      <c r="B546" t="s">
        <v>40</v>
      </c>
      <c r="C546">
        <v>20230101</v>
      </c>
      <c r="D546">
        <v>2023</v>
      </c>
      <c r="E546">
        <v>52</v>
      </c>
      <c r="F546" t="s">
        <v>354</v>
      </c>
      <c r="G546">
        <v>724</v>
      </c>
      <c r="H546" t="s">
        <v>269</v>
      </c>
      <c r="I546" t="s">
        <v>270</v>
      </c>
      <c r="J546" t="s">
        <v>44</v>
      </c>
      <c r="K546" t="s">
        <v>45</v>
      </c>
      <c r="L546">
        <v>0</v>
      </c>
      <c r="M546" t="s">
        <v>46</v>
      </c>
      <c r="N546" t="s">
        <v>47</v>
      </c>
      <c r="O546">
        <v>0</v>
      </c>
      <c r="P546" t="s">
        <v>46</v>
      </c>
      <c r="Q546" t="s">
        <v>47</v>
      </c>
      <c r="R546" t="s">
        <v>347</v>
      </c>
      <c r="S546" t="s">
        <v>49</v>
      </c>
      <c r="T546" t="b">
        <v>1</v>
      </c>
      <c r="U546" t="s">
        <v>50</v>
      </c>
      <c r="V546" t="s">
        <v>51</v>
      </c>
      <c r="W546">
        <v>4</v>
      </c>
      <c r="X546" t="b">
        <v>0</v>
      </c>
      <c r="Y546" t="s">
        <v>52</v>
      </c>
      <c r="Z546" t="s">
        <v>53</v>
      </c>
      <c r="AA546" t="s">
        <v>54</v>
      </c>
      <c r="AB546">
        <v>0</v>
      </c>
      <c r="AC546" t="s">
        <v>55</v>
      </c>
      <c r="AD546">
        <v>-1</v>
      </c>
      <c r="AE546" t="s">
        <v>64</v>
      </c>
      <c r="AF546">
        <v>0</v>
      </c>
      <c r="AG546" t="b">
        <v>0</v>
      </c>
      <c r="AH546">
        <v>15</v>
      </c>
      <c r="AI546" t="s">
        <v>59</v>
      </c>
      <c r="AJ546">
        <v>52502760.920000002</v>
      </c>
      <c r="AK546" t="b">
        <v>0</v>
      </c>
      <c r="AM546" t="b">
        <v>0</v>
      </c>
      <c r="AN546">
        <v>0</v>
      </c>
      <c r="AO546" t="b">
        <v>0</v>
      </c>
      <c r="AQ546">
        <v>2976011481.5100002</v>
      </c>
      <c r="AR546">
        <v>2976011481.5100002</v>
      </c>
      <c r="AS546">
        <v>0</v>
      </c>
      <c r="AT546" t="b">
        <v>0</v>
      </c>
      <c r="AU546" t="b">
        <v>1</v>
      </c>
      <c r="AV546" t="b">
        <v>1</v>
      </c>
      <c r="AW546" t="b">
        <v>1</v>
      </c>
      <c r="BC546" t="s">
        <v>374</v>
      </c>
    </row>
    <row r="547" spans="1:55" x14ac:dyDescent="0.2">
      <c r="A547" t="s">
        <v>39</v>
      </c>
      <c r="B547" t="s">
        <v>40</v>
      </c>
      <c r="C547">
        <v>20230101</v>
      </c>
      <c r="D547">
        <v>2023</v>
      </c>
      <c r="E547">
        <v>52</v>
      </c>
      <c r="F547" t="s">
        <v>354</v>
      </c>
      <c r="G547">
        <v>740</v>
      </c>
      <c r="H547" t="s">
        <v>271</v>
      </c>
      <c r="I547" t="s">
        <v>272</v>
      </c>
      <c r="J547" t="s">
        <v>44</v>
      </c>
      <c r="K547" t="s">
        <v>45</v>
      </c>
      <c r="L547">
        <v>0</v>
      </c>
      <c r="M547" t="s">
        <v>46</v>
      </c>
      <c r="N547" t="s">
        <v>47</v>
      </c>
      <c r="O547">
        <v>0</v>
      </c>
      <c r="P547" t="s">
        <v>46</v>
      </c>
      <c r="Q547" t="s">
        <v>47</v>
      </c>
      <c r="R547" t="s">
        <v>136</v>
      </c>
      <c r="S547" t="s">
        <v>49</v>
      </c>
      <c r="T547" t="b">
        <v>1</v>
      </c>
      <c r="U547" t="s">
        <v>50</v>
      </c>
      <c r="V547" t="s">
        <v>51</v>
      </c>
      <c r="W547">
        <v>4</v>
      </c>
      <c r="X547" t="b">
        <v>0</v>
      </c>
      <c r="Y547" t="s">
        <v>52</v>
      </c>
      <c r="Z547" t="s">
        <v>53</v>
      </c>
      <c r="AA547" t="s">
        <v>54</v>
      </c>
      <c r="AB547">
        <v>0</v>
      </c>
      <c r="AC547" t="s">
        <v>55</v>
      </c>
      <c r="AD547">
        <v>8</v>
      </c>
      <c r="AE547" t="s">
        <v>56</v>
      </c>
      <c r="AF547">
        <v>16338.300999999999</v>
      </c>
      <c r="AG547" t="b">
        <v>0</v>
      </c>
      <c r="AH547">
        <v>15</v>
      </c>
      <c r="AI547" t="s">
        <v>59</v>
      </c>
      <c r="AJ547">
        <v>16337302</v>
      </c>
      <c r="AK547" t="b">
        <v>0</v>
      </c>
      <c r="AM547" t="b">
        <v>0</v>
      </c>
      <c r="AN547">
        <v>48895.8</v>
      </c>
      <c r="AO547" t="b">
        <v>0</v>
      </c>
      <c r="AQ547">
        <v>1167321201.223</v>
      </c>
      <c r="AR547">
        <v>1167321201.223</v>
      </c>
      <c r="AS547">
        <v>0</v>
      </c>
      <c r="AT547" t="b">
        <v>0</v>
      </c>
      <c r="AU547" t="b">
        <v>1</v>
      </c>
      <c r="AV547" t="b">
        <v>1</v>
      </c>
      <c r="AW547" t="b">
        <v>1</v>
      </c>
      <c r="BC547" t="s">
        <v>374</v>
      </c>
    </row>
    <row r="548" spans="1:55" x14ac:dyDescent="0.2">
      <c r="A548" t="s">
        <v>39</v>
      </c>
      <c r="B548" t="s">
        <v>40</v>
      </c>
      <c r="C548">
        <v>20230101</v>
      </c>
      <c r="D548">
        <v>2023</v>
      </c>
      <c r="E548">
        <v>52</v>
      </c>
      <c r="F548" t="s">
        <v>354</v>
      </c>
      <c r="G548">
        <v>748</v>
      </c>
      <c r="H548" t="s">
        <v>273</v>
      </c>
      <c r="I548" t="s">
        <v>274</v>
      </c>
      <c r="J548" t="s">
        <v>44</v>
      </c>
      <c r="K548" t="s">
        <v>45</v>
      </c>
      <c r="L548">
        <v>0</v>
      </c>
      <c r="M548" t="s">
        <v>46</v>
      </c>
      <c r="N548" t="s">
        <v>47</v>
      </c>
      <c r="O548">
        <v>0</v>
      </c>
      <c r="P548" t="s">
        <v>46</v>
      </c>
      <c r="Q548" t="s">
        <v>47</v>
      </c>
      <c r="R548" t="s">
        <v>347</v>
      </c>
      <c r="S548" t="s">
        <v>49</v>
      </c>
      <c r="T548" t="b">
        <v>1</v>
      </c>
      <c r="U548" t="s">
        <v>50</v>
      </c>
      <c r="V548" t="s">
        <v>51</v>
      </c>
      <c r="W548">
        <v>4</v>
      </c>
      <c r="X548" t="b">
        <v>0</v>
      </c>
      <c r="Y548" t="s">
        <v>52</v>
      </c>
      <c r="Z548" t="s">
        <v>53</v>
      </c>
      <c r="AA548" t="s">
        <v>54</v>
      </c>
      <c r="AB548">
        <v>0</v>
      </c>
      <c r="AC548" t="s">
        <v>55</v>
      </c>
      <c r="AD548">
        <v>8</v>
      </c>
      <c r="AE548" t="s">
        <v>56</v>
      </c>
      <c r="AF548">
        <v>30.08</v>
      </c>
      <c r="AG548" t="b">
        <v>0</v>
      </c>
      <c r="AH548">
        <v>8</v>
      </c>
      <c r="AI548" t="s">
        <v>56</v>
      </c>
      <c r="AJ548">
        <v>30.08</v>
      </c>
      <c r="AK548" t="b">
        <v>0</v>
      </c>
      <c r="AL548">
        <v>30.08</v>
      </c>
      <c r="AM548" t="b">
        <v>0</v>
      </c>
      <c r="AN548">
        <v>0</v>
      </c>
      <c r="AO548" t="b">
        <v>0</v>
      </c>
      <c r="AQ548">
        <v>1618594.35</v>
      </c>
      <c r="AR548">
        <v>1618594.35</v>
      </c>
      <c r="AS548">
        <v>0</v>
      </c>
      <c r="AT548" t="b">
        <v>0</v>
      </c>
      <c r="AU548" t="b">
        <v>1</v>
      </c>
      <c r="AV548" t="b">
        <v>1</v>
      </c>
      <c r="AW548" t="b">
        <v>1</v>
      </c>
      <c r="BC548" t="s">
        <v>374</v>
      </c>
    </row>
    <row r="549" spans="1:55" x14ac:dyDescent="0.2">
      <c r="A549" t="s">
        <v>39</v>
      </c>
      <c r="B549" t="s">
        <v>40</v>
      </c>
      <c r="C549">
        <v>20230101</v>
      </c>
      <c r="D549">
        <v>2023</v>
      </c>
      <c r="E549">
        <v>52</v>
      </c>
      <c r="F549" t="s">
        <v>354</v>
      </c>
      <c r="G549">
        <v>752</v>
      </c>
      <c r="H549" t="s">
        <v>275</v>
      </c>
      <c r="I549" t="s">
        <v>276</v>
      </c>
      <c r="J549" t="s">
        <v>44</v>
      </c>
      <c r="K549" t="s">
        <v>45</v>
      </c>
      <c r="L549">
        <v>0</v>
      </c>
      <c r="M549" t="s">
        <v>46</v>
      </c>
      <c r="N549" t="s">
        <v>47</v>
      </c>
      <c r="O549">
        <v>0</v>
      </c>
      <c r="P549" t="s">
        <v>46</v>
      </c>
      <c r="Q549" t="s">
        <v>47</v>
      </c>
      <c r="R549" t="s">
        <v>347</v>
      </c>
      <c r="S549" t="s">
        <v>49</v>
      </c>
      <c r="T549" t="b">
        <v>1</v>
      </c>
      <c r="U549" t="s">
        <v>50</v>
      </c>
      <c r="V549" t="s">
        <v>51</v>
      </c>
      <c r="W549">
        <v>4</v>
      </c>
      <c r="X549" t="b">
        <v>0</v>
      </c>
      <c r="Y549" t="s">
        <v>52</v>
      </c>
      <c r="Z549" t="s">
        <v>53</v>
      </c>
      <c r="AA549" t="s">
        <v>54</v>
      </c>
      <c r="AB549">
        <v>0</v>
      </c>
      <c r="AC549" t="s">
        <v>55</v>
      </c>
      <c r="AD549">
        <v>-1</v>
      </c>
      <c r="AE549" t="s">
        <v>64</v>
      </c>
      <c r="AF549">
        <v>0</v>
      </c>
      <c r="AG549" t="b">
        <v>0</v>
      </c>
      <c r="AH549">
        <v>-1</v>
      </c>
      <c r="AI549" t="s">
        <v>64</v>
      </c>
      <c r="AJ549">
        <v>0</v>
      </c>
      <c r="AK549" t="b">
        <v>0</v>
      </c>
      <c r="AM549" t="b">
        <v>0</v>
      </c>
      <c r="AN549">
        <v>0</v>
      </c>
      <c r="AO549" t="b">
        <v>0</v>
      </c>
      <c r="AQ549">
        <v>824816642.95000005</v>
      </c>
      <c r="AR549">
        <v>824816642.95000005</v>
      </c>
      <c r="AS549">
        <v>0</v>
      </c>
      <c r="AT549" t="b">
        <v>0</v>
      </c>
      <c r="AU549" t="b">
        <v>1</v>
      </c>
      <c r="AV549" t="b">
        <v>1</v>
      </c>
      <c r="AW549" t="b">
        <v>1</v>
      </c>
      <c r="BC549" t="s">
        <v>374</v>
      </c>
    </row>
    <row r="550" spans="1:55" x14ac:dyDescent="0.2">
      <c r="A550" t="s">
        <v>39</v>
      </c>
      <c r="B550" t="s">
        <v>40</v>
      </c>
      <c r="C550">
        <v>20230101</v>
      </c>
      <c r="D550">
        <v>2023</v>
      </c>
      <c r="E550">
        <v>52</v>
      </c>
      <c r="F550" t="s">
        <v>354</v>
      </c>
      <c r="G550">
        <v>757</v>
      </c>
      <c r="H550" t="s">
        <v>277</v>
      </c>
      <c r="I550" t="s">
        <v>278</v>
      </c>
      <c r="J550" t="s">
        <v>44</v>
      </c>
      <c r="K550" t="s">
        <v>45</v>
      </c>
      <c r="L550">
        <v>0</v>
      </c>
      <c r="M550" t="s">
        <v>46</v>
      </c>
      <c r="N550" t="s">
        <v>47</v>
      </c>
      <c r="O550">
        <v>0</v>
      </c>
      <c r="P550" t="s">
        <v>46</v>
      </c>
      <c r="Q550" t="s">
        <v>47</v>
      </c>
      <c r="R550" t="s">
        <v>347</v>
      </c>
      <c r="S550" t="s">
        <v>49</v>
      </c>
      <c r="T550" t="b">
        <v>1</v>
      </c>
      <c r="U550" t="s">
        <v>50</v>
      </c>
      <c r="V550" t="s">
        <v>51</v>
      </c>
      <c r="W550">
        <v>4</v>
      </c>
      <c r="X550" t="b">
        <v>0</v>
      </c>
      <c r="Y550" t="s">
        <v>52</v>
      </c>
      <c r="Z550" t="s">
        <v>53</v>
      </c>
      <c r="AA550" t="s">
        <v>54</v>
      </c>
      <c r="AB550">
        <v>0</v>
      </c>
      <c r="AC550" t="s">
        <v>55</v>
      </c>
      <c r="AD550">
        <v>-1</v>
      </c>
      <c r="AE550" t="s">
        <v>64</v>
      </c>
      <c r="AF550">
        <v>0</v>
      </c>
      <c r="AG550" t="b">
        <v>0</v>
      </c>
      <c r="AH550">
        <v>-1</v>
      </c>
      <c r="AI550" t="s">
        <v>64</v>
      </c>
      <c r="AJ550">
        <v>0</v>
      </c>
      <c r="AK550" t="b">
        <v>0</v>
      </c>
      <c r="AM550" t="b">
        <v>0</v>
      </c>
      <c r="AN550">
        <v>0</v>
      </c>
      <c r="AO550" t="b">
        <v>0</v>
      </c>
      <c r="AQ550">
        <v>107165596657.388</v>
      </c>
      <c r="AR550">
        <v>107165596657.388</v>
      </c>
      <c r="AS550">
        <v>0</v>
      </c>
      <c r="AT550" t="b">
        <v>0</v>
      </c>
      <c r="AU550" t="b">
        <v>1</v>
      </c>
      <c r="AV550" t="b">
        <v>1</v>
      </c>
      <c r="AW550" t="b">
        <v>1</v>
      </c>
      <c r="BC550" t="s">
        <v>374</v>
      </c>
    </row>
    <row r="551" spans="1:55" x14ac:dyDescent="0.2">
      <c r="A551" t="s">
        <v>39</v>
      </c>
      <c r="B551" t="s">
        <v>40</v>
      </c>
      <c r="C551">
        <v>20230101</v>
      </c>
      <c r="D551">
        <v>2023</v>
      </c>
      <c r="E551">
        <v>52</v>
      </c>
      <c r="F551" t="s">
        <v>354</v>
      </c>
      <c r="G551">
        <v>764</v>
      </c>
      <c r="H551" t="s">
        <v>279</v>
      </c>
      <c r="I551" t="s">
        <v>280</v>
      </c>
      <c r="J551" t="s">
        <v>44</v>
      </c>
      <c r="K551" t="s">
        <v>45</v>
      </c>
      <c r="L551">
        <v>0</v>
      </c>
      <c r="M551" t="s">
        <v>46</v>
      </c>
      <c r="N551" t="s">
        <v>47</v>
      </c>
      <c r="O551">
        <v>0</v>
      </c>
      <c r="P551" t="s">
        <v>46</v>
      </c>
      <c r="Q551" t="s">
        <v>47</v>
      </c>
      <c r="R551" t="s">
        <v>347</v>
      </c>
      <c r="S551" t="s">
        <v>49</v>
      </c>
      <c r="T551" t="b">
        <v>1</v>
      </c>
      <c r="U551" t="s">
        <v>50</v>
      </c>
      <c r="V551" t="s">
        <v>51</v>
      </c>
      <c r="W551">
        <v>4</v>
      </c>
      <c r="X551" t="b">
        <v>0</v>
      </c>
      <c r="Y551" t="s">
        <v>52</v>
      </c>
      <c r="Z551" t="s">
        <v>53</v>
      </c>
      <c r="AA551" t="s">
        <v>54</v>
      </c>
      <c r="AB551">
        <v>0</v>
      </c>
      <c r="AC551" t="s">
        <v>55</v>
      </c>
      <c r="AD551">
        <v>-1</v>
      </c>
      <c r="AE551" t="s">
        <v>64</v>
      </c>
      <c r="AF551">
        <v>0</v>
      </c>
      <c r="AG551" t="b">
        <v>0</v>
      </c>
      <c r="AH551">
        <v>-1</v>
      </c>
      <c r="AI551" t="s">
        <v>64</v>
      </c>
      <c r="AJ551">
        <v>0</v>
      </c>
      <c r="AK551" t="b">
        <v>0</v>
      </c>
      <c r="AM551" t="b">
        <v>0</v>
      </c>
      <c r="AN551">
        <v>0</v>
      </c>
      <c r="AO551" t="b">
        <v>0</v>
      </c>
      <c r="AQ551">
        <v>5978827739.0539999</v>
      </c>
      <c r="AR551">
        <v>5978827739.0539999</v>
      </c>
      <c r="AS551">
        <v>0</v>
      </c>
      <c r="AT551" t="b">
        <v>0</v>
      </c>
      <c r="AU551" t="b">
        <v>1</v>
      </c>
      <c r="AV551" t="b">
        <v>1</v>
      </c>
      <c r="AW551" t="b">
        <v>1</v>
      </c>
      <c r="BC551" t="s">
        <v>374</v>
      </c>
    </row>
    <row r="552" spans="1:55" x14ac:dyDescent="0.2">
      <c r="A552" t="s">
        <v>39</v>
      </c>
      <c r="B552" t="s">
        <v>40</v>
      </c>
      <c r="C552">
        <v>20230101</v>
      </c>
      <c r="D552">
        <v>2023</v>
      </c>
      <c r="E552">
        <v>52</v>
      </c>
      <c r="F552" t="s">
        <v>354</v>
      </c>
      <c r="G552">
        <v>768</v>
      </c>
      <c r="H552" t="s">
        <v>281</v>
      </c>
      <c r="I552" t="s">
        <v>282</v>
      </c>
      <c r="J552" t="s">
        <v>44</v>
      </c>
      <c r="K552" t="s">
        <v>45</v>
      </c>
      <c r="L552">
        <v>0</v>
      </c>
      <c r="M552" t="s">
        <v>46</v>
      </c>
      <c r="N552" t="s">
        <v>47</v>
      </c>
      <c r="O552">
        <v>0</v>
      </c>
      <c r="P552" t="s">
        <v>46</v>
      </c>
      <c r="Q552" t="s">
        <v>47</v>
      </c>
      <c r="R552" t="s">
        <v>48</v>
      </c>
      <c r="S552" t="s">
        <v>49</v>
      </c>
      <c r="T552" t="b">
        <v>1</v>
      </c>
      <c r="U552" t="s">
        <v>50</v>
      </c>
      <c r="V552" t="s">
        <v>51</v>
      </c>
      <c r="W552">
        <v>4</v>
      </c>
      <c r="X552" t="b">
        <v>0</v>
      </c>
      <c r="Y552" t="s">
        <v>52</v>
      </c>
      <c r="Z552" t="s">
        <v>53</v>
      </c>
      <c r="AA552" t="s">
        <v>54</v>
      </c>
      <c r="AB552">
        <v>0</v>
      </c>
      <c r="AC552" t="s">
        <v>55</v>
      </c>
      <c r="AD552">
        <v>8</v>
      </c>
      <c r="AE552" t="s">
        <v>56</v>
      </c>
      <c r="AF552">
        <v>2</v>
      </c>
      <c r="AG552" t="b">
        <v>0</v>
      </c>
      <c r="AH552">
        <v>8</v>
      </c>
      <c r="AI552" t="s">
        <v>56</v>
      </c>
      <c r="AJ552">
        <v>2</v>
      </c>
      <c r="AK552" t="b">
        <v>0</v>
      </c>
      <c r="AL552">
        <v>2</v>
      </c>
      <c r="AM552" t="b">
        <v>0</v>
      </c>
      <c r="AN552">
        <v>0</v>
      </c>
      <c r="AO552" t="b">
        <v>0</v>
      </c>
      <c r="AQ552">
        <v>1947.3710000000001</v>
      </c>
      <c r="AR552">
        <v>1947.3710000000001</v>
      </c>
      <c r="AS552">
        <v>0</v>
      </c>
      <c r="AT552" t="b">
        <v>0</v>
      </c>
      <c r="AU552" t="b">
        <v>1</v>
      </c>
      <c r="AV552" t="b">
        <v>1</v>
      </c>
      <c r="AW552" t="b">
        <v>1</v>
      </c>
      <c r="BC552" t="s">
        <v>374</v>
      </c>
    </row>
    <row r="553" spans="1:55" x14ac:dyDescent="0.2">
      <c r="A553" t="s">
        <v>39</v>
      </c>
      <c r="B553" t="s">
        <v>40</v>
      </c>
      <c r="C553">
        <v>20230101</v>
      </c>
      <c r="D553">
        <v>2023</v>
      </c>
      <c r="E553">
        <v>52</v>
      </c>
      <c r="F553" t="s">
        <v>354</v>
      </c>
      <c r="G553">
        <v>792</v>
      </c>
      <c r="H553" t="s">
        <v>287</v>
      </c>
      <c r="I553" t="s">
        <v>288</v>
      </c>
      <c r="J553" t="s">
        <v>44</v>
      </c>
      <c r="K553" t="s">
        <v>45</v>
      </c>
      <c r="L553">
        <v>0</v>
      </c>
      <c r="M553" t="s">
        <v>46</v>
      </c>
      <c r="N553" t="s">
        <v>47</v>
      </c>
      <c r="O553">
        <v>0</v>
      </c>
      <c r="P553" t="s">
        <v>46</v>
      </c>
      <c r="Q553" t="s">
        <v>47</v>
      </c>
      <c r="R553" t="s">
        <v>347</v>
      </c>
      <c r="S553" t="s">
        <v>49</v>
      </c>
      <c r="T553" t="b">
        <v>1</v>
      </c>
      <c r="U553" t="s">
        <v>50</v>
      </c>
      <c r="V553" t="s">
        <v>51</v>
      </c>
      <c r="W553">
        <v>4</v>
      </c>
      <c r="X553" t="b">
        <v>0</v>
      </c>
      <c r="Y553" t="s">
        <v>52</v>
      </c>
      <c r="Z553" t="s">
        <v>53</v>
      </c>
      <c r="AA553" t="s">
        <v>54</v>
      </c>
      <c r="AB553">
        <v>0</v>
      </c>
      <c r="AC553" t="s">
        <v>55</v>
      </c>
      <c r="AD553">
        <v>8</v>
      </c>
      <c r="AE553" t="s">
        <v>56</v>
      </c>
      <c r="AF553">
        <v>69168.577000000005</v>
      </c>
      <c r="AG553" t="b">
        <v>0</v>
      </c>
      <c r="AH553">
        <v>15</v>
      </c>
      <c r="AI553" t="s">
        <v>59</v>
      </c>
      <c r="AJ553">
        <v>69168577</v>
      </c>
      <c r="AK553" t="b">
        <v>0</v>
      </c>
      <c r="AM553" t="b">
        <v>0</v>
      </c>
      <c r="AN553">
        <v>0</v>
      </c>
      <c r="AO553" t="b">
        <v>0</v>
      </c>
      <c r="AQ553">
        <v>4329534058</v>
      </c>
      <c r="AR553">
        <v>4329534058</v>
      </c>
      <c r="AS553">
        <v>0</v>
      </c>
      <c r="AT553" t="b">
        <v>0</v>
      </c>
      <c r="AU553" t="b">
        <v>1</v>
      </c>
      <c r="AV553" t="b">
        <v>1</v>
      </c>
      <c r="AW553" t="b">
        <v>1</v>
      </c>
      <c r="BC553" t="s">
        <v>374</v>
      </c>
    </row>
    <row r="554" spans="1:55" x14ac:dyDescent="0.2">
      <c r="A554" t="s">
        <v>39</v>
      </c>
      <c r="B554" t="s">
        <v>40</v>
      </c>
      <c r="C554">
        <v>20230101</v>
      </c>
      <c r="D554">
        <v>2023</v>
      </c>
      <c r="E554">
        <v>52</v>
      </c>
      <c r="F554" t="s">
        <v>354</v>
      </c>
      <c r="G554">
        <v>800</v>
      </c>
      <c r="H554" t="s">
        <v>289</v>
      </c>
      <c r="I554" t="s">
        <v>290</v>
      </c>
      <c r="J554" t="s">
        <v>44</v>
      </c>
      <c r="K554" t="s">
        <v>45</v>
      </c>
      <c r="L554">
        <v>0</v>
      </c>
      <c r="M554" t="s">
        <v>46</v>
      </c>
      <c r="N554" t="s">
        <v>47</v>
      </c>
      <c r="O554">
        <v>0</v>
      </c>
      <c r="P554" t="s">
        <v>46</v>
      </c>
      <c r="Q554" t="s">
        <v>47</v>
      </c>
      <c r="R554" t="s">
        <v>347</v>
      </c>
      <c r="S554" t="s">
        <v>49</v>
      </c>
      <c r="T554" t="b">
        <v>1</v>
      </c>
      <c r="U554" t="s">
        <v>50</v>
      </c>
      <c r="V554" t="s">
        <v>51</v>
      </c>
      <c r="W554">
        <v>4</v>
      </c>
      <c r="X554" t="b">
        <v>0</v>
      </c>
      <c r="Y554" t="s">
        <v>52</v>
      </c>
      <c r="Z554" t="s">
        <v>53</v>
      </c>
      <c r="AA554" t="s">
        <v>54</v>
      </c>
      <c r="AB554">
        <v>0</v>
      </c>
      <c r="AC554" t="s">
        <v>55</v>
      </c>
      <c r="AD554">
        <v>8</v>
      </c>
      <c r="AE554" t="s">
        <v>56</v>
      </c>
      <c r="AF554">
        <v>38678.872000000003</v>
      </c>
      <c r="AG554" t="b">
        <v>0</v>
      </c>
      <c r="AH554">
        <v>15</v>
      </c>
      <c r="AI554" t="s">
        <v>59</v>
      </c>
      <c r="AJ554">
        <v>38678872</v>
      </c>
      <c r="AK554" t="b">
        <v>0</v>
      </c>
      <c r="AL554">
        <v>36643.269999999997</v>
      </c>
      <c r="AM554" t="b">
        <v>0</v>
      </c>
      <c r="AN554">
        <v>0</v>
      </c>
      <c r="AO554" t="b">
        <v>0</v>
      </c>
      <c r="AQ554">
        <v>2228569033.9400001</v>
      </c>
      <c r="AR554">
        <v>2228569033.9400001</v>
      </c>
      <c r="AS554">
        <v>0</v>
      </c>
      <c r="AT554" t="b">
        <v>0</v>
      </c>
      <c r="AU554" t="b">
        <v>1</v>
      </c>
      <c r="AV554" t="b">
        <v>1</v>
      </c>
      <c r="AW554" t="b">
        <v>1</v>
      </c>
      <c r="BC554" t="s">
        <v>374</v>
      </c>
    </row>
    <row r="555" spans="1:55" x14ac:dyDescent="0.2">
      <c r="A555" t="s">
        <v>39</v>
      </c>
      <c r="B555" t="s">
        <v>40</v>
      </c>
      <c r="C555">
        <v>20230101</v>
      </c>
      <c r="D555">
        <v>2023</v>
      </c>
      <c r="E555">
        <v>52</v>
      </c>
      <c r="F555" t="s">
        <v>354</v>
      </c>
      <c r="G555">
        <v>804</v>
      </c>
      <c r="H555" t="s">
        <v>291</v>
      </c>
      <c r="I555" t="s">
        <v>292</v>
      </c>
      <c r="J555" t="s">
        <v>44</v>
      </c>
      <c r="K555" t="s">
        <v>45</v>
      </c>
      <c r="L555">
        <v>0</v>
      </c>
      <c r="M555" t="s">
        <v>46</v>
      </c>
      <c r="N555" t="s">
        <v>47</v>
      </c>
      <c r="O555">
        <v>0</v>
      </c>
      <c r="P555" t="s">
        <v>46</v>
      </c>
      <c r="Q555" t="s">
        <v>47</v>
      </c>
      <c r="R555" t="s">
        <v>347</v>
      </c>
      <c r="S555" t="s">
        <v>49</v>
      </c>
      <c r="T555" t="b">
        <v>1</v>
      </c>
      <c r="U555" t="s">
        <v>50</v>
      </c>
      <c r="V555" t="s">
        <v>51</v>
      </c>
      <c r="W555">
        <v>4</v>
      </c>
      <c r="X555" t="b">
        <v>0</v>
      </c>
      <c r="Y555" t="s">
        <v>52</v>
      </c>
      <c r="Z555" t="s">
        <v>53</v>
      </c>
      <c r="AA555" t="s">
        <v>54</v>
      </c>
      <c r="AB555">
        <v>0</v>
      </c>
      <c r="AC555" t="s">
        <v>55</v>
      </c>
      <c r="AD555">
        <v>8</v>
      </c>
      <c r="AE555" t="s">
        <v>56</v>
      </c>
      <c r="AF555">
        <v>39.652999999999999</v>
      </c>
      <c r="AG555" t="b">
        <v>0</v>
      </c>
      <c r="AH555">
        <v>15</v>
      </c>
      <c r="AI555" t="s">
        <v>59</v>
      </c>
      <c r="AJ555">
        <v>39652.5</v>
      </c>
      <c r="AK555" t="b">
        <v>0</v>
      </c>
      <c r="AL555">
        <v>39.652999999999999</v>
      </c>
      <c r="AM555" t="b">
        <v>0</v>
      </c>
      <c r="AN555">
        <v>0</v>
      </c>
      <c r="AO555" t="b">
        <v>0</v>
      </c>
      <c r="AQ555">
        <v>1489266.39</v>
      </c>
      <c r="AR555">
        <v>1489266.39</v>
      </c>
      <c r="AS555">
        <v>0</v>
      </c>
      <c r="AT555" t="b">
        <v>0</v>
      </c>
      <c r="AU555" t="b">
        <v>1</v>
      </c>
      <c r="AV555" t="b">
        <v>1</v>
      </c>
      <c r="AW555" t="b">
        <v>1</v>
      </c>
      <c r="BC555" t="s">
        <v>374</v>
      </c>
    </row>
    <row r="556" spans="1:55" x14ac:dyDescent="0.2">
      <c r="A556" t="s">
        <v>39</v>
      </c>
      <c r="B556" t="s">
        <v>40</v>
      </c>
      <c r="C556">
        <v>20230101</v>
      </c>
      <c r="D556">
        <v>2023</v>
      </c>
      <c r="E556">
        <v>52</v>
      </c>
      <c r="F556" t="s">
        <v>354</v>
      </c>
      <c r="G556">
        <v>818</v>
      </c>
      <c r="H556" t="s">
        <v>293</v>
      </c>
      <c r="I556" t="s">
        <v>294</v>
      </c>
      <c r="J556" t="s">
        <v>44</v>
      </c>
      <c r="K556" t="s">
        <v>45</v>
      </c>
      <c r="L556">
        <v>0</v>
      </c>
      <c r="M556" t="s">
        <v>46</v>
      </c>
      <c r="N556" t="s">
        <v>47</v>
      </c>
      <c r="O556">
        <v>0</v>
      </c>
      <c r="P556" t="s">
        <v>46</v>
      </c>
      <c r="Q556" t="s">
        <v>47</v>
      </c>
      <c r="R556" t="s">
        <v>347</v>
      </c>
      <c r="S556" t="s">
        <v>49</v>
      </c>
      <c r="T556" t="b">
        <v>1</v>
      </c>
      <c r="U556" t="s">
        <v>50</v>
      </c>
      <c r="V556" t="s">
        <v>51</v>
      </c>
      <c r="W556">
        <v>4</v>
      </c>
      <c r="X556" t="b">
        <v>0</v>
      </c>
      <c r="Y556" t="s">
        <v>52</v>
      </c>
      <c r="Z556" t="s">
        <v>53</v>
      </c>
      <c r="AA556" t="s">
        <v>54</v>
      </c>
      <c r="AB556">
        <v>0</v>
      </c>
      <c r="AC556" t="s">
        <v>55</v>
      </c>
      <c r="AD556">
        <v>8</v>
      </c>
      <c r="AE556" t="s">
        <v>56</v>
      </c>
      <c r="AF556">
        <v>30216.953000000001</v>
      </c>
      <c r="AG556" t="b">
        <v>1</v>
      </c>
      <c r="AH556">
        <v>-1</v>
      </c>
      <c r="AI556" t="s">
        <v>64</v>
      </c>
      <c r="AJ556">
        <v>0</v>
      </c>
      <c r="AK556" t="b">
        <v>0</v>
      </c>
      <c r="AL556">
        <v>30216.953000000001</v>
      </c>
      <c r="AM556" t="b">
        <v>1</v>
      </c>
      <c r="AN556">
        <v>0</v>
      </c>
      <c r="AO556" t="b">
        <v>0</v>
      </c>
      <c r="AQ556">
        <v>1828383212.1389999</v>
      </c>
      <c r="AR556">
        <v>1828383212.1389999</v>
      </c>
      <c r="AS556">
        <v>6</v>
      </c>
      <c r="AT556" t="b">
        <v>0</v>
      </c>
      <c r="AU556" t="b">
        <v>1</v>
      </c>
      <c r="AV556" t="b">
        <v>1</v>
      </c>
      <c r="AW556" t="b">
        <v>1</v>
      </c>
      <c r="BC556" t="s">
        <v>374</v>
      </c>
    </row>
    <row r="557" spans="1:55" x14ac:dyDescent="0.2">
      <c r="A557" t="s">
        <v>39</v>
      </c>
      <c r="B557" t="s">
        <v>40</v>
      </c>
      <c r="C557">
        <v>20230101</v>
      </c>
      <c r="D557">
        <v>2023</v>
      </c>
      <c r="E557">
        <v>52</v>
      </c>
      <c r="F557" t="s">
        <v>354</v>
      </c>
      <c r="G557">
        <v>834</v>
      </c>
      <c r="H557" t="s">
        <v>297</v>
      </c>
      <c r="I557" t="s">
        <v>298</v>
      </c>
      <c r="J557" t="s">
        <v>44</v>
      </c>
      <c r="K557" t="s">
        <v>45</v>
      </c>
      <c r="L557">
        <v>0</v>
      </c>
      <c r="M557" t="s">
        <v>46</v>
      </c>
      <c r="N557" t="s">
        <v>47</v>
      </c>
      <c r="O557">
        <v>0</v>
      </c>
      <c r="P557" t="s">
        <v>46</v>
      </c>
      <c r="Q557" t="s">
        <v>47</v>
      </c>
      <c r="R557" t="s">
        <v>347</v>
      </c>
      <c r="S557" t="s">
        <v>49</v>
      </c>
      <c r="T557" t="b">
        <v>1</v>
      </c>
      <c r="U557" t="s">
        <v>50</v>
      </c>
      <c r="V557" t="s">
        <v>51</v>
      </c>
      <c r="W557">
        <v>4</v>
      </c>
      <c r="X557" t="b">
        <v>0</v>
      </c>
      <c r="Y557" t="s">
        <v>52</v>
      </c>
      <c r="Z557" t="s">
        <v>53</v>
      </c>
      <c r="AA557" t="s">
        <v>54</v>
      </c>
      <c r="AB557">
        <v>0</v>
      </c>
      <c r="AC557" t="s">
        <v>55</v>
      </c>
      <c r="AD557">
        <v>-1</v>
      </c>
      <c r="AE557" t="s">
        <v>64</v>
      </c>
      <c r="AF557">
        <v>0</v>
      </c>
      <c r="AG557" t="b">
        <v>0</v>
      </c>
      <c r="AH557">
        <v>15</v>
      </c>
      <c r="AI557" t="s">
        <v>59</v>
      </c>
      <c r="AJ557">
        <v>97723.46</v>
      </c>
      <c r="AK557" t="b">
        <v>0</v>
      </c>
      <c r="AM557" t="b">
        <v>0</v>
      </c>
      <c r="AN557">
        <v>0</v>
      </c>
      <c r="AO557" t="b">
        <v>0</v>
      </c>
      <c r="AQ557">
        <v>3058855241.29</v>
      </c>
      <c r="AR557">
        <v>3058855241.29</v>
      </c>
      <c r="AS557">
        <v>0</v>
      </c>
      <c r="AT557" t="b">
        <v>0</v>
      </c>
      <c r="AU557" t="b">
        <v>1</v>
      </c>
      <c r="AV557" t="b">
        <v>1</v>
      </c>
      <c r="AW557" t="b">
        <v>1</v>
      </c>
      <c r="BC557" t="s">
        <v>374</v>
      </c>
    </row>
    <row r="558" spans="1:55" x14ac:dyDescent="0.2">
      <c r="A558" t="s">
        <v>39</v>
      </c>
      <c r="B558" t="s">
        <v>40</v>
      </c>
      <c r="C558">
        <v>20230101</v>
      </c>
      <c r="D558">
        <v>2023</v>
      </c>
      <c r="E558">
        <v>52</v>
      </c>
      <c r="F558" t="s">
        <v>354</v>
      </c>
      <c r="G558">
        <v>854</v>
      </c>
      <c r="H558" t="s">
        <v>300</v>
      </c>
      <c r="I558" t="s">
        <v>301</v>
      </c>
      <c r="J558" t="s">
        <v>44</v>
      </c>
      <c r="K558" t="s">
        <v>45</v>
      </c>
      <c r="L558">
        <v>0</v>
      </c>
      <c r="M558" t="s">
        <v>46</v>
      </c>
      <c r="N558" t="s">
        <v>47</v>
      </c>
      <c r="O558">
        <v>0</v>
      </c>
      <c r="P558" t="s">
        <v>46</v>
      </c>
      <c r="Q558" t="s">
        <v>47</v>
      </c>
      <c r="R558" t="s">
        <v>347</v>
      </c>
      <c r="S558" t="s">
        <v>49</v>
      </c>
      <c r="T558" t="b">
        <v>1</v>
      </c>
      <c r="U558" t="s">
        <v>50</v>
      </c>
      <c r="V558" t="s">
        <v>51</v>
      </c>
      <c r="W558">
        <v>4</v>
      </c>
      <c r="X558" t="b">
        <v>0</v>
      </c>
      <c r="Y558" t="s">
        <v>52</v>
      </c>
      <c r="Z558" t="s">
        <v>53</v>
      </c>
      <c r="AA558" t="s">
        <v>54</v>
      </c>
      <c r="AB558">
        <v>0</v>
      </c>
      <c r="AC558" t="s">
        <v>55</v>
      </c>
      <c r="AD558">
        <v>8</v>
      </c>
      <c r="AE558" t="s">
        <v>56</v>
      </c>
      <c r="AF558">
        <v>57238</v>
      </c>
      <c r="AG558" t="b">
        <v>0</v>
      </c>
      <c r="AH558">
        <v>8</v>
      </c>
      <c r="AI558" t="s">
        <v>56</v>
      </c>
      <c r="AJ558">
        <v>57238</v>
      </c>
      <c r="AK558" t="b">
        <v>0</v>
      </c>
      <c r="AL558">
        <v>57238</v>
      </c>
      <c r="AM558" t="b">
        <v>0</v>
      </c>
      <c r="AN558">
        <v>0</v>
      </c>
      <c r="AO558" t="b">
        <v>0</v>
      </c>
      <c r="AQ558">
        <v>3511999006.7839999</v>
      </c>
      <c r="AR558">
        <v>3511999006.7839999</v>
      </c>
      <c r="AS558">
        <v>0</v>
      </c>
      <c r="AT558" t="b">
        <v>0</v>
      </c>
      <c r="AU558" t="b">
        <v>1</v>
      </c>
      <c r="AV558" t="b">
        <v>1</v>
      </c>
      <c r="AW558" t="b">
        <v>1</v>
      </c>
      <c r="BC558" t="s">
        <v>374</v>
      </c>
    </row>
    <row r="559" spans="1:55" x14ac:dyDescent="0.2">
      <c r="A559" t="s">
        <v>39</v>
      </c>
      <c r="B559" t="s">
        <v>40</v>
      </c>
      <c r="C559">
        <v>20230101</v>
      </c>
      <c r="D559">
        <v>2023</v>
      </c>
      <c r="E559">
        <v>52</v>
      </c>
      <c r="F559" t="s">
        <v>354</v>
      </c>
      <c r="G559">
        <v>858</v>
      </c>
      <c r="H559" t="s">
        <v>302</v>
      </c>
      <c r="I559" t="s">
        <v>303</v>
      </c>
      <c r="J559" t="s">
        <v>44</v>
      </c>
      <c r="K559" t="s">
        <v>45</v>
      </c>
      <c r="L559">
        <v>0</v>
      </c>
      <c r="M559" t="s">
        <v>46</v>
      </c>
      <c r="N559" t="s">
        <v>47</v>
      </c>
      <c r="O559">
        <v>0</v>
      </c>
      <c r="P559" t="s">
        <v>46</v>
      </c>
      <c r="Q559" t="s">
        <v>47</v>
      </c>
      <c r="R559" t="s">
        <v>347</v>
      </c>
      <c r="S559" t="s">
        <v>49</v>
      </c>
      <c r="T559" t="b">
        <v>1</v>
      </c>
      <c r="U559" t="s">
        <v>50</v>
      </c>
      <c r="V559" t="s">
        <v>51</v>
      </c>
      <c r="W559">
        <v>4</v>
      </c>
      <c r="X559" t="b">
        <v>0</v>
      </c>
      <c r="Y559" t="s">
        <v>52</v>
      </c>
      <c r="Z559" t="s">
        <v>53</v>
      </c>
      <c r="AA559" t="s">
        <v>54</v>
      </c>
      <c r="AB559">
        <v>0</v>
      </c>
      <c r="AC559" t="s">
        <v>55</v>
      </c>
      <c r="AD559">
        <v>8</v>
      </c>
      <c r="AE559" t="s">
        <v>56</v>
      </c>
      <c r="AF559">
        <v>8.9209999999999994</v>
      </c>
      <c r="AG559" t="b">
        <v>0</v>
      </c>
      <c r="AH559">
        <v>8</v>
      </c>
      <c r="AI559" t="s">
        <v>56</v>
      </c>
      <c r="AJ559">
        <v>8.9209999999999994</v>
      </c>
      <c r="AK559" t="b">
        <v>0</v>
      </c>
      <c r="AL559">
        <v>8.9209999999999994</v>
      </c>
      <c r="AM559" t="b">
        <v>0</v>
      </c>
      <c r="AN559">
        <v>0</v>
      </c>
      <c r="AO559" t="b">
        <v>0</v>
      </c>
      <c r="AQ559">
        <v>545232</v>
      </c>
      <c r="AR559">
        <v>545232</v>
      </c>
      <c r="AS559">
        <v>0</v>
      </c>
      <c r="AT559" t="b">
        <v>0</v>
      </c>
      <c r="AU559" t="b">
        <v>1</v>
      </c>
      <c r="AV559" t="b">
        <v>1</v>
      </c>
      <c r="AW559" t="b">
        <v>1</v>
      </c>
      <c r="BC559" t="s">
        <v>374</v>
      </c>
    </row>
    <row r="560" spans="1:55" x14ac:dyDescent="0.2">
      <c r="A560" t="s">
        <v>39</v>
      </c>
      <c r="B560" t="s">
        <v>40</v>
      </c>
      <c r="C560">
        <v>20230101</v>
      </c>
      <c r="D560">
        <v>2023</v>
      </c>
      <c r="E560">
        <v>52</v>
      </c>
      <c r="F560" t="s">
        <v>354</v>
      </c>
      <c r="G560">
        <v>894</v>
      </c>
      <c r="H560" t="s">
        <v>307</v>
      </c>
      <c r="I560" t="s">
        <v>308</v>
      </c>
      <c r="J560" t="s">
        <v>44</v>
      </c>
      <c r="K560" t="s">
        <v>45</v>
      </c>
      <c r="L560">
        <v>0</v>
      </c>
      <c r="M560" t="s">
        <v>46</v>
      </c>
      <c r="N560" t="s">
        <v>47</v>
      </c>
      <c r="O560">
        <v>0</v>
      </c>
      <c r="P560" t="s">
        <v>46</v>
      </c>
      <c r="Q560" t="s">
        <v>47</v>
      </c>
      <c r="R560" t="s">
        <v>347</v>
      </c>
      <c r="S560" t="s">
        <v>49</v>
      </c>
      <c r="T560" t="b">
        <v>1</v>
      </c>
      <c r="U560" t="s">
        <v>50</v>
      </c>
      <c r="V560" t="s">
        <v>51</v>
      </c>
      <c r="W560">
        <v>4</v>
      </c>
      <c r="X560" t="b">
        <v>0</v>
      </c>
      <c r="Y560" t="s">
        <v>52</v>
      </c>
      <c r="Z560" t="s">
        <v>53</v>
      </c>
      <c r="AA560" t="s">
        <v>54</v>
      </c>
      <c r="AB560">
        <v>0</v>
      </c>
      <c r="AC560" t="s">
        <v>55</v>
      </c>
      <c r="AD560">
        <v>-1</v>
      </c>
      <c r="AE560" t="s">
        <v>64</v>
      </c>
      <c r="AF560">
        <v>0</v>
      </c>
      <c r="AG560" t="b">
        <v>0</v>
      </c>
      <c r="AH560">
        <v>-1</v>
      </c>
      <c r="AI560" t="s">
        <v>64</v>
      </c>
      <c r="AJ560">
        <v>0</v>
      </c>
      <c r="AK560" t="b">
        <v>0</v>
      </c>
      <c r="AM560" t="b">
        <v>0</v>
      </c>
      <c r="AN560">
        <v>0</v>
      </c>
      <c r="AO560" t="b">
        <v>0</v>
      </c>
      <c r="AQ560">
        <v>45879112.572999999</v>
      </c>
      <c r="AR560">
        <v>45879112.572999999</v>
      </c>
      <c r="AS560">
        <v>0</v>
      </c>
      <c r="AT560" t="b">
        <v>0</v>
      </c>
      <c r="AU560" t="b">
        <v>1</v>
      </c>
      <c r="AV560" t="b">
        <v>1</v>
      </c>
      <c r="AW560" t="b">
        <v>1</v>
      </c>
      <c r="BC560" t="s">
        <v>374</v>
      </c>
    </row>
    <row r="561" spans="1:55" x14ac:dyDescent="0.2">
      <c r="A561" t="s">
        <v>39</v>
      </c>
      <c r="B561" t="s">
        <v>40</v>
      </c>
      <c r="C561">
        <v>20240101</v>
      </c>
      <c r="D561">
        <v>2024</v>
      </c>
      <c r="E561">
        <v>52</v>
      </c>
      <c r="F561" t="s">
        <v>357</v>
      </c>
      <c r="G561">
        <v>24</v>
      </c>
      <c r="H561" t="s">
        <v>334</v>
      </c>
      <c r="I561" t="s">
        <v>335</v>
      </c>
      <c r="J561" t="s">
        <v>44</v>
      </c>
      <c r="K561" t="s">
        <v>45</v>
      </c>
      <c r="L561">
        <v>0</v>
      </c>
      <c r="M561" t="s">
        <v>46</v>
      </c>
      <c r="N561" t="s">
        <v>47</v>
      </c>
      <c r="O561">
        <v>0</v>
      </c>
      <c r="P561" t="s">
        <v>46</v>
      </c>
      <c r="Q561" t="s">
        <v>47</v>
      </c>
      <c r="R561" t="s">
        <v>347</v>
      </c>
      <c r="S561" t="s">
        <v>49</v>
      </c>
      <c r="T561" t="b">
        <v>1</v>
      </c>
      <c r="U561" t="s">
        <v>50</v>
      </c>
      <c r="V561" t="s">
        <v>51</v>
      </c>
      <c r="W561">
        <v>4</v>
      </c>
      <c r="X561" t="b">
        <v>0</v>
      </c>
      <c r="Y561" t="s">
        <v>52</v>
      </c>
      <c r="Z561" t="s">
        <v>53</v>
      </c>
      <c r="AA561" t="s">
        <v>54</v>
      </c>
      <c r="AB561">
        <v>0</v>
      </c>
      <c r="AC561" t="s">
        <v>55</v>
      </c>
      <c r="AD561">
        <v>-1</v>
      </c>
      <c r="AE561" t="s">
        <v>64</v>
      </c>
      <c r="AF561">
        <v>0</v>
      </c>
      <c r="AG561" t="b">
        <v>0</v>
      </c>
      <c r="AH561">
        <v>-1</v>
      </c>
      <c r="AI561" t="s">
        <v>64</v>
      </c>
      <c r="AJ561">
        <v>0</v>
      </c>
      <c r="AK561" t="b">
        <v>0</v>
      </c>
      <c r="AM561" t="b">
        <v>0</v>
      </c>
      <c r="AN561">
        <v>0</v>
      </c>
      <c r="AO561" t="b">
        <v>0</v>
      </c>
      <c r="AQ561">
        <v>2776441.81</v>
      </c>
      <c r="AR561">
        <v>2776441.81</v>
      </c>
      <c r="AS561">
        <v>0</v>
      </c>
      <c r="AT561" t="b">
        <v>0</v>
      </c>
      <c r="AU561" t="b">
        <v>1</v>
      </c>
      <c r="AV561" t="b">
        <v>1</v>
      </c>
      <c r="AW561" t="b">
        <v>1</v>
      </c>
      <c r="BC561" t="s">
        <v>374</v>
      </c>
    </row>
    <row r="562" spans="1:55" x14ac:dyDescent="0.2">
      <c r="A562" t="s">
        <v>39</v>
      </c>
      <c r="B562" t="s">
        <v>40</v>
      </c>
      <c r="C562">
        <v>20240101</v>
      </c>
      <c r="D562">
        <v>2024</v>
      </c>
      <c r="E562">
        <v>52</v>
      </c>
      <c r="F562" t="s">
        <v>357</v>
      </c>
      <c r="G562">
        <v>31</v>
      </c>
      <c r="H562" t="s">
        <v>57</v>
      </c>
      <c r="I562" t="s">
        <v>58</v>
      </c>
      <c r="J562" t="s">
        <v>44</v>
      </c>
      <c r="K562" t="s">
        <v>45</v>
      </c>
      <c r="L562">
        <v>0</v>
      </c>
      <c r="M562" t="s">
        <v>46</v>
      </c>
      <c r="N562" t="s">
        <v>47</v>
      </c>
      <c r="O562">
        <v>0</v>
      </c>
      <c r="P562" t="s">
        <v>46</v>
      </c>
      <c r="Q562" t="s">
        <v>47</v>
      </c>
      <c r="R562" t="s">
        <v>347</v>
      </c>
      <c r="S562" t="s">
        <v>49</v>
      </c>
      <c r="T562" t="b">
        <v>1</v>
      </c>
      <c r="U562" t="s">
        <v>50</v>
      </c>
      <c r="V562" t="s">
        <v>51</v>
      </c>
      <c r="W562">
        <v>4</v>
      </c>
      <c r="X562" t="b">
        <v>0</v>
      </c>
      <c r="Y562" t="s">
        <v>52</v>
      </c>
      <c r="Z562" t="s">
        <v>53</v>
      </c>
      <c r="AA562" t="s">
        <v>54</v>
      </c>
      <c r="AB562">
        <v>0</v>
      </c>
      <c r="AC562" t="s">
        <v>55</v>
      </c>
      <c r="AD562">
        <v>8</v>
      </c>
      <c r="AE562" t="s">
        <v>56</v>
      </c>
      <c r="AF562">
        <v>4272.3900000000003</v>
      </c>
      <c r="AG562" t="b">
        <v>0</v>
      </c>
      <c r="AH562">
        <v>15</v>
      </c>
      <c r="AI562" t="s">
        <v>59</v>
      </c>
      <c r="AJ562">
        <v>4272390</v>
      </c>
      <c r="AK562" t="b">
        <v>0</v>
      </c>
      <c r="AL562">
        <v>4272.3900000000003</v>
      </c>
      <c r="AM562" t="b">
        <v>0</v>
      </c>
      <c r="AN562">
        <v>0</v>
      </c>
      <c r="AO562" t="b">
        <v>0</v>
      </c>
      <c r="AQ562">
        <v>211908629.62</v>
      </c>
      <c r="AR562">
        <v>211908629.62</v>
      </c>
      <c r="AS562">
        <v>0</v>
      </c>
      <c r="AT562" t="b">
        <v>0</v>
      </c>
      <c r="AU562" t="b">
        <v>1</v>
      </c>
      <c r="AV562" t="b">
        <v>1</v>
      </c>
      <c r="AW562" t="b">
        <v>1</v>
      </c>
      <c r="BC562" t="s">
        <v>374</v>
      </c>
    </row>
    <row r="563" spans="1:55" x14ac:dyDescent="0.2">
      <c r="A563" t="s">
        <v>39</v>
      </c>
      <c r="B563" t="s">
        <v>40</v>
      </c>
      <c r="C563">
        <v>20240101</v>
      </c>
      <c r="D563">
        <v>2024</v>
      </c>
      <c r="E563">
        <v>52</v>
      </c>
      <c r="F563" t="s">
        <v>357</v>
      </c>
      <c r="G563">
        <v>40</v>
      </c>
      <c r="H563" t="s">
        <v>65</v>
      </c>
      <c r="I563" t="s">
        <v>66</v>
      </c>
      <c r="J563" t="s">
        <v>44</v>
      </c>
      <c r="K563" t="s">
        <v>45</v>
      </c>
      <c r="L563">
        <v>0</v>
      </c>
      <c r="M563" t="s">
        <v>46</v>
      </c>
      <c r="N563" t="s">
        <v>47</v>
      </c>
      <c r="O563">
        <v>0</v>
      </c>
      <c r="P563" t="s">
        <v>46</v>
      </c>
      <c r="Q563" t="s">
        <v>47</v>
      </c>
      <c r="R563" t="s">
        <v>347</v>
      </c>
      <c r="S563" t="s">
        <v>49</v>
      </c>
      <c r="T563" t="b">
        <v>1</v>
      </c>
      <c r="U563" t="s">
        <v>50</v>
      </c>
      <c r="V563" t="s">
        <v>51</v>
      </c>
      <c r="W563">
        <v>4</v>
      </c>
      <c r="X563" t="b">
        <v>0</v>
      </c>
      <c r="Y563" t="s">
        <v>52</v>
      </c>
      <c r="Z563" t="s">
        <v>53</v>
      </c>
      <c r="AA563" t="s">
        <v>54</v>
      </c>
      <c r="AB563">
        <v>0</v>
      </c>
      <c r="AC563" t="s">
        <v>55</v>
      </c>
      <c r="AD563">
        <v>8</v>
      </c>
      <c r="AE563" t="s">
        <v>56</v>
      </c>
      <c r="AF563">
        <v>27707.931</v>
      </c>
      <c r="AG563" t="b">
        <v>1</v>
      </c>
      <c r="AH563">
        <v>-1</v>
      </c>
      <c r="AI563" t="s">
        <v>64</v>
      </c>
      <c r="AJ563">
        <v>0</v>
      </c>
      <c r="AK563" t="b">
        <v>0</v>
      </c>
      <c r="AL563">
        <v>27707.931</v>
      </c>
      <c r="AM563" t="b">
        <v>1</v>
      </c>
      <c r="AN563">
        <v>0</v>
      </c>
      <c r="AO563" t="b">
        <v>0</v>
      </c>
      <c r="AQ563">
        <v>2066798616.336</v>
      </c>
      <c r="AR563">
        <v>2066798616.336</v>
      </c>
      <c r="AS563">
        <v>6</v>
      </c>
      <c r="AT563" t="b">
        <v>0</v>
      </c>
      <c r="AU563" t="b">
        <v>1</v>
      </c>
      <c r="AV563" t="b">
        <v>1</v>
      </c>
      <c r="AW563" t="b">
        <v>1</v>
      </c>
      <c r="BC563" t="s">
        <v>374</v>
      </c>
    </row>
    <row r="564" spans="1:55" x14ac:dyDescent="0.2">
      <c r="A564" t="s">
        <v>39</v>
      </c>
      <c r="B564" t="s">
        <v>40</v>
      </c>
      <c r="C564">
        <v>20240101</v>
      </c>
      <c r="D564">
        <v>2024</v>
      </c>
      <c r="E564">
        <v>52</v>
      </c>
      <c r="F564" t="s">
        <v>357</v>
      </c>
      <c r="G564">
        <v>44</v>
      </c>
      <c r="H564" t="s">
        <v>348</v>
      </c>
      <c r="I564" t="s">
        <v>349</v>
      </c>
      <c r="J564" t="s">
        <v>44</v>
      </c>
      <c r="K564" t="s">
        <v>45</v>
      </c>
      <c r="L564">
        <v>0</v>
      </c>
      <c r="M564" t="s">
        <v>46</v>
      </c>
      <c r="N564" t="s">
        <v>47</v>
      </c>
      <c r="O564">
        <v>0</v>
      </c>
      <c r="P564" t="s">
        <v>46</v>
      </c>
      <c r="Q564" t="s">
        <v>47</v>
      </c>
      <c r="R564" t="s">
        <v>347</v>
      </c>
      <c r="S564" t="s">
        <v>49</v>
      </c>
      <c r="T564" t="b">
        <v>1</v>
      </c>
      <c r="U564" t="s">
        <v>50</v>
      </c>
      <c r="V564" t="s">
        <v>51</v>
      </c>
      <c r="W564">
        <v>4</v>
      </c>
      <c r="X564" t="b">
        <v>0</v>
      </c>
      <c r="Y564" t="s">
        <v>52</v>
      </c>
      <c r="Z564" t="s">
        <v>53</v>
      </c>
      <c r="AA564" t="s">
        <v>54</v>
      </c>
      <c r="AB564">
        <v>0</v>
      </c>
      <c r="AC564" t="s">
        <v>55</v>
      </c>
      <c r="AD564">
        <v>-1</v>
      </c>
      <c r="AE564" t="s">
        <v>64</v>
      </c>
      <c r="AF564">
        <v>0</v>
      </c>
      <c r="AG564" t="b">
        <v>0</v>
      </c>
      <c r="AH564">
        <v>-1</v>
      </c>
      <c r="AI564" t="s">
        <v>64</v>
      </c>
      <c r="AJ564">
        <v>0</v>
      </c>
      <c r="AK564" t="b">
        <v>0</v>
      </c>
      <c r="AM564" t="b">
        <v>0</v>
      </c>
      <c r="AN564">
        <v>0</v>
      </c>
      <c r="AO564" t="b">
        <v>0</v>
      </c>
      <c r="AQ564">
        <v>25164</v>
      </c>
      <c r="AR564">
        <v>25164</v>
      </c>
      <c r="AS564">
        <v>0</v>
      </c>
      <c r="AT564" t="b">
        <v>0</v>
      </c>
      <c r="AU564" t="b">
        <v>1</v>
      </c>
      <c r="AV564" t="b">
        <v>1</v>
      </c>
      <c r="AW564" t="b">
        <v>1</v>
      </c>
      <c r="BC564" t="s">
        <v>374</v>
      </c>
    </row>
    <row r="565" spans="1:55" x14ac:dyDescent="0.2">
      <c r="A565" t="s">
        <v>39</v>
      </c>
      <c r="B565" t="s">
        <v>40</v>
      </c>
      <c r="C565">
        <v>20240101</v>
      </c>
      <c r="D565">
        <v>2024</v>
      </c>
      <c r="E565">
        <v>52</v>
      </c>
      <c r="F565" t="s">
        <v>357</v>
      </c>
      <c r="G565">
        <v>48</v>
      </c>
      <c r="H565" t="s">
        <v>67</v>
      </c>
      <c r="I565" t="s">
        <v>68</v>
      </c>
      <c r="J565" t="s">
        <v>44</v>
      </c>
      <c r="K565" t="s">
        <v>45</v>
      </c>
      <c r="L565">
        <v>0</v>
      </c>
      <c r="M565" t="s">
        <v>46</v>
      </c>
      <c r="N565" t="s">
        <v>47</v>
      </c>
      <c r="O565">
        <v>0</v>
      </c>
      <c r="P565" t="s">
        <v>46</v>
      </c>
      <c r="Q565" t="s">
        <v>47</v>
      </c>
      <c r="R565" t="s">
        <v>347</v>
      </c>
      <c r="S565" t="s">
        <v>49</v>
      </c>
      <c r="T565" t="b">
        <v>1</v>
      </c>
      <c r="U565" t="s">
        <v>50</v>
      </c>
      <c r="V565" t="s">
        <v>51</v>
      </c>
      <c r="W565">
        <v>4</v>
      </c>
      <c r="X565" t="b">
        <v>0</v>
      </c>
      <c r="Y565" t="s">
        <v>52</v>
      </c>
      <c r="Z565" t="s">
        <v>53</v>
      </c>
      <c r="AA565" t="s">
        <v>54</v>
      </c>
      <c r="AB565">
        <v>0</v>
      </c>
      <c r="AC565" t="s">
        <v>55</v>
      </c>
      <c r="AD565">
        <v>8</v>
      </c>
      <c r="AE565" t="s">
        <v>56</v>
      </c>
      <c r="AF565">
        <v>2200.5349999999999</v>
      </c>
      <c r="AG565" t="b">
        <v>0</v>
      </c>
      <c r="AH565">
        <v>15</v>
      </c>
      <c r="AI565" t="s">
        <v>59</v>
      </c>
      <c r="AJ565">
        <v>2200534.7489999998</v>
      </c>
      <c r="AK565" t="b">
        <v>0</v>
      </c>
      <c r="AL565">
        <v>2200.223</v>
      </c>
      <c r="AM565" t="b">
        <v>0</v>
      </c>
      <c r="AN565">
        <v>0</v>
      </c>
      <c r="AO565" t="b">
        <v>0</v>
      </c>
      <c r="AQ565">
        <v>160264932.58500001</v>
      </c>
      <c r="AR565">
        <v>160264932.58500001</v>
      </c>
      <c r="AS565">
        <v>0</v>
      </c>
      <c r="AT565" t="b">
        <v>0</v>
      </c>
      <c r="AU565" t="b">
        <v>1</v>
      </c>
      <c r="AV565" t="b">
        <v>1</v>
      </c>
      <c r="AW565" t="b">
        <v>1</v>
      </c>
      <c r="BC565" t="s">
        <v>374</v>
      </c>
    </row>
    <row r="566" spans="1:55" x14ac:dyDescent="0.2">
      <c r="A566" t="s">
        <v>39</v>
      </c>
      <c r="B566" t="s">
        <v>40</v>
      </c>
      <c r="C566">
        <v>20240101</v>
      </c>
      <c r="D566">
        <v>2024</v>
      </c>
      <c r="E566">
        <v>52</v>
      </c>
      <c r="F566" t="s">
        <v>357</v>
      </c>
      <c r="G566">
        <v>52</v>
      </c>
      <c r="H566" t="s">
        <v>71</v>
      </c>
      <c r="I566" t="s">
        <v>72</v>
      </c>
      <c r="J566" t="s">
        <v>44</v>
      </c>
      <c r="K566" t="s">
        <v>45</v>
      </c>
      <c r="L566">
        <v>0</v>
      </c>
      <c r="M566" t="s">
        <v>46</v>
      </c>
      <c r="N566" t="s">
        <v>47</v>
      </c>
      <c r="O566">
        <v>0</v>
      </c>
      <c r="P566" t="s">
        <v>46</v>
      </c>
      <c r="Q566" t="s">
        <v>47</v>
      </c>
      <c r="R566" t="s">
        <v>347</v>
      </c>
      <c r="S566" t="s">
        <v>49</v>
      </c>
      <c r="T566" t="b">
        <v>1</v>
      </c>
      <c r="U566" t="s">
        <v>50</v>
      </c>
      <c r="V566" t="s">
        <v>51</v>
      </c>
      <c r="W566">
        <v>4</v>
      </c>
      <c r="X566" t="b">
        <v>0</v>
      </c>
      <c r="Y566" t="s">
        <v>52</v>
      </c>
      <c r="Z566" t="s">
        <v>53</v>
      </c>
      <c r="AA566" t="s">
        <v>54</v>
      </c>
      <c r="AB566">
        <v>0</v>
      </c>
      <c r="AC566" t="s">
        <v>55</v>
      </c>
      <c r="AD566">
        <v>8</v>
      </c>
      <c r="AE566" t="s">
        <v>56</v>
      </c>
      <c r="AF566">
        <v>10</v>
      </c>
      <c r="AG566" t="b">
        <v>0</v>
      </c>
      <c r="AH566">
        <v>8</v>
      </c>
      <c r="AI566" t="s">
        <v>56</v>
      </c>
      <c r="AJ566">
        <v>10</v>
      </c>
      <c r="AK566" t="b">
        <v>0</v>
      </c>
      <c r="AL566">
        <v>10</v>
      </c>
      <c r="AM566" t="b">
        <v>0</v>
      </c>
      <c r="AN566">
        <v>0</v>
      </c>
      <c r="AO566" t="b">
        <v>0</v>
      </c>
      <c r="AQ566">
        <v>4000</v>
      </c>
      <c r="AR566">
        <v>4000</v>
      </c>
      <c r="AS566">
        <v>0</v>
      </c>
      <c r="AT566" t="b">
        <v>0</v>
      </c>
      <c r="AU566" t="b">
        <v>1</v>
      </c>
      <c r="AV566" t="b">
        <v>1</v>
      </c>
      <c r="AW566" t="b">
        <v>1</v>
      </c>
      <c r="BC566" t="s">
        <v>374</v>
      </c>
    </row>
    <row r="567" spans="1:55" x14ac:dyDescent="0.2">
      <c r="A567" t="s">
        <v>39</v>
      </c>
      <c r="B567" t="s">
        <v>40</v>
      </c>
      <c r="C567">
        <v>20240101</v>
      </c>
      <c r="D567">
        <v>2024</v>
      </c>
      <c r="E567">
        <v>52</v>
      </c>
      <c r="F567" t="s">
        <v>357</v>
      </c>
      <c r="G567">
        <v>56</v>
      </c>
      <c r="H567" t="s">
        <v>73</v>
      </c>
      <c r="I567" t="s">
        <v>74</v>
      </c>
      <c r="J567" t="s">
        <v>44</v>
      </c>
      <c r="K567" t="s">
        <v>45</v>
      </c>
      <c r="L567">
        <v>0</v>
      </c>
      <c r="M567" t="s">
        <v>46</v>
      </c>
      <c r="N567" t="s">
        <v>47</v>
      </c>
      <c r="O567">
        <v>0</v>
      </c>
      <c r="P567" t="s">
        <v>46</v>
      </c>
      <c r="Q567" t="s">
        <v>47</v>
      </c>
      <c r="R567" t="s">
        <v>347</v>
      </c>
      <c r="S567" t="s">
        <v>49</v>
      </c>
      <c r="T567" t="b">
        <v>1</v>
      </c>
      <c r="U567" t="s">
        <v>50</v>
      </c>
      <c r="V567" t="s">
        <v>51</v>
      </c>
      <c r="W567">
        <v>4</v>
      </c>
      <c r="X567" t="b">
        <v>0</v>
      </c>
      <c r="Y567" t="s">
        <v>52</v>
      </c>
      <c r="Z567" t="s">
        <v>53</v>
      </c>
      <c r="AA567" t="s">
        <v>54</v>
      </c>
      <c r="AB567">
        <v>0</v>
      </c>
      <c r="AC567" t="s">
        <v>55</v>
      </c>
      <c r="AD567">
        <v>-1</v>
      </c>
      <c r="AE567" t="s">
        <v>64</v>
      </c>
      <c r="AF567">
        <v>0</v>
      </c>
      <c r="AG567" t="b">
        <v>0</v>
      </c>
      <c r="AH567">
        <v>-1</v>
      </c>
      <c r="AI567" t="s">
        <v>64</v>
      </c>
      <c r="AJ567">
        <v>0</v>
      </c>
      <c r="AK567" t="b">
        <v>0</v>
      </c>
      <c r="AM567" t="b">
        <v>0</v>
      </c>
      <c r="AN567">
        <v>0</v>
      </c>
      <c r="AO567" t="b">
        <v>0</v>
      </c>
      <c r="AQ567">
        <v>1121414126.7190001</v>
      </c>
      <c r="AR567">
        <v>1121414126.7190001</v>
      </c>
      <c r="AS567">
        <v>0</v>
      </c>
      <c r="AT567" t="b">
        <v>0</v>
      </c>
      <c r="AU567" t="b">
        <v>1</v>
      </c>
      <c r="AV567" t="b">
        <v>1</v>
      </c>
      <c r="AW567" t="b">
        <v>1</v>
      </c>
      <c r="BC567" t="s">
        <v>374</v>
      </c>
    </row>
    <row r="568" spans="1:55" x14ac:dyDescent="0.2">
      <c r="A568" t="s">
        <v>39</v>
      </c>
      <c r="B568" t="s">
        <v>40</v>
      </c>
      <c r="C568">
        <v>20240101</v>
      </c>
      <c r="D568">
        <v>2024</v>
      </c>
      <c r="E568">
        <v>52</v>
      </c>
      <c r="F568" t="s">
        <v>357</v>
      </c>
      <c r="G568">
        <v>68</v>
      </c>
      <c r="H568" t="s">
        <v>75</v>
      </c>
      <c r="I568" t="s">
        <v>76</v>
      </c>
      <c r="J568" t="s">
        <v>44</v>
      </c>
      <c r="K568" t="s">
        <v>45</v>
      </c>
      <c r="L568">
        <v>0</v>
      </c>
      <c r="M568" t="s">
        <v>46</v>
      </c>
      <c r="N568" t="s">
        <v>47</v>
      </c>
      <c r="O568">
        <v>0</v>
      </c>
      <c r="P568" t="s">
        <v>46</v>
      </c>
      <c r="Q568" t="s">
        <v>47</v>
      </c>
      <c r="R568" t="s">
        <v>347</v>
      </c>
      <c r="S568" t="s">
        <v>49</v>
      </c>
      <c r="T568" t="b">
        <v>1</v>
      </c>
      <c r="U568" t="s">
        <v>50</v>
      </c>
      <c r="V568" t="s">
        <v>51</v>
      </c>
      <c r="W568">
        <v>4</v>
      </c>
      <c r="X568" t="b">
        <v>0</v>
      </c>
      <c r="Y568" t="s">
        <v>52</v>
      </c>
      <c r="Z568" t="s">
        <v>53</v>
      </c>
      <c r="AA568" t="s">
        <v>54</v>
      </c>
      <c r="AB568">
        <v>0</v>
      </c>
      <c r="AC568" t="s">
        <v>55</v>
      </c>
      <c r="AD568">
        <v>8</v>
      </c>
      <c r="AE568" t="s">
        <v>56</v>
      </c>
      <c r="AF568">
        <v>9376.7800000000007</v>
      </c>
      <c r="AG568" t="b">
        <v>0</v>
      </c>
      <c r="AH568">
        <v>8</v>
      </c>
      <c r="AI568" t="s">
        <v>56</v>
      </c>
      <c r="AJ568">
        <v>9376.7800000000007</v>
      </c>
      <c r="AK568" t="b">
        <v>0</v>
      </c>
      <c r="AL568">
        <v>9376.7800000000007</v>
      </c>
      <c r="AM568" t="b">
        <v>0</v>
      </c>
      <c r="AN568">
        <v>10985.66</v>
      </c>
      <c r="AO568" t="b">
        <v>0</v>
      </c>
      <c r="AQ568">
        <v>686631195.89999998</v>
      </c>
      <c r="AR568">
        <v>686631195.89999998</v>
      </c>
      <c r="AS568">
        <v>0</v>
      </c>
      <c r="AT568" t="b">
        <v>0</v>
      </c>
      <c r="AU568" t="b">
        <v>1</v>
      </c>
      <c r="AV568" t="b">
        <v>1</v>
      </c>
      <c r="AW568" t="b">
        <v>1</v>
      </c>
      <c r="BC568" t="s">
        <v>374</v>
      </c>
    </row>
    <row r="569" spans="1:55" x14ac:dyDescent="0.2">
      <c r="A569" t="s">
        <v>39</v>
      </c>
      <c r="B569" t="s">
        <v>40</v>
      </c>
      <c r="C569">
        <v>20240101</v>
      </c>
      <c r="D569">
        <v>2024</v>
      </c>
      <c r="E569">
        <v>52</v>
      </c>
      <c r="F569" t="s">
        <v>357</v>
      </c>
      <c r="G569">
        <v>70</v>
      </c>
      <c r="H569" t="s">
        <v>77</v>
      </c>
      <c r="I569" t="s">
        <v>78</v>
      </c>
      <c r="J569" t="s">
        <v>44</v>
      </c>
      <c r="K569" t="s">
        <v>45</v>
      </c>
      <c r="L569">
        <v>0</v>
      </c>
      <c r="M569" t="s">
        <v>46</v>
      </c>
      <c r="N569" t="s">
        <v>47</v>
      </c>
      <c r="O569">
        <v>0</v>
      </c>
      <c r="P569" t="s">
        <v>46</v>
      </c>
      <c r="Q569" t="s">
        <v>47</v>
      </c>
      <c r="R569" t="s">
        <v>347</v>
      </c>
      <c r="S569" t="s">
        <v>49</v>
      </c>
      <c r="T569" t="b">
        <v>1</v>
      </c>
      <c r="U569" t="s">
        <v>50</v>
      </c>
      <c r="V569" t="s">
        <v>51</v>
      </c>
      <c r="W569">
        <v>4</v>
      </c>
      <c r="X569" t="b">
        <v>0</v>
      </c>
      <c r="Y569" t="s">
        <v>52</v>
      </c>
      <c r="Z569" t="s">
        <v>53</v>
      </c>
      <c r="AA569" t="s">
        <v>54</v>
      </c>
      <c r="AB569">
        <v>0</v>
      </c>
      <c r="AC569" t="s">
        <v>55</v>
      </c>
      <c r="AD569">
        <v>8</v>
      </c>
      <c r="AE569" t="s">
        <v>56</v>
      </c>
      <c r="AF569">
        <v>18.66</v>
      </c>
      <c r="AG569" t="b">
        <v>0</v>
      </c>
      <c r="AH569">
        <v>8</v>
      </c>
      <c r="AI569" t="s">
        <v>56</v>
      </c>
      <c r="AJ569">
        <v>18.66</v>
      </c>
      <c r="AK569" t="b">
        <v>0</v>
      </c>
      <c r="AL569">
        <v>18.66</v>
      </c>
      <c r="AM569" t="b">
        <v>0</v>
      </c>
      <c r="AN569">
        <v>0</v>
      </c>
      <c r="AO569" t="b">
        <v>0</v>
      </c>
      <c r="AQ569">
        <v>883220.68099999998</v>
      </c>
      <c r="AR569">
        <v>883220.68099999998</v>
      </c>
      <c r="AS569">
        <v>0</v>
      </c>
      <c r="AT569" t="b">
        <v>0</v>
      </c>
      <c r="AU569" t="b">
        <v>1</v>
      </c>
      <c r="AV569" t="b">
        <v>1</v>
      </c>
      <c r="AW569" t="b">
        <v>1</v>
      </c>
      <c r="BC569" t="s">
        <v>374</v>
      </c>
    </row>
    <row r="570" spans="1:55" x14ac:dyDescent="0.2">
      <c r="A570" t="s">
        <v>39</v>
      </c>
      <c r="B570" t="s">
        <v>40</v>
      </c>
      <c r="C570">
        <v>20240101</v>
      </c>
      <c r="D570">
        <v>2024</v>
      </c>
      <c r="E570">
        <v>52</v>
      </c>
      <c r="F570" t="s">
        <v>357</v>
      </c>
      <c r="G570">
        <v>76</v>
      </c>
      <c r="H570" t="s">
        <v>81</v>
      </c>
      <c r="I570" t="s">
        <v>82</v>
      </c>
      <c r="J570" t="s">
        <v>44</v>
      </c>
      <c r="K570" t="s">
        <v>45</v>
      </c>
      <c r="L570">
        <v>0</v>
      </c>
      <c r="M570" t="s">
        <v>46</v>
      </c>
      <c r="N570" t="s">
        <v>47</v>
      </c>
      <c r="O570">
        <v>0</v>
      </c>
      <c r="P570" t="s">
        <v>46</v>
      </c>
      <c r="Q570" t="s">
        <v>47</v>
      </c>
      <c r="R570" t="s">
        <v>347</v>
      </c>
      <c r="S570" t="s">
        <v>49</v>
      </c>
      <c r="T570" t="b">
        <v>1</v>
      </c>
      <c r="U570" t="s">
        <v>50</v>
      </c>
      <c r="V570" t="s">
        <v>51</v>
      </c>
      <c r="W570">
        <v>4</v>
      </c>
      <c r="X570" t="b">
        <v>0</v>
      </c>
      <c r="Y570" t="s">
        <v>52</v>
      </c>
      <c r="Z570" t="s">
        <v>53</v>
      </c>
      <c r="AA570" t="s">
        <v>54</v>
      </c>
      <c r="AB570">
        <v>0</v>
      </c>
      <c r="AC570" t="s">
        <v>55</v>
      </c>
      <c r="AD570">
        <v>-1</v>
      </c>
      <c r="AE570" t="s">
        <v>64</v>
      </c>
      <c r="AF570">
        <v>0</v>
      </c>
      <c r="AG570" t="b">
        <v>0</v>
      </c>
      <c r="AH570">
        <v>-1</v>
      </c>
      <c r="AI570" t="s">
        <v>64</v>
      </c>
      <c r="AJ570">
        <v>0</v>
      </c>
      <c r="AK570" t="b">
        <v>0</v>
      </c>
      <c r="AM570" t="b">
        <v>0</v>
      </c>
      <c r="AN570">
        <v>0</v>
      </c>
      <c r="AO570" t="b">
        <v>0</v>
      </c>
      <c r="AQ570">
        <v>3960421422</v>
      </c>
      <c r="AR570">
        <v>3960421422</v>
      </c>
      <c r="AS570">
        <v>0</v>
      </c>
      <c r="AT570" t="b">
        <v>0</v>
      </c>
      <c r="AU570" t="b">
        <v>1</v>
      </c>
      <c r="AV570" t="b">
        <v>1</v>
      </c>
      <c r="AW570" t="b">
        <v>1</v>
      </c>
      <c r="BC570" t="s">
        <v>374</v>
      </c>
    </row>
    <row r="571" spans="1:55" x14ac:dyDescent="0.2">
      <c r="A571" t="s">
        <v>39</v>
      </c>
      <c r="B571" t="s">
        <v>40</v>
      </c>
      <c r="C571">
        <v>20240101</v>
      </c>
      <c r="D571">
        <v>2024</v>
      </c>
      <c r="E571">
        <v>52</v>
      </c>
      <c r="F571" t="s">
        <v>357</v>
      </c>
      <c r="G571">
        <v>96</v>
      </c>
      <c r="H571" t="s">
        <v>313</v>
      </c>
      <c r="I571" t="s">
        <v>314</v>
      </c>
      <c r="J571" t="s">
        <v>44</v>
      </c>
      <c r="K571" t="s">
        <v>45</v>
      </c>
      <c r="L571">
        <v>0</v>
      </c>
      <c r="M571" t="s">
        <v>46</v>
      </c>
      <c r="N571" t="s">
        <v>47</v>
      </c>
      <c r="O571">
        <v>0</v>
      </c>
      <c r="P571" t="s">
        <v>46</v>
      </c>
      <c r="Q571" t="s">
        <v>47</v>
      </c>
      <c r="R571" t="s">
        <v>347</v>
      </c>
      <c r="S571" t="s">
        <v>49</v>
      </c>
      <c r="T571" t="b">
        <v>1</v>
      </c>
      <c r="U571" t="s">
        <v>50</v>
      </c>
      <c r="V571" t="s">
        <v>51</v>
      </c>
      <c r="W571">
        <v>4</v>
      </c>
      <c r="X571" t="b">
        <v>0</v>
      </c>
      <c r="Y571" t="s">
        <v>52</v>
      </c>
      <c r="Z571" t="s">
        <v>53</v>
      </c>
      <c r="AA571" t="s">
        <v>54</v>
      </c>
      <c r="AB571">
        <v>0</v>
      </c>
      <c r="AC571" t="s">
        <v>55</v>
      </c>
      <c r="AD571">
        <v>8</v>
      </c>
      <c r="AE571" t="s">
        <v>56</v>
      </c>
      <c r="AF571">
        <v>44</v>
      </c>
      <c r="AG571" t="b">
        <v>0</v>
      </c>
      <c r="AH571">
        <v>8</v>
      </c>
      <c r="AI571" t="s">
        <v>56</v>
      </c>
      <c r="AJ571">
        <v>44</v>
      </c>
      <c r="AK571" t="b">
        <v>0</v>
      </c>
      <c r="AL571">
        <v>44</v>
      </c>
      <c r="AM571" t="b">
        <v>0</v>
      </c>
      <c r="AN571">
        <v>0</v>
      </c>
      <c r="AO571" t="b">
        <v>0</v>
      </c>
      <c r="AQ571">
        <v>1972442.865</v>
      </c>
      <c r="AR571">
        <v>1972442.865</v>
      </c>
      <c r="AS571">
        <v>0</v>
      </c>
      <c r="AT571" t="b">
        <v>0</v>
      </c>
      <c r="AU571" t="b">
        <v>1</v>
      </c>
      <c r="AV571" t="b">
        <v>1</v>
      </c>
      <c r="AW571" t="b">
        <v>1</v>
      </c>
      <c r="BC571" t="s">
        <v>374</v>
      </c>
    </row>
    <row r="572" spans="1:55" x14ac:dyDescent="0.2">
      <c r="A572" t="s">
        <v>39</v>
      </c>
      <c r="B572" t="s">
        <v>40</v>
      </c>
      <c r="C572">
        <v>20240101</v>
      </c>
      <c r="D572">
        <v>2024</v>
      </c>
      <c r="E572">
        <v>52</v>
      </c>
      <c r="F572" t="s">
        <v>357</v>
      </c>
      <c r="G572">
        <v>100</v>
      </c>
      <c r="H572" t="s">
        <v>83</v>
      </c>
      <c r="I572" t="s">
        <v>84</v>
      </c>
      <c r="J572" t="s">
        <v>44</v>
      </c>
      <c r="K572" t="s">
        <v>45</v>
      </c>
      <c r="L572">
        <v>0</v>
      </c>
      <c r="M572" t="s">
        <v>46</v>
      </c>
      <c r="N572" t="s">
        <v>47</v>
      </c>
      <c r="O572">
        <v>0</v>
      </c>
      <c r="P572" t="s">
        <v>46</v>
      </c>
      <c r="Q572" t="s">
        <v>47</v>
      </c>
      <c r="R572" t="s">
        <v>347</v>
      </c>
      <c r="S572" t="s">
        <v>49</v>
      </c>
      <c r="T572" t="b">
        <v>1</v>
      </c>
      <c r="U572" t="s">
        <v>50</v>
      </c>
      <c r="V572" t="s">
        <v>51</v>
      </c>
      <c r="W572">
        <v>4</v>
      </c>
      <c r="X572" t="b">
        <v>0</v>
      </c>
      <c r="Y572" t="s">
        <v>52</v>
      </c>
      <c r="Z572" t="s">
        <v>53</v>
      </c>
      <c r="AA572" t="s">
        <v>54</v>
      </c>
      <c r="AB572">
        <v>0</v>
      </c>
      <c r="AC572" t="s">
        <v>55</v>
      </c>
      <c r="AD572">
        <v>8</v>
      </c>
      <c r="AE572" t="s">
        <v>56</v>
      </c>
      <c r="AF572">
        <v>1828.952</v>
      </c>
      <c r="AG572" t="b">
        <v>0</v>
      </c>
      <c r="AH572">
        <v>15</v>
      </c>
      <c r="AI572" t="s">
        <v>59</v>
      </c>
      <c r="AJ572">
        <v>1828952</v>
      </c>
      <c r="AK572" t="b">
        <v>0</v>
      </c>
      <c r="AL572">
        <v>1795.441</v>
      </c>
      <c r="AM572" t="b">
        <v>0</v>
      </c>
      <c r="AN572">
        <v>0</v>
      </c>
      <c r="AO572" t="b">
        <v>0</v>
      </c>
      <c r="AQ572">
        <v>46962731.093000002</v>
      </c>
      <c r="AR572">
        <v>46962731.093000002</v>
      </c>
      <c r="AS572">
        <v>0</v>
      </c>
      <c r="AT572" t="b">
        <v>0</v>
      </c>
      <c r="AU572" t="b">
        <v>1</v>
      </c>
      <c r="AV572" t="b">
        <v>1</v>
      </c>
      <c r="AW572" t="b">
        <v>1</v>
      </c>
      <c r="BC572" t="s">
        <v>374</v>
      </c>
    </row>
    <row r="573" spans="1:55" x14ac:dyDescent="0.2">
      <c r="A573" t="s">
        <v>39</v>
      </c>
      <c r="B573" t="s">
        <v>40</v>
      </c>
      <c r="C573">
        <v>20240101</v>
      </c>
      <c r="D573">
        <v>2024</v>
      </c>
      <c r="E573">
        <v>52</v>
      </c>
      <c r="F573" t="s">
        <v>357</v>
      </c>
      <c r="G573">
        <v>116</v>
      </c>
      <c r="H573" t="s">
        <v>87</v>
      </c>
      <c r="I573" t="s">
        <v>88</v>
      </c>
      <c r="J573" t="s">
        <v>44</v>
      </c>
      <c r="K573" t="s">
        <v>45</v>
      </c>
      <c r="L573">
        <v>0</v>
      </c>
      <c r="M573" t="s">
        <v>46</v>
      </c>
      <c r="N573" t="s">
        <v>47</v>
      </c>
      <c r="O573">
        <v>0</v>
      </c>
      <c r="P573" t="s">
        <v>46</v>
      </c>
      <c r="Q573" t="s">
        <v>47</v>
      </c>
      <c r="R573" t="s">
        <v>347</v>
      </c>
      <c r="S573" t="s">
        <v>49</v>
      </c>
      <c r="T573" t="b">
        <v>1</v>
      </c>
      <c r="U573" t="s">
        <v>50</v>
      </c>
      <c r="V573" t="s">
        <v>51</v>
      </c>
      <c r="W573">
        <v>4</v>
      </c>
      <c r="X573" t="b">
        <v>0</v>
      </c>
      <c r="Y573" t="s">
        <v>52</v>
      </c>
      <c r="Z573" t="s">
        <v>53</v>
      </c>
      <c r="AA573" t="s">
        <v>54</v>
      </c>
      <c r="AB573">
        <v>0</v>
      </c>
      <c r="AC573" t="s">
        <v>55</v>
      </c>
      <c r="AD573">
        <v>8</v>
      </c>
      <c r="AE573" t="s">
        <v>56</v>
      </c>
      <c r="AF573">
        <v>6749.84</v>
      </c>
      <c r="AG573" t="b">
        <v>0</v>
      </c>
      <c r="AH573">
        <v>8</v>
      </c>
      <c r="AI573" t="s">
        <v>56</v>
      </c>
      <c r="AJ573">
        <v>6749.84</v>
      </c>
      <c r="AK573" t="b">
        <v>0</v>
      </c>
      <c r="AL573">
        <v>6749.84</v>
      </c>
      <c r="AM573" t="b">
        <v>0</v>
      </c>
      <c r="AN573">
        <v>0</v>
      </c>
      <c r="AO573" t="b">
        <v>0</v>
      </c>
      <c r="AQ573">
        <v>467902199.61000001</v>
      </c>
      <c r="AR573">
        <v>467902199.61000001</v>
      </c>
      <c r="AS573">
        <v>0</v>
      </c>
      <c r="AT573" t="b">
        <v>0</v>
      </c>
      <c r="AU573" t="b">
        <v>1</v>
      </c>
      <c r="AV573" t="b">
        <v>1</v>
      </c>
      <c r="AW573" t="b">
        <v>1</v>
      </c>
      <c r="BC573" t="s">
        <v>374</v>
      </c>
    </row>
    <row r="574" spans="1:55" x14ac:dyDescent="0.2">
      <c r="A574" t="s">
        <v>39</v>
      </c>
      <c r="B574" t="s">
        <v>40</v>
      </c>
      <c r="C574">
        <v>20240101</v>
      </c>
      <c r="D574">
        <v>2024</v>
      </c>
      <c r="E574">
        <v>52</v>
      </c>
      <c r="F574" t="s">
        <v>357</v>
      </c>
      <c r="G574">
        <v>140</v>
      </c>
      <c r="H574" t="s">
        <v>93</v>
      </c>
      <c r="I574" t="s">
        <v>94</v>
      </c>
      <c r="J574" t="s">
        <v>44</v>
      </c>
      <c r="K574" t="s">
        <v>45</v>
      </c>
      <c r="L574">
        <v>0</v>
      </c>
      <c r="M574" t="s">
        <v>46</v>
      </c>
      <c r="N574" t="s">
        <v>47</v>
      </c>
      <c r="O574">
        <v>0</v>
      </c>
      <c r="P574" t="s">
        <v>46</v>
      </c>
      <c r="Q574" t="s">
        <v>47</v>
      </c>
      <c r="R574" t="s">
        <v>347</v>
      </c>
      <c r="S574" t="s">
        <v>49</v>
      </c>
      <c r="T574" t="b">
        <v>1</v>
      </c>
      <c r="U574" t="s">
        <v>50</v>
      </c>
      <c r="V574" t="s">
        <v>51</v>
      </c>
      <c r="W574">
        <v>4</v>
      </c>
      <c r="X574" t="b">
        <v>0</v>
      </c>
      <c r="Y574" t="s">
        <v>52</v>
      </c>
      <c r="Z574" t="s">
        <v>53</v>
      </c>
      <c r="AA574" t="s">
        <v>54</v>
      </c>
      <c r="AB574">
        <v>0</v>
      </c>
      <c r="AC574" t="s">
        <v>55</v>
      </c>
      <c r="AD574">
        <v>-1</v>
      </c>
      <c r="AE574" t="s">
        <v>64</v>
      </c>
      <c r="AF574">
        <v>0</v>
      </c>
      <c r="AG574" t="b">
        <v>0</v>
      </c>
      <c r="AH574">
        <v>-1</v>
      </c>
      <c r="AI574" t="s">
        <v>64</v>
      </c>
      <c r="AJ574">
        <v>0</v>
      </c>
      <c r="AK574" t="b">
        <v>0</v>
      </c>
      <c r="AM574" t="b">
        <v>0</v>
      </c>
      <c r="AN574">
        <v>0</v>
      </c>
      <c r="AO574" t="b">
        <v>0</v>
      </c>
      <c r="AQ574">
        <v>32068336.18</v>
      </c>
      <c r="AR574">
        <v>32068336.18</v>
      </c>
      <c r="AS574">
        <v>0</v>
      </c>
      <c r="AT574" t="b">
        <v>0</v>
      </c>
      <c r="AU574" t="b">
        <v>1</v>
      </c>
      <c r="AV574" t="b">
        <v>1</v>
      </c>
      <c r="AW574" t="b">
        <v>1</v>
      </c>
      <c r="BC574" t="s">
        <v>374</v>
      </c>
    </row>
    <row r="575" spans="1:55" x14ac:dyDescent="0.2">
      <c r="A575" t="s">
        <v>39</v>
      </c>
      <c r="B575" t="s">
        <v>40</v>
      </c>
      <c r="C575">
        <v>20240101</v>
      </c>
      <c r="D575">
        <v>2024</v>
      </c>
      <c r="E575">
        <v>52</v>
      </c>
      <c r="F575" t="s">
        <v>357</v>
      </c>
      <c r="G575">
        <v>152</v>
      </c>
      <c r="H575" t="s">
        <v>96</v>
      </c>
      <c r="I575" t="s">
        <v>97</v>
      </c>
      <c r="J575" t="s">
        <v>44</v>
      </c>
      <c r="K575" t="s">
        <v>45</v>
      </c>
      <c r="L575">
        <v>0</v>
      </c>
      <c r="M575" t="s">
        <v>46</v>
      </c>
      <c r="N575" t="s">
        <v>47</v>
      </c>
      <c r="O575">
        <v>0</v>
      </c>
      <c r="P575" t="s">
        <v>46</v>
      </c>
      <c r="Q575" t="s">
        <v>47</v>
      </c>
      <c r="R575" t="s">
        <v>347</v>
      </c>
      <c r="S575" t="s">
        <v>49</v>
      </c>
      <c r="T575" t="b">
        <v>1</v>
      </c>
      <c r="U575" t="s">
        <v>50</v>
      </c>
      <c r="V575" t="s">
        <v>51</v>
      </c>
      <c r="W575">
        <v>4</v>
      </c>
      <c r="X575" t="b">
        <v>0</v>
      </c>
      <c r="Y575" t="s">
        <v>52</v>
      </c>
      <c r="Z575" t="s">
        <v>53</v>
      </c>
      <c r="AA575" t="s">
        <v>54</v>
      </c>
      <c r="AB575">
        <v>0</v>
      </c>
      <c r="AC575" t="s">
        <v>55</v>
      </c>
      <c r="AD575">
        <v>8</v>
      </c>
      <c r="AE575" t="s">
        <v>56</v>
      </c>
      <c r="AF575">
        <v>16479.241000000002</v>
      </c>
      <c r="AG575" t="b">
        <v>0</v>
      </c>
      <c r="AH575">
        <v>8</v>
      </c>
      <c r="AI575" t="s">
        <v>56</v>
      </c>
      <c r="AJ575">
        <v>16479.241000000002</v>
      </c>
      <c r="AK575" t="b">
        <v>0</v>
      </c>
      <c r="AL575">
        <v>16479.241000000002</v>
      </c>
      <c r="AM575" t="b">
        <v>0</v>
      </c>
      <c r="AN575">
        <v>0</v>
      </c>
      <c r="AO575" t="b">
        <v>0</v>
      </c>
      <c r="AQ575">
        <v>1202822168.059</v>
      </c>
      <c r="AR575">
        <v>1202822168.059</v>
      </c>
      <c r="AS575">
        <v>0</v>
      </c>
      <c r="AT575" t="b">
        <v>0</v>
      </c>
      <c r="AU575" t="b">
        <v>1</v>
      </c>
      <c r="AV575" t="b">
        <v>1</v>
      </c>
      <c r="AW575" t="b">
        <v>1</v>
      </c>
      <c r="BC575" t="s">
        <v>374</v>
      </c>
    </row>
    <row r="576" spans="1:55" x14ac:dyDescent="0.2">
      <c r="A576" t="s">
        <v>39</v>
      </c>
      <c r="B576" t="s">
        <v>40</v>
      </c>
      <c r="C576">
        <v>20240101</v>
      </c>
      <c r="D576">
        <v>2024</v>
      </c>
      <c r="E576">
        <v>52</v>
      </c>
      <c r="F576" t="s">
        <v>357</v>
      </c>
      <c r="G576">
        <v>188</v>
      </c>
      <c r="H576" t="s">
        <v>106</v>
      </c>
      <c r="I576" t="s">
        <v>107</v>
      </c>
      <c r="J576" t="s">
        <v>44</v>
      </c>
      <c r="K576" t="s">
        <v>45</v>
      </c>
      <c r="L576">
        <v>0</v>
      </c>
      <c r="M576" t="s">
        <v>46</v>
      </c>
      <c r="N576" t="s">
        <v>47</v>
      </c>
      <c r="O576">
        <v>0</v>
      </c>
      <c r="P576" t="s">
        <v>46</v>
      </c>
      <c r="Q576" t="s">
        <v>47</v>
      </c>
      <c r="R576" t="s">
        <v>347</v>
      </c>
      <c r="S576" t="s">
        <v>49</v>
      </c>
      <c r="T576" t="b">
        <v>1</v>
      </c>
      <c r="U576" t="s">
        <v>50</v>
      </c>
      <c r="V576" t="s">
        <v>51</v>
      </c>
      <c r="W576">
        <v>4</v>
      </c>
      <c r="X576" t="b">
        <v>0</v>
      </c>
      <c r="Y576" t="s">
        <v>52</v>
      </c>
      <c r="Z576" t="s">
        <v>53</v>
      </c>
      <c r="AA576" t="s">
        <v>54</v>
      </c>
      <c r="AB576">
        <v>0</v>
      </c>
      <c r="AC576" t="s">
        <v>55</v>
      </c>
      <c r="AD576">
        <v>8</v>
      </c>
      <c r="AE576" t="s">
        <v>56</v>
      </c>
      <c r="AF576">
        <v>18661.169999999998</v>
      </c>
      <c r="AG576" t="b">
        <v>0</v>
      </c>
      <c r="AH576">
        <v>8</v>
      </c>
      <c r="AI576" t="s">
        <v>56</v>
      </c>
      <c r="AJ576">
        <v>18661.169999999998</v>
      </c>
      <c r="AK576" t="b">
        <v>0</v>
      </c>
      <c r="AL576">
        <v>18661.169999999998</v>
      </c>
      <c r="AM576" t="b">
        <v>0</v>
      </c>
      <c r="AN576">
        <v>0</v>
      </c>
      <c r="AO576" t="b">
        <v>0</v>
      </c>
      <c r="AQ576">
        <v>39605608.829999998</v>
      </c>
      <c r="AR576">
        <v>39605608.829999998</v>
      </c>
      <c r="AS576">
        <v>0</v>
      </c>
      <c r="AT576" t="b">
        <v>0</v>
      </c>
      <c r="AU576" t="b">
        <v>1</v>
      </c>
      <c r="AV576" t="b">
        <v>1</v>
      </c>
      <c r="AW576" t="b">
        <v>1</v>
      </c>
      <c r="BC576" t="s">
        <v>374</v>
      </c>
    </row>
    <row r="577" spans="1:55" x14ac:dyDescent="0.2">
      <c r="A577" t="s">
        <v>39</v>
      </c>
      <c r="B577" t="s">
        <v>40</v>
      </c>
      <c r="C577">
        <v>20240101</v>
      </c>
      <c r="D577">
        <v>2024</v>
      </c>
      <c r="E577">
        <v>52</v>
      </c>
      <c r="F577" t="s">
        <v>357</v>
      </c>
      <c r="G577">
        <v>191</v>
      </c>
      <c r="H577" t="s">
        <v>108</v>
      </c>
      <c r="I577" t="s">
        <v>109</v>
      </c>
      <c r="J577" t="s">
        <v>44</v>
      </c>
      <c r="K577" t="s">
        <v>45</v>
      </c>
      <c r="L577">
        <v>0</v>
      </c>
      <c r="M577" t="s">
        <v>46</v>
      </c>
      <c r="N577" t="s">
        <v>47</v>
      </c>
      <c r="O577">
        <v>0</v>
      </c>
      <c r="P577" t="s">
        <v>46</v>
      </c>
      <c r="Q577" t="s">
        <v>47</v>
      </c>
      <c r="R577" t="s">
        <v>347</v>
      </c>
      <c r="S577" t="s">
        <v>49</v>
      </c>
      <c r="T577" t="b">
        <v>1</v>
      </c>
      <c r="U577" t="s">
        <v>50</v>
      </c>
      <c r="V577" t="s">
        <v>51</v>
      </c>
      <c r="W577">
        <v>4</v>
      </c>
      <c r="X577" t="b">
        <v>0</v>
      </c>
      <c r="Y577" t="s">
        <v>52</v>
      </c>
      <c r="Z577" t="s">
        <v>53</v>
      </c>
      <c r="AA577" t="s">
        <v>54</v>
      </c>
      <c r="AB577">
        <v>0</v>
      </c>
      <c r="AC577" t="s">
        <v>55</v>
      </c>
      <c r="AD577">
        <v>8</v>
      </c>
      <c r="AE577" t="s">
        <v>56</v>
      </c>
      <c r="AF577">
        <v>1115.432</v>
      </c>
      <c r="AG577" t="b">
        <v>0</v>
      </c>
      <c r="AH577">
        <v>15</v>
      </c>
      <c r="AI577" t="s">
        <v>59</v>
      </c>
      <c r="AJ577">
        <v>1115432.1200000001</v>
      </c>
      <c r="AK577" t="b">
        <v>0</v>
      </c>
      <c r="AL577">
        <v>1120.7850000000001</v>
      </c>
      <c r="AM577" t="b">
        <v>0</v>
      </c>
      <c r="AN577">
        <v>0</v>
      </c>
      <c r="AO577" t="b">
        <v>0</v>
      </c>
      <c r="AQ577">
        <v>77693830</v>
      </c>
      <c r="AR577">
        <v>77693830</v>
      </c>
      <c r="AS577">
        <v>0</v>
      </c>
      <c r="AT577" t="b">
        <v>0</v>
      </c>
      <c r="AU577" t="b">
        <v>1</v>
      </c>
      <c r="AV577" t="b">
        <v>1</v>
      </c>
      <c r="AW577" t="b">
        <v>1</v>
      </c>
      <c r="BC577" t="s">
        <v>374</v>
      </c>
    </row>
    <row r="578" spans="1:55" x14ac:dyDescent="0.2">
      <c r="A578" t="s">
        <v>39</v>
      </c>
      <c r="B578" t="s">
        <v>40</v>
      </c>
      <c r="C578">
        <v>20240101</v>
      </c>
      <c r="D578">
        <v>2024</v>
      </c>
      <c r="E578">
        <v>52</v>
      </c>
      <c r="F578" t="s">
        <v>357</v>
      </c>
      <c r="G578">
        <v>196</v>
      </c>
      <c r="H578" t="s">
        <v>112</v>
      </c>
      <c r="I578" t="s">
        <v>113</v>
      </c>
      <c r="J578" t="s">
        <v>44</v>
      </c>
      <c r="K578" t="s">
        <v>45</v>
      </c>
      <c r="L578">
        <v>0</v>
      </c>
      <c r="M578" t="s">
        <v>46</v>
      </c>
      <c r="N578" t="s">
        <v>47</v>
      </c>
      <c r="O578">
        <v>0</v>
      </c>
      <c r="P578" t="s">
        <v>46</v>
      </c>
      <c r="Q578" t="s">
        <v>47</v>
      </c>
      <c r="R578" t="s">
        <v>347</v>
      </c>
      <c r="S578" t="s">
        <v>49</v>
      </c>
      <c r="T578" t="b">
        <v>1</v>
      </c>
      <c r="U578" t="s">
        <v>50</v>
      </c>
      <c r="V578" t="s">
        <v>51</v>
      </c>
      <c r="W578">
        <v>4</v>
      </c>
      <c r="X578" t="b">
        <v>0</v>
      </c>
      <c r="Y578" t="s">
        <v>52</v>
      </c>
      <c r="Z578" t="s">
        <v>53</v>
      </c>
      <c r="AA578" t="s">
        <v>54</v>
      </c>
      <c r="AB578">
        <v>0</v>
      </c>
      <c r="AC578" t="s">
        <v>55</v>
      </c>
      <c r="AD578">
        <v>8</v>
      </c>
      <c r="AE578" t="s">
        <v>56</v>
      </c>
      <c r="AF578">
        <v>226.255</v>
      </c>
      <c r="AG578" t="b">
        <v>1</v>
      </c>
      <c r="AH578">
        <v>-1</v>
      </c>
      <c r="AI578" t="s">
        <v>64</v>
      </c>
      <c r="AJ578">
        <v>0</v>
      </c>
      <c r="AK578" t="b">
        <v>0</v>
      </c>
      <c r="AL578">
        <v>230.55799999999999</v>
      </c>
      <c r="AM578" t="b">
        <v>1</v>
      </c>
      <c r="AN578">
        <v>0</v>
      </c>
      <c r="AO578" t="b">
        <v>0</v>
      </c>
      <c r="AQ578">
        <v>11993237.673</v>
      </c>
      <c r="AR578">
        <v>11993237.673</v>
      </c>
      <c r="AS578">
        <v>6</v>
      </c>
      <c r="AT578" t="b">
        <v>0</v>
      </c>
      <c r="AU578" t="b">
        <v>1</v>
      </c>
      <c r="AV578" t="b">
        <v>1</v>
      </c>
      <c r="AW578" t="b">
        <v>1</v>
      </c>
      <c r="BC578" t="s">
        <v>374</v>
      </c>
    </row>
    <row r="579" spans="1:55" x14ac:dyDescent="0.2">
      <c r="A579" t="s">
        <v>39</v>
      </c>
      <c r="B579" t="s">
        <v>40</v>
      </c>
      <c r="C579">
        <v>20240101</v>
      </c>
      <c r="D579">
        <v>2024</v>
      </c>
      <c r="E579">
        <v>52</v>
      </c>
      <c r="F579" t="s">
        <v>357</v>
      </c>
      <c r="G579">
        <v>203</v>
      </c>
      <c r="H579" t="s">
        <v>114</v>
      </c>
      <c r="I579" t="s">
        <v>115</v>
      </c>
      <c r="J579" t="s">
        <v>44</v>
      </c>
      <c r="K579" t="s">
        <v>45</v>
      </c>
      <c r="L579">
        <v>0</v>
      </c>
      <c r="M579" t="s">
        <v>46</v>
      </c>
      <c r="N579" t="s">
        <v>47</v>
      </c>
      <c r="O579">
        <v>0</v>
      </c>
      <c r="P579" t="s">
        <v>46</v>
      </c>
      <c r="Q579" t="s">
        <v>47</v>
      </c>
      <c r="R579" t="s">
        <v>347</v>
      </c>
      <c r="S579" t="s">
        <v>49</v>
      </c>
      <c r="T579" t="b">
        <v>1</v>
      </c>
      <c r="U579" t="s">
        <v>50</v>
      </c>
      <c r="V579" t="s">
        <v>51</v>
      </c>
      <c r="W579">
        <v>4</v>
      </c>
      <c r="X579" t="b">
        <v>0</v>
      </c>
      <c r="Y579" t="s">
        <v>52</v>
      </c>
      <c r="Z579" t="s">
        <v>53</v>
      </c>
      <c r="AA579" t="s">
        <v>54</v>
      </c>
      <c r="AB579">
        <v>0</v>
      </c>
      <c r="AC579" t="s">
        <v>55</v>
      </c>
      <c r="AD579">
        <v>-1</v>
      </c>
      <c r="AE579" t="s">
        <v>64</v>
      </c>
      <c r="AF579">
        <v>0</v>
      </c>
      <c r="AG579" t="b">
        <v>0</v>
      </c>
      <c r="AH579">
        <v>-1</v>
      </c>
      <c r="AI579" t="s">
        <v>64</v>
      </c>
      <c r="AJ579">
        <v>0</v>
      </c>
      <c r="AK579" t="b">
        <v>0</v>
      </c>
      <c r="AM579" t="b">
        <v>0</v>
      </c>
      <c r="AN579">
        <v>0</v>
      </c>
      <c r="AO579" t="b">
        <v>0</v>
      </c>
      <c r="AQ579">
        <v>108903294</v>
      </c>
      <c r="AR579">
        <v>108903294</v>
      </c>
      <c r="AS579">
        <v>0</v>
      </c>
      <c r="AT579" t="b">
        <v>0</v>
      </c>
      <c r="AU579" t="b">
        <v>1</v>
      </c>
      <c r="AV579" t="b">
        <v>1</v>
      </c>
      <c r="AW579" t="b">
        <v>1</v>
      </c>
      <c r="BC579" t="s">
        <v>374</v>
      </c>
    </row>
    <row r="580" spans="1:55" x14ac:dyDescent="0.2">
      <c r="A580" t="s">
        <v>39</v>
      </c>
      <c r="B580" t="s">
        <v>40</v>
      </c>
      <c r="C580">
        <v>20240101</v>
      </c>
      <c r="D580">
        <v>2024</v>
      </c>
      <c r="E580">
        <v>52</v>
      </c>
      <c r="F580" t="s">
        <v>357</v>
      </c>
      <c r="G580">
        <v>204</v>
      </c>
      <c r="H580" t="s">
        <v>116</v>
      </c>
      <c r="I580" t="s">
        <v>117</v>
      </c>
      <c r="J580" t="s">
        <v>44</v>
      </c>
      <c r="K580" t="s">
        <v>45</v>
      </c>
      <c r="L580">
        <v>0</v>
      </c>
      <c r="M580" t="s">
        <v>46</v>
      </c>
      <c r="N580" t="s">
        <v>47</v>
      </c>
      <c r="O580">
        <v>0</v>
      </c>
      <c r="P580" t="s">
        <v>46</v>
      </c>
      <c r="Q580" t="s">
        <v>47</v>
      </c>
      <c r="R580" t="s">
        <v>347</v>
      </c>
      <c r="S580" t="s">
        <v>49</v>
      </c>
      <c r="T580" t="b">
        <v>1</v>
      </c>
      <c r="U580" t="s">
        <v>50</v>
      </c>
      <c r="V580" t="s">
        <v>51</v>
      </c>
      <c r="W580">
        <v>4</v>
      </c>
      <c r="X580" t="b">
        <v>0</v>
      </c>
      <c r="Y580" t="s">
        <v>52</v>
      </c>
      <c r="Z580" t="s">
        <v>53</v>
      </c>
      <c r="AA580" t="s">
        <v>54</v>
      </c>
      <c r="AB580">
        <v>0</v>
      </c>
      <c r="AC580" t="s">
        <v>55</v>
      </c>
      <c r="AD580">
        <v>8</v>
      </c>
      <c r="AE580" t="s">
        <v>56</v>
      </c>
      <c r="AF580">
        <v>6716.75</v>
      </c>
      <c r="AG580" t="b">
        <v>0</v>
      </c>
      <c r="AH580">
        <v>8</v>
      </c>
      <c r="AI580" t="s">
        <v>56</v>
      </c>
      <c r="AJ580">
        <v>6716.75</v>
      </c>
      <c r="AK580" t="b">
        <v>0</v>
      </c>
      <c r="AL580">
        <v>6716.75</v>
      </c>
      <c r="AM580" t="b">
        <v>0</v>
      </c>
      <c r="AN580">
        <v>0</v>
      </c>
      <c r="AO580" t="b">
        <v>0</v>
      </c>
      <c r="AQ580">
        <v>11079838.854</v>
      </c>
      <c r="AR580">
        <v>11079838.854</v>
      </c>
      <c r="AS580">
        <v>0</v>
      </c>
      <c r="AT580" t="b">
        <v>0</v>
      </c>
      <c r="AU580" t="b">
        <v>1</v>
      </c>
      <c r="AV580" t="b">
        <v>1</v>
      </c>
      <c r="AW580" t="b">
        <v>1</v>
      </c>
      <c r="BC580" t="s">
        <v>374</v>
      </c>
    </row>
    <row r="581" spans="1:55" x14ac:dyDescent="0.2">
      <c r="A581" t="s">
        <v>39</v>
      </c>
      <c r="B581" t="s">
        <v>40</v>
      </c>
      <c r="C581">
        <v>20240101</v>
      </c>
      <c r="D581">
        <v>2024</v>
      </c>
      <c r="E581">
        <v>52</v>
      </c>
      <c r="F581" t="s">
        <v>357</v>
      </c>
      <c r="G581">
        <v>208</v>
      </c>
      <c r="H581" t="s">
        <v>118</v>
      </c>
      <c r="I581" t="s">
        <v>119</v>
      </c>
      <c r="J581" t="s">
        <v>44</v>
      </c>
      <c r="K581" t="s">
        <v>45</v>
      </c>
      <c r="L581">
        <v>0</v>
      </c>
      <c r="M581" t="s">
        <v>46</v>
      </c>
      <c r="N581" t="s">
        <v>47</v>
      </c>
      <c r="O581">
        <v>0</v>
      </c>
      <c r="P581" t="s">
        <v>46</v>
      </c>
      <c r="Q581" t="s">
        <v>47</v>
      </c>
      <c r="R581" t="s">
        <v>347</v>
      </c>
      <c r="S581" t="s">
        <v>49</v>
      </c>
      <c r="T581" t="b">
        <v>1</v>
      </c>
      <c r="U581" t="s">
        <v>50</v>
      </c>
      <c r="V581" t="s">
        <v>51</v>
      </c>
      <c r="W581">
        <v>4</v>
      </c>
      <c r="X581" t="b">
        <v>0</v>
      </c>
      <c r="Y581" t="s">
        <v>52</v>
      </c>
      <c r="Z581" t="s">
        <v>53</v>
      </c>
      <c r="AA581" t="s">
        <v>54</v>
      </c>
      <c r="AB581">
        <v>0</v>
      </c>
      <c r="AC581" t="s">
        <v>55</v>
      </c>
      <c r="AD581">
        <v>8</v>
      </c>
      <c r="AE581" t="s">
        <v>56</v>
      </c>
      <c r="AF581">
        <v>360.726</v>
      </c>
      <c r="AG581" t="b">
        <v>1</v>
      </c>
      <c r="AH581">
        <v>-1</v>
      </c>
      <c r="AI581" t="s">
        <v>64</v>
      </c>
      <c r="AJ581">
        <v>0</v>
      </c>
      <c r="AK581" t="b">
        <v>0</v>
      </c>
      <c r="AL581">
        <v>662.11099999999999</v>
      </c>
      <c r="AM581" t="b">
        <v>1</v>
      </c>
      <c r="AN581">
        <v>0</v>
      </c>
      <c r="AO581" t="b">
        <v>0</v>
      </c>
      <c r="AQ581">
        <v>20995845.513</v>
      </c>
      <c r="AR581">
        <v>20995845.513</v>
      </c>
      <c r="AS581">
        <v>6</v>
      </c>
      <c r="AT581" t="b">
        <v>0</v>
      </c>
      <c r="AU581" t="b">
        <v>1</v>
      </c>
      <c r="AV581" t="b">
        <v>1</v>
      </c>
      <c r="AW581" t="b">
        <v>1</v>
      </c>
      <c r="BC581" t="s">
        <v>374</v>
      </c>
    </row>
    <row r="582" spans="1:55" x14ac:dyDescent="0.2">
      <c r="A582" t="s">
        <v>39</v>
      </c>
      <c r="B582" t="s">
        <v>40</v>
      </c>
      <c r="C582">
        <v>20240101</v>
      </c>
      <c r="D582">
        <v>2024</v>
      </c>
      <c r="E582">
        <v>52</v>
      </c>
      <c r="F582" t="s">
        <v>357</v>
      </c>
      <c r="G582">
        <v>214</v>
      </c>
      <c r="H582" t="s">
        <v>120</v>
      </c>
      <c r="I582" t="s">
        <v>121</v>
      </c>
      <c r="J582" t="s">
        <v>44</v>
      </c>
      <c r="K582" t="s">
        <v>45</v>
      </c>
      <c r="L582">
        <v>0</v>
      </c>
      <c r="M582" t="s">
        <v>46</v>
      </c>
      <c r="N582" t="s">
        <v>47</v>
      </c>
      <c r="O582">
        <v>0</v>
      </c>
      <c r="P582" t="s">
        <v>46</v>
      </c>
      <c r="Q582" t="s">
        <v>47</v>
      </c>
      <c r="R582" t="s">
        <v>347</v>
      </c>
      <c r="S582" t="s">
        <v>49</v>
      </c>
      <c r="T582" t="b">
        <v>1</v>
      </c>
      <c r="U582" t="s">
        <v>50</v>
      </c>
      <c r="V582" t="s">
        <v>51</v>
      </c>
      <c r="W582">
        <v>4</v>
      </c>
      <c r="X582" t="b">
        <v>0</v>
      </c>
      <c r="Y582" t="s">
        <v>52</v>
      </c>
      <c r="Z582" t="s">
        <v>53</v>
      </c>
      <c r="AA582" t="s">
        <v>54</v>
      </c>
      <c r="AB582">
        <v>0</v>
      </c>
      <c r="AC582" t="s">
        <v>55</v>
      </c>
      <c r="AD582">
        <v>-1</v>
      </c>
      <c r="AE582" t="s">
        <v>64</v>
      </c>
      <c r="AF582">
        <v>0</v>
      </c>
      <c r="AG582" t="b">
        <v>0</v>
      </c>
      <c r="AH582">
        <v>-1</v>
      </c>
      <c r="AI582" t="s">
        <v>64</v>
      </c>
      <c r="AJ582">
        <v>0</v>
      </c>
      <c r="AK582" t="b">
        <v>0</v>
      </c>
      <c r="AM582" t="b">
        <v>0</v>
      </c>
      <c r="AN582">
        <v>0</v>
      </c>
      <c r="AO582" t="b">
        <v>0</v>
      </c>
      <c r="AQ582">
        <v>1525290671.405</v>
      </c>
      <c r="AR582">
        <v>1525290671.405</v>
      </c>
      <c r="AS582">
        <v>0</v>
      </c>
      <c r="AT582" t="b">
        <v>0</v>
      </c>
      <c r="AU582" t="b">
        <v>1</v>
      </c>
      <c r="AV582" t="b">
        <v>1</v>
      </c>
      <c r="AW582" t="b">
        <v>1</v>
      </c>
      <c r="BC582" t="s">
        <v>374</v>
      </c>
    </row>
    <row r="583" spans="1:55" x14ac:dyDescent="0.2">
      <c r="A583" t="s">
        <v>39</v>
      </c>
      <c r="B583" t="s">
        <v>40</v>
      </c>
      <c r="C583">
        <v>20240101</v>
      </c>
      <c r="D583">
        <v>2024</v>
      </c>
      <c r="E583">
        <v>52</v>
      </c>
      <c r="F583" t="s">
        <v>357</v>
      </c>
      <c r="G583">
        <v>218</v>
      </c>
      <c r="H583" t="s">
        <v>122</v>
      </c>
      <c r="I583" t="s">
        <v>123</v>
      </c>
      <c r="J583" t="s">
        <v>44</v>
      </c>
      <c r="K583" t="s">
        <v>45</v>
      </c>
      <c r="L583">
        <v>0</v>
      </c>
      <c r="M583" t="s">
        <v>46</v>
      </c>
      <c r="N583" t="s">
        <v>47</v>
      </c>
      <c r="O583">
        <v>0</v>
      </c>
      <c r="P583" t="s">
        <v>46</v>
      </c>
      <c r="Q583" t="s">
        <v>47</v>
      </c>
      <c r="R583" t="s">
        <v>347</v>
      </c>
      <c r="S583" t="s">
        <v>49</v>
      </c>
      <c r="T583" t="b">
        <v>1</v>
      </c>
      <c r="U583" t="s">
        <v>50</v>
      </c>
      <c r="V583" t="s">
        <v>51</v>
      </c>
      <c r="W583">
        <v>4</v>
      </c>
      <c r="X583" t="b">
        <v>0</v>
      </c>
      <c r="Y583" t="s">
        <v>52</v>
      </c>
      <c r="Z583" t="s">
        <v>53</v>
      </c>
      <c r="AA583" t="s">
        <v>54</v>
      </c>
      <c r="AB583">
        <v>0</v>
      </c>
      <c r="AC583" t="s">
        <v>55</v>
      </c>
      <c r="AD583">
        <v>8</v>
      </c>
      <c r="AE583" t="s">
        <v>56</v>
      </c>
      <c r="AF583">
        <v>17303.490000000002</v>
      </c>
      <c r="AG583" t="b">
        <v>0</v>
      </c>
      <c r="AH583">
        <v>8</v>
      </c>
      <c r="AI583" t="s">
        <v>56</v>
      </c>
      <c r="AJ583">
        <v>17303.490000000002</v>
      </c>
      <c r="AK583" t="b">
        <v>0</v>
      </c>
      <c r="AL583">
        <v>15453.075000000001</v>
      </c>
      <c r="AM583" t="b">
        <v>0</v>
      </c>
      <c r="AN583">
        <v>0</v>
      </c>
      <c r="AO583" t="b">
        <v>0</v>
      </c>
      <c r="AQ583">
        <v>937632964.59099996</v>
      </c>
      <c r="AR583">
        <v>937632964.59099996</v>
      </c>
      <c r="AS583">
        <v>0</v>
      </c>
      <c r="AT583" t="b">
        <v>0</v>
      </c>
      <c r="AU583" t="b">
        <v>1</v>
      </c>
      <c r="AV583" t="b">
        <v>1</v>
      </c>
      <c r="AW583" t="b">
        <v>1</v>
      </c>
      <c r="BC583" t="s">
        <v>374</v>
      </c>
    </row>
    <row r="584" spans="1:55" x14ac:dyDescent="0.2">
      <c r="A584" t="s">
        <v>39</v>
      </c>
      <c r="B584" t="s">
        <v>40</v>
      </c>
      <c r="C584">
        <v>20240101</v>
      </c>
      <c r="D584">
        <v>2024</v>
      </c>
      <c r="E584">
        <v>52</v>
      </c>
      <c r="F584" t="s">
        <v>357</v>
      </c>
      <c r="G584">
        <v>222</v>
      </c>
      <c r="H584" t="s">
        <v>319</v>
      </c>
      <c r="I584" t="s">
        <v>320</v>
      </c>
      <c r="J584" t="s">
        <v>44</v>
      </c>
      <c r="K584" t="s">
        <v>45</v>
      </c>
      <c r="L584">
        <v>0</v>
      </c>
      <c r="M584" t="s">
        <v>46</v>
      </c>
      <c r="N584" t="s">
        <v>47</v>
      </c>
      <c r="O584">
        <v>0</v>
      </c>
      <c r="P584" t="s">
        <v>46</v>
      </c>
      <c r="Q584" t="s">
        <v>47</v>
      </c>
      <c r="R584" t="s">
        <v>347</v>
      </c>
      <c r="S584" t="s">
        <v>49</v>
      </c>
      <c r="T584" t="b">
        <v>1</v>
      </c>
      <c r="U584" t="s">
        <v>50</v>
      </c>
      <c r="V584" t="s">
        <v>51</v>
      </c>
      <c r="W584">
        <v>4</v>
      </c>
      <c r="X584" t="b">
        <v>0</v>
      </c>
      <c r="Y584" t="s">
        <v>52</v>
      </c>
      <c r="Z584" t="s">
        <v>53</v>
      </c>
      <c r="AA584" t="s">
        <v>54</v>
      </c>
      <c r="AB584">
        <v>0</v>
      </c>
      <c r="AC584" t="s">
        <v>55</v>
      </c>
      <c r="AD584">
        <v>-1</v>
      </c>
      <c r="AE584" t="s">
        <v>64</v>
      </c>
      <c r="AF584">
        <v>0</v>
      </c>
      <c r="AG584" t="b">
        <v>0</v>
      </c>
      <c r="AH584">
        <v>-1</v>
      </c>
      <c r="AI584" t="s">
        <v>64</v>
      </c>
      <c r="AJ584">
        <v>0</v>
      </c>
      <c r="AK584" t="b">
        <v>0</v>
      </c>
      <c r="AM584" t="b">
        <v>0</v>
      </c>
      <c r="AN584">
        <v>0</v>
      </c>
      <c r="AO584" t="b">
        <v>0</v>
      </c>
      <c r="AQ584">
        <v>69326.31</v>
      </c>
      <c r="AR584">
        <v>69326.31</v>
      </c>
      <c r="AS584">
        <v>0</v>
      </c>
      <c r="AT584" t="b">
        <v>0</v>
      </c>
      <c r="AU584" t="b">
        <v>1</v>
      </c>
      <c r="AV584" t="b">
        <v>1</v>
      </c>
      <c r="AW584" t="b">
        <v>1</v>
      </c>
      <c r="BC584" t="s">
        <v>374</v>
      </c>
    </row>
    <row r="585" spans="1:55" x14ac:dyDescent="0.2">
      <c r="A585" t="s">
        <v>39</v>
      </c>
      <c r="B585" t="s">
        <v>40</v>
      </c>
      <c r="C585">
        <v>20240101</v>
      </c>
      <c r="D585">
        <v>2024</v>
      </c>
      <c r="E585">
        <v>52</v>
      </c>
      <c r="F585" t="s">
        <v>357</v>
      </c>
      <c r="G585">
        <v>233</v>
      </c>
      <c r="H585" t="s">
        <v>124</v>
      </c>
      <c r="I585" t="s">
        <v>125</v>
      </c>
      <c r="J585" t="s">
        <v>44</v>
      </c>
      <c r="K585" t="s">
        <v>45</v>
      </c>
      <c r="L585">
        <v>0</v>
      </c>
      <c r="M585" t="s">
        <v>46</v>
      </c>
      <c r="N585" t="s">
        <v>47</v>
      </c>
      <c r="O585">
        <v>0</v>
      </c>
      <c r="P585" t="s">
        <v>46</v>
      </c>
      <c r="Q585" t="s">
        <v>47</v>
      </c>
      <c r="R585" t="s">
        <v>347</v>
      </c>
      <c r="S585" t="s">
        <v>49</v>
      </c>
      <c r="T585" t="b">
        <v>1</v>
      </c>
      <c r="U585" t="s">
        <v>50</v>
      </c>
      <c r="V585" t="s">
        <v>51</v>
      </c>
      <c r="W585">
        <v>4</v>
      </c>
      <c r="X585" t="b">
        <v>0</v>
      </c>
      <c r="Y585" t="s">
        <v>52</v>
      </c>
      <c r="Z585" t="s">
        <v>53</v>
      </c>
      <c r="AA585" t="s">
        <v>54</v>
      </c>
      <c r="AB585">
        <v>0</v>
      </c>
      <c r="AC585" t="s">
        <v>55</v>
      </c>
      <c r="AD585">
        <v>8</v>
      </c>
      <c r="AE585" t="s">
        <v>56</v>
      </c>
      <c r="AF585">
        <v>2328.893</v>
      </c>
      <c r="AG585" t="b">
        <v>0</v>
      </c>
      <c r="AH585">
        <v>15</v>
      </c>
      <c r="AI585" t="s">
        <v>59</v>
      </c>
      <c r="AJ585">
        <v>2328893.3190000001</v>
      </c>
      <c r="AK585" t="b">
        <v>0</v>
      </c>
      <c r="AL585">
        <v>2328.9</v>
      </c>
      <c r="AM585" t="b">
        <v>0</v>
      </c>
      <c r="AN585">
        <v>0</v>
      </c>
      <c r="AO585" t="b">
        <v>0</v>
      </c>
      <c r="AQ585">
        <v>179593193.11000001</v>
      </c>
      <c r="AR585">
        <v>179593193.11000001</v>
      </c>
      <c r="AS585">
        <v>0</v>
      </c>
      <c r="AT585" t="b">
        <v>0</v>
      </c>
      <c r="AU585" t="b">
        <v>1</v>
      </c>
      <c r="AV585" t="b">
        <v>1</v>
      </c>
      <c r="AW585" t="b">
        <v>1</v>
      </c>
      <c r="BC585" t="s">
        <v>374</v>
      </c>
    </row>
    <row r="586" spans="1:55" x14ac:dyDescent="0.2">
      <c r="A586" t="s">
        <v>39</v>
      </c>
      <c r="B586" t="s">
        <v>40</v>
      </c>
      <c r="C586">
        <v>20240101</v>
      </c>
      <c r="D586">
        <v>2024</v>
      </c>
      <c r="E586">
        <v>52</v>
      </c>
      <c r="F586" t="s">
        <v>357</v>
      </c>
      <c r="G586">
        <v>242</v>
      </c>
      <c r="H586" t="s">
        <v>126</v>
      </c>
      <c r="I586" t="s">
        <v>127</v>
      </c>
      <c r="J586" t="s">
        <v>44</v>
      </c>
      <c r="K586" t="s">
        <v>45</v>
      </c>
      <c r="L586">
        <v>0</v>
      </c>
      <c r="M586" t="s">
        <v>46</v>
      </c>
      <c r="N586" t="s">
        <v>47</v>
      </c>
      <c r="O586">
        <v>0</v>
      </c>
      <c r="P586" t="s">
        <v>46</v>
      </c>
      <c r="Q586" t="s">
        <v>47</v>
      </c>
      <c r="R586" t="s">
        <v>347</v>
      </c>
      <c r="S586" t="s">
        <v>49</v>
      </c>
      <c r="T586" t="b">
        <v>1</v>
      </c>
      <c r="U586" t="s">
        <v>50</v>
      </c>
      <c r="V586" t="s">
        <v>51</v>
      </c>
      <c r="W586">
        <v>4</v>
      </c>
      <c r="X586" t="b">
        <v>0</v>
      </c>
      <c r="Y586" t="s">
        <v>52</v>
      </c>
      <c r="Z586" t="s">
        <v>53</v>
      </c>
      <c r="AA586" t="s">
        <v>54</v>
      </c>
      <c r="AB586">
        <v>0</v>
      </c>
      <c r="AC586" t="s">
        <v>55</v>
      </c>
      <c r="AD586">
        <v>-1</v>
      </c>
      <c r="AE586" t="s">
        <v>64</v>
      </c>
      <c r="AF586">
        <v>0</v>
      </c>
      <c r="AG586" t="b">
        <v>0</v>
      </c>
      <c r="AH586">
        <v>-1</v>
      </c>
      <c r="AI586" t="s">
        <v>64</v>
      </c>
      <c r="AJ586">
        <v>0</v>
      </c>
      <c r="AK586" t="b">
        <v>0</v>
      </c>
      <c r="AM586" t="b">
        <v>0</v>
      </c>
      <c r="AN586">
        <v>0</v>
      </c>
      <c r="AO586" t="b">
        <v>0</v>
      </c>
      <c r="AQ586">
        <v>74135716.563999996</v>
      </c>
      <c r="AR586">
        <v>74135716.563999996</v>
      </c>
      <c r="AS586">
        <v>0</v>
      </c>
      <c r="AT586" t="b">
        <v>0</v>
      </c>
      <c r="AU586" t="b">
        <v>1</v>
      </c>
      <c r="AV586" t="b">
        <v>1</v>
      </c>
      <c r="AW586" t="b">
        <v>1</v>
      </c>
      <c r="BC586" t="s">
        <v>374</v>
      </c>
    </row>
    <row r="587" spans="1:55" x14ac:dyDescent="0.2">
      <c r="A587" t="s">
        <v>39</v>
      </c>
      <c r="B587" t="s">
        <v>40</v>
      </c>
      <c r="C587">
        <v>20240101</v>
      </c>
      <c r="D587">
        <v>2024</v>
      </c>
      <c r="E587">
        <v>52</v>
      </c>
      <c r="F587" t="s">
        <v>357</v>
      </c>
      <c r="G587">
        <v>246</v>
      </c>
      <c r="H587" t="s">
        <v>128</v>
      </c>
      <c r="I587" t="s">
        <v>129</v>
      </c>
      <c r="J587" t="s">
        <v>44</v>
      </c>
      <c r="K587" t="s">
        <v>45</v>
      </c>
      <c r="L587">
        <v>0</v>
      </c>
      <c r="M587" t="s">
        <v>46</v>
      </c>
      <c r="N587" t="s">
        <v>47</v>
      </c>
      <c r="O587">
        <v>0</v>
      </c>
      <c r="P587" t="s">
        <v>46</v>
      </c>
      <c r="Q587" t="s">
        <v>47</v>
      </c>
      <c r="R587" t="s">
        <v>347</v>
      </c>
      <c r="S587" t="s">
        <v>49</v>
      </c>
      <c r="T587" t="b">
        <v>1</v>
      </c>
      <c r="U587" t="s">
        <v>50</v>
      </c>
      <c r="V587" t="s">
        <v>51</v>
      </c>
      <c r="W587">
        <v>4</v>
      </c>
      <c r="X587" t="b">
        <v>0</v>
      </c>
      <c r="Y587" t="s">
        <v>52</v>
      </c>
      <c r="Z587" t="s">
        <v>53</v>
      </c>
      <c r="AA587" t="s">
        <v>54</v>
      </c>
      <c r="AB587">
        <v>0</v>
      </c>
      <c r="AC587" t="s">
        <v>55</v>
      </c>
      <c r="AD587">
        <v>8</v>
      </c>
      <c r="AE587" t="s">
        <v>56</v>
      </c>
      <c r="AF587">
        <v>197.68199999999999</v>
      </c>
      <c r="AG587" t="b">
        <v>0</v>
      </c>
      <c r="AH587">
        <v>8</v>
      </c>
      <c r="AI587" t="s">
        <v>56</v>
      </c>
      <c r="AJ587">
        <v>197.68199999999999</v>
      </c>
      <c r="AK587" t="b">
        <v>0</v>
      </c>
      <c r="AL587">
        <v>202.75800000000001</v>
      </c>
      <c r="AM587" t="b">
        <v>0</v>
      </c>
      <c r="AN587">
        <v>0</v>
      </c>
      <c r="AO587" t="b">
        <v>0</v>
      </c>
      <c r="AQ587">
        <v>2393366.41</v>
      </c>
      <c r="AR587">
        <v>2393366.41</v>
      </c>
      <c r="AS587">
        <v>0</v>
      </c>
      <c r="AT587" t="b">
        <v>0</v>
      </c>
      <c r="AU587" t="b">
        <v>1</v>
      </c>
      <c r="AV587" t="b">
        <v>1</v>
      </c>
      <c r="AW587" t="b">
        <v>1</v>
      </c>
      <c r="BC587" t="s">
        <v>374</v>
      </c>
    </row>
    <row r="588" spans="1:55" x14ac:dyDescent="0.2">
      <c r="A588" t="s">
        <v>39</v>
      </c>
      <c r="B588" t="s">
        <v>40</v>
      </c>
      <c r="C588">
        <v>20240101</v>
      </c>
      <c r="D588">
        <v>2024</v>
      </c>
      <c r="E588">
        <v>52</v>
      </c>
      <c r="F588" t="s">
        <v>357</v>
      </c>
      <c r="G588">
        <v>251</v>
      </c>
      <c r="H588" t="s">
        <v>130</v>
      </c>
      <c r="I588" t="s">
        <v>131</v>
      </c>
      <c r="J588" t="s">
        <v>44</v>
      </c>
      <c r="K588" t="s">
        <v>45</v>
      </c>
      <c r="L588">
        <v>0</v>
      </c>
      <c r="M588" t="s">
        <v>46</v>
      </c>
      <c r="N588" t="s">
        <v>47</v>
      </c>
      <c r="O588">
        <v>0</v>
      </c>
      <c r="P588" t="s">
        <v>46</v>
      </c>
      <c r="Q588" t="s">
        <v>47</v>
      </c>
      <c r="R588" t="s">
        <v>347</v>
      </c>
      <c r="S588" t="s">
        <v>49</v>
      </c>
      <c r="T588" t="b">
        <v>1</v>
      </c>
      <c r="U588" t="s">
        <v>50</v>
      </c>
      <c r="V588" t="s">
        <v>51</v>
      </c>
      <c r="W588">
        <v>4</v>
      </c>
      <c r="X588" t="b">
        <v>0</v>
      </c>
      <c r="Y588" t="s">
        <v>52</v>
      </c>
      <c r="Z588" t="s">
        <v>53</v>
      </c>
      <c r="AA588" t="s">
        <v>54</v>
      </c>
      <c r="AB588">
        <v>0</v>
      </c>
      <c r="AC588" t="s">
        <v>55</v>
      </c>
      <c r="AD588">
        <v>-1</v>
      </c>
      <c r="AE588" t="s">
        <v>64</v>
      </c>
      <c r="AF588">
        <v>0</v>
      </c>
      <c r="AG588" t="b">
        <v>0</v>
      </c>
      <c r="AH588">
        <v>-1</v>
      </c>
      <c r="AI588" t="s">
        <v>64</v>
      </c>
      <c r="AJ588">
        <v>0</v>
      </c>
      <c r="AK588" t="b">
        <v>0</v>
      </c>
      <c r="AM588" t="b">
        <v>0</v>
      </c>
      <c r="AN588">
        <v>0</v>
      </c>
      <c r="AO588" t="b">
        <v>0</v>
      </c>
      <c r="AQ588">
        <v>3547944430.4530001</v>
      </c>
      <c r="AR588">
        <v>3547944430.4530001</v>
      </c>
      <c r="AS588">
        <v>0</v>
      </c>
      <c r="AT588" t="b">
        <v>0</v>
      </c>
      <c r="AU588" t="b">
        <v>1</v>
      </c>
      <c r="AV588" t="b">
        <v>1</v>
      </c>
      <c r="AW588" t="b">
        <v>1</v>
      </c>
      <c r="BC588" t="s">
        <v>374</v>
      </c>
    </row>
    <row r="589" spans="1:55" x14ac:dyDescent="0.2">
      <c r="A589" t="s">
        <v>39</v>
      </c>
      <c r="B589" t="s">
        <v>40</v>
      </c>
      <c r="C589">
        <v>20240101</v>
      </c>
      <c r="D589">
        <v>2024</v>
      </c>
      <c r="E589">
        <v>52</v>
      </c>
      <c r="F589" t="s">
        <v>357</v>
      </c>
      <c r="G589">
        <v>258</v>
      </c>
      <c r="H589" t="s">
        <v>132</v>
      </c>
      <c r="I589" t="s">
        <v>133</v>
      </c>
      <c r="J589" t="s">
        <v>44</v>
      </c>
      <c r="K589" t="s">
        <v>45</v>
      </c>
      <c r="L589">
        <v>0</v>
      </c>
      <c r="M589" t="s">
        <v>46</v>
      </c>
      <c r="N589" t="s">
        <v>47</v>
      </c>
      <c r="O589">
        <v>0</v>
      </c>
      <c r="P589" t="s">
        <v>46</v>
      </c>
      <c r="Q589" t="s">
        <v>47</v>
      </c>
      <c r="R589" t="s">
        <v>48</v>
      </c>
      <c r="S589" t="s">
        <v>49</v>
      </c>
      <c r="T589" t="b">
        <v>1</v>
      </c>
      <c r="U589" t="s">
        <v>50</v>
      </c>
      <c r="V589" t="s">
        <v>51</v>
      </c>
      <c r="W589">
        <v>4</v>
      </c>
      <c r="X589" t="b">
        <v>0</v>
      </c>
      <c r="Y589" t="s">
        <v>52</v>
      </c>
      <c r="Z589" t="s">
        <v>53</v>
      </c>
      <c r="AA589" t="s">
        <v>54</v>
      </c>
      <c r="AB589">
        <v>0</v>
      </c>
      <c r="AC589" t="s">
        <v>55</v>
      </c>
      <c r="AD589">
        <v>8</v>
      </c>
      <c r="AE589" t="s">
        <v>56</v>
      </c>
      <c r="AF589">
        <v>12.446</v>
      </c>
      <c r="AG589" t="b">
        <v>0</v>
      </c>
      <c r="AH589">
        <v>8</v>
      </c>
      <c r="AI589" t="s">
        <v>56</v>
      </c>
      <c r="AJ589">
        <v>12.446</v>
      </c>
      <c r="AK589" t="b">
        <v>0</v>
      </c>
      <c r="AL589">
        <v>12.446</v>
      </c>
      <c r="AM589" t="b">
        <v>0</v>
      </c>
      <c r="AN589">
        <v>0</v>
      </c>
      <c r="AO589" t="b">
        <v>0</v>
      </c>
      <c r="AQ589">
        <v>322769.23499999999</v>
      </c>
      <c r="AR589">
        <v>322769.23499999999</v>
      </c>
      <c r="AS589">
        <v>0</v>
      </c>
      <c r="AT589" t="b">
        <v>0</v>
      </c>
      <c r="AU589" t="b">
        <v>1</v>
      </c>
      <c r="AV589" t="b">
        <v>1</v>
      </c>
      <c r="AW589" t="b">
        <v>1</v>
      </c>
      <c r="BC589" t="s">
        <v>374</v>
      </c>
    </row>
    <row r="590" spans="1:55" x14ac:dyDescent="0.2">
      <c r="A590" t="s">
        <v>39</v>
      </c>
      <c r="B590" t="s">
        <v>40</v>
      </c>
      <c r="C590">
        <v>20240101</v>
      </c>
      <c r="D590">
        <v>2024</v>
      </c>
      <c r="E590">
        <v>52</v>
      </c>
      <c r="F590" t="s">
        <v>357</v>
      </c>
      <c r="G590">
        <v>268</v>
      </c>
      <c r="H590" t="s">
        <v>137</v>
      </c>
      <c r="I590" t="s">
        <v>138</v>
      </c>
      <c r="J590" t="s">
        <v>44</v>
      </c>
      <c r="K590" t="s">
        <v>45</v>
      </c>
      <c r="L590">
        <v>0</v>
      </c>
      <c r="M590" t="s">
        <v>46</v>
      </c>
      <c r="N590" t="s">
        <v>47</v>
      </c>
      <c r="O590">
        <v>0</v>
      </c>
      <c r="P590" t="s">
        <v>46</v>
      </c>
      <c r="Q590" t="s">
        <v>47</v>
      </c>
      <c r="R590" t="s">
        <v>48</v>
      </c>
      <c r="S590" t="s">
        <v>49</v>
      </c>
      <c r="T590" t="b">
        <v>1</v>
      </c>
      <c r="U590" t="s">
        <v>50</v>
      </c>
      <c r="V590" t="s">
        <v>51</v>
      </c>
      <c r="W590">
        <v>4</v>
      </c>
      <c r="X590" t="b">
        <v>0</v>
      </c>
      <c r="Y590" t="s">
        <v>52</v>
      </c>
      <c r="Z590" t="s">
        <v>53</v>
      </c>
      <c r="AA590" t="s">
        <v>54</v>
      </c>
      <c r="AB590">
        <v>0</v>
      </c>
      <c r="AC590" t="s">
        <v>55</v>
      </c>
      <c r="AD590">
        <v>8</v>
      </c>
      <c r="AE590" t="s">
        <v>56</v>
      </c>
      <c r="AF590">
        <v>2666.0639999999999</v>
      </c>
      <c r="AG590" t="b">
        <v>0</v>
      </c>
      <c r="AH590">
        <v>8</v>
      </c>
      <c r="AI590" t="s">
        <v>56</v>
      </c>
      <c r="AJ590">
        <v>2666.0639999999999</v>
      </c>
      <c r="AK590" t="b">
        <v>0</v>
      </c>
      <c r="AL590">
        <v>2665.9789999999998</v>
      </c>
      <c r="AM590" t="b">
        <v>0</v>
      </c>
      <c r="AN590">
        <v>0</v>
      </c>
      <c r="AO590" t="b">
        <v>0</v>
      </c>
      <c r="AQ590">
        <v>104699396.05500001</v>
      </c>
      <c r="AR590">
        <v>104699396.05500001</v>
      </c>
      <c r="AS590">
        <v>0</v>
      </c>
      <c r="AT590" t="b">
        <v>0</v>
      </c>
      <c r="AU590" t="b">
        <v>1</v>
      </c>
      <c r="AV590" t="b">
        <v>1</v>
      </c>
      <c r="AW590" t="b">
        <v>1</v>
      </c>
      <c r="BC590" t="s">
        <v>374</v>
      </c>
    </row>
    <row r="591" spans="1:55" x14ac:dyDescent="0.2">
      <c r="A591" t="s">
        <v>39</v>
      </c>
      <c r="B591" t="s">
        <v>40</v>
      </c>
      <c r="C591">
        <v>20240101</v>
      </c>
      <c r="D591">
        <v>2024</v>
      </c>
      <c r="E591">
        <v>52</v>
      </c>
      <c r="F591" t="s">
        <v>357</v>
      </c>
      <c r="G591">
        <v>300</v>
      </c>
      <c r="H591" t="s">
        <v>143</v>
      </c>
      <c r="I591" t="s">
        <v>144</v>
      </c>
      <c r="J591" t="s">
        <v>44</v>
      </c>
      <c r="K591" t="s">
        <v>45</v>
      </c>
      <c r="L591">
        <v>0</v>
      </c>
      <c r="M591" t="s">
        <v>46</v>
      </c>
      <c r="N591" t="s">
        <v>47</v>
      </c>
      <c r="O591">
        <v>0</v>
      </c>
      <c r="P591" t="s">
        <v>46</v>
      </c>
      <c r="Q591" t="s">
        <v>47</v>
      </c>
      <c r="R591" t="s">
        <v>347</v>
      </c>
      <c r="S591" t="s">
        <v>49</v>
      </c>
      <c r="T591" t="b">
        <v>1</v>
      </c>
      <c r="U591" t="s">
        <v>50</v>
      </c>
      <c r="V591" t="s">
        <v>51</v>
      </c>
      <c r="W591">
        <v>4</v>
      </c>
      <c r="X591" t="b">
        <v>0</v>
      </c>
      <c r="Y591" t="s">
        <v>52</v>
      </c>
      <c r="Z591" t="s">
        <v>53</v>
      </c>
      <c r="AA591" t="s">
        <v>54</v>
      </c>
      <c r="AB591">
        <v>0</v>
      </c>
      <c r="AC591" t="s">
        <v>55</v>
      </c>
      <c r="AD591">
        <v>-1</v>
      </c>
      <c r="AE591" t="s">
        <v>64</v>
      </c>
      <c r="AF591">
        <v>0</v>
      </c>
      <c r="AG591" t="b">
        <v>0</v>
      </c>
      <c r="AH591">
        <v>-1</v>
      </c>
      <c r="AI591" t="s">
        <v>64</v>
      </c>
      <c r="AJ591">
        <v>0</v>
      </c>
      <c r="AK591" t="b">
        <v>0</v>
      </c>
      <c r="AM591" t="b">
        <v>0</v>
      </c>
      <c r="AN591">
        <v>0</v>
      </c>
      <c r="AO591" t="b">
        <v>0</v>
      </c>
      <c r="AQ591">
        <v>15875640.051000001</v>
      </c>
      <c r="AR591">
        <v>15875640.051000001</v>
      </c>
      <c r="AS591">
        <v>0</v>
      </c>
      <c r="AT591" t="b">
        <v>0</v>
      </c>
      <c r="AU591" t="b">
        <v>1</v>
      </c>
      <c r="AV591" t="b">
        <v>1</v>
      </c>
      <c r="AW591" t="b">
        <v>1</v>
      </c>
      <c r="BC591" t="s">
        <v>374</v>
      </c>
    </row>
    <row r="592" spans="1:55" x14ac:dyDescent="0.2">
      <c r="A592" t="s">
        <v>39</v>
      </c>
      <c r="B592" t="s">
        <v>40</v>
      </c>
      <c r="C592">
        <v>20240101</v>
      </c>
      <c r="D592">
        <v>2024</v>
      </c>
      <c r="E592">
        <v>52</v>
      </c>
      <c r="F592" t="s">
        <v>357</v>
      </c>
      <c r="G592">
        <v>328</v>
      </c>
      <c r="H592" t="s">
        <v>145</v>
      </c>
      <c r="I592" t="s">
        <v>146</v>
      </c>
      <c r="J592" t="s">
        <v>44</v>
      </c>
      <c r="K592" t="s">
        <v>45</v>
      </c>
      <c r="L592">
        <v>0</v>
      </c>
      <c r="M592" t="s">
        <v>46</v>
      </c>
      <c r="N592" t="s">
        <v>47</v>
      </c>
      <c r="O592">
        <v>0</v>
      </c>
      <c r="P592" t="s">
        <v>46</v>
      </c>
      <c r="Q592" t="s">
        <v>47</v>
      </c>
      <c r="R592" t="s">
        <v>48</v>
      </c>
      <c r="S592" t="s">
        <v>49</v>
      </c>
      <c r="T592" t="b">
        <v>1</v>
      </c>
      <c r="U592" t="s">
        <v>50</v>
      </c>
      <c r="V592" t="s">
        <v>51</v>
      </c>
      <c r="W592">
        <v>4</v>
      </c>
      <c r="X592" t="b">
        <v>0</v>
      </c>
      <c r="Y592" t="s">
        <v>52</v>
      </c>
      <c r="Z592" t="s">
        <v>53</v>
      </c>
      <c r="AA592" t="s">
        <v>54</v>
      </c>
      <c r="AB592">
        <v>0</v>
      </c>
      <c r="AC592" t="s">
        <v>55</v>
      </c>
      <c r="AD592">
        <v>8</v>
      </c>
      <c r="AE592" t="s">
        <v>56</v>
      </c>
      <c r="AF592">
        <v>13391.46</v>
      </c>
      <c r="AG592" t="b">
        <v>0</v>
      </c>
      <c r="AH592">
        <v>5</v>
      </c>
      <c r="AI592" t="s">
        <v>312</v>
      </c>
      <c r="AJ592">
        <v>430541.74</v>
      </c>
      <c r="AK592" t="b">
        <v>0</v>
      </c>
      <c r="AL592">
        <v>13391.46</v>
      </c>
      <c r="AM592" t="b">
        <v>0</v>
      </c>
      <c r="AN592">
        <v>0</v>
      </c>
      <c r="AO592" t="b">
        <v>0</v>
      </c>
      <c r="AQ592">
        <v>956743659.727</v>
      </c>
      <c r="AR592">
        <v>956743659.727</v>
      </c>
      <c r="AS592">
        <v>0</v>
      </c>
      <c r="AT592" t="b">
        <v>0</v>
      </c>
      <c r="AU592" t="b">
        <v>1</v>
      </c>
      <c r="AV592" t="b">
        <v>1</v>
      </c>
      <c r="AW592" t="b">
        <v>1</v>
      </c>
      <c r="BC592" t="s">
        <v>374</v>
      </c>
    </row>
    <row r="593" spans="1:55" x14ac:dyDescent="0.2">
      <c r="A593" t="s">
        <v>39</v>
      </c>
      <c r="B593" t="s">
        <v>40</v>
      </c>
      <c r="C593">
        <v>20240101</v>
      </c>
      <c r="D593">
        <v>2024</v>
      </c>
      <c r="E593">
        <v>52</v>
      </c>
      <c r="F593" t="s">
        <v>357</v>
      </c>
      <c r="G593">
        <v>340</v>
      </c>
      <c r="H593" t="s">
        <v>147</v>
      </c>
      <c r="I593" t="s">
        <v>148</v>
      </c>
      <c r="J593" t="s">
        <v>44</v>
      </c>
      <c r="K593" t="s">
        <v>45</v>
      </c>
      <c r="L593">
        <v>0</v>
      </c>
      <c r="M593" t="s">
        <v>46</v>
      </c>
      <c r="N593" t="s">
        <v>47</v>
      </c>
      <c r="O593">
        <v>0</v>
      </c>
      <c r="P593" t="s">
        <v>46</v>
      </c>
      <c r="Q593" t="s">
        <v>47</v>
      </c>
      <c r="R593" t="s">
        <v>347</v>
      </c>
      <c r="S593" t="s">
        <v>49</v>
      </c>
      <c r="T593" t="b">
        <v>1</v>
      </c>
      <c r="U593" t="s">
        <v>50</v>
      </c>
      <c r="V593" t="s">
        <v>51</v>
      </c>
      <c r="W593">
        <v>4</v>
      </c>
      <c r="X593" t="b">
        <v>0</v>
      </c>
      <c r="Y593" t="s">
        <v>52</v>
      </c>
      <c r="Z593" t="s">
        <v>53</v>
      </c>
      <c r="AA593" t="s">
        <v>54</v>
      </c>
      <c r="AB593">
        <v>0</v>
      </c>
      <c r="AC593" t="s">
        <v>55</v>
      </c>
      <c r="AD593">
        <v>8</v>
      </c>
      <c r="AE593" t="s">
        <v>56</v>
      </c>
      <c r="AF593">
        <v>2514.39</v>
      </c>
      <c r="AG593" t="b">
        <v>0</v>
      </c>
      <c r="AH593">
        <v>8</v>
      </c>
      <c r="AI593" t="s">
        <v>56</v>
      </c>
      <c r="AJ593">
        <v>2514.39</v>
      </c>
      <c r="AK593" t="b">
        <v>0</v>
      </c>
      <c r="AL593">
        <v>2514.39</v>
      </c>
      <c r="AM593" t="b">
        <v>0</v>
      </c>
      <c r="AN593">
        <v>0</v>
      </c>
      <c r="AO593" t="b">
        <v>0</v>
      </c>
      <c r="AQ593">
        <v>193244840.59999999</v>
      </c>
      <c r="AR593">
        <v>193244840.59999999</v>
      </c>
      <c r="AS593">
        <v>0</v>
      </c>
      <c r="AT593" t="b">
        <v>0</v>
      </c>
      <c r="AU593" t="b">
        <v>1</v>
      </c>
      <c r="AV593" t="b">
        <v>1</v>
      </c>
      <c r="AW593" t="b">
        <v>1</v>
      </c>
      <c r="BC593" t="s">
        <v>374</v>
      </c>
    </row>
    <row r="594" spans="1:55" x14ac:dyDescent="0.2">
      <c r="A594" t="s">
        <v>39</v>
      </c>
      <c r="B594" t="s">
        <v>40</v>
      </c>
      <c r="C594">
        <v>20240101</v>
      </c>
      <c r="D594">
        <v>2024</v>
      </c>
      <c r="E594">
        <v>52</v>
      </c>
      <c r="F594" t="s">
        <v>357</v>
      </c>
      <c r="G594">
        <v>348</v>
      </c>
      <c r="H594" t="s">
        <v>151</v>
      </c>
      <c r="I594" t="s">
        <v>152</v>
      </c>
      <c r="J594" t="s">
        <v>44</v>
      </c>
      <c r="K594" t="s">
        <v>45</v>
      </c>
      <c r="L594">
        <v>0</v>
      </c>
      <c r="M594" t="s">
        <v>46</v>
      </c>
      <c r="N594" t="s">
        <v>47</v>
      </c>
      <c r="O594">
        <v>0</v>
      </c>
      <c r="P594" t="s">
        <v>46</v>
      </c>
      <c r="Q594" t="s">
        <v>47</v>
      </c>
      <c r="R594" t="s">
        <v>347</v>
      </c>
      <c r="S594" t="s">
        <v>49</v>
      </c>
      <c r="T594" t="b">
        <v>1</v>
      </c>
      <c r="U594" t="s">
        <v>50</v>
      </c>
      <c r="V594" t="s">
        <v>51</v>
      </c>
      <c r="W594">
        <v>4</v>
      </c>
      <c r="X594" t="b">
        <v>0</v>
      </c>
      <c r="Y594" t="s">
        <v>52</v>
      </c>
      <c r="Z594" t="s">
        <v>53</v>
      </c>
      <c r="AA594" t="s">
        <v>54</v>
      </c>
      <c r="AB594">
        <v>0</v>
      </c>
      <c r="AC594" t="s">
        <v>55</v>
      </c>
      <c r="AD594">
        <v>-1</v>
      </c>
      <c r="AE594" t="s">
        <v>64</v>
      </c>
      <c r="AF594">
        <v>0</v>
      </c>
      <c r="AG594" t="b">
        <v>0</v>
      </c>
      <c r="AH594">
        <v>-1</v>
      </c>
      <c r="AI594" t="s">
        <v>64</v>
      </c>
      <c r="AJ594">
        <v>0</v>
      </c>
      <c r="AK594" t="b">
        <v>0</v>
      </c>
      <c r="AL594">
        <v>0</v>
      </c>
      <c r="AM594" t="b">
        <v>1</v>
      </c>
      <c r="AN594">
        <v>0</v>
      </c>
      <c r="AO594" t="b">
        <v>0</v>
      </c>
      <c r="AQ594">
        <v>84963783</v>
      </c>
      <c r="AR594">
        <v>84963783</v>
      </c>
      <c r="AS594">
        <v>4</v>
      </c>
      <c r="AT594" t="b">
        <v>0</v>
      </c>
      <c r="AU594" t="b">
        <v>1</v>
      </c>
      <c r="AV594" t="b">
        <v>1</v>
      </c>
      <c r="AW594" t="b">
        <v>1</v>
      </c>
      <c r="BC594" t="s">
        <v>374</v>
      </c>
    </row>
    <row r="595" spans="1:55" x14ac:dyDescent="0.2">
      <c r="A595" t="s">
        <v>39</v>
      </c>
      <c r="B595" t="s">
        <v>40</v>
      </c>
      <c r="C595">
        <v>20240101</v>
      </c>
      <c r="D595">
        <v>2024</v>
      </c>
      <c r="E595">
        <v>52</v>
      </c>
      <c r="F595" t="s">
        <v>357</v>
      </c>
      <c r="G595">
        <v>360</v>
      </c>
      <c r="H595" t="s">
        <v>155</v>
      </c>
      <c r="I595" t="s">
        <v>156</v>
      </c>
      <c r="J595" t="s">
        <v>44</v>
      </c>
      <c r="K595" t="s">
        <v>45</v>
      </c>
      <c r="L595">
        <v>0</v>
      </c>
      <c r="M595" t="s">
        <v>46</v>
      </c>
      <c r="N595" t="s">
        <v>47</v>
      </c>
      <c r="O595">
        <v>0</v>
      </c>
      <c r="P595" t="s">
        <v>46</v>
      </c>
      <c r="Q595" t="s">
        <v>47</v>
      </c>
      <c r="R595" t="s">
        <v>347</v>
      </c>
      <c r="S595" t="s">
        <v>49</v>
      </c>
      <c r="T595" t="b">
        <v>1</v>
      </c>
      <c r="U595" t="s">
        <v>50</v>
      </c>
      <c r="V595" t="s">
        <v>51</v>
      </c>
      <c r="W595">
        <v>4</v>
      </c>
      <c r="X595" t="b">
        <v>0</v>
      </c>
      <c r="Y595" t="s">
        <v>52</v>
      </c>
      <c r="Z595" t="s">
        <v>53</v>
      </c>
      <c r="AA595" t="s">
        <v>54</v>
      </c>
      <c r="AB595">
        <v>0</v>
      </c>
      <c r="AC595" t="s">
        <v>55</v>
      </c>
      <c r="AD595">
        <v>8</v>
      </c>
      <c r="AE595" t="s">
        <v>56</v>
      </c>
      <c r="AF595">
        <v>13757.67</v>
      </c>
      <c r="AG595" t="b">
        <v>0</v>
      </c>
      <c r="AH595">
        <v>8</v>
      </c>
      <c r="AI595" t="s">
        <v>56</v>
      </c>
      <c r="AJ595">
        <v>13757.67</v>
      </c>
      <c r="AK595" t="b">
        <v>0</v>
      </c>
      <c r="AL595">
        <v>13757.67</v>
      </c>
      <c r="AM595" t="b">
        <v>0</v>
      </c>
      <c r="AN595">
        <v>0</v>
      </c>
      <c r="AO595" t="b">
        <v>0</v>
      </c>
      <c r="AQ595">
        <v>1062178295.45</v>
      </c>
      <c r="AR595">
        <v>1062178295.45</v>
      </c>
      <c r="AS595">
        <v>0</v>
      </c>
      <c r="AT595" t="b">
        <v>0</v>
      </c>
      <c r="AU595" t="b">
        <v>1</v>
      </c>
      <c r="AV595" t="b">
        <v>1</v>
      </c>
      <c r="AW595" t="b">
        <v>1</v>
      </c>
      <c r="BC595" t="s">
        <v>374</v>
      </c>
    </row>
    <row r="596" spans="1:55" x14ac:dyDescent="0.2">
      <c r="A596" t="s">
        <v>39</v>
      </c>
      <c r="B596" t="s">
        <v>40</v>
      </c>
      <c r="C596">
        <v>20240101</v>
      </c>
      <c r="D596">
        <v>2024</v>
      </c>
      <c r="E596">
        <v>52</v>
      </c>
      <c r="F596" t="s">
        <v>357</v>
      </c>
      <c r="G596">
        <v>372</v>
      </c>
      <c r="H596" t="s">
        <v>157</v>
      </c>
      <c r="I596" t="s">
        <v>158</v>
      </c>
      <c r="J596" t="s">
        <v>44</v>
      </c>
      <c r="K596" t="s">
        <v>45</v>
      </c>
      <c r="L596">
        <v>0</v>
      </c>
      <c r="M596" t="s">
        <v>46</v>
      </c>
      <c r="N596" t="s">
        <v>47</v>
      </c>
      <c r="O596">
        <v>0</v>
      </c>
      <c r="P596" t="s">
        <v>46</v>
      </c>
      <c r="Q596" t="s">
        <v>47</v>
      </c>
      <c r="R596" t="s">
        <v>347</v>
      </c>
      <c r="S596" t="s">
        <v>49</v>
      </c>
      <c r="T596" t="b">
        <v>1</v>
      </c>
      <c r="U596" t="s">
        <v>50</v>
      </c>
      <c r="V596" t="s">
        <v>51</v>
      </c>
      <c r="W596">
        <v>4</v>
      </c>
      <c r="X596" t="b">
        <v>0</v>
      </c>
      <c r="Y596" t="s">
        <v>52</v>
      </c>
      <c r="Z596" t="s">
        <v>53</v>
      </c>
      <c r="AA596" t="s">
        <v>54</v>
      </c>
      <c r="AB596">
        <v>0</v>
      </c>
      <c r="AC596" t="s">
        <v>55</v>
      </c>
      <c r="AD596">
        <v>8</v>
      </c>
      <c r="AE596" t="s">
        <v>56</v>
      </c>
      <c r="AF596">
        <v>338.55200000000002</v>
      </c>
      <c r="AG596" t="b">
        <v>0</v>
      </c>
      <c r="AH596">
        <v>15</v>
      </c>
      <c r="AI596" t="s">
        <v>59</v>
      </c>
      <c r="AJ596">
        <v>338552</v>
      </c>
      <c r="AK596" t="b">
        <v>0</v>
      </c>
      <c r="AM596" t="b">
        <v>0</v>
      </c>
      <c r="AN596">
        <v>0</v>
      </c>
      <c r="AO596" t="b">
        <v>0</v>
      </c>
      <c r="AQ596">
        <v>10976782.842</v>
      </c>
      <c r="AR596">
        <v>10976782.842</v>
      </c>
      <c r="AS596">
        <v>0</v>
      </c>
      <c r="AT596" t="b">
        <v>0</v>
      </c>
      <c r="AU596" t="b">
        <v>1</v>
      </c>
      <c r="AV596" t="b">
        <v>1</v>
      </c>
      <c r="AW596" t="b">
        <v>1</v>
      </c>
      <c r="BC596" t="s">
        <v>374</v>
      </c>
    </row>
    <row r="597" spans="1:55" x14ac:dyDescent="0.2">
      <c r="A597" t="s">
        <v>39</v>
      </c>
      <c r="B597" t="s">
        <v>40</v>
      </c>
      <c r="C597">
        <v>20240101</v>
      </c>
      <c r="D597">
        <v>2024</v>
      </c>
      <c r="E597">
        <v>52</v>
      </c>
      <c r="F597" t="s">
        <v>357</v>
      </c>
      <c r="G597">
        <v>376</v>
      </c>
      <c r="H597" t="s">
        <v>159</v>
      </c>
      <c r="I597" t="s">
        <v>160</v>
      </c>
      <c r="J597" t="s">
        <v>44</v>
      </c>
      <c r="K597" t="s">
        <v>45</v>
      </c>
      <c r="L597">
        <v>0</v>
      </c>
      <c r="M597" t="s">
        <v>46</v>
      </c>
      <c r="N597" t="s">
        <v>47</v>
      </c>
      <c r="O597">
        <v>0</v>
      </c>
      <c r="P597" t="s">
        <v>46</v>
      </c>
      <c r="Q597" t="s">
        <v>47</v>
      </c>
      <c r="R597" t="s">
        <v>347</v>
      </c>
      <c r="S597" t="s">
        <v>49</v>
      </c>
      <c r="T597" t="b">
        <v>1</v>
      </c>
      <c r="U597" t="s">
        <v>50</v>
      </c>
      <c r="V597" t="s">
        <v>51</v>
      </c>
      <c r="W597">
        <v>4</v>
      </c>
      <c r="X597" t="b">
        <v>0</v>
      </c>
      <c r="Y597" t="s">
        <v>52</v>
      </c>
      <c r="Z597" t="s">
        <v>53</v>
      </c>
      <c r="AA597" t="s">
        <v>54</v>
      </c>
      <c r="AB597">
        <v>0</v>
      </c>
      <c r="AC597" t="s">
        <v>55</v>
      </c>
      <c r="AD597">
        <v>-1</v>
      </c>
      <c r="AE597" t="s">
        <v>64</v>
      </c>
      <c r="AF597">
        <v>0</v>
      </c>
      <c r="AG597" t="b">
        <v>0</v>
      </c>
      <c r="AH597">
        <v>-1</v>
      </c>
      <c r="AI597" t="s">
        <v>64</v>
      </c>
      <c r="AJ597">
        <v>0</v>
      </c>
      <c r="AK597" t="b">
        <v>0</v>
      </c>
      <c r="AM597" t="b">
        <v>0</v>
      </c>
      <c r="AN597">
        <v>0</v>
      </c>
      <c r="AO597" t="b">
        <v>0</v>
      </c>
      <c r="AQ597">
        <v>3132000</v>
      </c>
      <c r="AR597">
        <v>3132000</v>
      </c>
      <c r="AS597">
        <v>0</v>
      </c>
      <c r="AT597" t="b">
        <v>0</v>
      </c>
      <c r="AU597" t="b">
        <v>1</v>
      </c>
      <c r="AV597" t="b">
        <v>1</v>
      </c>
      <c r="AW597" t="b">
        <v>1</v>
      </c>
      <c r="BC597" t="s">
        <v>374</v>
      </c>
    </row>
    <row r="598" spans="1:55" x14ac:dyDescent="0.2">
      <c r="A598" t="s">
        <v>39</v>
      </c>
      <c r="B598" t="s">
        <v>40</v>
      </c>
      <c r="C598">
        <v>20240101</v>
      </c>
      <c r="D598">
        <v>2024</v>
      </c>
      <c r="E598">
        <v>52</v>
      </c>
      <c r="F598" t="s">
        <v>357</v>
      </c>
      <c r="G598">
        <v>380</v>
      </c>
      <c r="H598" t="s">
        <v>161</v>
      </c>
      <c r="I598" t="s">
        <v>162</v>
      </c>
      <c r="J598" t="s">
        <v>44</v>
      </c>
      <c r="K598" t="s">
        <v>45</v>
      </c>
      <c r="L598">
        <v>0</v>
      </c>
      <c r="M598" t="s">
        <v>46</v>
      </c>
      <c r="N598" t="s">
        <v>47</v>
      </c>
      <c r="O598">
        <v>0</v>
      </c>
      <c r="P598" t="s">
        <v>46</v>
      </c>
      <c r="Q598" t="s">
        <v>47</v>
      </c>
      <c r="R598" t="s">
        <v>347</v>
      </c>
      <c r="S598" t="s">
        <v>49</v>
      </c>
      <c r="T598" t="b">
        <v>1</v>
      </c>
      <c r="U598" t="s">
        <v>50</v>
      </c>
      <c r="V598" t="s">
        <v>51</v>
      </c>
      <c r="W598">
        <v>4</v>
      </c>
      <c r="X598" t="b">
        <v>0</v>
      </c>
      <c r="Y598" t="s">
        <v>52</v>
      </c>
      <c r="Z598" t="s">
        <v>53</v>
      </c>
      <c r="AA598" t="s">
        <v>54</v>
      </c>
      <c r="AB598">
        <v>0</v>
      </c>
      <c r="AC598" t="s">
        <v>55</v>
      </c>
      <c r="AD598">
        <v>8</v>
      </c>
      <c r="AE598" t="s">
        <v>56</v>
      </c>
      <c r="AF598">
        <v>74784.663</v>
      </c>
      <c r="AG598" t="b">
        <v>1</v>
      </c>
      <c r="AH598">
        <v>-1</v>
      </c>
      <c r="AI598" t="s">
        <v>64</v>
      </c>
      <c r="AJ598">
        <v>0</v>
      </c>
      <c r="AK598" t="b">
        <v>0</v>
      </c>
      <c r="AM598" t="b">
        <v>0</v>
      </c>
      <c r="AN598">
        <v>0</v>
      </c>
      <c r="AO598" t="b">
        <v>0</v>
      </c>
      <c r="AQ598">
        <v>4939553122.4239998</v>
      </c>
      <c r="AR598">
        <v>4939553122.4239998</v>
      </c>
      <c r="AS598">
        <v>2</v>
      </c>
      <c r="AT598" t="b">
        <v>0</v>
      </c>
      <c r="AU598" t="b">
        <v>1</v>
      </c>
      <c r="AV598" t="b">
        <v>1</v>
      </c>
      <c r="AW598" t="b">
        <v>1</v>
      </c>
      <c r="BC598" t="s">
        <v>374</v>
      </c>
    </row>
    <row r="599" spans="1:55" x14ac:dyDescent="0.2">
      <c r="A599" t="s">
        <v>39</v>
      </c>
      <c r="B599" t="s">
        <v>40</v>
      </c>
      <c r="C599">
        <v>20240101</v>
      </c>
      <c r="D599">
        <v>2024</v>
      </c>
      <c r="E599">
        <v>52</v>
      </c>
      <c r="F599" t="s">
        <v>357</v>
      </c>
      <c r="G599">
        <v>384</v>
      </c>
      <c r="H599" t="s">
        <v>163</v>
      </c>
      <c r="I599" t="s">
        <v>164</v>
      </c>
      <c r="J599" t="s">
        <v>44</v>
      </c>
      <c r="K599" t="s">
        <v>45</v>
      </c>
      <c r="L599">
        <v>0</v>
      </c>
      <c r="M599" t="s">
        <v>46</v>
      </c>
      <c r="N599" t="s">
        <v>47</v>
      </c>
      <c r="O599">
        <v>0</v>
      </c>
      <c r="P599" t="s">
        <v>46</v>
      </c>
      <c r="Q599" t="s">
        <v>47</v>
      </c>
      <c r="R599" t="s">
        <v>347</v>
      </c>
      <c r="S599" t="s">
        <v>49</v>
      </c>
      <c r="T599" t="b">
        <v>1</v>
      </c>
      <c r="U599" t="s">
        <v>50</v>
      </c>
      <c r="V599" t="s">
        <v>51</v>
      </c>
      <c r="W599">
        <v>4</v>
      </c>
      <c r="X599" t="b">
        <v>0</v>
      </c>
      <c r="Y599" t="s">
        <v>52</v>
      </c>
      <c r="Z599" t="s">
        <v>53</v>
      </c>
      <c r="AA599" t="s">
        <v>54</v>
      </c>
      <c r="AB599">
        <v>0</v>
      </c>
      <c r="AC599" t="s">
        <v>55</v>
      </c>
      <c r="AD599">
        <v>8</v>
      </c>
      <c r="AE599" t="s">
        <v>56</v>
      </c>
      <c r="AF599">
        <v>57106</v>
      </c>
      <c r="AG599" t="b">
        <v>0</v>
      </c>
      <c r="AH599">
        <v>8</v>
      </c>
      <c r="AI599" t="s">
        <v>56</v>
      </c>
      <c r="AJ599">
        <v>57106</v>
      </c>
      <c r="AK599" t="b">
        <v>0</v>
      </c>
      <c r="AL599">
        <v>57106</v>
      </c>
      <c r="AM599" t="b">
        <v>0</v>
      </c>
      <c r="AN599">
        <v>0</v>
      </c>
      <c r="AO599" t="b">
        <v>0</v>
      </c>
      <c r="AQ599">
        <v>3143973443.5929999</v>
      </c>
      <c r="AR599">
        <v>3143973443.5929999</v>
      </c>
      <c r="AS599">
        <v>0</v>
      </c>
      <c r="AT599" t="b">
        <v>0</v>
      </c>
      <c r="AU599" t="b">
        <v>1</v>
      </c>
      <c r="AV599" t="b">
        <v>1</v>
      </c>
      <c r="AW599" t="b">
        <v>1</v>
      </c>
      <c r="BC599" t="s">
        <v>374</v>
      </c>
    </row>
    <row r="600" spans="1:55" x14ac:dyDescent="0.2">
      <c r="A600" t="s">
        <v>39</v>
      </c>
      <c r="B600" t="s">
        <v>40</v>
      </c>
      <c r="C600">
        <v>20240101</v>
      </c>
      <c r="D600">
        <v>2024</v>
      </c>
      <c r="E600">
        <v>52</v>
      </c>
      <c r="F600" t="s">
        <v>357</v>
      </c>
      <c r="G600">
        <v>398</v>
      </c>
      <c r="H600" t="s">
        <v>167</v>
      </c>
      <c r="I600" t="s">
        <v>168</v>
      </c>
      <c r="J600" t="s">
        <v>44</v>
      </c>
      <c r="K600" t="s">
        <v>45</v>
      </c>
      <c r="L600">
        <v>0</v>
      </c>
      <c r="M600" t="s">
        <v>46</v>
      </c>
      <c r="N600" t="s">
        <v>47</v>
      </c>
      <c r="O600">
        <v>0</v>
      </c>
      <c r="P600" t="s">
        <v>46</v>
      </c>
      <c r="Q600" t="s">
        <v>47</v>
      </c>
      <c r="R600" t="s">
        <v>347</v>
      </c>
      <c r="S600" t="s">
        <v>49</v>
      </c>
      <c r="T600" t="b">
        <v>1</v>
      </c>
      <c r="U600" t="s">
        <v>50</v>
      </c>
      <c r="V600" t="s">
        <v>51</v>
      </c>
      <c r="W600">
        <v>4</v>
      </c>
      <c r="X600" t="b">
        <v>0</v>
      </c>
      <c r="Y600" t="s">
        <v>52</v>
      </c>
      <c r="Z600" t="s">
        <v>53</v>
      </c>
      <c r="AA600" t="s">
        <v>54</v>
      </c>
      <c r="AB600">
        <v>0</v>
      </c>
      <c r="AC600" t="s">
        <v>55</v>
      </c>
      <c r="AD600">
        <v>-1</v>
      </c>
      <c r="AE600" t="s">
        <v>64</v>
      </c>
      <c r="AF600">
        <v>0</v>
      </c>
      <c r="AG600" t="b">
        <v>0</v>
      </c>
      <c r="AH600">
        <v>-1</v>
      </c>
      <c r="AI600" t="s">
        <v>64</v>
      </c>
      <c r="AJ600">
        <v>0</v>
      </c>
      <c r="AK600" t="b">
        <v>0</v>
      </c>
      <c r="AM600" t="b">
        <v>0</v>
      </c>
      <c r="AN600">
        <v>0</v>
      </c>
      <c r="AO600" t="b">
        <v>0</v>
      </c>
      <c r="AQ600">
        <v>418170272.05000001</v>
      </c>
      <c r="AR600">
        <v>418170272.05000001</v>
      </c>
      <c r="AS600">
        <v>0</v>
      </c>
      <c r="AT600" t="b">
        <v>0</v>
      </c>
      <c r="AU600" t="b">
        <v>1</v>
      </c>
      <c r="AV600" t="b">
        <v>1</v>
      </c>
      <c r="AW600" t="b">
        <v>1</v>
      </c>
      <c r="BC600" t="s">
        <v>374</v>
      </c>
    </row>
    <row r="601" spans="1:55" x14ac:dyDescent="0.2">
      <c r="A601" t="s">
        <v>39</v>
      </c>
      <c r="B601" t="s">
        <v>40</v>
      </c>
      <c r="C601">
        <v>20240101</v>
      </c>
      <c r="D601">
        <v>2024</v>
      </c>
      <c r="E601">
        <v>52</v>
      </c>
      <c r="F601" t="s">
        <v>357</v>
      </c>
      <c r="G601">
        <v>404</v>
      </c>
      <c r="H601" t="s">
        <v>171</v>
      </c>
      <c r="I601" t="s">
        <v>172</v>
      </c>
      <c r="J601" t="s">
        <v>44</v>
      </c>
      <c r="K601" t="s">
        <v>45</v>
      </c>
      <c r="L601">
        <v>0</v>
      </c>
      <c r="M601" t="s">
        <v>46</v>
      </c>
      <c r="N601" t="s">
        <v>47</v>
      </c>
      <c r="O601">
        <v>0</v>
      </c>
      <c r="P601" t="s">
        <v>46</v>
      </c>
      <c r="Q601" t="s">
        <v>47</v>
      </c>
      <c r="R601" t="s">
        <v>347</v>
      </c>
      <c r="S601" t="s">
        <v>49</v>
      </c>
      <c r="T601" t="b">
        <v>1</v>
      </c>
      <c r="U601" t="s">
        <v>50</v>
      </c>
      <c r="V601" t="s">
        <v>51</v>
      </c>
      <c r="W601">
        <v>4</v>
      </c>
      <c r="X601" t="b">
        <v>0</v>
      </c>
      <c r="Y601" t="s">
        <v>52</v>
      </c>
      <c r="Z601" t="s">
        <v>53</v>
      </c>
      <c r="AA601" t="s">
        <v>54</v>
      </c>
      <c r="AB601">
        <v>0</v>
      </c>
      <c r="AC601" t="s">
        <v>55</v>
      </c>
      <c r="AD601">
        <v>8</v>
      </c>
      <c r="AE601" t="s">
        <v>56</v>
      </c>
      <c r="AF601">
        <v>32393.535</v>
      </c>
      <c r="AG601" t="b">
        <v>0</v>
      </c>
      <c r="AH601">
        <v>15</v>
      </c>
      <c r="AI601" t="s">
        <v>59</v>
      </c>
      <c r="AJ601">
        <v>32393534.5</v>
      </c>
      <c r="AK601" t="b">
        <v>0</v>
      </c>
      <c r="AL601">
        <v>29509.717000000001</v>
      </c>
      <c r="AM601" t="b">
        <v>0</v>
      </c>
      <c r="AN601">
        <v>0</v>
      </c>
      <c r="AO601" t="b">
        <v>0</v>
      </c>
      <c r="AQ601">
        <v>24065266.362</v>
      </c>
      <c r="AR601">
        <v>24065266.362</v>
      </c>
      <c r="AS601">
        <v>0</v>
      </c>
      <c r="AT601" t="b">
        <v>0</v>
      </c>
      <c r="AU601" t="b">
        <v>1</v>
      </c>
      <c r="AV601" t="b">
        <v>1</v>
      </c>
      <c r="AW601" t="b">
        <v>1</v>
      </c>
      <c r="BC601" t="s">
        <v>374</v>
      </c>
    </row>
    <row r="602" spans="1:55" x14ac:dyDescent="0.2">
      <c r="A602" t="s">
        <v>39</v>
      </c>
      <c r="B602" t="s">
        <v>40</v>
      </c>
      <c r="C602">
        <v>20240101</v>
      </c>
      <c r="D602">
        <v>2024</v>
      </c>
      <c r="E602">
        <v>52</v>
      </c>
      <c r="F602" t="s">
        <v>357</v>
      </c>
      <c r="G602">
        <v>410</v>
      </c>
      <c r="H602" t="s">
        <v>173</v>
      </c>
      <c r="I602" t="s">
        <v>174</v>
      </c>
      <c r="J602" t="s">
        <v>44</v>
      </c>
      <c r="K602" t="s">
        <v>45</v>
      </c>
      <c r="L602">
        <v>0</v>
      </c>
      <c r="M602" t="s">
        <v>46</v>
      </c>
      <c r="N602" t="s">
        <v>47</v>
      </c>
      <c r="O602">
        <v>0</v>
      </c>
      <c r="P602" t="s">
        <v>46</v>
      </c>
      <c r="Q602" t="s">
        <v>47</v>
      </c>
      <c r="R602" t="s">
        <v>347</v>
      </c>
      <c r="S602" t="s">
        <v>49</v>
      </c>
      <c r="T602" t="b">
        <v>1</v>
      </c>
      <c r="U602" t="s">
        <v>50</v>
      </c>
      <c r="V602" t="s">
        <v>51</v>
      </c>
      <c r="W602">
        <v>4</v>
      </c>
      <c r="X602" t="b">
        <v>0</v>
      </c>
      <c r="Y602" t="s">
        <v>52</v>
      </c>
      <c r="Z602" t="s">
        <v>53</v>
      </c>
      <c r="AA602" t="s">
        <v>54</v>
      </c>
      <c r="AB602">
        <v>0</v>
      </c>
      <c r="AC602" t="s">
        <v>55</v>
      </c>
      <c r="AD602">
        <v>8</v>
      </c>
      <c r="AE602" t="s">
        <v>56</v>
      </c>
      <c r="AF602">
        <v>21009.324000000001</v>
      </c>
      <c r="AG602" t="b">
        <v>1</v>
      </c>
      <c r="AH602">
        <v>-1</v>
      </c>
      <c r="AI602" t="s">
        <v>64</v>
      </c>
      <c r="AJ602">
        <v>0</v>
      </c>
      <c r="AK602" t="b">
        <v>0</v>
      </c>
      <c r="AL602">
        <v>21009.324000000001</v>
      </c>
      <c r="AM602" t="b">
        <v>1</v>
      </c>
      <c r="AN602">
        <v>0</v>
      </c>
      <c r="AO602" t="b">
        <v>0</v>
      </c>
      <c r="AQ602">
        <v>1220670526</v>
      </c>
      <c r="AR602">
        <v>1220670526</v>
      </c>
      <c r="AS602">
        <v>6</v>
      </c>
      <c r="AT602" t="b">
        <v>0</v>
      </c>
      <c r="AU602" t="b">
        <v>1</v>
      </c>
      <c r="AV602" t="b">
        <v>1</v>
      </c>
      <c r="AW602" t="b">
        <v>1</v>
      </c>
      <c r="BC602" t="s">
        <v>374</v>
      </c>
    </row>
    <row r="603" spans="1:55" x14ac:dyDescent="0.2">
      <c r="A603" t="s">
        <v>39</v>
      </c>
      <c r="B603" t="s">
        <v>40</v>
      </c>
      <c r="C603">
        <v>20240101</v>
      </c>
      <c r="D603">
        <v>2024</v>
      </c>
      <c r="E603">
        <v>52</v>
      </c>
      <c r="F603" t="s">
        <v>357</v>
      </c>
      <c r="G603">
        <v>414</v>
      </c>
      <c r="H603" t="s">
        <v>175</v>
      </c>
      <c r="I603" t="s">
        <v>176</v>
      </c>
      <c r="J603" t="s">
        <v>44</v>
      </c>
      <c r="K603" t="s">
        <v>45</v>
      </c>
      <c r="L603">
        <v>0</v>
      </c>
      <c r="M603" t="s">
        <v>46</v>
      </c>
      <c r="N603" t="s">
        <v>47</v>
      </c>
      <c r="O603">
        <v>0</v>
      </c>
      <c r="P603" t="s">
        <v>46</v>
      </c>
      <c r="Q603" t="s">
        <v>47</v>
      </c>
      <c r="R603" t="s">
        <v>347</v>
      </c>
      <c r="S603" t="s">
        <v>49</v>
      </c>
      <c r="T603" t="b">
        <v>1</v>
      </c>
      <c r="U603" t="s">
        <v>50</v>
      </c>
      <c r="V603" t="s">
        <v>51</v>
      </c>
      <c r="W603">
        <v>4</v>
      </c>
      <c r="X603" t="b">
        <v>0</v>
      </c>
      <c r="Y603" t="s">
        <v>52</v>
      </c>
      <c r="Z603" t="s">
        <v>53</v>
      </c>
      <c r="AA603" t="s">
        <v>54</v>
      </c>
      <c r="AB603">
        <v>0</v>
      </c>
      <c r="AC603" t="s">
        <v>55</v>
      </c>
      <c r="AD603">
        <v>8</v>
      </c>
      <c r="AE603" t="s">
        <v>56</v>
      </c>
      <c r="AF603">
        <v>3414.16</v>
      </c>
      <c r="AG603" t="b">
        <v>0</v>
      </c>
      <c r="AH603">
        <v>8</v>
      </c>
      <c r="AI603" t="s">
        <v>56</v>
      </c>
      <c r="AJ603">
        <v>3414.16</v>
      </c>
      <c r="AK603" t="b">
        <v>0</v>
      </c>
      <c r="AL603">
        <v>3414.16</v>
      </c>
      <c r="AM603" t="b">
        <v>0</v>
      </c>
      <c r="AN603">
        <v>0</v>
      </c>
      <c r="AO603" t="b">
        <v>0</v>
      </c>
      <c r="AQ603">
        <v>214103334</v>
      </c>
      <c r="AR603">
        <v>214103334</v>
      </c>
      <c r="AS603">
        <v>0</v>
      </c>
      <c r="AT603" t="b">
        <v>0</v>
      </c>
      <c r="AU603" t="b">
        <v>1</v>
      </c>
      <c r="AV603" t="b">
        <v>1</v>
      </c>
      <c r="AW603" t="b">
        <v>1</v>
      </c>
      <c r="BC603" t="s">
        <v>374</v>
      </c>
    </row>
    <row r="604" spans="1:55" x14ac:dyDescent="0.2">
      <c r="A604" t="s">
        <v>39</v>
      </c>
      <c r="B604" t="s">
        <v>40</v>
      </c>
      <c r="C604">
        <v>20240101</v>
      </c>
      <c r="D604">
        <v>2024</v>
      </c>
      <c r="E604">
        <v>52</v>
      </c>
      <c r="F604" t="s">
        <v>357</v>
      </c>
      <c r="G604">
        <v>417</v>
      </c>
      <c r="H604" t="s">
        <v>177</v>
      </c>
      <c r="I604" t="s">
        <v>178</v>
      </c>
      <c r="J604" t="s">
        <v>44</v>
      </c>
      <c r="K604" t="s">
        <v>45</v>
      </c>
      <c r="L604">
        <v>0</v>
      </c>
      <c r="M604" t="s">
        <v>46</v>
      </c>
      <c r="N604" t="s">
        <v>47</v>
      </c>
      <c r="O604">
        <v>0</v>
      </c>
      <c r="P604" t="s">
        <v>46</v>
      </c>
      <c r="Q604" t="s">
        <v>47</v>
      </c>
      <c r="R604" t="s">
        <v>347</v>
      </c>
      <c r="S604" t="s">
        <v>49</v>
      </c>
      <c r="T604" t="b">
        <v>1</v>
      </c>
      <c r="U604" t="s">
        <v>50</v>
      </c>
      <c r="V604" t="s">
        <v>51</v>
      </c>
      <c r="W604">
        <v>4</v>
      </c>
      <c r="X604" t="b">
        <v>0</v>
      </c>
      <c r="Y604" t="s">
        <v>52</v>
      </c>
      <c r="Z604" t="s">
        <v>53</v>
      </c>
      <c r="AA604" t="s">
        <v>54</v>
      </c>
      <c r="AB604">
        <v>0</v>
      </c>
      <c r="AC604" t="s">
        <v>55</v>
      </c>
      <c r="AD604">
        <v>8</v>
      </c>
      <c r="AE604" t="s">
        <v>56</v>
      </c>
      <c r="AF604">
        <v>17148.365000000002</v>
      </c>
      <c r="AG604" t="b">
        <v>0</v>
      </c>
      <c r="AH604">
        <v>8</v>
      </c>
      <c r="AI604" t="s">
        <v>56</v>
      </c>
      <c r="AJ604">
        <v>17148.365000000002</v>
      </c>
      <c r="AK604" t="b">
        <v>0</v>
      </c>
      <c r="AL604">
        <v>17790</v>
      </c>
      <c r="AM604" t="b">
        <v>0</v>
      </c>
      <c r="AN604">
        <v>0</v>
      </c>
      <c r="AO604" t="b">
        <v>0</v>
      </c>
      <c r="AQ604">
        <v>1405979506</v>
      </c>
      <c r="AR604">
        <v>1405979506</v>
      </c>
      <c r="AS604">
        <v>0</v>
      </c>
      <c r="AT604" t="b">
        <v>0</v>
      </c>
      <c r="AU604" t="b">
        <v>1</v>
      </c>
      <c r="AV604" t="b">
        <v>1</v>
      </c>
      <c r="AW604" t="b">
        <v>1</v>
      </c>
      <c r="BC604" t="s">
        <v>374</v>
      </c>
    </row>
    <row r="605" spans="1:55" x14ac:dyDescent="0.2">
      <c r="A605" t="s">
        <v>39</v>
      </c>
      <c r="B605" t="s">
        <v>40</v>
      </c>
      <c r="C605">
        <v>20240101</v>
      </c>
      <c r="D605">
        <v>2024</v>
      </c>
      <c r="E605">
        <v>52</v>
      </c>
      <c r="F605" t="s">
        <v>357</v>
      </c>
      <c r="G605">
        <v>422</v>
      </c>
      <c r="H605" t="s">
        <v>181</v>
      </c>
      <c r="I605" t="s">
        <v>182</v>
      </c>
      <c r="J605" t="s">
        <v>44</v>
      </c>
      <c r="K605" t="s">
        <v>45</v>
      </c>
      <c r="L605">
        <v>0</v>
      </c>
      <c r="M605" t="s">
        <v>46</v>
      </c>
      <c r="N605" t="s">
        <v>47</v>
      </c>
      <c r="O605">
        <v>0</v>
      </c>
      <c r="P605" t="s">
        <v>46</v>
      </c>
      <c r="Q605" t="s">
        <v>47</v>
      </c>
      <c r="R605" t="s">
        <v>48</v>
      </c>
      <c r="S605" t="s">
        <v>49</v>
      </c>
      <c r="T605" t="b">
        <v>1</v>
      </c>
      <c r="U605" t="s">
        <v>50</v>
      </c>
      <c r="V605" t="s">
        <v>51</v>
      </c>
      <c r="W605">
        <v>4</v>
      </c>
      <c r="X605" t="b">
        <v>0</v>
      </c>
      <c r="Y605" t="s">
        <v>52</v>
      </c>
      <c r="Z605" t="s">
        <v>53</v>
      </c>
      <c r="AA605" t="s">
        <v>54</v>
      </c>
      <c r="AB605">
        <v>0</v>
      </c>
      <c r="AC605" t="s">
        <v>55</v>
      </c>
      <c r="AD605">
        <v>8</v>
      </c>
      <c r="AE605" t="s">
        <v>56</v>
      </c>
      <c r="AF605">
        <v>3753.674</v>
      </c>
      <c r="AG605" t="b">
        <v>1</v>
      </c>
      <c r="AH605">
        <v>-1</v>
      </c>
      <c r="AI605" t="s">
        <v>64</v>
      </c>
      <c r="AJ605">
        <v>0</v>
      </c>
      <c r="AK605" t="b">
        <v>0</v>
      </c>
      <c r="AL605">
        <v>3753.674</v>
      </c>
      <c r="AM605" t="b">
        <v>1</v>
      </c>
      <c r="AN605">
        <v>0</v>
      </c>
      <c r="AO605" t="b">
        <v>0</v>
      </c>
      <c r="AQ605">
        <v>278098499</v>
      </c>
      <c r="AR605">
        <v>278098499</v>
      </c>
      <c r="AS605">
        <v>6</v>
      </c>
      <c r="AT605" t="b">
        <v>0</v>
      </c>
      <c r="AU605" t="b">
        <v>1</v>
      </c>
      <c r="AV605" t="b">
        <v>1</v>
      </c>
      <c r="AW605" t="b">
        <v>1</v>
      </c>
      <c r="BC605" t="s">
        <v>374</v>
      </c>
    </row>
    <row r="606" spans="1:55" x14ac:dyDescent="0.2">
      <c r="A606" t="s">
        <v>39</v>
      </c>
      <c r="B606" t="s">
        <v>40</v>
      </c>
      <c r="C606">
        <v>20240101</v>
      </c>
      <c r="D606">
        <v>2024</v>
      </c>
      <c r="E606">
        <v>52</v>
      </c>
      <c r="F606" t="s">
        <v>357</v>
      </c>
      <c r="G606">
        <v>428</v>
      </c>
      <c r="H606" t="s">
        <v>183</v>
      </c>
      <c r="I606" t="s">
        <v>184</v>
      </c>
      <c r="J606" t="s">
        <v>44</v>
      </c>
      <c r="K606" t="s">
        <v>45</v>
      </c>
      <c r="L606">
        <v>0</v>
      </c>
      <c r="M606" t="s">
        <v>46</v>
      </c>
      <c r="N606" t="s">
        <v>47</v>
      </c>
      <c r="O606">
        <v>0</v>
      </c>
      <c r="P606" t="s">
        <v>46</v>
      </c>
      <c r="Q606" t="s">
        <v>47</v>
      </c>
      <c r="R606" t="s">
        <v>347</v>
      </c>
      <c r="S606" t="s">
        <v>49</v>
      </c>
      <c r="T606" t="b">
        <v>1</v>
      </c>
      <c r="U606" t="s">
        <v>50</v>
      </c>
      <c r="V606" t="s">
        <v>51</v>
      </c>
      <c r="W606">
        <v>4</v>
      </c>
      <c r="X606" t="b">
        <v>0</v>
      </c>
      <c r="Y606" t="s">
        <v>52</v>
      </c>
      <c r="Z606" t="s">
        <v>53</v>
      </c>
      <c r="AA606" t="s">
        <v>54</v>
      </c>
      <c r="AB606">
        <v>0</v>
      </c>
      <c r="AC606" t="s">
        <v>55</v>
      </c>
      <c r="AD606">
        <v>8</v>
      </c>
      <c r="AE606" t="s">
        <v>56</v>
      </c>
      <c r="AF606">
        <v>165.75899999999999</v>
      </c>
      <c r="AG606" t="b">
        <v>0</v>
      </c>
      <c r="AH606">
        <v>8</v>
      </c>
      <c r="AI606" t="s">
        <v>56</v>
      </c>
      <c r="AJ606">
        <v>165.75899999999999</v>
      </c>
      <c r="AK606" t="b">
        <v>0</v>
      </c>
      <c r="AL606">
        <v>170.482</v>
      </c>
      <c r="AM606" t="b">
        <v>0</v>
      </c>
      <c r="AN606">
        <v>0</v>
      </c>
      <c r="AO606" t="b">
        <v>0</v>
      </c>
      <c r="AQ606">
        <v>8747475.0260000005</v>
      </c>
      <c r="AR606">
        <v>8747475.0260000005</v>
      </c>
      <c r="AS606">
        <v>0</v>
      </c>
      <c r="AT606" t="b">
        <v>0</v>
      </c>
      <c r="AU606" t="b">
        <v>1</v>
      </c>
      <c r="AV606" t="b">
        <v>1</v>
      </c>
      <c r="AW606" t="b">
        <v>1</v>
      </c>
      <c r="BC606" t="s">
        <v>374</v>
      </c>
    </row>
    <row r="607" spans="1:55" x14ac:dyDescent="0.2">
      <c r="A607" t="s">
        <v>39</v>
      </c>
      <c r="B607" t="s">
        <v>40</v>
      </c>
      <c r="C607">
        <v>20240101</v>
      </c>
      <c r="D607">
        <v>2024</v>
      </c>
      <c r="E607">
        <v>52</v>
      </c>
      <c r="F607" t="s">
        <v>357</v>
      </c>
      <c r="G607">
        <v>440</v>
      </c>
      <c r="H607" t="s">
        <v>189</v>
      </c>
      <c r="I607" t="s">
        <v>190</v>
      </c>
      <c r="J607" t="s">
        <v>44</v>
      </c>
      <c r="K607" t="s">
        <v>45</v>
      </c>
      <c r="L607">
        <v>0</v>
      </c>
      <c r="M607" t="s">
        <v>46</v>
      </c>
      <c r="N607" t="s">
        <v>47</v>
      </c>
      <c r="O607">
        <v>0</v>
      </c>
      <c r="P607" t="s">
        <v>46</v>
      </c>
      <c r="Q607" t="s">
        <v>47</v>
      </c>
      <c r="R607" t="s">
        <v>347</v>
      </c>
      <c r="S607" t="s">
        <v>49</v>
      </c>
      <c r="T607" t="b">
        <v>1</v>
      </c>
      <c r="U607" t="s">
        <v>50</v>
      </c>
      <c r="V607" t="s">
        <v>51</v>
      </c>
      <c r="W607">
        <v>4</v>
      </c>
      <c r="X607" t="b">
        <v>0</v>
      </c>
      <c r="Y607" t="s">
        <v>52</v>
      </c>
      <c r="Z607" t="s">
        <v>53</v>
      </c>
      <c r="AA607" t="s">
        <v>54</v>
      </c>
      <c r="AB607">
        <v>0</v>
      </c>
      <c r="AC607" t="s">
        <v>55</v>
      </c>
      <c r="AD607">
        <v>8</v>
      </c>
      <c r="AE607" t="s">
        <v>56</v>
      </c>
      <c r="AF607">
        <v>40.581000000000003</v>
      </c>
      <c r="AG607" t="b">
        <v>0</v>
      </c>
      <c r="AH607">
        <v>8</v>
      </c>
      <c r="AI607" t="s">
        <v>56</v>
      </c>
      <c r="AJ607">
        <v>40.581000000000003</v>
      </c>
      <c r="AK607" t="b">
        <v>0</v>
      </c>
      <c r="AL607">
        <v>40.896999999999998</v>
      </c>
      <c r="AM607" t="b">
        <v>0</v>
      </c>
      <c r="AN607">
        <v>0</v>
      </c>
      <c r="AO607" t="b">
        <v>0</v>
      </c>
      <c r="AQ607">
        <v>2348359</v>
      </c>
      <c r="AR607">
        <v>2348359</v>
      </c>
      <c r="AS607">
        <v>0</v>
      </c>
      <c r="AT607" t="b">
        <v>0</v>
      </c>
      <c r="AU607" t="b">
        <v>1</v>
      </c>
      <c r="AV607" t="b">
        <v>1</v>
      </c>
      <c r="AW607" t="b">
        <v>1</v>
      </c>
      <c r="BC607" t="s">
        <v>374</v>
      </c>
    </row>
    <row r="608" spans="1:55" x14ac:dyDescent="0.2">
      <c r="A608" t="s">
        <v>39</v>
      </c>
      <c r="B608" t="s">
        <v>40</v>
      </c>
      <c r="C608">
        <v>20240101</v>
      </c>
      <c r="D608">
        <v>2024</v>
      </c>
      <c r="E608">
        <v>52</v>
      </c>
      <c r="F608" t="s">
        <v>357</v>
      </c>
      <c r="G608">
        <v>442</v>
      </c>
      <c r="H608" t="s">
        <v>191</v>
      </c>
      <c r="I608" t="s">
        <v>192</v>
      </c>
      <c r="J608" t="s">
        <v>44</v>
      </c>
      <c r="K608" t="s">
        <v>45</v>
      </c>
      <c r="L608">
        <v>0</v>
      </c>
      <c r="M608" t="s">
        <v>46</v>
      </c>
      <c r="N608" t="s">
        <v>47</v>
      </c>
      <c r="O608">
        <v>0</v>
      </c>
      <c r="P608" t="s">
        <v>46</v>
      </c>
      <c r="Q608" t="s">
        <v>47</v>
      </c>
      <c r="R608" t="s">
        <v>347</v>
      </c>
      <c r="S608" t="s">
        <v>49</v>
      </c>
      <c r="T608" t="b">
        <v>1</v>
      </c>
      <c r="U608" t="s">
        <v>50</v>
      </c>
      <c r="V608" t="s">
        <v>51</v>
      </c>
      <c r="W608">
        <v>4</v>
      </c>
      <c r="X608" t="b">
        <v>0</v>
      </c>
      <c r="Y608" t="s">
        <v>52</v>
      </c>
      <c r="Z608" t="s">
        <v>53</v>
      </c>
      <c r="AA608" t="s">
        <v>54</v>
      </c>
      <c r="AB608">
        <v>0</v>
      </c>
      <c r="AC608" t="s">
        <v>55</v>
      </c>
      <c r="AD608">
        <v>-1</v>
      </c>
      <c r="AE608" t="s">
        <v>64</v>
      </c>
      <c r="AF608">
        <v>0</v>
      </c>
      <c r="AG608" t="b">
        <v>0</v>
      </c>
      <c r="AH608">
        <v>15</v>
      </c>
      <c r="AI608" t="s">
        <v>59</v>
      </c>
      <c r="AJ608">
        <v>2106621.6</v>
      </c>
      <c r="AK608" t="b">
        <v>0</v>
      </c>
      <c r="AL608">
        <v>5049.0429999999997</v>
      </c>
      <c r="AM608" t="b">
        <v>0</v>
      </c>
      <c r="AN608">
        <v>0</v>
      </c>
      <c r="AO608" t="b">
        <v>0</v>
      </c>
      <c r="AQ608">
        <v>167398776.69299999</v>
      </c>
      <c r="AR608">
        <v>167398776.69299999</v>
      </c>
      <c r="AS608">
        <v>0</v>
      </c>
      <c r="AT608" t="b">
        <v>0</v>
      </c>
      <c r="AU608" t="b">
        <v>1</v>
      </c>
      <c r="AV608" t="b">
        <v>1</v>
      </c>
      <c r="AW608" t="b">
        <v>1</v>
      </c>
      <c r="BC608" t="s">
        <v>374</v>
      </c>
    </row>
    <row r="609" spans="1:55" x14ac:dyDescent="0.2">
      <c r="A609" t="s">
        <v>39</v>
      </c>
      <c r="B609" t="s">
        <v>40</v>
      </c>
      <c r="C609">
        <v>20240101</v>
      </c>
      <c r="D609">
        <v>2024</v>
      </c>
      <c r="E609">
        <v>52</v>
      </c>
      <c r="F609" t="s">
        <v>357</v>
      </c>
      <c r="G609">
        <v>446</v>
      </c>
      <c r="H609" t="s">
        <v>323</v>
      </c>
      <c r="I609" t="s">
        <v>324</v>
      </c>
      <c r="J609" t="s">
        <v>44</v>
      </c>
      <c r="K609" t="s">
        <v>45</v>
      </c>
      <c r="L609">
        <v>0</v>
      </c>
      <c r="M609" t="s">
        <v>46</v>
      </c>
      <c r="N609" t="s">
        <v>47</v>
      </c>
      <c r="O609">
        <v>0</v>
      </c>
      <c r="P609" t="s">
        <v>46</v>
      </c>
      <c r="Q609" t="s">
        <v>47</v>
      </c>
      <c r="R609" t="s">
        <v>347</v>
      </c>
      <c r="S609" t="s">
        <v>49</v>
      </c>
      <c r="T609" t="b">
        <v>1</v>
      </c>
      <c r="U609" t="s">
        <v>50</v>
      </c>
      <c r="V609" t="s">
        <v>51</v>
      </c>
      <c r="W609">
        <v>4</v>
      </c>
      <c r="X609" t="b">
        <v>0</v>
      </c>
      <c r="Y609" t="s">
        <v>52</v>
      </c>
      <c r="Z609" t="s">
        <v>53</v>
      </c>
      <c r="AA609" t="s">
        <v>54</v>
      </c>
      <c r="AB609">
        <v>0</v>
      </c>
      <c r="AC609" t="s">
        <v>55</v>
      </c>
      <c r="AD609">
        <v>8</v>
      </c>
      <c r="AE609" t="s">
        <v>56</v>
      </c>
      <c r="AF609">
        <v>17</v>
      </c>
      <c r="AG609" t="b">
        <v>0</v>
      </c>
      <c r="AH609">
        <v>8</v>
      </c>
      <c r="AI609" t="s">
        <v>56</v>
      </c>
      <c r="AJ609">
        <v>17</v>
      </c>
      <c r="AK609" t="b">
        <v>0</v>
      </c>
      <c r="AL609">
        <v>17</v>
      </c>
      <c r="AM609" t="b">
        <v>0</v>
      </c>
      <c r="AN609">
        <v>0</v>
      </c>
      <c r="AO609" t="b">
        <v>0</v>
      </c>
      <c r="AQ609">
        <v>1155494.4580000001</v>
      </c>
      <c r="AR609">
        <v>1155494.4580000001</v>
      </c>
      <c r="AS609">
        <v>0</v>
      </c>
      <c r="AT609" t="b">
        <v>0</v>
      </c>
      <c r="AU609" t="b">
        <v>1</v>
      </c>
      <c r="AV609" t="b">
        <v>1</v>
      </c>
      <c r="AW609" t="b">
        <v>1</v>
      </c>
      <c r="BC609" t="s">
        <v>374</v>
      </c>
    </row>
    <row r="610" spans="1:55" x14ac:dyDescent="0.2">
      <c r="A610" t="s">
        <v>39</v>
      </c>
      <c r="B610" t="s">
        <v>40</v>
      </c>
      <c r="C610">
        <v>20240101</v>
      </c>
      <c r="D610">
        <v>2024</v>
      </c>
      <c r="E610">
        <v>52</v>
      </c>
      <c r="F610" t="s">
        <v>357</v>
      </c>
      <c r="G610">
        <v>450</v>
      </c>
      <c r="H610" t="s">
        <v>193</v>
      </c>
      <c r="I610" t="s">
        <v>194</v>
      </c>
      <c r="J610" t="s">
        <v>44</v>
      </c>
      <c r="K610" t="s">
        <v>45</v>
      </c>
      <c r="L610">
        <v>0</v>
      </c>
      <c r="M610" t="s">
        <v>46</v>
      </c>
      <c r="N610" t="s">
        <v>47</v>
      </c>
      <c r="O610">
        <v>0</v>
      </c>
      <c r="P610" t="s">
        <v>46</v>
      </c>
      <c r="Q610" t="s">
        <v>47</v>
      </c>
      <c r="R610" t="s">
        <v>347</v>
      </c>
      <c r="S610" t="s">
        <v>49</v>
      </c>
      <c r="T610" t="b">
        <v>1</v>
      </c>
      <c r="U610" t="s">
        <v>50</v>
      </c>
      <c r="V610" t="s">
        <v>51</v>
      </c>
      <c r="W610">
        <v>4</v>
      </c>
      <c r="X610" t="b">
        <v>0</v>
      </c>
      <c r="Y610" t="s">
        <v>52</v>
      </c>
      <c r="Z610" t="s">
        <v>53</v>
      </c>
      <c r="AA610" t="s">
        <v>54</v>
      </c>
      <c r="AB610">
        <v>0</v>
      </c>
      <c r="AC610" t="s">
        <v>55</v>
      </c>
      <c r="AD610">
        <v>8</v>
      </c>
      <c r="AE610" t="s">
        <v>56</v>
      </c>
      <c r="AF610">
        <v>10.38</v>
      </c>
      <c r="AG610" t="b">
        <v>0</v>
      </c>
      <c r="AH610">
        <v>8</v>
      </c>
      <c r="AI610" t="s">
        <v>56</v>
      </c>
      <c r="AJ610">
        <v>10.38</v>
      </c>
      <c r="AK610" t="b">
        <v>0</v>
      </c>
      <c r="AL610">
        <v>10.38</v>
      </c>
      <c r="AM610" t="b">
        <v>0</v>
      </c>
      <c r="AN610">
        <v>0</v>
      </c>
      <c r="AO610" t="b">
        <v>0</v>
      </c>
      <c r="AQ610">
        <v>807776.77300000004</v>
      </c>
      <c r="AR610">
        <v>807776.77300000004</v>
      </c>
      <c r="AS610">
        <v>0</v>
      </c>
      <c r="AT610" t="b">
        <v>0</v>
      </c>
      <c r="AU610" t="b">
        <v>1</v>
      </c>
      <c r="AV610" t="b">
        <v>1</v>
      </c>
      <c r="AW610" t="b">
        <v>1</v>
      </c>
      <c r="BC610" t="s">
        <v>374</v>
      </c>
    </row>
    <row r="611" spans="1:55" x14ac:dyDescent="0.2">
      <c r="A611" t="s">
        <v>39</v>
      </c>
      <c r="B611" t="s">
        <v>40</v>
      </c>
      <c r="C611">
        <v>20240101</v>
      </c>
      <c r="D611">
        <v>2024</v>
      </c>
      <c r="E611">
        <v>52</v>
      </c>
      <c r="F611" t="s">
        <v>357</v>
      </c>
      <c r="G611">
        <v>458</v>
      </c>
      <c r="H611" t="s">
        <v>195</v>
      </c>
      <c r="I611" t="s">
        <v>196</v>
      </c>
      <c r="J611" t="s">
        <v>44</v>
      </c>
      <c r="K611" t="s">
        <v>45</v>
      </c>
      <c r="L611">
        <v>0</v>
      </c>
      <c r="M611" t="s">
        <v>46</v>
      </c>
      <c r="N611" t="s">
        <v>47</v>
      </c>
      <c r="O611">
        <v>0</v>
      </c>
      <c r="P611" t="s">
        <v>46</v>
      </c>
      <c r="Q611" t="s">
        <v>47</v>
      </c>
      <c r="R611" t="s">
        <v>347</v>
      </c>
      <c r="S611" t="s">
        <v>49</v>
      </c>
      <c r="T611" t="b">
        <v>1</v>
      </c>
      <c r="U611" t="s">
        <v>50</v>
      </c>
      <c r="V611" t="s">
        <v>51</v>
      </c>
      <c r="W611">
        <v>4</v>
      </c>
      <c r="X611" t="b">
        <v>0</v>
      </c>
      <c r="Y611" t="s">
        <v>52</v>
      </c>
      <c r="Z611" t="s">
        <v>53</v>
      </c>
      <c r="AA611" t="s">
        <v>54</v>
      </c>
      <c r="AB611">
        <v>0</v>
      </c>
      <c r="AC611" t="s">
        <v>55</v>
      </c>
      <c r="AD611">
        <v>-1</v>
      </c>
      <c r="AE611" t="s">
        <v>64</v>
      </c>
      <c r="AF611">
        <v>0</v>
      </c>
      <c r="AG611" t="b">
        <v>0</v>
      </c>
      <c r="AH611">
        <v>-1</v>
      </c>
      <c r="AI611" t="s">
        <v>64</v>
      </c>
      <c r="AJ611">
        <v>0</v>
      </c>
      <c r="AK611" t="b">
        <v>0</v>
      </c>
      <c r="AM611" t="b">
        <v>0</v>
      </c>
      <c r="AN611">
        <v>0</v>
      </c>
      <c r="AO611" t="b">
        <v>0</v>
      </c>
      <c r="AQ611">
        <v>965212575.90699995</v>
      </c>
      <c r="AR611">
        <v>965212575.90699995</v>
      </c>
      <c r="AS611">
        <v>0</v>
      </c>
      <c r="AT611" t="b">
        <v>0</v>
      </c>
      <c r="AU611" t="b">
        <v>1</v>
      </c>
      <c r="AV611" t="b">
        <v>1</v>
      </c>
      <c r="AW611" t="b">
        <v>1</v>
      </c>
      <c r="BC611" t="s">
        <v>374</v>
      </c>
    </row>
    <row r="612" spans="1:55" x14ac:dyDescent="0.2">
      <c r="A612" t="s">
        <v>39</v>
      </c>
      <c r="B612" t="s">
        <v>40</v>
      </c>
      <c r="C612">
        <v>20240101</v>
      </c>
      <c r="D612">
        <v>2024</v>
      </c>
      <c r="E612">
        <v>52</v>
      </c>
      <c r="F612" t="s">
        <v>357</v>
      </c>
      <c r="G612">
        <v>470</v>
      </c>
      <c r="H612" t="s">
        <v>199</v>
      </c>
      <c r="I612" t="s">
        <v>200</v>
      </c>
      <c r="J612" t="s">
        <v>44</v>
      </c>
      <c r="K612" t="s">
        <v>45</v>
      </c>
      <c r="L612">
        <v>0</v>
      </c>
      <c r="M612" t="s">
        <v>46</v>
      </c>
      <c r="N612" t="s">
        <v>47</v>
      </c>
      <c r="O612">
        <v>0</v>
      </c>
      <c r="P612" t="s">
        <v>46</v>
      </c>
      <c r="Q612" t="s">
        <v>47</v>
      </c>
      <c r="R612" t="s">
        <v>347</v>
      </c>
      <c r="S612" t="s">
        <v>49</v>
      </c>
      <c r="T612" t="b">
        <v>1</v>
      </c>
      <c r="U612" t="s">
        <v>50</v>
      </c>
      <c r="V612" t="s">
        <v>51</v>
      </c>
      <c r="W612">
        <v>4</v>
      </c>
      <c r="X612" t="b">
        <v>0</v>
      </c>
      <c r="Y612" t="s">
        <v>52</v>
      </c>
      <c r="Z612" t="s">
        <v>53</v>
      </c>
      <c r="AA612" t="s">
        <v>54</v>
      </c>
      <c r="AB612">
        <v>0</v>
      </c>
      <c r="AC612" t="s">
        <v>55</v>
      </c>
      <c r="AD612">
        <v>8</v>
      </c>
      <c r="AE612" t="s">
        <v>56</v>
      </c>
      <c r="AF612">
        <v>777.28499999999997</v>
      </c>
      <c r="AG612" t="b">
        <v>0</v>
      </c>
      <c r="AH612">
        <v>15</v>
      </c>
      <c r="AI612" t="s">
        <v>59</v>
      </c>
      <c r="AJ612">
        <v>777285</v>
      </c>
      <c r="AK612" t="b">
        <v>0</v>
      </c>
      <c r="AL612">
        <v>775</v>
      </c>
      <c r="AM612" t="b">
        <v>0</v>
      </c>
      <c r="AN612">
        <v>0</v>
      </c>
      <c r="AO612" t="b">
        <v>0</v>
      </c>
      <c r="AQ612">
        <v>60760081.961999997</v>
      </c>
      <c r="AR612">
        <v>60760081.961999997</v>
      </c>
      <c r="AS612">
        <v>0</v>
      </c>
      <c r="AT612" t="b">
        <v>0</v>
      </c>
      <c r="AU612" t="b">
        <v>1</v>
      </c>
      <c r="AV612" t="b">
        <v>1</v>
      </c>
      <c r="AW612" t="b">
        <v>1</v>
      </c>
      <c r="BC612" t="s">
        <v>374</v>
      </c>
    </row>
    <row r="613" spans="1:55" x14ac:dyDescent="0.2">
      <c r="A613" t="s">
        <v>39</v>
      </c>
      <c r="B613" t="s">
        <v>40</v>
      </c>
      <c r="C613">
        <v>20240101</v>
      </c>
      <c r="D613">
        <v>2024</v>
      </c>
      <c r="E613">
        <v>52</v>
      </c>
      <c r="F613" t="s">
        <v>357</v>
      </c>
      <c r="G613">
        <v>478</v>
      </c>
      <c r="H613" t="s">
        <v>325</v>
      </c>
      <c r="I613" t="s">
        <v>326</v>
      </c>
      <c r="J613" t="s">
        <v>44</v>
      </c>
      <c r="K613" t="s">
        <v>45</v>
      </c>
      <c r="L613">
        <v>0</v>
      </c>
      <c r="M613" t="s">
        <v>46</v>
      </c>
      <c r="N613" t="s">
        <v>47</v>
      </c>
      <c r="O613">
        <v>0</v>
      </c>
      <c r="P613" t="s">
        <v>46</v>
      </c>
      <c r="Q613" t="s">
        <v>47</v>
      </c>
      <c r="R613" t="s">
        <v>347</v>
      </c>
      <c r="S613" t="s">
        <v>49</v>
      </c>
      <c r="T613" t="b">
        <v>1</v>
      </c>
      <c r="U613" t="s">
        <v>50</v>
      </c>
      <c r="V613" t="s">
        <v>51</v>
      </c>
      <c r="W613">
        <v>4</v>
      </c>
      <c r="X613" t="b">
        <v>0</v>
      </c>
      <c r="Y613" t="s">
        <v>52</v>
      </c>
      <c r="Z613" t="s">
        <v>53</v>
      </c>
      <c r="AA613" t="s">
        <v>54</v>
      </c>
      <c r="AB613">
        <v>0</v>
      </c>
      <c r="AC613" t="s">
        <v>55</v>
      </c>
      <c r="AD613">
        <v>8</v>
      </c>
      <c r="AE613" t="s">
        <v>56</v>
      </c>
      <c r="AF613">
        <v>23549.759999999998</v>
      </c>
      <c r="AG613" t="b">
        <v>0</v>
      </c>
      <c r="AH613">
        <v>8</v>
      </c>
      <c r="AI613" t="s">
        <v>56</v>
      </c>
      <c r="AJ613">
        <v>23549.759999999998</v>
      </c>
      <c r="AK613" t="b">
        <v>0</v>
      </c>
      <c r="AL613">
        <v>23549.759999999998</v>
      </c>
      <c r="AM613" t="b">
        <v>0</v>
      </c>
      <c r="AN613">
        <v>0</v>
      </c>
      <c r="AO613" t="b">
        <v>0</v>
      </c>
      <c r="AQ613">
        <v>1637579088.161</v>
      </c>
      <c r="AR613">
        <v>1637579088.161</v>
      </c>
      <c r="AS613">
        <v>0</v>
      </c>
      <c r="AT613" t="b">
        <v>0</v>
      </c>
      <c r="AU613" t="b">
        <v>1</v>
      </c>
      <c r="AV613" t="b">
        <v>1</v>
      </c>
      <c r="AW613" t="b">
        <v>1</v>
      </c>
      <c r="BC613" t="s">
        <v>374</v>
      </c>
    </row>
    <row r="614" spans="1:55" x14ac:dyDescent="0.2">
      <c r="A614" t="s">
        <v>39</v>
      </c>
      <c r="B614" t="s">
        <v>40</v>
      </c>
      <c r="C614">
        <v>20240101</v>
      </c>
      <c r="D614">
        <v>2024</v>
      </c>
      <c r="E614">
        <v>52</v>
      </c>
      <c r="F614" t="s">
        <v>357</v>
      </c>
      <c r="G614">
        <v>480</v>
      </c>
      <c r="H614" t="s">
        <v>201</v>
      </c>
      <c r="I614" t="s">
        <v>202</v>
      </c>
      <c r="J614" t="s">
        <v>44</v>
      </c>
      <c r="K614" t="s">
        <v>45</v>
      </c>
      <c r="L614">
        <v>0</v>
      </c>
      <c r="M614" t="s">
        <v>46</v>
      </c>
      <c r="N614" t="s">
        <v>47</v>
      </c>
      <c r="O614">
        <v>0</v>
      </c>
      <c r="P614" t="s">
        <v>46</v>
      </c>
      <c r="Q614" t="s">
        <v>47</v>
      </c>
      <c r="R614" t="s">
        <v>347</v>
      </c>
      <c r="S614" t="s">
        <v>49</v>
      </c>
      <c r="T614" t="b">
        <v>1</v>
      </c>
      <c r="U614" t="s">
        <v>50</v>
      </c>
      <c r="V614" t="s">
        <v>51</v>
      </c>
      <c r="W614">
        <v>4</v>
      </c>
      <c r="X614" t="b">
        <v>0</v>
      </c>
      <c r="Y614" t="s">
        <v>52</v>
      </c>
      <c r="Z614" t="s">
        <v>53</v>
      </c>
      <c r="AA614" t="s">
        <v>54</v>
      </c>
      <c r="AB614">
        <v>0</v>
      </c>
      <c r="AC614" t="s">
        <v>55</v>
      </c>
      <c r="AD614">
        <v>8</v>
      </c>
      <c r="AE614" t="s">
        <v>56</v>
      </c>
      <c r="AF614">
        <v>33</v>
      </c>
      <c r="AG614" t="b">
        <v>0</v>
      </c>
      <c r="AH614">
        <v>8</v>
      </c>
      <c r="AI614" t="s">
        <v>56</v>
      </c>
      <c r="AJ614">
        <v>33</v>
      </c>
      <c r="AK614" t="b">
        <v>0</v>
      </c>
      <c r="AL614">
        <v>39</v>
      </c>
      <c r="AM614" t="b">
        <v>0</v>
      </c>
      <c r="AN614">
        <v>0</v>
      </c>
      <c r="AO614" t="b">
        <v>0</v>
      </c>
      <c r="AQ614">
        <v>1882064.8489999999</v>
      </c>
      <c r="AR614">
        <v>1882064.8489999999</v>
      </c>
      <c r="AS614">
        <v>0</v>
      </c>
      <c r="AT614" t="b">
        <v>0</v>
      </c>
      <c r="AU614" t="b">
        <v>1</v>
      </c>
      <c r="AV614" t="b">
        <v>1</v>
      </c>
      <c r="AW614" t="b">
        <v>1</v>
      </c>
      <c r="BC614" t="s">
        <v>374</v>
      </c>
    </row>
    <row r="615" spans="1:55" x14ac:dyDescent="0.2">
      <c r="A615" t="s">
        <v>39</v>
      </c>
      <c r="B615" t="s">
        <v>40</v>
      </c>
      <c r="C615">
        <v>20240101</v>
      </c>
      <c r="D615">
        <v>2024</v>
      </c>
      <c r="E615">
        <v>52</v>
      </c>
      <c r="F615" t="s">
        <v>357</v>
      </c>
      <c r="G615">
        <v>484</v>
      </c>
      <c r="H615" t="s">
        <v>203</v>
      </c>
      <c r="I615" t="s">
        <v>204</v>
      </c>
      <c r="J615" t="s">
        <v>44</v>
      </c>
      <c r="K615" t="s">
        <v>45</v>
      </c>
      <c r="L615">
        <v>0</v>
      </c>
      <c r="M615" t="s">
        <v>46</v>
      </c>
      <c r="N615" t="s">
        <v>47</v>
      </c>
      <c r="O615">
        <v>0</v>
      </c>
      <c r="P615" t="s">
        <v>46</v>
      </c>
      <c r="Q615" t="s">
        <v>47</v>
      </c>
      <c r="R615" t="s">
        <v>347</v>
      </c>
      <c r="S615" t="s">
        <v>49</v>
      </c>
      <c r="T615" t="b">
        <v>1</v>
      </c>
      <c r="U615" t="s">
        <v>50</v>
      </c>
      <c r="V615" t="s">
        <v>51</v>
      </c>
      <c r="W615">
        <v>4</v>
      </c>
      <c r="X615" t="b">
        <v>0</v>
      </c>
      <c r="Y615" t="s">
        <v>52</v>
      </c>
      <c r="Z615" t="s">
        <v>53</v>
      </c>
      <c r="AA615" t="s">
        <v>54</v>
      </c>
      <c r="AB615">
        <v>0</v>
      </c>
      <c r="AC615" t="s">
        <v>55</v>
      </c>
      <c r="AD615">
        <v>-1</v>
      </c>
      <c r="AE615" t="s">
        <v>64</v>
      </c>
      <c r="AF615">
        <v>0</v>
      </c>
      <c r="AG615" t="b">
        <v>0</v>
      </c>
      <c r="AH615">
        <v>-1</v>
      </c>
      <c r="AI615" t="s">
        <v>64</v>
      </c>
      <c r="AJ615">
        <v>0</v>
      </c>
      <c r="AK615" t="b">
        <v>0</v>
      </c>
      <c r="AL615">
        <v>0</v>
      </c>
      <c r="AM615" t="b">
        <v>0</v>
      </c>
      <c r="AN615">
        <v>0</v>
      </c>
      <c r="AO615" t="b">
        <v>0</v>
      </c>
      <c r="AQ615">
        <v>3677031558</v>
      </c>
      <c r="AR615">
        <v>3677031558</v>
      </c>
      <c r="AS615">
        <v>0</v>
      </c>
      <c r="AT615" t="b">
        <v>0</v>
      </c>
      <c r="AU615" t="b">
        <v>1</v>
      </c>
      <c r="AV615" t="b">
        <v>1</v>
      </c>
      <c r="AW615" t="b">
        <v>1</v>
      </c>
      <c r="BC615" t="s">
        <v>374</v>
      </c>
    </row>
    <row r="616" spans="1:55" x14ac:dyDescent="0.2">
      <c r="A616" t="s">
        <v>39</v>
      </c>
      <c r="B616" t="s">
        <v>40</v>
      </c>
      <c r="C616">
        <v>20240101</v>
      </c>
      <c r="D616">
        <v>2024</v>
      </c>
      <c r="E616">
        <v>52</v>
      </c>
      <c r="F616" t="s">
        <v>357</v>
      </c>
      <c r="G616">
        <v>490</v>
      </c>
      <c r="H616" t="s">
        <v>205</v>
      </c>
      <c r="I616" t="s">
        <v>206</v>
      </c>
      <c r="J616" t="s">
        <v>44</v>
      </c>
      <c r="K616" t="s">
        <v>45</v>
      </c>
      <c r="L616">
        <v>0</v>
      </c>
      <c r="M616" t="s">
        <v>46</v>
      </c>
      <c r="N616" t="s">
        <v>47</v>
      </c>
      <c r="O616">
        <v>0</v>
      </c>
      <c r="P616" t="s">
        <v>46</v>
      </c>
      <c r="Q616" t="s">
        <v>47</v>
      </c>
      <c r="R616" t="s">
        <v>347</v>
      </c>
      <c r="S616" t="s">
        <v>49</v>
      </c>
      <c r="T616" t="b">
        <v>1</v>
      </c>
      <c r="U616" t="s">
        <v>50</v>
      </c>
      <c r="V616" t="s">
        <v>51</v>
      </c>
      <c r="W616">
        <v>4</v>
      </c>
      <c r="X616" t="b">
        <v>0</v>
      </c>
      <c r="Y616" t="s">
        <v>52</v>
      </c>
      <c r="Z616" t="s">
        <v>53</v>
      </c>
      <c r="AA616" t="s">
        <v>54</v>
      </c>
      <c r="AB616">
        <v>0</v>
      </c>
      <c r="AC616" t="s">
        <v>55</v>
      </c>
      <c r="AD616">
        <v>8</v>
      </c>
      <c r="AE616" t="s">
        <v>56</v>
      </c>
      <c r="AF616">
        <v>17379.499</v>
      </c>
      <c r="AG616" t="b">
        <v>1</v>
      </c>
      <c r="AH616">
        <v>-1</v>
      </c>
      <c r="AI616" t="s">
        <v>64</v>
      </c>
      <c r="AJ616">
        <v>0</v>
      </c>
      <c r="AK616" t="b">
        <v>0</v>
      </c>
      <c r="AL616">
        <v>17379.499</v>
      </c>
      <c r="AM616" t="b">
        <v>1</v>
      </c>
      <c r="AN616">
        <v>0</v>
      </c>
      <c r="AO616" t="b">
        <v>0</v>
      </c>
      <c r="AQ616">
        <v>1178597827.5650001</v>
      </c>
      <c r="AR616">
        <v>1178597827.5650001</v>
      </c>
      <c r="AS616">
        <v>6</v>
      </c>
      <c r="AT616" t="b">
        <v>0</v>
      </c>
      <c r="AU616" t="b">
        <v>1</v>
      </c>
      <c r="AV616" t="b">
        <v>1</v>
      </c>
      <c r="AW616" t="b">
        <v>1</v>
      </c>
      <c r="BC616" t="s">
        <v>374</v>
      </c>
    </row>
    <row r="617" spans="1:55" x14ac:dyDescent="0.2">
      <c r="A617" t="s">
        <v>39</v>
      </c>
      <c r="B617" t="s">
        <v>40</v>
      </c>
      <c r="C617">
        <v>20240101</v>
      </c>
      <c r="D617">
        <v>2024</v>
      </c>
      <c r="E617">
        <v>52</v>
      </c>
      <c r="F617" t="s">
        <v>357</v>
      </c>
      <c r="G617">
        <v>498</v>
      </c>
      <c r="H617" t="s">
        <v>209</v>
      </c>
      <c r="I617" t="s">
        <v>210</v>
      </c>
      <c r="J617" t="s">
        <v>44</v>
      </c>
      <c r="K617" t="s">
        <v>45</v>
      </c>
      <c r="L617">
        <v>0</v>
      </c>
      <c r="M617" t="s">
        <v>46</v>
      </c>
      <c r="N617" t="s">
        <v>47</v>
      </c>
      <c r="O617">
        <v>0</v>
      </c>
      <c r="P617" t="s">
        <v>46</v>
      </c>
      <c r="Q617" t="s">
        <v>47</v>
      </c>
      <c r="R617" t="s">
        <v>347</v>
      </c>
      <c r="S617" t="s">
        <v>49</v>
      </c>
      <c r="T617" t="b">
        <v>1</v>
      </c>
      <c r="U617" t="s">
        <v>50</v>
      </c>
      <c r="V617" t="s">
        <v>51</v>
      </c>
      <c r="W617">
        <v>4</v>
      </c>
      <c r="X617" t="b">
        <v>0</v>
      </c>
      <c r="Y617" t="s">
        <v>52</v>
      </c>
      <c r="Z617" t="s">
        <v>53</v>
      </c>
      <c r="AA617" t="s">
        <v>54</v>
      </c>
      <c r="AB617">
        <v>0</v>
      </c>
      <c r="AC617" t="s">
        <v>55</v>
      </c>
      <c r="AD617">
        <v>8</v>
      </c>
      <c r="AE617" t="s">
        <v>56</v>
      </c>
      <c r="AF617">
        <v>37.575000000000003</v>
      </c>
      <c r="AG617" t="b">
        <v>0</v>
      </c>
      <c r="AH617">
        <v>8</v>
      </c>
      <c r="AI617" t="s">
        <v>56</v>
      </c>
      <c r="AJ617">
        <v>37.575000000000003</v>
      </c>
      <c r="AK617" t="b">
        <v>0</v>
      </c>
      <c r="AL617">
        <v>36</v>
      </c>
      <c r="AM617" t="b">
        <v>0</v>
      </c>
      <c r="AN617">
        <v>0</v>
      </c>
      <c r="AO617" t="b">
        <v>0</v>
      </c>
      <c r="AQ617">
        <v>1534269</v>
      </c>
      <c r="AR617">
        <v>1534269</v>
      </c>
      <c r="AS617">
        <v>0</v>
      </c>
      <c r="AT617" t="b">
        <v>0</v>
      </c>
      <c r="AU617" t="b">
        <v>1</v>
      </c>
      <c r="AV617" t="b">
        <v>1</v>
      </c>
      <c r="AW617" t="b">
        <v>1</v>
      </c>
      <c r="BC617" t="s">
        <v>374</v>
      </c>
    </row>
    <row r="618" spans="1:55" x14ac:dyDescent="0.2">
      <c r="A618" t="s">
        <v>39</v>
      </c>
      <c r="B618" t="s">
        <v>40</v>
      </c>
      <c r="C618">
        <v>20240101</v>
      </c>
      <c r="D618">
        <v>2024</v>
      </c>
      <c r="E618">
        <v>52</v>
      </c>
      <c r="F618" t="s">
        <v>357</v>
      </c>
      <c r="G618">
        <v>504</v>
      </c>
      <c r="H618" t="s">
        <v>211</v>
      </c>
      <c r="I618" t="s">
        <v>212</v>
      </c>
      <c r="J618" t="s">
        <v>44</v>
      </c>
      <c r="K618" t="s">
        <v>45</v>
      </c>
      <c r="L618">
        <v>0</v>
      </c>
      <c r="M618" t="s">
        <v>46</v>
      </c>
      <c r="N618" t="s">
        <v>47</v>
      </c>
      <c r="O618">
        <v>0</v>
      </c>
      <c r="P618" t="s">
        <v>46</v>
      </c>
      <c r="Q618" t="s">
        <v>47</v>
      </c>
      <c r="R618" t="s">
        <v>347</v>
      </c>
      <c r="S618" t="s">
        <v>49</v>
      </c>
      <c r="T618" t="b">
        <v>1</v>
      </c>
      <c r="U618" t="s">
        <v>50</v>
      </c>
      <c r="V618" t="s">
        <v>51</v>
      </c>
      <c r="W618">
        <v>4</v>
      </c>
      <c r="X618" t="b">
        <v>0</v>
      </c>
      <c r="Y618" t="s">
        <v>52</v>
      </c>
      <c r="Z618" t="s">
        <v>53</v>
      </c>
      <c r="AA618" t="s">
        <v>54</v>
      </c>
      <c r="AB618">
        <v>0</v>
      </c>
      <c r="AC618" t="s">
        <v>55</v>
      </c>
      <c r="AD618">
        <v>-1</v>
      </c>
      <c r="AE618" t="s">
        <v>64</v>
      </c>
      <c r="AF618">
        <v>0</v>
      </c>
      <c r="AG618" t="b">
        <v>0</v>
      </c>
      <c r="AH618">
        <v>15</v>
      </c>
      <c r="AI618" t="s">
        <v>59</v>
      </c>
      <c r="AJ618">
        <v>223686.69</v>
      </c>
      <c r="AK618" t="b">
        <v>0</v>
      </c>
      <c r="AL618">
        <v>459.47</v>
      </c>
      <c r="AM618" t="b">
        <v>0</v>
      </c>
      <c r="AN618">
        <v>0</v>
      </c>
      <c r="AO618" t="b">
        <v>0</v>
      </c>
      <c r="AQ618">
        <v>33867896.821000002</v>
      </c>
      <c r="AR618">
        <v>33867896.821000002</v>
      </c>
      <c r="AS618">
        <v>0</v>
      </c>
      <c r="AT618" t="b">
        <v>0</v>
      </c>
      <c r="AU618" t="b">
        <v>1</v>
      </c>
      <c r="AV618" t="b">
        <v>1</v>
      </c>
      <c r="AW618" t="b">
        <v>1</v>
      </c>
      <c r="BC618" t="s">
        <v>374</v>
      </c>
    </row>
    <row r="619" spans="1:55" x14ac:dyDescent="0.2">
      <c r="A619" t="s">
        <v>39</v>
      </c>
      <c r="B619" t="s">
        <v>40</v>
      </c>
      <c r="C619">
        <v>20240101</v>
      </c>
      <c r="D619">
        <v>2024</v>
      </c>
      <c r="E619">
        <v>52</v>
      </c>
      <c r="F619" t="s">
        <v>357</v>
      </c>
      <c r="G619">
        <v>508</v>
      </c>
      <c r="H619" t="s">
        <v>213</v>
      </c>
      <c r="I619" t="s">
        <v>214</v>
      </c>
      <c r="J619" t="s">
        <v>44</v>
      </c>
      <c r="K619" t="s">
        <v>45</v>
      </c>
      <c r="L619">
        <v>0</v>
      </c>
      <c r="M619" t="s">
        <v>46</v>
      </c>
      <c r="N619" t="s">
        <v>47</v>
      </c>
      <c r="O619">
        <v>0</v>
      </c>
      <c r="P619" t="s">
        <v>46</v>
      </c>
      <c r="Q619" t="s">
        <v>47</v>
      </c>
      <c r="R619" t="s">
        <v>347</v>
      </c>
      <c r="S619" t="s">
        <v>49</v>
      </c>
      <c r="T619" t="b">
        <v>1</v>
      </c>
      <c r="U619" t="s">
        <v>50</v>
      </c>
      <c r="V619" t="s">
        <v>51</v>
      </c>
      <c r="W619">
        <v>4</v>
      </c>
      <c r="X619" t="b">
        <v>0</v>
      </c>
      <c r="Y619" t="s">
        <v>52</v>
      </c>
      <c r="Z619" t="s">
        <v>53</v>
      </c>
      <c r="AA619" t="s">
        <v>54</v>
      </c>
      <c r="AB619">
        <v>0</v>
      </c>
      <c r="AC619" t="s">
        <v>55</v>
      </c>
      <c r="AD619">
        <v>8</v>
      </c>
      <c r="AE619" t="s">
        <v>56</v>
      </c>
      <c r="AF619">
        <v>474.00400000000002</v>
      </c>
      <c r="AG619" t="b">
        <v>0</v>
      </c>
      <c r="AH619">
        <v>15</v>
      </c>
      <c r="AI619" t="s">
        <v>59</v>
      </c>
      <c r="AJ619">
        <v>474004</v>
      </c>
      <c r="AK619" t="b">
        <v>0</v>
      </c>
      <c r="AL619">
        <v>474.00400000000002</v>
      </c>
      <c r="AM619" t="b">
        <v>0</v>
      </c>
      <c r="AN619">
        <v>0</v>
      </c>
      <c r="AO619" t="b">
        <v>0</v>
      </c>
      <c r="AQ619">
        <v>27216774</v>
      </c>
      <c r="AR619">
        <v>27216774</v>
      </c>
      <c r="AS619">
        <v>0</v>
      </c>
      <c r="AT619" t="b">
        <v>0</v>
      </c>
      <c r="AU619" t="b">
        <v>1</v>
      </c>
      <c r="AV619" t="b">
        <v>1</v>
      </c>
      <c r="AW619" t="b">
        <v>1</v>
      </c>
      <c r="BC619" t="s">
        <v>374</v>
      </c>
    </row>
    <row r="620" spans="1:55" x14ac:dyDescent="0.2">
      <c r="A620" t="s">
        <v>39</v>
      </c>
      <c r="B620" t="s">
        <v>40</v>
      </c>
      <c r="C620">
        <v>20240101</v>
      </c>
      <c r="D620">
        <v>2024</v>
      </c>
      <c r="E620">
        <v>52</v>
      </c>
      <c r="F620" t="s">
        <v>357</v>
      </c>
      <c r="G620">
        <v>516</v>
      </c>
      <c r="H620" t="s">
        <v>217</v>
      </c>
      <c r="I620" t="s">
        <v>218</v>
      </c>
      <c r="J620" t="s">
        <v>44</v>
      </c>
      <c r="K620" t="s">
        <v>45</v>
      </c>
      <c r="L620">
        <v>0</v>
      </c>
      <c r="M620" t="s">
        <v>46</v>
      </c>
      <c r="N620" t="s">
        <v>47</v>
      </c>
      <c r="O620">
        <v>0</v>
      </c>
      <c r="P620" t="s">
        <v>46</v>
      </c>
      <c r="Q620" t="s">
        <v>47</v>
      </c>
      <c r="R620" t="s">
        <v>347</v>
      </c>
      <c r="S620" t="s">
        <v>49</v>
      </c>
      <c r="T620" t="b">
        <v>1</v>
      </c>
      <c r="U620" t="s">
        <v>50</v>
      </c>
      <c r="V620" t="s">
        <v>51</v>
      </c>
      <c r="W620">
        <v>4</v>
      </c>
      <c r="X620" t="b">
        <v>0</v>
      </c>
      <c r="Y620" t="s">
        <v>52</v>
      </c>
      <c r="Z620" t="s">
        <v>53</v>
      </c>
      <c r="AA620" t="s">
        <v>54</v>
      </c>
      <c r="AB620">
        <v>0</v>
      </c>
      <c r="AC620" t="s">
        <v>55</v>
      </c>
      <c r="AD620">
        <v>8</v>
      </c>
      <c r="AE620" t="s">
        <v>56</v>
      </c>
      <c r="AF620">
        <v>11185.87</v>
      </c>
      <c r="AG620" t="b">
        <v>0</v>
      </c>
      <c r="AH620">
        <v>8</v>
      </c>
      <c r="AI620" t="s">
        <v>56</v>
      </c>
      <c r="AJ620">
        <v>11185.87</v>
      </c>
      <c r="AK620" t="b">
        <v>0</v>
      </c>
      <c r="AL620">
        <v>11185.87</v>
      </c>
      <c r="AM620" t="b">
        <v>0</v>
      </c>
      <c r="AN620">
        <v>0</v>
      </c>
      <c r="AO620" t="b">
        <v>0</v>
      </c>
      <c r="AP620">
        <v>786732250.028</v>
      </c>
      <c r="AQ620">
        <v>786732250.028</v>
      </c>
      <c r="AR620">
        <v>786732250.028</v>
      </c>
      <c r="AS620">
        <v>0</v>
      </c>
      <c r="AT620" t="b">
        <v>0</v>
      </c>
      <c r="AU620" t="b">
        <v>1</v>
      </c>
      <c r="AV620" t="b">
        <v>1</v>
      </c>
      <c r="AW620" t="b">
        <v>1</v>
      </c>
      <c r="BC620" t="s">
        <v>374</v>
      </c>
    </row>
    <row r="621" spans="1:55" x14ac:dyDescent="0.2">
      <c r="A621" t="s">
        <v>39</v>
      </c>
      <c r="B621" t="s">
        <v>40</v>
      </c>
      <c r="C621">
        <v>20240101</v>
      </c>
      <c r="D621">
        <v>2024</v>
      </c>
      <c r="E621">
        <v>52</v>
      </c>
      <c r="F621" t="s">
        <v>357</v>
      </c>
      <c r="G621">
        <v>528</v>
      </c>
      <c r="H621" t="s">
        <v>219</v>
      </c>
      <c r="I621" t="s">
        <v>220</v>
      </c>
      <c r="J621" t="s">
        <v>44</v>
      </c>
      <c r="K621" t="s">
        <v>45</v>
      </c>
      <c r="L621">
        <v>0</v>
      </c>
      <c r="M621" t="s">
        <v>46</v>
      </c>
      <c r="N621" t="s">
        <v>47</v>
      </c>
      <c r="O621">
        <v>0</v>
      </c>
      <c r="P621" t="s">
        <v>46</v>
      </c>
      <c r="Q621" t="s">
        <v>47</v>
      </c>
      <c r="R621" t="s">
        <v>347</v>
      </c>
      <c r="S621" t="s">
        <v>49</v>
      </c>
      <c r="T621" t="b">
        <v>1</v>
      </c>
      <c r="U621" t="s">
        <v>50</v>
      </c>
      <c r="V621" t="s">
        <v>51</v>
      </c>
      <c r="W621">
        <v>4</v>
      </c>
      <c r="X621" t="b">
        <v>0</v>
      </c>
      <c r="Y621" t="s">
        <v>52</v>
      </c>
      <c r="Z621" t="s">
        <v>53</v>
      </c>
      <c r="AA621" t="s">
        <v>54</v>
      </c>
      <c r="AB621">
        <v>0</v>
      </c>
      <c r="AC621" t="s">
        <v>55</v>
      </c>
      <c r="AD621">
        <v>-1</v>
      </c>
      <c r="AE621" t="s">
        <v>64</v>
      </c>
      <c r="AF621">
        <v>0</v>
      </c>
      <c r="AG621" t="b">
        <v>0</v>
      </c>
      <c r="AH621">
        <v>-1</v>
      </c>
      <c r="AI621" t="s">
        <v>64</v>
      </c>
      <c r="AJ621">
        <v>0</v>
      </c>
      <c r="AK621" t="b">
        <v>0</v>
      </c>
      <c r="AM621" t="b">
        <v>0</v>
      </c>
      <c r="AN621">
        <v>0</v>
      </c>
      <c r="AO621" t="b">
        <v>0</v>
      </c>
      <c r="AQ621">
        <v>448689523.97100002</v>
      </c>
      <c r="AR621">
        <v>448689523.97100002</v>
      </c>
      <c r="AS621">
        <v>0</v>
      </c>
      <c r="AT621" t="b">
        <v>0</v>
      </c>
      <c r="AU621" t="b">
        <v>1</v>
      </c>
      <c r="AV621" t="b">
        <v>1</v>
      </c>
      <c r="AW621" t="b">
        <v>1</v>
      </c>
      <c r="BC621" t="s">
        <v>374</v>
      </c>
    </row>
    <row r="622" spans="1:55" x14ac:dyDescent="0.2">
      <c r="A622" t="s">
        <v>39</v>
      </c>
      <c r="B622" t="s">
        <v>40</v>
      </c>
      <c r="C622">
        <v>20240101</v>
      </c>
      <c r="D622">
        <v>2024</v>
      </c>
      <c r="E622">
        <v>52</v>
      </c>
      <c r="F622" t="s">
        <v>357</v>
      </c>
      <c r="G622">
        <v>554</v>
      </c>
      <c r="H622" t="s">
        <v>223</v>
      </c>
      <c r="I622" t="s">
        <v>224</v>
      </c>
      <c r="J622" t="s">
        <v>44</v>
      </c>
      <c r="K622" t="s">
        <v>45</v>
      </c>
      <c r="L622">
        <v>0</v>
      </c>
      <c r="M622" t="s">
        <v>46</v>
      </c>
      <c r="N622" t="s">
        <v>47</v>
      </c>
      <c r="O622">
        <v>0</v>
      </c>
      <c r="P622" t="s">
        <v>46</v>
      </c>
      <c r="Q622" t="s">
        <v>47</v>
      </c>
      <c r="R622" t="s">
        <v>347</v>
      </c>
      <c r="S622" t="s">
        <v>49</v>
      </c>
      <c r="T622" t="b">
        <v>1</v>
      </c>
      <c r="U622" t="s">
        <v>50</v>
      </c>
      <c r="V622" t="s">
        <v>51</v>
      </c>
      <c r="W622">
        <v>4</v>
      </c>
      <c r="X622" t="b">
        <v>0</v>
      </c>
      <c r="Y622" t="s">
        <v>52</v>
      </c>
      <c r="Z622" t="s">
        <v>53</v>
      </c>
      <c r="AA622" t="s">
        <v>54</v>
      </c>
      <c r="AB622">
        <v>0</v>
      </c>
      <c r="AC622" t="s">
        <v>55</v>
      </c>
      <c r="AD622">
        <v>8</v>
      </c>
      <c r="AE622" t="s">
        <v>56</v>
      </c>
      <c r="AF622">
        <v>14888.239</v>
      </c>
      <c r="AG622" t="b">
        <v>0</v>
      </c>
      <c r="AH622">
        <v>15</v>
      </c>
      <c r="AI622" t="s">
        <v>59</v>
      </c>
      <c r="AJ622">
        <v>14888239</v>
      </c>
      <c r="AK622" t="b">
        <v>0</v>
      </c>
      <c r="AL622">
        <v>14888.239</v>
      </c>
      <c r="AM622" t="b">
        <v>0</v>
      </c>
      <c r="AN622">
        <v>15647</v>
      </c>
      <c r="AO622" t="b">
        <v>0</v>
      </c>
      <c r="AQ622">
        <v>607633425.09099996</v>
      </c>
      <c r="AR622">
        <v>607633425.09099996</v>
      </c>
      <c r="AS622">
        <v>0</v>
      </c>
      <c r="AT622" t="b">
        <v>0</v>
      </c>
      <c r="AU622" t="b">
        <v>1</v>
      </c>
      <c r="AV622" t="b">
        <v>1</v>
      </c>
      <c r="AW622" t="b">
        <v>1</v>
      </c>
      <c r="BC622" t="s">
        <v>374</v>
      </c>
    </row>
    <row r="623" spans="1:55" x14ac:dyDescent="0.2">
      <c r="A623" t="s">
        <v>39</v>
      </c>
      <c r="B623" t="s">
        <v>40</v>
      </c>
      <c r="C623">
        <v>20240101</v>
      </c>
      <c r="D623">
        <v>2024</v>
      </c>
      <c r="E623">
        <v>52</v>
      </c>
      <c r="F623" t="s">
        <v>357</v>
      </c>
      <c r="G623">
        <v>558</v>
      </c>
      <c r="H623" t="s">
        <v>225</v>
      </c>
      <c r="I623" t="s">
        <v>226</v>
      </c>
      <c r="J623" t="s">
        <v>44</v>
      </c>
      <c r="K623" t="s">
        <v>45</v>
      </c>
      <c r="L623">
        <v>0</v>
      </c>
      <c r="M623" t="s">
        <v>46</v>
      </c>
      <c r="N623" t="s">
        <v>47</v>
      </c>
      <c r="O623">
        <v>0</v>
      </c>
      <c r="P623" t="s">
        <v>46</v>
      </c>
      <c r="Q623" t="s">
        <v>47</v>
      </c>
      <c r="R623" t="s">
        <v>347</v>
      </c>
      <c r="S623" t="s">
        <v>49</v>
      </c>
      <c r="T623" t="b">
        <v>1</v>
      </c>
      <c r="U623" t="s">
        <v>50</v>
      </c>
      <c r="V623" t="s">
        <v>51</v>
      </c>
      <c r="W623">
        <v>4</v>
      </c>
      <c r="X623" t="b">
        <v>0</v>
      </c>
      <c r="Y623" t="s">
        <v>52</v>
      </c>
      <c r="Z623" t="s">
        <v>53</v>
      </c>
      <c r="AA623" t="s">
        <v>54</v>
      </c>
      <c r="AB623">
        <v>0</v>
      </c>
      <c r="AC623" t="s">
        <v>55</v>
      </c>
      <c r="AD623">
        <v>8</v>
      </c>
      <c r="AE623" t="s">
        <v>56</v>
      </c>
      <c r="AF623">
        <v>19516.599999999999</v>
      </c>
      <c r="AG623" t="b">
        <v>0</v>
      </c>
      <c r="AH623">
        <v>8</v>
      </c>
      <c r="AI623" t="s">
        <v>56</v>
      </c>
      <c r="AJ623">
        <v>19516.599999999999</v>
      </c>
      <c r="AK623" t="b">
        <v>0</v>
      </c>
      <c r="AL623">
        <v>19516.599999999999</v>
      </c>
      <c r="AM623" t="b">
        <v>0</v>
      </c>
      <c r="AN623">
        <v>0</v>
      </c>
      <c r="AO623" t="b">
        <v>0</v>
      </c>
      <c r="AQ623">
        <v>1353943516.4000001</v>
      </c>
      <c r="AR623">
        <v>1353943516.4000001</v>
      </c>
      <c r="AS623">
        <v>0</v>
      </c>
      <c r="AT623" t="b">
        <v>0</v>
      </c>
      <c r="AU623" t="b">
        <v>1</v>
      </c>
      <c r="AV623" t="b">
        <v>1</v>
      </c>
      <c r="AW623" t="b">
        <v>1</v>
      </c>
      <c r="BC623" t="s">
        <v>374</v>
      </c>
    </row>
    <row r="624" spans="1:55" x14ac:dyDescent="0.2">
      <c r="A624" t="s">
        <v>39</v>
      </c>
      <c r="B624" t="s">
        <v>40</v>
      </c>
      <c r="C624">
        <v>20240101</v>
      </c>
      <c r="D624">
        <v>2024</v>
      </c>
      <c r="E624">
        <v>52</v>
      </c>
      <c r="F624" t="s">
        <v>357</v>
      </c>
      <c r="G624">
        <v>562</v>
      </c>
      <c r="H624" t="s">
        <v>227</v>
      </c>
      <c r="I624" t="s">
        <v>228</v>
      </c>
      <c r="J624" t="s">
        <v>44</v>
      </c>
      <c r="K624" t="s">
        <v>45</v>
      </c>
      <c r="L624">
        <v>0</v>
      </c>
      <c r="M624" t="s">
        <v>46</v>
      </c>
      <c r="N624" t="s">
        <v>47</v>
      </c>
      <c r="O624">
        <v>0</v>
      </c>
      <c r="P624" t="s">
        <v>46</v>
      </c>
      <c r="Q624" t="s">
        <v>47</v>
      </c>
      <c r="R624" t="s">
        <v>347</v>
      </c>
      <c r="S624" t="s">
        <v>49</v>
      </c>
      <c r="T624" t="b">
        <v>1</v>
      </c>
      <c r="U624" t="s">
        <v>50</v>
      </c>
      <c r="V624" t="s">
        <v>51</v>
      </c>
      <c r="W624">
        <v>4</v>
      </c>
      <c r="X624" t="b">
        <v>0</v>
      </c>
      <c r="Y624" t="s">
        <v>52</v>
      </c>
      <c r="Z624" t="s">
        <v>53</v>
      </c>
      <c r="AA624" t="s">
        <v>54</v>
      </c>
      <c r="AB624">
        <v>0</v>
      </c>
      <c r="AC624" t="s">
        <v>55</v>
      </c>
      <c r="AD624">
        <v>8</v>
      </c>
      <c r="AE624" t="s">
        <v>56</v>
      </c>
      <c r="AF624">
        <v>50</v>
      </c>
      <c r="AG624" t="b">
        <v>0</v>
      </c>
      <c r="AH624">
        <v>8</v>
      </c>
      <c r="AI624" t="s">
        <v>56</v>
      </c>
      <c r="AJ624">
        <v>50</v>
      </c>
      <c r="AK624" t="b">
        <v>0</v>
      </c>
      <c r="AL624">
        <v>50</v>
      </c>
      <c r="AM624" t="b">
        <v>0</v>
      </c>
      <c r="AN624">
        <v>0</v>
      </c>
      <c r="AO624" t="b">
        <v>0</v>
      </c>
      <c r="AQ624">
        <v>4161063.1770000001</v>
      </c>
      <c r="AR624">
        <v>4161063.1770000001</v>
      </c>
      <c r="AS624">
        <v>0</v>
      </c>
      <c r="AT624" t="b">
        <v>0</v>
      </c>
      <c r="AU624" t="b">
        <v>1</v>
      </c>
      <c r="AV624" t="b">
        <v>1</v>
      </c>
      <c r="AW624" t="b">
        <v>1</v>
      </c>
      <c r="BC624" t="s">
        <v>374</v>
      </c>
    </row>
    <row r="625" spans="1:55" x14ac:dyDescent="0.2">
      <c r="A625" t="s">
        <v>39</v>
      </c>
      <c r="B625" t="s">
        <v>40</v>
      </c>
      <c r="C625">
        <v>20240101</v>
      </c>
      <c r="D625">
        <v>2024</v>
      </c>
      <c r="E625">
        <v>52</v>
      </c>
      <c r="F625" t="s">
        <v>357</v>
      </c>
      <c r="G625">
        <v>566</v>
      </c>
      <c r="H625" t="s">
        <v>329</v>
      </c>
      <c r="I625" t="s">
        <v>330</v>
      </c>
      <c r="J625" t="s">
        <v>44</v>
      </c>
      <c r="K625" t="s">
        <v>45</v>
      </c>
      <c r="L625">
        <v>0</v>
      </c>
      <c r="M625" t="s">
        <v>46</v>
      </c>
      <c r="N625" t="s">
        <v>47</v>
      </c>
      <c r="O625">
        <v>0</v>
      </c>
      <c r="P625" t="s">
        <v>46</v>
      </c>
      <c r="Q625" t="s">
        <v>47</v>
      </c>
      <c r="R625" t="s">
        <v>347</v>
      </c>
      <c r="S625" t="s">
        <v>49</v>
      </c>
      <c r="T625" t="b">
        <v>1</v>
      </c>
      <c r="U625" t="s">
        <v>50</v>
      </c>
      <c r="V625" t="s">
        <v>51</v>
      </c>
      <c r="W625">
        <v>4</v>
      </c>
      <c r="X625" t="b">
        <v>0</v>
      </c>
      <c r="Y625" t="s">
        <v>52</v>
      </c>
      <c r="Z625" t="s">
        <v>53</v>
      </c>
      <c r="AA625" t="s">
        <v>54</v>
      </c>
      <c r="AB625">
        <v>0</v>
      </c>
      <c r="AC625" t="s">
        <v>55</v>
      </c>
      <c r="AD625">
        <v>-1</v>
      </c>
      <c r="AE625" t="s">
        <v>64</v>
      </c>
      <c r="AF625">
        <v>0</v>
      </c>
      <c r="AG625" t="b">
        <v>0</v>
      </c>
      <c r="AH625">
        <v>-1</v>
      </c>
      <c r="AI625" t="s">
        <v>64</v>
      </c>
      <c r="AJ625">
        <v>0</v>
      </c>
      <c r="AK625" t="b">
        <v>0</v>
      </c>
      <c r="AM625" t="b">
        <v>0</v>
      </c>
      <c r="AN625">
        <v>0</v>
      </c>
      <c r="AO625" t="b">
        <v>0</v>
      </c>
      <c r="AQ625">
        <v>147323805.18599999</v>
      </c>
      <c r="AR625">
        <v>147323805.18599999</v>
      </c>
      <c r="AS625">
        <v>0</v>
      </c>
      <c r="AT625" t="b">
        <v>0</v>
      </c>
      <c r="AU625" t="b">
        <v>1</v>
      </c>
      <c r="AV625" t="b">
        <v>1</v>
      </c>
      <c r="AW625" t="b">
        <v>1</v>
      </c>
      <c r="BC625" t="s">
        <v>374</v>
      </c>
    </row>
    <row r="626" spans="1:55" x14ac:dyDescent="0.2">
      <c r="A626" t="s">
        <v>39</v>
      </c>
      <c r="B626" t="s">
        <v>40</v>
      </c>
      <c r="C626">
        <v>20240101</v>
      </c>
      <c r="D626">
        <v>2024</v>
      </c>
      <c r="E626">
        <v>52</v>
      </c>
      <c r="F626" t="s">
        <v>357</v>
      </c>
      <c r="G626">
        <v>579</v>
      </c>
      <c r="H626" t="s">
        <v>229</v>
      </c>
      <c r="I626" t="s">
        <v>230</v>
      </c>
      <c r="J626" t="s">
        <v>44</v>
      </c>
      <c r="K626" t="s">
        <v>45</v>
      </c>
      <c r="L626">
        <v>0</v>
      </c>
      <c r="M626" t="s">
        <v>46</v>
      </c>
      <c r="N626" t="s">
        <v>47</v>
      </c>
      <c r="O626">
        <v>0</v>
      </c>
      <c r="P626" t="s">
        <v>46</v>
      </c>
      <c r="Q626" t="s">
        <v>47</v>
      </c>
      <c r="R626" t="s">
        <v>347</v>
      </c>
      <c r="S626" t="s">
        <v>49</v>
      </c>
      <c r="T626" t="b">
        <v>1</v>
      </c>
      <c r="U626" t="s">
        <v>50</v>
      </c>
      <c r="V626" t="s">
        <v>51</v>
      </c>
      <c r="W626">
        <v>4</v>
      </c>
      <c r="X626" t="b">
        <v>0</v>
      </c>
      <c r="Y626" t="s">
        <v>52</v>
      </c>
      <c r="Z626" t="s">
        <v>53</v>
      </c>
      <c r="AA626" t="s">
        <v>54</v>
      </c>
      <c r="AB626">
        <v>0</v>
      </c>
      <c r="AC626" t="s">
        <v>55</v>
      </c>
      <c r="AD626">
        <v>8</v>
      </c>
      <c r="AE626" t="s">
        <v>56</v>
      </c>
      <c r="AF626">
        <v>2961</v>
      </c>
      <c r="AG626" t="b">
        <v>0</v>
      </c>
      <c r="AH626">
        <v>8</v>
      </c>
      <c r="AI626" t="s">
        <v>56</v>
      </c>
      <c r="AJ626">
        <v>2961</v>
      </c>
      <c r="AK626" t="b">
        <v>0</v>
      </c>
      <c r="AL626">
        <v>2961</v>
      </c>
      <c r="AM626" t="b">
        <v>0</v>
      </c>
      <c r="AN626">
        <v>0</v>
      </c>
      <c r="AO626" t="b">
        <v>0</v>
      </c>
      <c r="AQ626">
        <v>212055466.435</v>
      </c>
      <c r="AR626">
        <v>212055466.435</v>
      </c>
      <c r="AS626">
        <v>0</v>
      </c>
      <c r="AT626" t="b">
        <v>0</v>
      </c>
      <c r="AU626" t="b">
        <v>1</v>
      </c>
      <c r="AV626" t="b">
        <v>1</v>
      </c>
      <c r="AW626" t="b">
        <v>1</v>
      </c>
      <c r="BC626" t="s">
        <v>374</v>
      </c>
    </row>
    <row r="627" spans="1:55" x14ac:dyDescent="0.2">
      <c r="A627" t="s">
        <v>39</v>
      </c>
      <c r="B627" t="s">
        <v>40</v>
      </c>
      <c r="C627">
        <v>20240101</v>
      </c>
      <c r="D627">
        <v>2024</v>
      </c>
      <c r="E627">
        <v>52</v>
      </c>
      <c r="F627" t="s">
        <v>357</v>
      </c>
      <c r="G627">
        <v>591</v>
      </c>
      <c r="H627" t="s">
        <v>231</v>
      </c>
      <c r="I627" t="s">
        <v>232</v>
      </c>
      <c r="J627" t="s">
        <v>44</v>
      </c>
      <c r="K627" t="s">
        <v>45</v>
      </c>
      <c r="L627">
        <v>0</v>
      </c>
      <c r="M627" t="s">
        <v>46</v>
      </c>
      <c r="N627" t="s">
        <v>47</v>
      </c>
      <c r="O627">
        <v>0</v>
      </c>
      <c r="P627" t="s">
        <v>46</v>
      </c>
      <c r="Q627" t="s">
        <v>47</v>
      </c>
      <c r="R627" t="s">
        <v>347</v>
      </c>
      <c r="S627" t="s">
        <v>49</v>
      </c>
      <c r="T627" t="b">
        <v>1</v>
      </c>
      <c r="U627" t="s">
        <v>50</v>
      </c>
      <c r="V627" t="s">
        <v>51</v>
      </c>
      <c r="W627">
        <v>4</v>
      </c>
      <c r="X627" t="b">
        <v>0</v>
      </c>
      <c r="Y627" t="s">
        <v>52</v>
      </c>
      <c r="Z627" t="s">
        <v>53</v>
      </c>
      <c r="AA627" t="s">
        <v>54</v>
      </c>
      <c r="AB627">
        <v>0</v>
      </c>
      <c r="AC627" t="s">
        <v>55</v>
      </c>
      <c r="AD627">
        <v>8</v>
      </c>
      <c r="AE627" t="s">
        <v>56</v>
      </c>
      <c r="AF627">
        <v>1099</v>
      </c>
      <c r="AG627" t="b">
        <v>0</v>
      </c>
      <c r="AH627">
        <v>8</v>
      </c>
      <c r="AI627" t="s">
        <v>56</v>
      </c>
      <c r="AJ627">
        <v>1099</v>
      </c>
      <c r="AK627" t="b">
        <v>0</v>
      </c>
      <c r="AL627">
        <v>1099</v>
      </c>
      <c r="AM627" t="b">
        <v>0</v>
      </c>
      <c r="AN627">
        <v>1099</v>
      </c>
      <c r="AO627" t="b">
        <v>0</v>
      </c>
      <c r="AQ627">
        <v>34468970</v>
      </c>
      <c r="AR627">
        <v>34468970</v>
      </c>
      <c r="AS627">
        <v>0</v>
      </c>
      <c r="AT627" t="b">
        <v>0</v>
      </c>
      <c r="AU627" t="b">
        <v>1</v>
      </c>
      <c r="AV627" t="b">
        <v>1</v>
      </c>
      <c r="AW627" t="b">
        <v>1</v>
      </c>
      <c r="BC627" t="s">
        <v>374</v>
      </c>
    </row>
    <row r="628" spans="1:55" x14ac:dyDescent="0.2">
      <c r="A628" t="s">
        <v>39</v>
      </c>
      <c r="B628" t="s">
        <v>40</v>
      </c>
      <c r="C628">
        <v>20240101</v>
      </c>
      <c r="D628">
        <v>2024</v>
      </c>
      <c r="E628">
        <v>52</v>
      </c>
      <c r="F628" t="s">
        <v>357</v>
      </c>
      <c r="G628">
        <v>600</v>
      </c>
      <c r="H628" t="s">
        <v>233</v>
      </c>
      <c r="I628" t="s">
        <v>234</v>
      </c>
      <c r="J628" t="s">
        <v>44</v>
      </c>
      <c r="K628" t="s">
        <v>45</v>
      </c>
      <c r="L628">
        <v>0</v>
      </c>
      <c r="M628" t="s">
        <v>46</v>
      </c>
      <c r="N628" t="s">
        <v>47</v>
      </c>
      <c r="O628">
        <v>0</v>
      </c>
      <c r="P628" t="s">
        <v>46</v>
      </c>
      <c r="Q628" t="s">
        <v>47</v>
      </c>
      <c r="R628" t="s">
        <v>347</v>
      </c>
      <c r="S628" t="s">
        <v>49</v>
      </c>
      <c r="T628" t="b">
        <v>1</v>
      </c>
      <c r="U628" t="s">
        <v>50</v>
      </c>
      <c r="V628" t="s">
        <v>51</v>
      </c>
      <c r="W628">
        <v>4</v>
      </c>
      <c r="X628" t="b">
        <v>0</v>
      </c>
      <c r="Y628" t="s">
        <v>52</v>
      </c>
      <c r="Z628" t="s">
        <v>53</v>
      </c>
      <c r="AA628" t="s">
        <v>54</v>
      </c>
      <c r="AB628">
        <v>0</v>
      </c>
      <c r="AC628" t="s">
        <v>55</v>
      </c>
      <c r="AD628">
        <v>8</v>
      </c>
      <c r="AE628" t="s">
        <v>56</v>
      </c>
      <c r="AF628">
        <v>587.20000000000005</v>
      </c>
      <c r="AG628" t="b">
        <v>0</v>
      </c>
      <c r="AH628">
        <v>8</v>
      </c>
      <c r="AI628" t="s">
        <v>56</v>
      </c>
      <c r="AJ628">
        <v>587.20000000000005</v>
      </c>
      <c r="AK628" t="b">
        <v>0</v>
      </c>
      <c r="AL628">
        <v>587.20000000000005</v>
      </c>
      <c r="AM628" t="b">
        <v>0</v>
      </c>
      <c r="AN628">
        <v>0</v>
      </c>
      <c r="AO628" t="b">
        <v>0</v>
      </c>
      <c r="AQ628">
        <v>38617395.880000003</v>
      </c>
      <c r="AR628">
        <v>38617395.880000003</v>
      </c>
      <c r="AS628">
        <v>0</v>
      </c>
      <c r="AT628" t="b">
        <v>0</v>
      </c>
      <c r="AU628" t="b">
        <v>1</v>
      </c>
      <c r="AV628" t="b">
        <v>1</v>
      </c>
      <c r="AW628" t="b">
        <v>1</v>
      </c>
      <c r="BC628" t="s">
        <v>374</v>
      </c>
    </row>
    <row r="629" spans="1:55" x14ac:dyDescent="0.2">
      <c r="A629" t="s">
        <v>39</v>
      </c>
      <c r="B629" t="s">
        <v>40</v>
      </c>
      <c r="C629">
        <v>20240101</v>
      </c>
      <c r="D629">
        <v>2024</v>
      </c>
      <c r="E629">
        <v>52</v>
      </c>
      <c r="F629" t="s">
        <v>357</v>
      </c>
      <c r="G629">
        <v>604</v>
      </c>
      <c r="H629" t="s">
        <v>235</v>
      </c>
      <c r="I629" t="s">
        <v>236</v>
      </c>
      <c r="J629" t="s">
        <v>44</v>
      </c>
      <c r="K629" t="s">
        <v>45</v>
      </c>
      <c r="L629">
        <v>0</v>
      </c>
      <c r="M629" t="s">
        <v>46</v>
      </c>
      <c r="N629" t="s">
        <v>47</v>
      </c>
      <c r="O629">
        <v>0</v>
      </c>
      <c r="P629" t="s">
        <v>46</v>
      </c>
      <c r="Q629" t="s">
        <v>47</v>
      </c>
      <c r="R629" t="s">
        <v>347</v>
      </c>
      <c r="S629" t="s">
        <v>49</v>
      </c>
      <c r="T629" t="b">
        <v>1</v>
      </c>
      <c r="U629" t="s">
        <v>50</v>
      </c>
      <c r="V629" t="s">
        <v>51</v>
      </c>
      <c r="W629">
        <v>4</v>
      </c>
      <c r="X629" t="b">
        <v>0</v>
      </c>
      <c r="Y629" t="s">
        <v>52</v>
      </c>
      <c r="Z629" t="s">
        <v>53</v>
      </c>
      <c r="AA629" t="s">
        <v>54</v>
      </c>
      <c r="AB629">
        <v>0</v>
      </c>
      <c r="AC629" t="s">
        <v>55</v>
      </c>
      <c r="AD629">
        <v>-1</v>
      </c>
      <c r="AE629" t="s">
        <v>64</v>
      </c>
      <c r="AF629">
        <v>0</v>
      </c>
      <c r="AG629" t="b">
        <v>0</v>
      </c>
      <c r="AH629">
        <v>-1</v>
      </c>
      <c r="AI629" t="s">
        <v>64</v>
      </c>
      <c r="AJ629">
        <v>0</v>
      </c>
      <c r="AK629" t="b">
        <v>0</v>
      </c>
      <c r="AM629" t="b">
        <v>0</v>
      </c>
      <c r="AN629">
        <v>0</v>
      </c>
      <c r="AO629" t="b">
        <v>0</v>
      </c>
      <c r="AQ629">
        <v>12756325694.357</v>
      </c>
      <c r="AR629">
        <v>12756325694.357</v>
      </c>
      <c r="AS629">
        <v>0</v>
      </c>
      <c r="AT629" t="b">
        <v>0</v>
      </c>
      <c r="AU629" t="b">
        <v>1</v>
      </c>
      <c r="AV629" t="b">
        <v>1</v>
      </c>
      <c r="AW629" t="b">
        <v>1</v>
      </c>
      <c r="BC629" t="s">
        <v>374</v>
      </c>
    </row>
    <row r="630" spans="1:55" x14ac:dyDescent="0.2">
      <c r="A630" t="s">
        <v>39</v>
      </c>
      <c r="B630" t="s">
        <v>40</v>
      </c>
      <c r="C630">
        <v>20240101</v>
      </c>
      <c r="D630">
        <v>2024</v>
      </c>
      <c r="E630">
        <v>52</v>
      </c>
      <c r="F630" t="s">
        <v>357</v>
      </c>
      <c r="G630">
        <v>608</v>
      </c>
      <c r="H630" t="s">
        <v>237</v>
      </c>
      <c r="I630" t="s">
        <v>238</v>
      </c>
      <c r="J630" t="s">
        <v>44</v>
      </c>
      <c r="K630" t="s">
        <v>45</v>
      </c>
      <c r="L630">
        <v>0</v>
      </c>
      <c r="M630" t="s">
        <v>46</v>
      </c>
      <c r="N630" t="s">
        <v>47</v>
      </c>
      <c r="O630">
        <v>0</v>
      </c>
      <c r="P630" t="s">
        <v>46</v>
      </c>
      <c r="Q630" t="s">
        <v>47</v>
      </c>
      <c r="R630" t="s">
        <v>347</v>
      </c>
      <c r="S630" t="s">
        <v>49</v>
      </c>
      <c r="T630" t="b">
        <v>1</v>
      </c>
      <c r="U630" t="s">
        <v>50</v>
      </c>
      <c r="V630" t="s">
        <v>51</v>
      </c>
      <c r="W630">
        <v>4</v>
      </c>
      <c r="X630" t="b">
        <v>0</v>
      </c>
      <c r="Y630" t="s">
        <v>52</v>
      </c>
      <c r="Z630" t="s">
        <v>53</v>
      </c>
      <c r="AA630" t="s">
        <v>54</v>
      </c>
      <c r="AB630">
        <v>0</v>
      </c>
      <c r="AC630" t="s">
        <v>55</v>
      </c>
      <c r="AD630">
        <v>-1</v>
      </c>
      <c r="AE630" t="s">
        <v>64</v>
      </c>
      <c r="AF630">
        <v>0</v>
      </c>
      <c r="AG630" t="b">
        <v>0</v>
      </c>
      <c r="AH630">
        <v>-1</v>
      </c>
      <c r="AI630" t="s">
        <v>64</v>
      </c>
      <c r="AJ630">
        <v>0</v>
      </c>
      <c r="AK630" t="b">
        <v>0</v>
      </c>
      <c r="AM630" t="b">
        <v>0</v>
      </c>
      <c r="AN630">
        <v>82410.37</v>
      </c>
      <c r="AO630" t="b">
        <v>0</v>
      </c>
      <c r="AQ630">
        <v>1370854471</v>
      </c>
      <c r="AR630">
        <v>1370854471</v>
      </c>
      <c r="AS630">
        <v>0</v>
      </c>
      <c r="AT630" t="b">
        <v>0</v>
      </c>
      <c r="AU630" t="b">
        <v>1</v>
      </c>
      <c r="AV630" t="b">
        <v>1</v>
      </c>
      <c r="AW630" t="b">
        <v>1</v>
      </c>
      <c r="BC630" t="s">
        <v>374</v>
      </c>
    </row>
    <row r="631" spans="1:55" x14ac:dyDescent="0.2">
      <c r="A631" t="s">
        <v>39</v>
      </c>
      <c r="B631" t="s">
        <v>40</v>
      </c>
      <c r="C631">
        <v>20240101</v>
      </c>
      <c r="D631">
        <v>2024</v>
      </c>
      <c r="E631">
        <v>52</v>
      </c>
      <c r="F631" t="s">
        <v>357</v>
      </c>
      <c r="G631">
        <v>616</v>
      </c>
      <c r="H631" t="s">
        <v>239</v>
      </c>
      <c r="I631" t="s">
        <v>240</v>
      </c>
      <c r="J631" t="s">
        <v>44</v>
      </c>
      <c r="K631" t="s">
        <v>45</v>
      </c>
      <c r="L631">
        <v>0</v>
      </c>
      <c r="M631" t="s">
        <v>46</v>
      </c>
      <c r="N631" t="s">
        <v>47</v>
      </c>
      <c r="O631">
        <v>0</v>
      </c>
      <c r="P631" t="s">
        <v>46</v>
      </c>
      <c r="Q631" t="s">
        <v>47</v>
      </c>
      <c r="R631" t="s">
        <v>347</v>
      </c>
      <c r="S631" t="s">
        <v>49</v>
      </c>
      <c r="T631" t="b">
        <v>1</v>
      </c>
      <c r="U631" t="s">
        <v>50</v>
      </c>
      <c r="V631" t="s">
        <v>51</v>
      </c>
      <c r="W631">
        <v>4</v>
      </c>
      <c r="X631" t="b">
        <v>0</v>
      </c>
      <c r="Y631" t="s">
        <v>52</v>
      </c>
      <c r="Z631" t="s">
        <v>53</v>
      </c>
      <c r="AA631" t="s">
        <v>54</v>
      </c>
      <c r="AB631">
        <v>0</v>
      </c>
      <c r="AC631" t="s">
        <v>55</v>
      </c>
      <c r="AD631">
        <v>8</v>
      </c>
      <c r="AE631" t="s">
        <v>56</v>
      </c>
      <c r="AF631">
        <v>3055.346</v>
      </c>
      <c r="AG631" t="b">
        <v>1</v>
      </c>
      <c r="AH631">
        <v>-1</v>
      </c>
      <c r="AI631" t="s">
        <v>64</v>
      </c>
      <c r="AJ631">
        <v>0</v>
      </c>
      <c r="AK631" t="b">
        <v>0</v>
      </c>
      <c r="AL631">
        <v>3644.212</v>
      </c>
      <c r="AM631" t="b">
        <v>1</v>
      </c>
      <c r="AN631">
        <v>0</v>
      </c>
      <c r="AO631" t="b">
        <v>0</v>
      </c>
      <c r="AQ631">
        <v>222673142</v>
      </c>
      <c r="AR631">
        <v>222673142</v>
      </c>
      <c r="AS631">
        <v>6</v>
      </c>
      <c r="AT631" t="b">
        <v>0</v>
      </c>
      <c r="AU631" t="b">
        <v>1</v>
      </c>
      <c r="AV631" t="b">
        <v>1</v>
      </c>
      <c r="AW631" t="b">
        <v>1</v>
      </c>
      <c r="BC631" t="s">
        <v>374</v>
      </c>
    </row>
    <row r="632" spans="1:55" x14ac:dyDescent="0.2">
      <c r="A632" t="s">
        <v>39</v>
      </c>
      <c r="B632" t="s">
        <v>40</v>
      </c>
      <c r="C632">
        <v>20240101</v>
      </c>
      <c r="D632">
        <v>2024</v>
      </c>
      <c r="E632">
        <v>52</v>
      </c>
      <c r="F632" t="s">
        <v>357</v>
      </c>
      <c r="G632">
        <v>620</v>
      </c>
      <c r="H632" t="s">
        <v>241</v>
      </c>
      <c r="I632" t="s">
        <v>242</v>
      </c>
      <c r="J632" t="s">
        <v>44</v>
      </c>
      <c r="K632" t="s">
        <v>45</v>
      </c>
      <c r="L632">
        <v>0</v>
      </c>
      <c r="M632" t="s">
        <v>46</v>
      </c>
      <c r="N632" t="s">
        <v>47</v>
      </c>
      <c r="O632">
        <v>0</v>
      </c>
      <c r="P632" t="s">
        <v>46</v>
      </c>
      <c r="Q632" t="s">
        <v>47</v>
      </c>
      <c r="R632" t="s">
        <v>347</v>
      </c>
      <c r="S632" t="s">
        <v>49</v>
      </c>
      <c r="T632" t="b">
        <v>1</v>
      </c>
      <c r="U632" t="s">
        <v>50</v>
      </c>
      <c r="V632" t="s">
        <v>51</v>
      </c>
      <c r="W632">
        <v>4</v>
      </c>
      <c r="X632" t="b">
        <v>0</v>
      </c>
      <c r="Y632" t="s">
        <v>52</v>
      </c>
      <c r="Z632" t="s">
        <v>53</v>
      </c>
      <c r="AA632" t="s">
        <v>54</v>
      </c>
      <c r="AB632">
        <v>0</v>
      </c>
      <c r="AC632" t="s">
        <v>55</v>
      </c>
      <c r="AD632">
        <v>8</v>
      </c>
      <c r="AE632" t="s">
        <v>56</v>
      </c>
      <c r="AF632">
        <v>3021.587</v>
      </c>
      <c r="AG632" t="b">
        <v>0</v>
      </c>
      <c r="AH632">
        <v>8</v>
      </c>
      <c r="AI632" t="s">
        <v>56</v>
      </c>
      <c r="AJ632">
        <v>3021.587</v>
      </c>
      <c r="AK632" t="b">
        <v>0</v>
      </c>
      <c r="AL632">
        <v>3018.1790000000001</v>
      </c>
      <c r="AM632" t="b">
        <v>0</v>
      </c>
      <c r="AN632">
        <v>0</v>
      </c>
      <c r="AO632" t="b">
        <v>0</v>
      </c>
      <c r="AQ632">
        <v>210865152.083</v>
      </c>
      <c r="AR632">
        <v>210865152.083</v>
      </c>
      <c r="AS632">
        <v>0</v>
      </c>
      <c r="AT632" t="b">
        <v>0</v>
      </c>
      <c r="AU632" t="b">
        <v>1</v>
      </c>
      <c r="AV632" t="b">
        <v>1</v>
      </c>
      <c r="AW632" t="b">
        <v>1</v>
      </c>
      <c r="BC632" t="s">
        <v>374</v>
      </c>
    </row>
    <row r="633" spans="1:55" x14ac:dyDescent="0.2">
      <c r="A633" t="s">
        <v>39</v>
      </c>
      <c r="B633" t="s">
        <v>40</v>
      </c>
      <c r="C633">
        <v>20240101</v>
      </c>
      <c r="D633">
        <v>2024</v>
      </c>
      <c r="E633">
        <v>52</v>
      </c>
      <c r="F633" t="s">
        <v>357</v>
      </c>
      <c r="G633">
        <v>634</v>
      </c>
      <c r="H633" t="s">
        <v>243</v>
      </c>
      <c r="I633" t="s">
        <v>244</v>
      </c>
      <c r="J633" t="s">
        <v>44</v>
      </c>
      <c r="K633" t="s">
        <v>45</v>
      </c>
      <c r="L633">
        <v>0</v>
      </c>
      <c r="M633" t="s">
        <v>46</v>
      </c>
      <c r="N633" t="s">
        <v>47</v>
      </c>
      <c r="O633">
        <v>0</v>
      </c>
      <c r="P633" t="s">
        <v>46</v>
      </c>
      <c r="Q633" t="s">
        <v>47</v>
      </c>
      <c r="R633" t="s">
        <v>347</v>
      </c>
      <c r="S633" t="s">
        <v>49</v>
      </c>
      <c r="T633" t="b">
        <v>1</v>
      </c>
      <c r="U633" t="s">
        <v>50</v>
      </c>
      <c r="V633" t="s">
        <v>51</v>
      </c>
      <c r="W633">
        <v>4</v>
      </c>
      <c r="X633" t="b">
        <v>0</v>
      </c>
      <c r="Y633" t="s">
        <v>52</v>
      </c>
      <c r="Z633" t="s">
        <v>53</v>
      </c>
      <c r="AA633" t="s">
        <v>54</v>
      </c>
      <c r="AB633">
        <v>0</v>
      </c>
      <c r="AC633" t="s">
        <v>55</v>
      </c>
      <c r="AD633">
        <v>-1</v>
      </c>
      <c r="AE633" t="s">
        <v>64</v>
      </c>
      <c r="AF633">
        <v>0</v>
      </c>
      <c r="AG633" t="b">
        <v>0</v>
      </c>
      <c r="AH633">
        <v>-1</v>
      </c>
      <c r="AI633" t="s">
        <v>64</v>
      </c>
      <c r="AJ633">
        <v>0</v>
      </c>
      <c r="AK633" t="b">
        <v>0</v>
      </c>
      <c r="AL633">
        <v>0</v>
      </c>
      <c r="AM633" t="b">
        <v>0</v>
      </c>
      <c r="AN633">
        <v>0</v>
      </c>
      <c r="AO633" t="b">
        <v>0</v>
      </c>
      <c r="AQ633">
        <v>2656980.449</v>
      </c>
      <c r="AR633">
        <v>2656980.449</v>
      </c>
      <c r="AS633">
        <v>0</v>
      </c>
      <c r="AT633" t="b">
        <v>0</v>
      </c>
      <c r="AU633" t="b">
        <v>1</v>
      </c>
      <c r="AV633" t="b">
        <v>1</v>
      </c>
      <c r="AW633" t="b">
        <v>1</v>
      </c>
      <c r="BC633" t="s">
        <v>374</v>
      </c>
    </row>
    <row r="634" spans="1:55" x14ac:dyDescent="0.2">
      <c r="A634" t="s">
        <v>39</v>
      </c>
      <c r="B634" t="s">
        <v>40</v>
      </c>
      <c r="C634">
        <v>20240101</v>
      </c>
      <c r="D634">
        <v>2024</v>
      </c>
      <c r="E634">
        <v>52</v>
      </c>
      <c r="F634" t="s">
        <v>357</v>
      </c>
      <c r="G634">
        <v>642</v>
      </c>
      <c r="H634" t="s">
        <v>358</v>
      </c>
      <c r="I634" t="s">
        <v>359</v>
      </c>
      <c r="J634" t="s">
        <v>44</v>
      </c>
      <c r="K634" t="s">
        <v>45</v>
      </c>
      <c r="L634">
        <v>0</v>
      </c>
      <c r="M634" t="s">
        <v>46</v>
      </c>
      <c r="N634" t="s">
        <v>47</v>
      </c>
      <c r="O634">
        <v>0</v>
      </c>
      <c r="P634" t="s">
        <v>46</v>
      </c>
      <c r="Q634" t="s">
        <v>47</v>
      </c>
      <c r="R634" t="s">
        <v>347</v>
      </c>
      <c r="S634" t="s">
        <v>49</v>
      </c>
      <c r="T634" t="b">
        <v>1</v>
      </c>
      <c r="U634" t="s">
        <v>50</v>
      </c>
      <c r="V634" t="s">
        <v>51</v>
      </c>
      <c r="W634">
        <v>4</v>
      </c>
      <c r="X634" t="b">
        <v>0</v>
      </c>
      <c r="Y634" t="s">
        <v>52</v>
      </c>
      <c r="Z634" t="s">
        <v>53</v>
      </c>
      <c r="AA634" t="s">
        <v>54</v>
      </c>
      <c r="AB634">
        <v>0</v>
      </c>
      <c r="AC634" t="s">
        <v>55</v>
      </c>
      <c r="AD634">
        <v>8</v>
      </c>
      <c r="AE634" t="s">
        <v>56</v>
      </c>
      <c r="AF634">
        <v>4735.8980000000001</v>
      </c>
      <c r="AG634" t="b">
        <v>1</v>
      </c>
      <c r="AH634">
        <v>-1</v>
      </c>
      <c r="AI634" t="s">
        <v>64</v>
      </c>
      <c r="AJ634">
        <v>0</v>
      </c>
      <c r="AK634" t="b">
        <v>0</v>
      </c>
      <c r="AL634">
        <v>4745.5079999999998</v>
      </c>
      <c r="AM634" t="b">
        <v>1</v>
      </c>
      <c r="AN634">
        <v>0</v>
      </c>
      <c r="AO634" t="b">
        <v>0</v>
      </c>
      <c r="AQ634">
        <v>239627122.78999999</v>
      </c>
      <c r="AR634">
        <v>239627122.78999999</v>
      </c>
      <c r="AS634">
        <v>6</v>
      </c>
      <c r="AT634" t="b">
        <v>0</v>
      </c>
      <c r="AU634" t="b">
        <v>1</v>
      </c>
      <c r="AV634" t="b">
        <v>1</v>
      </c>
      <c r="AW634" t="b">
        <v>1</v>
      </c>
      <c r="BC634" t="s">
        <v>374</v>
      </c>
    </row>
    <row r="635" spans="1:55" x14ac:dyDescent="0.2">
      <c r="A635" t="s">
        <v>39</v>
      </c>
      <c r="B635" t="s">
        <v>40</v>
      </c>
      <c r="C635">
        <v>20240101</v>
      </c>
      <c r="D635">
        <v>2024</v>
      </c>
      <c r="E635">
        <v>52</v>
      </c>
      <c r="F635" t="s">
        <v>357</v>
      </c>
      <c r="G635">
        <v>682</v>
      </c>
      <c r="H635" t="s">
        <v>249</v>
      </c>
      <c r="I635" t="s">
        <v>250</v>
      </c>
      <c r="J635" t="s">
        <v>44</v>
      </c>
      <c r="K635" t="s">
        <v>45</v>
      </c>
      <c r="L635">
        <v>0</v>
      </c>
      <c r="M635" t="s">
        <v>46</v>
      </c>
      <c r="N635" t="s">
        <v>47</v>
      </c>
      <c r="O635">
        <v>0</v>
      </c>
      <c r="P635" t="s">
        <v>46</v>
      </c>
      <c r="Q635" t="s">
        <v>47</v>
      </c>
      <c r="R635" t="s">
        <v>347</v>
      </c>
      <c r="S635" t="s">
        <v>49</v>
      </c>
      <c r="T635" t="b">
        <v>1</v>
      </c>
      <c r="U635" t="s">
        <v>50</v>
      </c>
      <c r="V635" t="s">
        <v>51</v>
      </c>
      <c r="W635">
        <v>4</v>
      </c>
      <c r="X635" t="b">
        <v>0</v>
      </c>
      <c r="Y635" t="s">
        <v>52</v>
      </c>
      <c r="Z635" t="s">
        <v>53</v>
      </c>
      <c r="AA635" t="s">
        <v>54</v>
      </c>
      <c r="AB635">
        <v>0</v>
      </c>
      <c r="AC635" t="s">
        <v>55</v>
      </c>
      <c r="AD635">
        <v>8</v>
      </c>
      <c r="AE635" t="s">
        <v>56</v>
      </c>
      <c r="AF635">
        <v>23448</v>
      </c>
      <c r="AG635" t="b">
        <v>0</v>
      </c>
      <c r="AH635">
        <v>8</v>
      </c>
      <c r="AI635" t="s">
        <v>56</v>
      </c>
      <c r="AJ635">
        <v>23448</v>
      </c>
      <c r="AK635" t="b">
        <v>0</v>
      </c>
      <c r="AL635">
        <v>23448</v>
      </c>
      <c r="AM635" t="b">
        <v>0</v>
      </c>
      <c r="AN635">
        <v>0</v>
      </c>
      <c r="AO635" t="b">
        <v>0</v>
      </c>
      <c r="AQ635">
        <v>1774921463.6270001</v>
      </c>
      <c r="AR635">
        <v>1774921463.6270001</v>
      </c>
      <c r="AS635">
        <v>0</v>
      </c>
      <c r="AT635" t="b">
        <v>0</v>
      </c>
      <c r="AU635" t="b">
        <v>1</v>
      </c>
      <c r="AV635" t="b">
        <v>1</v>
      </c>
      <c r="AW635" t="b">
        <v>1</v>
      </c>
      <c r="BC635" t="s">
        <v>374</v>
      </c>
    </row>
    <row r="636" spans="1:55" x14ac:dyDescent="0.2">
      <c r="A636" t="s">
        <v>39</v>
      </c>
      <c r="B636" t="s">
        <v>40</v>
      </c>
      <c r="C636">
        <v>20240101</v>
      </c>
      <c r="D636">
        <v>2024</v>
      </c>
      <c r="E636">
        <v>52</v>
      </c>
      <c r="F636" t="s">
        <v>357</v>
      </c>
      <c r="G636">
        <v>686</v>
      </c>
      <c r="H636" t="s">
        <v>251</v>
      </c>
      <c r="I636" t="s">
        <v>252</v>
      </c>
      <c r="J636" t="s">
        <v>44</v>
      </c>
      <c r="K636" t="s">
        <v>45</v>
      </c>
      <c r="L636">
        <v>0</v>
      </c>
      <c r="M636" t="s">
        <v>46</v>
      </c>
      <c r="N636" t="s">
        <v>47</v>
      </c>
      <c r="O636">
        <v>0</v>
      </c>
      <c r="P636" t="s">
        <v>46</v>
      </c>
      <c r="Q636" t="s">
        <v>47</v>
      </c>
      <c r="R636" t="s">
        <v>347</v>
      </c>
      <c r="S636" t="s">
        <v>49</v>
      </c>
      <c r="T636" t="b">
        <v>1</v>
      </c>
      <c r="U636" t="s">
        <v>50</v>
      </c>
      <c r="V636" t="s">
        <v>51</v>
      </c>
      <c r="W636">
        <v>4</v>
      </c>
      <c r="X636" t="b">
        <v>0</v>
      </c>
      <c r="Y636" t="s">
        <v>52</v>
      </c>
      <c r="Z636" t="s">
        <v>53</v>
      </c>
      <c r="AA636" t="s">
        <v>54</v>
      </c>
      <c r="AB636">
        <v>0</v>
      </c>
      <c r="AC636" t="s">
        <v>55</v>
      </c>
      <c r="AD636">
        <v>8</v>
      </c>
      <c r="AE636" t="s">
        <v>56</v>
      </c>
      <c r="AF636">
        <v>14597</v>
      </c>
      <c r="AG636" t="b">
        <v>0</v>
      </c>
      <c r="AH636">
        <v>8</v>
      </c>
      <c r="AI636" t="s">
        <v>56</v>
      </c>
      <c r="AJ636">
        <v>14597</v>
      </c>
      <c r="AK636" t="b">
        <v>0</v>
      </c>
      <c r="AL636">
        <v>14597</v>
      </c>
      <c r="AM636" t="b">
        <v>0</v>
      </c>
      <c r="AN636">
        <v>0</v>
      </c>
      <c r="AO636" t="b">
        <v>0</v>
      </c>
      <c r="AQ636">
        <v>930217713.69799995</v>
      </c>
      <c r="AR636">
        <v>930217713.69799995</v>
      </c>
      <c r="AS636">
        <v>0</v>
      </c>
      <c r="AT636" t="b">
        <v>0</v>
      </c>
      <c r="AU636" t="b">
        <v>1</v>
      </c>
      <c r="AV636" t="b">
        <v>1</v>
      </c>
      <c r="AW636" t="b">
        <v>1</v>
      </c>
      <c r="BC636" t="s">
        <v>374</v>
      </c>
    </row>
    <row r="637" spans="1:55" x14ac:dyDescent="0.2">
      <c r="A637" t="s">
        <v>39</v>
      </c>
      <c r="B637" t="s">
        <v>40</v>
      </c>
      <c r="C637">
        <v>20240101</v>
      </c>
      <c r="D637">
        <v>2024</v>
      </c>
      <c r="E637">
        <v>52</v>
      </c>
      <c r="F637" t="s">
        <v>357</v>
      </c>
      <c r="G637">
        <v>688</v>
      </c>
      <c r="H637" t="s">
        <v>253</v>
      </c>
      <c r="I637" t="s">
        <v>254</v>
      </c>
      <c r="J637" t="s">
        <v>44</v>
      </c>
      <c r="K637" t="s">
        <v>45</v>
      </c>
      <c r="L637">
        <v>0</v>
      </c>
      <c r="M637" t="s">
        <v>46</v>
      </c>
      <c r="N637" t="s">
        <v>47</v>
      </c>
      <c r="O637">
        <v>0</v>
      </c>
      <c r="P637" t="s">
        <v>46</v>
      </c>
      <c r="Q637" t="s">
        <v>47</v>
      </c>
      <c r="R637" t="s">
        <v>347</v>
      </c>
      <c r="S637" t="s">
        <v>49</v>
      </c>
      <c r="T637" t="b">
        <v>1</v>
      </c>
      <c r="U637" t="s">
        <v>50</v>
      </c>
      <c r="V637" t="s">
        <v>51</v>
      </c>
      <c r="W637">
        <v>4</v>
      </c>
      <c r="X637" t="b">
        <v>0</v>
      </c>
      <c r="Y637" t="s">
        <v>52</v>
      </c>
      <c r="Z637" t="s">
        <v>53</v>
      </c>
      <c r="AA637" t="s">
        <v>54</v>
      </c>
      <c r="AB637">
        <v>0</v>
      </c>
      <c r="AC637" t="s">
        <v>55</v>
      </c>
      <c r="AD637">
        <v>8</v>
      </c>
      <c r="AE637" t="s">
        <v>56</v>
      </c>
      <c r="AF637">
        <v>376.81</v>
      </c>
      <c r="AG637" t="b">
        <v>0</v>
      </c>
      <c r="AH637">
        <v>8</v>
      </c>
      <c r="AI637" t="s">
        <v>56</v>
      </c>
      <c r="AJ637">
        <v>376.81</v>
      </c>
      <c r="AK637" t="b">
        <v>0</v>
      </c>
      <c r="AL637">
        <v>376.63</v>
      </c>
      <c r="AM637" t="b">
        <v>0</v>
      </c>
      <c r="AN637">
        <v>0</v>
      </c>
      <c r="AO637" t="b">
        <v>0</v>
      </c>
      <c r="AQ637">
        <v>18631277</v>
      </c>
      <c r="AR637">
        <v>18631277</v>
      </c>
      <c r="AS637">
        <v>0</v>
      </c>
      <c r="AT637" t="b">
        <v>0</v>
      </c>
      <c r="AU637" t="b">
        <v>1</v>
      </c>
      <c r="AV637" t="b">
        <v>1</v>
      </c>
      <c r="AW637" t="b">
        <v>1</v>
      </c>
      <c r="BC637" t="s">
        <v>374</v>
      </c>
    </row>
    <row r="638" spans="1:55" x14ac:dyDescent="0.2">
      <c r="A638" t="s">
        <v>39</v>
      </c>
      <c r="B638" t="s">
        <v>40</v>
      </c>
      <c r="C638">
        <v>20240101</v>
      </c>
      <c r="D638">
        <v>2024</v>
      </c>
      <c r="E638">
        <v>52</v>
      </c>
      <c r="F638" t="s">
        <v>357</v>
      </c>
      <c r="G638">
        <v>699</v>
      </c>
      <c r="H638" t="s">
        <v>255</v>
      </c>
      <c r="I638" t="s">
        <v>256</v>
      </c>
      <c r="J638" t="s">
        <v>44</v>
      </c>
      <c r="K638" t="s">
        <v>45</v>
      </c>
      <c r="L638">
        <v>0</v>
      </c>
      <c r="M638" t="s">
        <v>46</v>
      </c>
      <c r="N638" t="s">
        <v>47</v>
      </c>
      <c r="O638">
        <v>0</v>
      </c>
      <c r="P638" t="s">
        <v>46</v>
      </c>
      <c r="Q638" t="s">
        <v>47</v>
      </c>
      <c r="R638" t="s">
        <v>347</v>
      </c>
      <c r="S638" t="s">
        <v>49</v>
      </c>
      <c r="T638" t="b">
        <v>1</v>
      </c>
      <c r="U638" t="s">
        <v>50</v>
      </c>
      <c r="V638" t="s">
        <v>51</v>
      </c>
      <c r="W638">
        <v>4</v>
      </c>
      <c r="X638" t="b">
        <v>0</v>
      </c>
      <c r="Y638" t="s">
        <v>52</v>
      </c>
      <c r="Z638" t="s">
        <v>53</v>
      </c>
      <c r="AA638" t="s">
        <v>54</v>
      </c>
      <c r="AB638">
        <v>0</v>
      </c>
      <c r="AC638" t="s">
        <v>55</v>
      </c>
      <c r="AD638">
        <v>8</v>
      </c>
      <c r="AE638" t="s">
        <v>56</v>
      </c>
      <c r="AF638">
        <v>5069.5739999999996</v>
      </c>
      <c r="AG638" t="b">
        <v>1</v>
      </c>
      <c r="AH638">
        <v>-1</v>
      </c>
      <c r="AI638" t="s">
        <v>64</v>
      </c>
      <c r="AJ638">
        <v>0</v>
      </c>
      <c r="AK638" t="b">
        <v>0</v>
      </c>
      <c r="AL638">
        <v>5069.5739999999996</v>
      </c>
      <c r="AM638" t="b">
        <v>1</v>
      </c>
      <c r="AN638">
        <v>0</v>
      </c>
      <c r="AO638" t="b">
        <v>0</v>
      </c>
      <c r="AQ638">
        <v>347236208.792</v>
      </c>
      <c r="AR638">
        <v>347236208.792</v>
      </c>
      <c r="AS638">
        <v>6</v>
      </c>
      <c r="AT638" t="b">
        <v>0</v>
      </c>
      <c r="AU638" t="b">
        <v>1</v>
      </c>
      <c r="AV638" t="b">
        <v>1</v>
      </c>
      <c r="AW638" t="b">
        <v>1</v>
      </c>
      <c r="BC638" t="s">
        <v>374</v>
      </c>
    </row>
    <row r="639" spans="1:55" x14ac:dyDescent="0.2">
      <c r="A639" t="s">
        <v>39</v>
      </c>
      <c r="B639" t="s">
        <v>40</v>
      </c>
      <c r="C639">
        <v>20240101</v>
      </c>
      <c r="D639">
        <v>2024</v>
      </c>
      <c r="E639">
        <v>52</v>
      </c>
      <c r="F639" t="s">
        <v>357</v>
      </c>
      <c r="G639">
        <v>703</v>
      </c>
      <c r="H639" t="s">
        <v>259</v>
      </c>
      <c r="I639" t="s">
        <v>260</v>
      </c>
      <c r="J639" t="s">
        <v>44</v>
      </c>
      <c r="K639" t="s">
        <v>45</v>
      </c>
      <c r="L639">
        <v>0</v>
      </c>
      <c r="M639" t="s">
        <v>46</v>
      </c>
      <c r="N639" t="s">
        <v>47</v>
      </c>
      <c r="O639">
        <v>0</v>
      </c>
      <c r="P639" t="s">
        <v>46</v>
      </c>
      <c r="Q639" t="s">
        <v>47</v>
      </c>
      <c r="R639" t="s">
        <v>347</v>
      </c>
      <c r="S639" t="s">
        <v>49</v>
      </c>
      <c r="T639" t="b">
        <v>1</v>
      </c>
      <c r="U639" t="s">
        <v>50</v>
      </c>
      <c r="V639" t="s">
        <v>51</v>
      </c>
      <c r="W639">
        <v>4</v>
      </c>
      <c r="X639" t="b">
        <v>0</v>
      </c>
      <c r="Y639" t="s">
        <v>52</v>
      </c>
      <c r="Z639" t="s">
        <v>53</v>
      </c>
      <c r="AA639" t="s">
        <v>54</v>
      </c>
      <c r="AB639">
        <v>0</v>
      </c>
      <c r="AC639" t="s">
        <v>55</v>
      </c>
      <c r="AD639">
        <v>8</v>
      </c>
      <c r="AE639" t="s">
        <v>56</v>
      </c>
      <c r="AF639">
        <v>826.77700000000004</v>
      </c>
      <c r="AG639" t="b">
        <v>0</v>
      </c>
      <c r="AH639">
        <v>15</v>
      </c>
      <c r="AI639" t="s">
        <v>59</v>
      </c>
      <c r="AJ639">
        <v>826777</v>
      </c>
      <c r="AK639" t="b">
        <v>0</v>
      </c>
      <c r="AM639" t="b">
        <v>0</v>
      </c>
      <c r="AN639">
        <v>0</v>
      </c>
      <c r="AO639" t="b">
        <v>0</v>
      </c>
      <c r="AQ639">
        <v>32392244.164000001</v>
      </c>
      <c r="AR639">
        <v>32392244.164000001</v>
      </c>
      <c r="AS639">
        <v>0</v>
      </c>
      <c r="AT639" t="b">
        <v>0</v>
      </c>
      <c r="AU639" t="b">
        <v>1</v>
      </c>
      <c r="AV639" t="b">
        <v>1</v>
      </c>
      <c r="AW639" t="b">
        <v>1</v>
      </c>
      <c r="BC639" t="s">
        <v>374</v>
      </c>
    </row>
    <row r="640" spans="1:55" x14ac:dyDescent="0.2">
      <c r="A640" t="s">
        <v>39</v>
      </c>
      <c r="B640" t="s">
        <v>40</v>
      </c>
      <c r="C640">
        <v>20240101</v>
      </c>
      <c r="D640">
        <v>2024</v>
      </c>
      <c r="E640">
        <v>52</v>
      </c>
      <c r="F640" t="s">
        <v>357</v>
      </c>
      <c r="G640">
        <v>705</v>
      </c>
      <c r="H640" t="s">
        <v>263</v>
      </c>
      <c r="I640" t="s">
        <v>264</v>
      </c>
      <c r="J640" t="s">
        <v>44</v>
      </c>
      <c r="K640" t="s">
        <v>45</v>
      </c>
      <c r="L640">
        <v>0</v>
      </c>
      <c r="M640" t="s">
        <v>46</v>
      </c>
      <c r="N640" t="s">
        <v>47</v>
      </c>
      <c r="O640">
        <v>0</v>
      </c>
      <c r="P640" t="s">
        <v>46</v>
      </c>
      <c r="Q640" t="s">
        <v>47</v>
      </c>
      <c r="R640" t="s">
        <v>347</v>
      </c>
      <c r="S640" t="s">
        <v>49</v>
      </c>
      <c r="T640" t="b">
        <v>1</v>
      </c>
      <c r="U640" t="s">
        <v>50</v>
      </c>
      <c r="V640" t="s">
        <v>51</v>
      </c>
      <c r="W640">
        <v>4</v>
      </c>
      <c r="X640" t="b">
        <v>0</v>
      </c>
      <c r="Y640" t="s">
        <v>52</v>
      </c>
      <c r="Z640" t="s">
        <v>53</v>
      </c>
      <c r="AA640" t="s">
        <v>54</v>
      </c>
      <c r="AB640">
        <v>0</v>
      </c>
      <c r="AC640" t="s">
        <v>55</v>
      </c>
      <c r="AD640">
        <v>8</v>
      </c>
      <c r="AE640" t="s">
        <v>56</v>
      </c>
      <c r="AF640">
        <v>457.05500000000001</v>
      </c>
      <c r="AG640" t="b">
        <v>0</v>
      </c>
      <c r="AH640">
        <v>15</v>
      </c>
      <c r="AI640" t="s">
        <v>59</v>
      </c>
      <c r="AJ640">
        <v>457054.62</v>
      </c>
      <c r="AK640" t="b">
        <v>0</v>
      </c>
      <c r="AL640">
        <v>464.43099999999998</v>
      </c>
      <c r="AM640" t="b">
        <v>0</v>
      </c>
      <c r="AN640">
        <v>0</v>
      </c>
      <c r="AO640" t="b">
        <v>0</v>
      </c>
      <c r="AQ640">
        <v>35816286.375</v>
      </c>
      <c r="AR640">
        <v>35816286.375</v>
      </c>
      <c r="AS640">
        <v>0</v>
      </c>
      <c r="AT640" t="b">
        <v>0</v>
      </c>
      <c r="AU640" t="b">
        <v>1</v>
      </c>
      <c r="AV640" t="b">
        <v>1</v>
      </c>
      <c r="AW640" t="b">
        <v>1</v>
      </c>
      <c r="BC640" t="s">
        <v>374</v>
      </c>
    </row>
    <row r="641" spans="1:55" x14ac:dyDescent="0.2">
      <c r="A641" t="s">
        <v>39</v>
      </c>
      <c r="B641" t="s">
        <v>40</v>
      </c>
      <c r="C641">
        <v>20240101</v>
      </c>
      <c r="D641">
        <v>2024</v>
      </c>
      <c r="E641">
        <v>52</v>
      </c>
      <c r="F641" t="s">
        <v>357</v>
      </c>
      <c r="G641">
        <v>710</v>
      </c>
      <c r="H641" t="s">
        <v>265</v>
      </c>
      <c r="I641" t="s">
        <v>266</v>
      </c>
      <c r="J641" t="s">
        <v>44</v>
      </c>
      <c r="K641" t="s">
        <v>45</v>
      </c>
      <c r="L641">
        <v>0</v>
      </c>
      <c r="M641" t="s">
        <v>46</v>
      </c>
      <c r="N641" t="s">
        <v>47</v>
      </c>
      <c r="O641">
        <v>0</v>
      </c>
      <c r="P641" t="s">
        <v>46</v>
      </c>
      <c r="Q641" t="s">
        <v>47</v>
      </c>
      <c r="R641" t="s">
        <v>347</v>
      </c>
      <c r="S641" t="s">
        <v>49</v>
      </c>
      <c r="T641" t="b">
        <v>1</v>
      </c>
      <c r="U641" t="s">
        <v>50</v>
      </c>
      <c r="V641" t="s">
        <v>51</v>
      </c>
      <c r="W641">
        <v>4</v>
      </c>
      <c r="X641" t="b">
        <v>0</v>
      </c>
      <c r="Y641" t="s">
        <v>52</v>
      </c>
      <c r="Z641" t="s">
        <v>53</v>
      </c>
      <c r="AA641" t="s">
        <v>54</v>
      </c>
      <c r="AB641">
        <v>0</v>
      </c>
      <c r="AC641" t="s">
        <v>55</v>
      </c>
      <c r="AD641">
        <v>-1</v>
      </c>
      <c r="AE641" t="s">
        <v>64</v>
      </c>
      <c r="AF641">
        <v>0</v>
      </c>
      <c r="AG641" t="b">
        <v>0</v>
      </c>
      <c r="AH641">
        <v>-1</v>
      </c>
      <c r="AI641" t="s">
        <v>64</v>
      </c>
      <c r="AJ641">
        <v>0</v>
      </c>
      <c r="AK641" t="b">
        <v>0</v>
      </c>
      <c r="AM641" t="b">
        <v>0</v>
      </c>
      <c r="AN641">
        <v>0</v>
      </c>
      <c r="AO641" t="b">
        <v>0</v>
      </c>
      <c r="AQ641">
        <v>8169098823.7819996</v>
      </c>
      <c r="AR641">
        <v>8169098823.7819996</v>
      </c>
      <c r="AS641">
        <v>0</v>
      </c>
      <c r="AT641" t="b">
        <v>0</v>
      </c>
      <c r="AU641" t="b">
        <v>1</v>
      </c>
      <c r="AV641" t="b">
        <v>1</v>
      </c>
      <c r="AW641" t="b">
        <v>1</v>
      </c>
      <c r="BC641" t="s">
        <v>374</v>
      </c>
    </row>
    <row r="642" spans="1:55" x14ac:dyDescent="0.2">
      <c r="A642" t="s">
        <v>39</v>
      </c>
      <c r="B642" t="s">
        <v>40</v>
      </c>
      <c r="C642">
        <v>20240101</v>
      </c>
      <c r="D642">
        <v>2024</v>
      </c>
      <c r="E642">
        <v>52</v>
      </c>
      <c r="F642" t="s">
        <v>357</v>
      </c>
      <c r="G642">
        <v>716</v>
      </c>
      <c r="H642" t="s">
        <v>267</v>
      </c>
      <c r="I642" t="s">
        <v>268</v>
      </c>
      <c r="J642" t="s">
        <v>44</v>
      </c>
      <c r="K642" t="s">
        <v>45</v>
      </c>
      <c r="L642">
        <v>0</v>
      </c>
      <c r="M642" t="s">
        <v>46</v>
      </c>
      <c r="N642" t="s">
        <v>47</v>
      </c>
      <c r="O642">
        <v>0</v>
      </c>
      <c r="P642" t="s">
        <v>46</v>
      </c>
      <c r="Q642" t="s">
        <v>47</v>
      </c>
      <c r="R642" t="s">
        <v>347</v>
      </c>
      <c r="S642" t="s">
        <v>49</v>
      </c>
      <c r="T642" t="b">
        <v>1</v>
      </c>
      <c r="U642" t="s">
        <v>50</v>
      </c>
      <c r="V642" t="s">
        <v>51</v>
      </c>
      <c r="W642">
        <v>4</v>
      </c>
      <c r="X642" t="b">
        <v>0</v>
      </c>
      <c r="Y642" t="s">
        <v>52</v>
      </c>
      <c r="Z642" t="s">
        <v>53</v>
      </c>
      <c r="AA642" t="s">
        <v>54</v>
      </c>
      <c r="AB642">
        <v>0</v>
      </c>
      <c r="AC642" t="s">
        <v>55</v>
      </c>
      <c r="AD642">
        <v>8</v>
      </c>
      <c r="AE642" t="s">
        <v>56</v>
      </c>
      <c r="AF642">
        <v>33582.701999999997</v>
      </c>
      <c r="AG642" t="b">
        <v>1</v>
      </c>
      <c r="AH642">
        <v>-1</v>
      </c>
      <c r="AI642" t="s">
        <v>64</v>
      </c>
      <c r="AJ642">
        <v>0</v>
      </c>
      <c r="AK642" t="b">
        <v>0</v>
      </c>
      <c r="AL642">
        <v>34145.462</v>
      </c>
      <c r="AM642" t="b">
        <v>1</v>
      </c>
      <c r="AN642">
        <v>0</v>
      </c>
      <c r="AO642" t="b">
        <v>0</v>
      </c>
      <c r="AQ642">
        <v>2524753692.335</v>
      </c>
      <c r="AR642">
        <v>2524753692.335</v>
      </c>
      <c r="AS642">
        <v>6</v>
      </c>
      <c r="AT642" t="b">
        <v>0</v>
      </c>
      <c r="AU642" t="b">
        <v>1</v>
      </c>
      <c r="AV642" t="b">
        <v>1</v>
      </c>
      <c r="AW642" t="b">
        <v>1</v>
      </c>
      <c r="BC642" t="s">
        <v>374</v>
      </c>
    </row>
    <row r="643" spans="1:55" x14ac:dyDescent="0.2">
      <c r="A643" t="s">
        <v>39</v>
      </c>
      <c r="B643" t="s">
        <v>40</v>
      </c>
      <c r="C643">
        <v>20240101</v>
      </c>
      <c r="D643">
        <v>2024</v>
      </c>
      <c r="E643">
        <v>52</v>
      </c>
      <c r="F643" t="s">
        <v>357</v>
      </c>
      <c r="G643">
        <v>724</v>
      </c>
      <c r="H643" t="s">
        <v>269</v>
      </c>
      <c r="I643" t="s">
        <v>270</v>
      </c>
      <c r="J643" t="s">
        <v>44</v>
      </c>
      <c r="K643" t="s">
        <v>45</v>
      </c>
      <c r="L643">
        <v>0</v>
      </c>
      <c r="M643" t="s">
        <v>46</v>
      </c>
      <c r="N643" t="s">
        <v>47</v>
      </c>
      <c r="O643">
        <v>0</v>
      </c>
      <c r="P643" t="s">
        <v>46</v>
      </c>
      <c r="Q643" t="s">
        <v>47</v>
      </c>
      <c r="R643" t="s">
        <v>347</v>
      </c>
      <c r="S643" t="s">
        <v>49</v>
      </c>
      <c r="T643" t="b">
        <v>1</v>
      </c>
      <c r="U643" t="s">
        <v>50</v>
      </c>
      <c r="V643" t="s">
        <v>51</v>
      </c>
      <c r="W643">
        <v>4</v>
      </c>
      <c r="X643" t="b">
        <v>0</v>
      </c>
      <c r="Y643" t="s">
        <v>52</v>
      </c>
      <c r="Z643" t="s">
        <v>53</v>
      </c>
      <c r="AA643" t="s">
        <v>54</v>
      </c>
      <c r="AB643">
        <v>0</v>
      </c>
      <c r="AC643" t="s">
        <v>55</v>
      </c>
      <c r="AD643">
        <v>-1</v>
      </c>
      <c r="AE643" t="s">
        <v>64</v>
      </c>
      <c r="AF643">
        <v>0</v>
      </c>
      <c r="AG643" t="b">
        <v>0</v>
      </c>
      <c r="AH643">
        <v>-1</v>
      </c>
      <c r="AI643" t="s">
        <v>64</v>
      </c>
      <c r="AJ643">
        <v>0</v>
      </c>
      <c r="AK643" t="b">
        <v>0</v>
      </c>
      <c r="AM643" t="b">
        <v>0</v>
      </c>
      <c r="AN643">
        <v>0</v>
      </c>
      <c r="AO643" t="b">
        <v>0</v>
      </c>
      <c r="AQ643">
        <v>3190433828.2329998</v>
      </c>
      <c r="AR643">
        <v>3190433828.2329998</v>
      </c>
      <c r="AS643">
        <v>0</v>
      </c>
      <c r="AT643" t="b">
        <v>0</v>
      </c>
      <c r="AU643" t="b">
        <v>1</v>
      </c>
      <c r="AV643" t="b">
        <v>1</v>
      </c>
      <c r="AW643" t="b">
        <v>1</v>
      </c>
      <c r="BC643" t="s">
        <v>374</v>
      </c>
    </row>
    <row r="644" spans="1:55" x14ac:dyDescent="0.2">
      <c r="A644" t="s">
        <v>39</v>
      </c>
      <c r="B644" t="s">
        <v>40</v>
      </c>
      <c r="C644">
        <v>20240101</v>
      </c>
      <c r="D644">
        <v>2024</v>
      </c>
      <c r="E644">
        <v>52</v>
      </c>
      <c r="F644" t="s">
        <v>357</v>
      </c>
      <c r="G644">
        <v>740</v>
      </c>
      <c r="H644" t="s">
        <v>271</v>
      </c>
      <c r="I644" t="s">
        <v>272</v>
      </c>
      <c r="J644" t="s">
        <v>44</v>
      </c>
      <c r="K644" t="s">
        <v>45</v>
      </c>
      <c r="L644">
        <v>0</v>
      </c>
      <c r="M644" t="s">
        <v>46</v>
      </c>
      <c r="N644" t="s">
        <v>47</v>
      </c>
      <c r="O644">
        <v>0</v>
      </c>
      <c r="P644" t="s">
        <v>46</v>
      </c>
      <c r="Q644" t="s">
        <v>47</v>
      </c>
      <c r="R644" t="s">
        <v>136</v>
      </c>
      <c r="S644" t="s">
        <v>49</v>
      </c>
      <c r="T644" t="b">
        <v>1</v>
      </c>
      <c r="U644" t="s">
        <v>50</v>
      </c>
      <c r="V644" t="s">
        <v>51</v>
      </c>
      <c r="W644">
        <v>4</v>
      </c>
      <c r="X644" t="b">
        <v>0</v>
      </c>
      <c r="Y644" t="s">
        <v>52</v>
      </c>
      <c r="Z644" t="s">
        <v>53</v>
      </c>
      <c r="AA644" t="s">
        <v>54</v>
      </c>
      <c r="AB644">
        <v>0</v>
      </c>
      <c r="AC644" t="s">
        <v>55</v>
      </c>
      <c r="AD644">
        <v>8</v>
      </c>
      <c r="AE644" t="s">
        <v>56</v>
      </c>
      <c r="AF644">
        <v>10088.896000000001</v>
      </c>
      <c r="AG644" t="b">
        <v>0</v>
      </c>
      <c r="AH644">
        <v>-1</v>
      </c>
      <c r="AI644" t="s">
        <v>64</v>
      </c>
      <c r="AJ644">
        <v>0</v>
      </c>
      <c r="AK644" t="b">
        <v>0</v>
      </c>
      <c r="AL644">
        <v>14311.32</v>
      </c>
      <c r="AM644" t="b">
        <v>0</v>
      </c>
      <c r="AN644">
        <v>15275.58</v>
      </c>
      <c r="AO644" t="b">
        <v>0</v>
      </c>
      <c r="AQ644">
        <v>1006039075.406</v>
      </c>
      <c r="AR644">
        <v>1006039075.406</v>
      </c>
      <c r="AS644">
        <v>0</v>
      </c>
      <c r="AT644" t="b">
        <v>0</v>
      </c>
      <c r="AU644" t="b">
        <v>1</v>
      </c>
      <c r="AV644" t="b">
        <v>1</v>
      </c>
      <c r="AW644" t="b">
        <v>1</v>
      </c>
      <c r="BC644" t="s">
        <v>374</v>
      </c>
    </row>
    <row r="645" spans="1:55" x14ac:dyDescent="0.2">
      <c r="A645" t="s">
        <v>39</v>
      </c>
      <c r="B645" t="s">
        <v>40</v>
      </c>
      <c r="C645">
        <v>20240101</v>
      </c>
      <c r="D645">
        <v>2024</v>
      </c>
      <c r="E645">
        <v>52</v>
      </c>
      <c r="F645" t="s">
        <v>357</v>
      </c>
      <c r="G645">
        <v>752</v>
      </c>
      <c r="H645" t="s">
        <v>275</v>
      </c>
      <c r="I645" t="s">
        <v>276</v>
      </c>
      <c r="J645" t="s">
        <v>44</v>
      </c>
      <c r="K645" t="s">
        <v>45</v>
      </c>
      <c r="L645">
        <v>0</v>
      </c>
      <c r="M645" t="s">
        <v>46</v>
      </c>
      <c r="N645" t="s">
        <v>47</v>
      </c>
      <c r="O645">
        <v>0</v>
      </c>
      <c r="P645" t="s">
        <v>46</v>
      </c>
      <c r="Q645" t="s">
        <v>47</v>
      </c>
      <c r="R645" t="s">
        <v>347</v>
      </c>
      <c r="S645" t="s">
        <v>49</v>
      </c>
      <c r="T645" t="b">
        <v>1</v>
      </c>
      <c r="U645" t="s">
        <v>50</v>
      </c>
      <c r="V645" t="s">
        <v>51</v>
      </c>
      <c r="W645">
        <v>4</v>
      </c>
      <c r="X645" t="b">
        <v>0</v>
      </c>
      <c r="Y645" t="s">
        <v>52</v>
      </c>
      <c r="Z645" t="s">
        <v>53</v>
      </c>
      <c r="AA645" t="s">
        <v>54</v>
      </c>
      <c r="AB645">
        <v>0</v>
      </c>
      <c r="AC645" t="s">
        <v>55</v>
      </c>
      <c r="AD645">
        <v>8</v>
      </c>
      <c r="AE645" t="s">
        <v>56</v>
      </c>
      <c r="AF645">
        <v>9420.8050000000003</v>
      </c>
      <c r="AG645" t="b">
        <v>1</v>
      </c>
      <c r="AH645">
        <v>-1</v>
      </c>
      <c r="AI645" t="s">
        <v>64</v>
      </c>
      <c r="AJ645">
        <v>0</v>
      </c>
      <c r="AK645" t="b">
        <v>0</v>
      </c>
      <c r="AL645">
        <v>10557.072</v>
      </c>
      <c r="AM645" t="b">
        <v>1</v>
      </c>
      <c r="AN645">
        <v>0</v>
      </c>
      <c r="AO645" t="b">
        <v>0</v>
      </c>
      <c r="AQ645">
        <v>764704317.097</v>
      </c>
      <c r="AR645">
        <v>764704317.097</v>
      </c>
      <c r="AS645">
        <v>6</v>
      </c>
      <c r="AT645" t="b">
        <v>0</v>
      </c>
      <c r="AU645" t="b">
        <v>1</v>
      </c>
      <c r="AV645" t="b">
        <v>1</v>
      </c>
      <c r="AW645" t="b">
        <v>1</v>
      </c>
      <c r="BC645" t="s">
        <v>374</v>
      </c>
    </row>
    <row r="646" spans="1:55" x14ac:dyDescent="0.2">
      <c r="A646" t="s">
        <v>39</v>
      </c>
      <c r="B646" t="s">
        <v>40</v>
      </c>
      <c r="C646">
        <v>20240101</v>
      </c>
      <c r="D646">
        <v>2024</v>
      </c>
      <c r="E646">
        <v>52</v>
      </c>
      <c r="F646" t="s">
        <v>357</v>
      </c>
      <c r="G646">
        <v>764</v>
      </c>
      <c r="H646" t="s">
        <v>279</v>
      </c>
      <c r="I646" t="s">
        <v>280</v>
      </c>
      <c r="J646" t="s">
        <v>44</v>
      </c>
      <c r="K646" t="s">
        <v>45</v>
      </c>
      <c r="L646">
        <v>0</v>
      </c>
      <c r="M646" t="s">
        <v>46</v>
      </c>
      <c r="N646" t="s">
        <v>47</v>
      </c>
      <c r="O646">
        <v>0</v>
      </c>
      <c r="P646" t="s">
        <v>46</v>
      </c>
      <c r="Q646" t="s">
        <v>47</v>
      </c>
      <c r="R646" t="s">
        <v>347</v>
      </c>
      <c r="S646" t="s">
        <v>49</v>
      </c>
      <c r="T646" t="b">
        <v>1</v>
      </c>
      <c r="U646" t="s">
        <v>50</v>
      </c>
      <c r="V646" t="s">
        <v>51</v>
      </c>
      <c r="W646">
        <v>4</v>
      </c>
      <c r="X646" t="b">
        <v>0</v>
      </c>
      <c r="Y646" t="s">
        <v>52</v>
      </c>
      <c r="Z646" t="s">
        <v>53</v>
      </c>
      <c r="AA646" t="s">
        <v>54</v>
      </c>
      <c r="AB646">
        <v>0</v>
      </c>
      <c r="AC646" t="s">
        <v>55</v>
      </c>
      <c r="AD646">
        <v>-1</v>
      </c>
      <c r="AE646" t="s">
        <v>64</v>
      </c>
      <c r="AF646">
        <v>0</v>
      </c>
      <c r="AG646" t="b">
        <v>0</v>
      </c>
      <c r="AH646">
        <v>-1</v>
      </c>
      <c r="AI646" t="s">
        <v>64</v>
      </c>
      <c r="AJ646">
        <v>0</v>
      </c>
      <c r="AK646" t="b">
        <v>0</v>
      </c>
      <c r="AM646" t="b">
        <v>0</v>
      </c>
      <c r="AN646">
        <v>0</v>
      </c>
      <c r="AO646" t="b">
        <v>0</v>
      </c>
      <c r="AQ646">
        <v>8758037368.1700001</v>
      </c>
      <c r="AR646">
        <v>8758037368.1700001</v>
      </c>
      <c r="AS646">
        <v>0</v>
      </c>
      <c r="AT646" t="b">
        <v>0</v>
      </c>
      <c r="AU646" t="b">
        <v>1</v>
      </c>
      <c r="AV646" t="b">
        <v>1</v>
      </c>
      <c r="AW646" t="b">
        <v>1</v>
      </c>
      <c r="BC646" t="s">
        <v>374</v>
      </c>
    </row>
    <row r="647" spans="1:55" x14ac:dyDescent="0.2">
      <c r="A647" t="s">
        <v>39</v>
      </c>
      <c r="B647" t="s">
        <v>40</v>
      </c>
      <c r="C647">
        <v>20240101</v>
      </c>
      <c r="D647">
        <v>2024</v>
      </c>
      <c r="E647">
        <v>52</v>
      </c>
      <c r="F647" t="s">
        <v>357</v>
      </c>
      <c r="G647">
        <v>768</v>
      </c>
      <c r="H647" t="s">
        <v>281</v>
      </c>
      <c r="I647" t="s">
        <v>282</v>
      </c>
      <c r="J647" t="s">
        <v>44</v>
      </c>
      <c r="K647" t="s">
        <v>45</v>
      </c>
      <c r="L647">
        <v>0</v>
      </c>
      <c r="M647" t="s">
        <v>46</v>
      </c>
      <c r="N647" t="s">
        <v>47</v>
      </c>
      <c r="O647">
        <v>0</v>
      </c>
      <c r="P647" t="s">
        <v>46</v>
      </c>
      <c r="Q647" t="s">
        <v>47</v>
      </c>
      <c r="R647" t="s">
        <v>48</v>
      </c>
      <c r="S647" t="s">
        <v>49</v>
      </c>
      <c r="T647" t="b">
        <v>1</v>
      </c>
      <c r="U647" t="s">
        <v>50</v>
      </c>
      <c r="V647" t="s">
        <v>51</v>
      </c>
      <c r="W647">
        <v>4</v>
      </c>
      <c r="X647" t="b">
        <v>0</v>
      </c>
      <c r="Y647" t="s">
        <v>52</v>
      </c>
      <c r="Z647" t="s">
        <v>53</v>
      </c>
      <c r="AA647" t="s">
        <v>54</v>
      </c>
      <c r="AB647">
        <v>0</v>
      </c>
      <c r="AC647" t="s">
        <v>55</v>
      </c>
      <c r="AD647">
        <v>8</v>
      </c>
      <c r="AE647" t="s">
        <v>56</v>
      </c>
      <c r="AF647">
        <v>1</v>
      </c>
      <c r="AG647" t="b">
        <v>0</v>
      </c>
      <c r="AH647">
        <v>8</v>
      </c>
      <c r="AI647" t="s">
        <v>56</v>
      </c>
      <c r="AJ647">
        <v>1</v>
      </c>
      <c r="AK647" t="b">
        <v>0</v>
      </c>
      <c r="AL647">
        <v>1</v>
      </c>
      <c r="AM647" t="b">
        <v>0</v>
      </c>
      <c r="AN647">
        <v>0</v>
      </c>
      <c r="AO647" t="b">
        <v>0</v>
      </c>
      <c r="AQ647">
        <v>339.22300000000001</v>
      </c>
      <c r="AR647">
        <v>339.22300000000001</v>
      </c>
      <c r="AS647">
        <v>0</v>
      </c>
      <c r="AT647" t="b">
        <v>0</v>
      </c>
      <c r="AU647" t="b">
        <v>1</v>
      </c>
      <c r="AV647" t="b">
        <v>1</v>
      </c>
      <c r="AW647" t="b">
        <v>1</v>
      </c>
      <c r="BC647" t="s">
        <v>374</v>
      </c>
    </row>
    <row r="648" spans="1:55" x14ac:dyDescent="0.2">
      <c r="A648" t="s">
        <v>39</v>
      </c>
      <c r="B648" t="s">
        <v>40</v>
      </c>
      <c r="C648">
        <v>20240101</v>
      </c>
      <c r="D648">
        <v>2024</v>
      </c>
      <c r="E648">
        <v>52</v>
      </c>
      <c r="F648" t="s">
        <v>357</v>
      </c>
      <c r="G648">
        <v>792</v>
      </c>
      <c r="H648" t="s">
        <v>287</v>
      </c>
      <c r="I648" t="s">
        <v>288</v>
      </c>
      <c r="J648" t="s">
        <v>44</v>
      </c>
      <c r="K648" t="s">
        <v>45</v>
      </c>
      <c r="L648">
        <v>0</v>
      </c>
      <c r="M648" t="s">
        <v>46</v>
      </c>
      <c r="N648" t="s">
        <v>47</v>
      </c>
      <c r="O648">
        <v>0</v>
      </c>
      <c r="P648" t="s">
        <v>46</v>
      </c>
      <c r="Q648" t="s">
        <v>47</v>
      </c>
      <c r="R648" t="s">
        <v>347</v>
      </c>
      <c r="S648" t="s">
        <v>49</v>
      </c>
      <c r="T648" t="b">
        <v>1</v>
      </c>
      <c r="U648" t="s">
        <v>50</v>
      </c>
      <c r="V648" t="s">
        <v>51</v>
      </c>
      <c r="W648">
        <v>4</v>
      </c>
      <c r="X648" t="b">
        <v>0</v>
      </c>
      <c r="Y648" t="s">
        <v>52</v>
      </c>
      <c r="Z648" t="s">
        <v>53</v>
      </c>
      <c r="AA648" t="s">
        <v>54</v>
      </c>
      <c r="AB648">
        <v>0</v>
      </c>
      <c r="AC648" t="s">
        <v>55</v>
      </c>
      <c r="AD648">
        <v>8</v>
      </c>
      <c r="AE648" t="s">
        <v>56</v>
      </c>
      <c r="AF648">
        <v>45207.493999999999</v>
      </c>
      <c r="AG648" t="b">
        <v>0</v>
      </c>
      <c r="AH648">
        <v>15</v>
      </c>
      <c r="AI648" t="s">
        <v>59</v>
      </c>
      <c r="AJ648">
        <v>45207494</v>
      </c>
      <c r="AK648" t="b">
        <v>0</v>
      </c>
      <c r="AM648" t="b">
        <v>0</v>
      </c>
      <c r="AN648">
        <v>0</v>
      </c>
      <c r="AO648" t="b">
        <v>0</v>
      </c>
      <c r="AQ648">
        <v>3481781178</v>
      </c>
      <c r="AR648">
        <v>3481781178</v>
      </c>
      <c r="AS648">
        <v>0</v>
      </c>
      <c r="AT648" t="b">
        <v>0</v>
      </c>
      <c r="AU648" t="b">
        <v>1</v>
      </c>
      <c r="AV648" t="b">
        <v>1</v>
      </c>
      <c r="AW648" t="b">
        <v>1</v>
      </c>
      <c r="BC648" t="s">
        <v>374</v>
      </c>
    </row>
    <row r="649" spans="1:55" x14ac:dyDescent="0.2">
      <c r="A649" t="s">
        <v>39</v>
      </c>
      <c r="B649" t="s">
        <v>40</v>
      </c>
      <c r="C649">
        <v>20240101</v>
      </c>
      <c r="D649">
        <v>2024</v>
      </c>
      <c r="E649">
        <v>52</v>
      </c>
      <c r="F649" t="s">
        <v>357</v>
      </c>
      <c r="G649">
        <v>800</v>
      </c>
      <c r="H649" t="s">
        <v>289</v>
      </c>
      <c r="I649" t="s">
        <v>290</v>
      </c>
      <c r="J649" t="s">
        <v>44</v>
      </c>
      <c r="K649" t="s">
        <v>45</v>
      </c>
      <c r="L649">
        <v>0</v>
      </c>
      <c r="M649" t="s">
        <v>46</v>
      </c>
      <c r="N649" t="s">
        <v>47</v>
      </c>
      <c r="O649">
        <v>0</v>
      </c>
      <c r="P649" t="s">
        <v>46</v>
      </c>
      <c r="Q649" t="s">
        <v>47</v>
      </c>
      <c r="R649" t="s">
        <v>347</v>
      </c>
      <c r="S649" t="s">
        <v>49</v>
      </c>
      <c r="T649" t="b">
        <v>1</v>
      </c>
      <c r="U649" t="s">
        <v>50</v>
      </c>
      <c r="V649" t="s">
        <v>51</v>
      </c>
      <c r="W649">
        <v>4</v>
      </c>
      <c r="X649" t="b">
        <v>0</v>
      </c>
      <c r="Y649" t="s">
        <v>52</v>
      </c>
      <c r="Z649" t="s">
        <v>53</v>
      </c>
      <c r="AA649" t="s">
        <v>54</v>
      </c>
      <c r="AB649">
        <v>0</v>
      </c>
      <c r="AC649" t="s">
        <v>55</v>
      </c>
      <c r="AD649">
        <v>8</v>
      </c>
      <c r="AE649" t="s">
        <v>56</v>
      </c>
      <c r="AF649">
        <v>46313.866999999998</v>
      </c>
      <c r="AG649" t="b">
        <v>0</v>
      </c>
      <c r="AH649">
        <v>15</v>
      </c>
      <c r="AI649" t="s">
        <v>59</v>
      </c>
      <c r="AJ649">
        <v>46313867.189999998</v>
      </c>
      <c r="AK649" t="b">
        <v>0</v>
      </c>
      <c r="AM649" t="b">
        <v>0</v>
      </c>
      <c r="AN649">
        <v>0</v>
      </c>
      <c r="AO649" t="b">
        <v>0</v>
      </c>
      <c r="AQ649">
        <v>3377412844.0599999</v>
      </c>
      <c r="AR649">
        <v>3377412844.0599999</v>
      </c>
      <c r="AS649">
        <v>0</v>
      </c>
      <c r="AT649" t="b">
        <v>0</v>
      </c>
      <c r="AU649" t="b">
        <v>1</v>
      </c>
      <c r="AV649" t="b">
        <v>1</v>
      </c>
      <c r="AW649" t="b">
        <v>1</v>
      </c>
      <c r="BC649" t="s">
        <v>374</v>
      </c>
    </row>
    <row r="650" spans="1:55" x14ac:dyDescent="0.2">
      <c r="A650" t="s">
        <v>39</v>
      </c>
      <c r="B650" t="s">
        <v>40</v>
      </c>
      <c r="C650">
        <v>20240101</v>
      </c>
      <c r="D650">
        <v>2024</v>
      </c>
      <c r="E650">
        <v>52</v>
      </c>
      <c r="F650" t="s">
        <v>357</v>
      </c>
      <c r="G650">
        <v>804</v>
      </c>
      <c r="H650" t="s">
        <v>291</v>
      </c>
      <c r="I650" t="s">
        <v>292</v>
      </c>
      <c r="J650" t="s">
        <v>44</v>
      </c>
      <c r="K650" t="s">
        <v>45</v>
      </c>
      <c r="L650">
        <v>0</v>
      </c>
      <c r="M650" t="s">
        <v>46</v>
      </c>
      <c r="N650" t="s">
        <v>47</v>
      </c>
      <c r="O650">
        <v>0</v>
      </c>
      <c r="P650" t="s">
        <v>46</v>
      </c>
      <c r="Q650" t="s">
        <v>47</v>
      </c>
      <c r="R650" t="s">
        <v>347</v>
      </c>
      <c r="S650" t="s">
        <v>49</v>
      </c>
      <c r="T650" t="b">
        <v>1</v>
      </c>
      <c r="U650" t="s">
        <v>50</v>
      </c>
      <c r="V650" t="s">
        <v>51</v>
      </c>
      <c r="W650">
        <v>4</v>
      </c>
      <c r="X650" t="b">
        <v>0</v>
      </c>
      <c r="Y650" t="s">
        <v>52</v>
      </c>
      <c r="Z650" t="s">
        <v>53</v>
      </c>
      <c r="AA650" t="s">
        <v>54</v>
      </c>
      <c r="AB650">
        <v>0</v>
      </c>
      <c r="AC650" t="s">
        <v>55</v>
      </c>
      <c r="AD650">
        <v>8</v>
      </c>
      <c r="AE650" t="s">
        <v>56</v>
      </c>
      <c r="AF650">
        <v>33.581000000000003</v>
      </c>
      <c r="AG650" t="b">
        <v>0</v>
      </c>
      <c r="AH650">
        <v>8</v>
      </c>
      <c r="AI650" t="s">
        <v>56</v>
      </c>
      <c r="AJ650">
        <v>33.581000000000003</v>
      </c>
      <c r="AK650" t="b">
        <v>0</v>
      </c>
      <c r="AL650">
        <v>33.581000000000003</v>
      </c>
      <c r="AM650" t="b">
        <v>0</v>
      </c>
      <c r="AN650">
        <v>0</v>
      </c>
      <c r="AO650" t="b">
        <v>0</v>
      </c>
      <c r="AQ650">
        <v>1959197.42</v>
      </c>
      <c r="AR650">
        <v>1959197.42</v>
      </c>
      <c r="AS650">
        <v>0</v>
      </c>
      <c r="AT650" t="b">
        <v>0</v>
      </c>
      <c r="AU650" t="b">
        <v>1</v>
      </c>
      <c r="AV650" t="b">
        <v>1</v>
      </c>
      <c r="AW650" t="b">
        <v>1</v>
      </c>
      <c r="BC650" t="s">
        <v>374</v>
      </c>
    </row>
    <row r="651" spans="1:55" x14ac:dyDescent="0.2">
      <c r="A651" t="s">
        <v>39</v>
      </c>
      <c r="B651" t="s">
        <v>40</v>
      </c>
      <c r="C651">
        <v>20240101</v>
      </c>
      <c r="D651">
        <v>2024</v>
      </c>
      <c r="E651">
        <v>52</v>
      </c>
      <c r="F651" t="s">
        <v>357</v>
      </c>
      <c r="G651">
        <v>818</v>
      </c>
      <c r="H651" t="s">
        <v>293</v>
      </c>
      <c r="I651" t="s">
        <v>294</v>
      </c>
      <c r="J651" t="s">
        <v>44</v>
      </c>
      <c r="K651" t="s">
        <v>45</v>
      </c>
      <c r="L651">
        <v>0</v>
      </c>
      <c r="M651" t="s">
        <v>46</v>
      </c>
      <c r="N651" t="s">
        <v>47</v>
      </c>
      <c r="O651">
        <v>0</v>
      </c>
      <c r="P651" t="s">
        <v>46</v>
      </c>
      <c r="Q651" t="s">
        <v>47</v>
      </c>
      <c r="R651" t="s">
        <v>347</v>
      </c>
      <c r="S651" t="s">
        <v>49</v>
      </c>
      <c r="T651" t="b">
        <v>1</v>
      </c>
      <c r="U651" t="s">
        <v>50</v>
      </c>
      <c r="V651" t="s">
        <v>51</v>
      </c>
      <c r="W651">
        <v>4</v>
      </c>
      <c r="X651" t="b">
        <v>0</v>
      </c>
      <c r="Y651" t="s">
        <v>52</v>
      </c>
      <c r="Z651" t="s">
        <v>53</v>
      </c>
      <c r="AA651" t="s">
        <v>54</v>
      </c>
      <c r="AB651">
        <v>0</v>
      </c>
      <c r="AC651" t="s">
        <v>55</v>
      </c>
      <c r="AD651">
        <v>8</v>
      </c>
      <c r="AE651" t="s">
        <v>56</v>
      </c>
      <c r="AF651">
        <v>48660.783000000003</v>
      </c>
      <c r="AG651" t="b">
        <v>1</v>
      </c>
      <c r="AH651">
        <v>-1</v>
      </c>
      <c r="AI651" t="s">
        <v>64</v>
      </c>
      <c r="AJ651">
        <v>0</v>
      </c>
      <c r="AK651" t="b">
        <v>0</v>
      </c>
      <c r="AL651">
        <v>48660.783000000003</v>
      </c>
      <c r="AM651" t="b">
        <v>1</v>
      </c>
      <c r="AN651">
        <v>0</v>
      </c>
      <c r="AO651" t="b">
        <v>0</v>
      </c>
      <c r="AQ651">
        <v>3245127056.7399998</v>
      </c>
      <c r="AR651">
        <v>3245127056.7399998</v>
      </c>
      <c r="AS651">
        <v>6</v>
      </c>
      <c r="AT651" t="b">
        <v>0</v>
      </c>
      <c r="AU651" t="b">
        <v>1</v>
      </c>
      <c r="AV651" t="b">
        <v>1</v>
      </c>
      <c r="AW651" t="b">
        <v>1</v>
      </c>
      <c r="BC651" t="s">
        <v>374</v>
      </c>
    </row>
    <row r="652" spans="1:55" x14ac:dyDescent="0.2">
      <c r="A652" t="s">
        <v>39</v>
      </c>
      <c r="B652" t="s">
        <v>40</v>
      </c>
      <c r="C652">
        <v>20240101</v>
      </c>
      <c r="D652">
        <v>2024</v>
      </c>
      <c r="E652">
        <v>52</v>
      </c>
      <c r="F652" t="s">
        <v>357</v>
      </c>
      <c r="G652">
        <v>834</v>
      </c>
      <c r="H652" t="s">
        <v>297</v>
      </c>
      <c r="I652" t="s">
        <v>298</v>
      </c>
      <c r="J652" t="s">
        <v>44</v>
      </c>
      <c r="K652" t="s">
        <v>45</v>
      </c>
      <c r="L652">
        <v>0</v>
      </c>
      <c r="M652" t="s">
        <v>46</v>
      </c>
      <c r="N652" t="s">
        <v>47</v>
      </c>
      <c r="O652">
        <v>0</v>
      </c>
      <c r="P652" t="s">
        <v>46</v>
      </c>
      <c r="Q652" t="s">
        <v>47</v>
      </c>
      <c r="R652" t="s">
        <v>347</v>
      </c>
      <c r="S652" t="s">
        <v>49</v>
      </c>
      <c r="T652" t="b">
        <v>1</v>
      </c>
      <c r="U652" t="s">
        <v>50</v>
      </c>
      <c r="V652" t="s">
        <v>51</v>
      </c>
      <c r="W652">
        <v>4</v>
      </c>
      <c r="X652" t="b">
        <v>0</v>
      </c>
      <c r="Y652" t="s">
        <v>52</v>
      </c>
      <c r="Z652" t="s">
        <v>53</v>
      </c>
      <c r="AA652" t="s">
        <v>54</v>
      </c>
      <c r="AB652">
        <v>0</v>
      </c>
      <c r="AC652" t="s">
        <v>55</v>
      </c>
      <c r="AD652">
        <v>-1</v>
      </c>
      <c r="AE652" t="s">
        <v>64</v>
      </c>
      <c r="AF652">
        <v>0</v>
      </c>
      <c r="AG652" t="b">
        <v>0</v>
      </c>
      <c r="AH652">
        <v>15</v>
      </c>
      <c r="AI652" t="s">
        <v>59</v>
      </c>
      <c r="AJ652">
        <v>57594.093999999997</v>
      </c>
      <c r="AK652" t="b">
        <v>0</v>
      </c>
      <c r="AM652" t="b">
        <v>0</v>
      </c>
      <c r="AN652">
        <v>0</v>
      </c>
      <c r="AO652" t="b">
        <v>0</v>
      </c>
      <c r="AQ652">
        <v>3419643899.724</v>
      </c>
      <c r="AR652">
        <v>3419643899.724</v>
      </c>
      <c r="AS652">
        <v>0</v>
      </c>
      <c r="AT652" t="b">
        <v>0</v>
      </c>
      <c r="AU652" t="b">
        <v>1</v>
      </c>
      <c r="AV652" t="b">
        <v>1</v>
      </c>
      <c r="AW652" t="b">
        <v>1</v>
      </c>
      <c r="BC652" t="s">
        <v>374</v>
      </c>
    </row>
    <row r="653" spans="1:55" x14ac:dyDescent="0.2">
      <c r="A653" t="s">
        <v>39</v>
      </c>
      <c r="B653" t="s">
        <v>40</v>
      </c>
      <c r="C653">
        <v>20240101</v>
      </c>
      <c r="D653">
        <v>2024</v>
      </c>
      <c r="E653">
        <v>52</v>
      </c>
      <c r="F653" t="s">
        <v>357</v>
      </c>
      <c r="G653">
        <v>854</v>
      </c>
      <c r="H653" t="s">
        <v>300</v>
      </c>
      <c r="I653" t="s">
        <v>301</v>
      </c>
      <c r="J653" t="s">
        <v>44</v>
      </c>
      <c r="K653" t="s">
        <v>45</v>
      </c>
      <c r="L653">
        <v>0</v>
      </c>
      <c r="M653" t="s">
        <v>46</v>
      </c>
      <c r="N653" t="s">
        <v>47</v>
      </c>
      <c r="O653">
        <v>0</v>
      </c>
      <c r="P653" t="s">
        <v>46</v>
      </c>
      <c r="Q653" t="s">
        <v>47</v>
      </c>
      <c r="R653" t="s">
        <v>347</v>
      </c>
      <c r="S653" t="s">
        <v>49</v>
      </c>
      <c r="T653" t="b">
        <v>1</v>
      </c>
      <c r="U653" t="s">
        <v>50</v>
      </c>
      <c r="V653" t="s">
        <v>51</v>
      </c>
      <c r="W653">
        <v>4</v>
      </c>
      <c r="X653" t="b">
        <v>0</v>
      </c>
      <c r="Y653" t="s">
        <v>52</v>
      </c>
      <c r="Z653" t="s">
        <v>53</v>
      </c>
      <c r="AA653" t="s">
        <v>54</v>
      </c>
      <c r="AB653">
        <v>0</v>
      </c>
      <c r="AC653" t="s">
        <v>55</v>
      </c>
      <c r="AD653">
        <v>8</v>
      </c>
      <c r="AE653" t="s">
        <v>56</v>
      </c>
      <c r="AF653">
        <v>64674</v>
      </c>
      <c r="AG653" t="b">
        <v>0</v>
      </c>
      <c r="AH653">
        <v>8</v>
      </c>
      <c r="AI653" t="s">
        <v>56</v>
      </c>
      <c r="AJ653">
        <v>64674</v>
      </c>
      <c r="AK653" t="b">
        <v>0</v>
      </c>
      <c r="AL653">
        <v>64674</v>
      </c>
      <c r="AM653" t="b">
        <v>0</v>
      </c>
      <c r="AN653">
        <v>0</v>
      </c>
      <c r="AO653" t="b">
        <v>0</v>
      </c>
      <c r="AQ653">
        <v>4642549078.6549997</v>
      </c>
      <c r="AR653">
        <v>4642549078.6549997</v>
      </c>
      <c r="AS653">
        <v>0</v>
      </c>
      <c r="AT653" t="b">
        <v>0</v>
      </c>
      <c r="AU653" t="b">
        <v>1</v>
      </c>
      <c r="AV653" t="b">
        <v>1</v>
      </c>
      <c r="AW653" t="b">
        <v>1</v>
      </c>
      <c r="BC653" t="s">
        <v>374</v>
      </c>
    </row>
    <row r="654" spans="1:55" x14ac:dyDescent="0.2">
      <c r="A654" t="s">
        <v>39</v>
      </c>
      <c r="B654" t="s">
        <v>40</v>
      </c>
      <c r="C654">
        <v>20240101</v>
      </c>
      <c r="D654">
        <v>2024</v>
      </c>
      <c r="E654">
        <v>52</v>
      </c>
      <c r="F654" t="s">
        <v>357</v>
      </c>
      <c r="G654">
        <v>858</v>
      </c>
      <c r="H654" t="s">
        <v>302</v>
      </c>
      <c r="I654" t="s">
        <v>303</v>
      </c>
      <c r="J654" t="s">
        <v>44</v>
      </c>
      <c r="K654" t="s">
        <v>45</v>
      </c>
      <c r="L654">
        <v>0</v>
      </c>
      <c r="M654" t="s">
        <v>46</v>
      </c>
      <c r="N654" t="s">
        <v>47</v>
      </c>
      <c r="O654">
        <v>0</v>
      </c>
      <c r="P654" t="s">
        <v>46</v>
      </c>
      <c r="Q654" t="s">
        <v>47</v>
      </c>
      <c r="R654" t="s">
        <v>347</v>
      </c>
      <c r="S654" t="s">
        <v>49</v>
      </c>
      <c r="T654" t="b">
        <v>1</v>
      </c>
      <c r="U654" t="s">
        <v>50</v>
      </c>
      <c r="V654" t="s">
        <v>51</v>
      </c>
      <c r="W654">
        <v>4</v>
      </c>
      <c r="X654" t="b">
        <v>0</v>
      </c>
      <c r="Y654" t="s">
        <v>52</v>
      </c>
      <c r="Z654" t="s">
        <v>53</v>
      </c>
      <c r="AA654" t="s">
        <v>54</v>
      </c>
      <c r="AB654">
        <v>0</v>
      </c>
      <c r="AC654" t="s">
        <v>55</v>
      </c>
      <c r="AD654">
        <v>8</v>
      </c>
      <c r="AE654" t="s">
        <v>56</v>
      </c>
      <c r="AF654">
        <v>63</v>
      </c>
      <c r="AG654" t="b">
        <v>0</v>
      </c>
      <c r="AH654">
        <v>8</v>
      </c>
      <c r="AI654" t="s">
        <v>56</v>
      </c>
      <c r="AJ654">
        <v>63</v>
      </c>
      <c r="AK654" t="b">
        <v>0</v>
      </c>
      <c r="AL654">
        <v>63</v>
      </c>
      <c r="AM654" t="b">
        <v>0</v>
      </c>
      <c r="AN654">
        <v>0</v>
      </c>
      <c r="AO654" t="b">
        <v>0</v>
      </c>
      <c r="AQ654">
        <v>5029317</v>
      </c>
      <c r="AR654">
        <v>5029317</v>
      </c>
      <c r="AS654">
        <v>0</v>
      </c>
      <c r="AT654" t="b">
        <v>0</v>
      </c>
      <c r="AU654" t="b">
        <v>1</v>
      </c>
      <c r="AV654" t="b">
        <v>1</v>
      </c>
      <c r="AW654" t="b">
        <v>1</v>
      </c>
      <c r="BC654" t="s">
        <v>374</v>
      </c>
    </row>
    <row r="655" spans="1:55" x14ac:dyDescent="0.2">
      <c r="A655" t="s">
        <v>39</v>
      </c>
      <c r="B655" t="s">
        <v>40</v>
      </c>
      <c r="C655">
        <v>20240101</v>
      </c>
      <c r="D655">
        <v>2024</v>
      </c>
      <c r="E655">
        <v>52</v>
      </c>
      <c r="F655" t="s">
        <v>357</v>
      </c>
      <c r="G655">
        <v>894</v>
      </c>
      <c r="H655" t="s">
        <v>307</v>
      </c>
      <c r="I655" t="s">
        <v>308</v>
      </c>
      <c r="J655" t="s">
        <v>44</v>
      </c>
      <c r="K655" t="s">
        <v>45</v>
      </c>
      <c r="L655">
        <v>0</v>
      </c>
      <c r="M655" t="s">
        <v>46</v>
      </c>
      <c r="N655" t="s">
        <v>47</v>
      </c>
      <c r="O655">
        <v>0</v>
      </c>
      <c r="P655" t="s">
        <v>46</v>
      </c>
      <c r="Q655" t="s">
        <v>47</v>
      </c>
      <c r="R655" t="s">
        <v>347</v>
      </c>
      <c r="S655" t="s">
        <v>49</v>
      </c>
      <c r="T655" t="b">
        <v>1</v>
      </c>
      <c r="U655" t="s">
        <v>50</v>
      </c>
      <c r="V655" t="s">
        <v>51</v>
      </c>
      <c r="W655">
        <v>4</v>
      </c>
      <c r="X655" t="b">
        <v>0</v>
      </c>
      <c r="Y655" t="s">
        <v>52</v>
      </c>
      <c r="Z655" t="s">
        <v>53</v>
      </c>
      <c r="AA655" t="s">
        <v>54</v>
      </c>
      <c r="AB655">
        <v>0</v>
      </c>
      <c r="AC655" t="s">
        <v>55</v>
      </c>
      <c r="AD655">
        <v>8</v>
      </c>
      <c r="AE655" t="s">
        <v>56</v>
      </c>
      <c r="AF655">
        <v>1490.55</v>
      </c>
      <c r="AG655" t="b">
        <v>0</v>
      </c>
      <c r="AH655">
        <v>8</v>
      </c>
      <c r="AI655" t="s">
        <v>56</v>
      </c>
      <c r="AJ655">
        <v>1490.55</v>
      </c>
      <c r="AK655" t="b">
        <v>0</v>
      </c>
      <c r="AL655">
        <v>1490.55</v>
      </c>
      <c r="AM655" t="b">
        <v>0</v>
      </c>
      <c r="AN655">
        <v>0</v>
      </c>
      <c r="AO655" t="b">
        <v>0</v>
      </c>
      <c r="AQ655">
        <v>111735173.26100001</v>
      </c>
      <c r="AR655">
        <v>111735173.26100001</v>
      </c>
      <c r="AS655">
        <v>0</v>
      </c>
      <c r="AT655" t="b">
        <v>0</v>
      </c>
      <c r="AU655" t="b">
        <v>1</v>
      </c>
      <c r="AV655" t="b">
        <v>1</v>
      </c>
      <c r="AW655" t="b">
        <v>1</v>
      </c>
      <c r="BC655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Gold_Raw</vt:lpstr>
      <vt:lpstr>Gold_Clean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Santosh Dangat</cp:lastModifiedBy>
  <dcterms:created xsi:type="dcterms:W3CDTF">2026-01-03T14:21:21Z</dcterms:created>
  <dcterms:modified xsi:type="dcterms:W3CDTF">2026-01-04T13:45:04Z</dcterms:modified>
</cp:coreProperties>
</file>